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7 JULIO 2024\"/>
    </mc:Choice>
  </mc:AlternateContent>
  <xr:revisionPtr revIDLastSave="0" documentId="13_ncr:1_{E5E03A5D-FCA7-47E1-A78B-756153AEA8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K21" i="1"/>
  <c r="J30" i="1"/>
  <c r="K10" i="1"/>
  <c r="J38" i="1" l="1"/>
  <c r="L21" i="1" l="1"/>
  <c r="L24" i="1" s="1"/>
  <c r="M21" i="1"/>
  <c r="N21" i="1" l="1"/>
  <c r="O21" i="1" s="1"/>
  <c r="O25" i="1" s="1"/>
  <c r="R21" i="1"/>
  <c r="N31" i="1"/>
  <c r="O26" i="1" l="1"/>
  <c r="S43" i="1"/>
  <c r="O27" i="1" l="1"/>
  <c r="M20" i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O28" i="1" l="1"/>
  <c r="L30" i="1" s="1"/>
  <c r="N30" i="1" l="1"/>
  <c r="S44" i="1"/>
  <c r="N36" i="1" l="1"/>
  <c r="N37" i="1" s="1"/>
  <c r="D20" i="3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H21" i="1" s="1"/>
  <c r="H23" i="1" s="1"/>
  <c r="H24" i="1" s="1"/>
  <c r="R26" i="1"/>
  <c r="H25" i="1" l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<sst xmlns="http://schemas.openxmlformats.org/spreadsheetml/2006/main" count="218" uniqueCount="164">
  <si>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</si>
  <si>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</si>
  <si>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</si>
  <si>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</si>
  <si>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</si>
  <si>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</si>
  <si>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</si>
  <si>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</si>
  <si>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</si>
  <si>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</si>
  <si>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</si>
  <si>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</si>
  <si>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</si>
  <si>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</si>
  <si>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</si>
  <si>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</si>
  <si>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</si>
  <si>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</si>
  <si>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</si>
  <si>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</si>
  <si>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</si>
  <si>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</si>
  <si>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</si>
  <si>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</si>
  <si>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</si>
  <si>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</si>
  <si>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</si>
  <si>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</si>
  <si>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</si>
  <si>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</si>
  <si>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</si>
  <si>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</si>
  <si>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</si>
  <si>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</si>
  <si>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</si>
  <si>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</si>
  <si>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</si>
  <si>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</si>
  <si>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</si>
  <si>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</si>
  <si>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</si>
  <si>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</si>
  <si>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</si>
  <si>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</si>
  <si>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</si>
  <si>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</si>
  <si>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</si>
  <si>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</si>
  <si>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</si>
  <si>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</si>
  <si>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</si>
  <si>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</si>
  <si>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</si>
  <si>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</si>
  <si>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</si>
  <si>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</si>
  <si>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</si>
  <si>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</si>
  <si>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</si>
  <si>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</si>
  <si>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</si>
  <si>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</si>
  <si>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</si>
  <si>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</si>
  <si>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</si>
  <si>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</si>
  <si>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</si>
  <si>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</si>
  <si>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</si>
  <si>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</si>
  <si>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</si>
  <si>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</si>
  <si>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</si>
  <si>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</si>
  <si>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</si>
  <si>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</si>
  <si>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</si>
  <si>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</si>
  <si>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</si>
  <si>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</si>
  <si>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</si>
  <si>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</si>
  <si>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</si>
  <si>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</si>
  <si>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</si>
  <si>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</si>
  <si>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</si>
  <si>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</si>
  <si>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</si>
  <si>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</si>
  <si>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</si>
  <si>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</si>
  <si>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</si>
  <si>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</si>
  <si>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</si>
  <si>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</si>
  <si>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</si>
  <si>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</si>
  <si>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</si>
  <si>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</si>
  <si>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</si>
  <si>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</si>
  <si>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</si>
  <si>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</si>
  <si>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</si>
  <si>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</si>
  <si>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</si>
  <si>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</si>
  <si>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</si>
  <si>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</si>
  <si>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</si>
  <si>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</si>
  <si>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</si>
  <si>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</si>
  <si>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</si>
  <si>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</si>
  <si>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</si>
  <si>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</si>
  <si>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</si>
  <si>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</si>
  <si>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</si>
  <si>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</si>
  <si>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</si>
  <si>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</si>
  <si>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</si>
  <si>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</si>
  <si>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</si>
  <si>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</si>
  <si>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</si>
  <si>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</si>
  <si>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</si>
  <si>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</si>
  <si>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</si>
  <si>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</si>
  <si>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</si>
  <si>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</si>
  <si>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</si>
  <si>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</si>
  <si>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</si>
  <si>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</si>
  <si>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</si>
  <si>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</si>
  <si>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</si>
  <si>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</si>
  <si>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</si>
  <si>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</si>
  <si>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</si>
  <si>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</si>
  <si>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</si>
  <si>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</si>
  <si>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</si>
  <si>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</si>
  <si>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</si>
  <si>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</si>
  <si>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</si>
  <si>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</si>
  <si>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</si>
  <si>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ABONO 50%, SALDO C/E</t>
  </si>
  <si>
    <t>5 DIAS HABILES</t>
  </si>
  <si>
    <t>CUB CON RESPALDO FRENTE 90° R8</t>
  </si>
  <si>
    <t>BLANCO MT</t>
  </si>
  <si>
    <t>CLAUDIA LEWIN</t>
  </si>
  <si>
    <t>+569 9517 0474</t>
  </si>
  <si>
    <t>N° 11017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</si>
</sst>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32" fillId="0" borderId="57" xfId="0" applyFont="1" applyBorder="1" applyAlignment="1">
      <alignment horizontal="center" vertical="center"/>
    </xf>
    <xf numFmtId="0" fontId="32" fillId="0" borderId="58" xfId="0" applyFont="1" applyBorder="1" applyAlignment="1">
      <alignment horizontal="center" vertical="center"/>
    </xf>
    <xf numFmtId="166" fontId="32" fillId="0" borderId="58" xfId="0" applyNumberFormat="1" applyFont="1" applyBorder="1" applyAlignment="1">
      <alignment horizontal="center" vertical="center"/>
    </xf>
    <xf numFmtId="167" fontId="11" fillId="0" borderId="58" xfId="2" applyNumberFormat="1" applyFont="1" applyFill="1" applyBorder="1" applyAlignment="1">
      <alignment horizontal="center" vertical="center"/>
    </xf>
    <xf numFmtId="167" fontId="11" fillId="0" borderId="45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26</xdr:row>
      <xdr:rowOff>5248</xdr:rowOff>
    </xdr:from>
    <xdr:to>
      <xdr:col>8</xdr:col>
      <xdr:colOff>23327</xdr:colOff>
      <xdr:row>29</xdr:row>
      <xdr:rowOff>5249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264076" y="5300370"/>
          <a:ext cx="2027659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1765041</xdr:colOff>
      <xdr:row>29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304647"/>
          <a:ext cx="6389720" cy="662668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15551</xdr:colOff>
      <xdr:row>21</xdr:row>
      <xdr:rowOff>216198</xdr:rowOff>
    </xdr:from>
    <xdr:to>
      <xdr:col>5</xdr:col>
      <xdr:colOff>1764030</xdr:colOff>
      <xdr:row>25</xdr:row>
      <xdr:rowOff>15551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7653" y="4624912"/>
          <a:ext cx="6351581" cy="68576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MDF 18MM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1"/>
  <sheetViews>
    <sheetView tabSelected="1" topLeftCell="D18" zoomScale="98" zoomScaleNormal="98" workbookViewId="0">
      <selection activeCell="F21" sqref="F2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88671875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9" t="s">
        <v>128</v>
      </c>
      <c r="C8" s="300"/>
      <c r="D8" s="313" t="s">
        <v>163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7" t="s">
        <v>161</v>
      </c>
      <c r="D10" s="243"/>
      <c r="E10" s="243"/>
      <c r="F10" s="244" t="s">
        <v>0</v>
      </c>
      <c r="G10" s="275">
        <v>45476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6" t="s">
        <v>12</v>
      </c>
      <c r="C11" s="309"/>
      <c r="F11" t="s">
        <v>125</v>
      </c>
      <c r="G11" s="287" t="s">
        <v>158</v>
      </c>
      <c r="H11" s="288"/>
      <c r="P11" s="19"/>
      <c r="Q11" s="25" t="s">
        <v>19</v>
      </c>
      <c r="R11" s="19"/>
    </row>
    <row r="12" spans="2:23" ht="16.8" x14ac:dyDescent="0.4">
      <c r="B12" s="246" t="s">
        <v>147</v>
      </c>
      <c r="C12" s="309"/>
      <c r="D12" s="247"/>
      <c r="E12" s="247"/>
      <c r="F12" s="247" t="s">
        <v>129</v>
      </c>
      <c r="G12" s="276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6"/>
      <c r="H13" s="248"/>
      <c r="P13" s="19"/>
      <c r="Q13" s="25"/>
      <c r="R13" s="19"/>
    </row>
    <row r="14" spans="2:23" x14ac:dyDescent="0.3">
      <c r="B14" s="286" t="s">
        <v>141</v>
      </c>
      <c r="C14" s="304"/>
      <c r="F14" s="29" t="s">
        <v>138</v>
      </c>
      <c r="G14" s="289" t="s">
        <v>137</v>
      </c>
      <c r="H14" s="288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4" t="s">
        <v>162</v>
      </c>
      <c r="D15" s="293"/>
      <c r="E15" s="247"/>
      <c r="F15" s="247" t="s">
        <v>136</v>
      </c>
      <c r="G15" s="294" t="s">
        <v>137</v>
      </c>
      <c r="H15" s="248"/>
    </row>
    <row r="16" spans="2:23" ht="16.8" x14ac:dyDescent="0.4">
      <c r="B16" s="290" t="s">
        <v>3</v>
      </c>
      <c r="C16" s="309"/>
      <c r="F16" s="291" t="s">
        <v>131</v>
      </c>
      <c r="G16" s="292" t="s">
        <v>157</v>
      </c>
      <c r="H16" s="288"/>
    </row>
    <row r="17" spans="1:24" ht="15" thickBot="1" x14ac:dyDescent="0.35">
      <c r="B17" s="295" t="s">
        <v>13</v>
      </c>
      <c r="C17" s="296" t="s">
        <v>154</v>
      </c>
      <c r="D17" s="297"/>
      <c r="E17" s="298"/>
      <c r="F17" s="317" t="s">
        <v>155</v>
      </c>
      <c r="G17" s="317"/>
      <c r="H17" s="318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thickBot="1" x14ac:dyDescent="0.35">
      <c r="B19" s="326" t="s">
        <v>149</v>
      </c>
      <c r="C19" s="327"/>
      <c r="D19" s="327"/>
      <c r="E19" s="327"/>
      <c r="F19" s="327"/>
      <c r="G19" s="327"/>
      <c r="H19" s="328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29" t="s">
        <v>7</v>
      </c>
      <c r="C20" s="330" t="s">
        <v>1</v>
      </c>
      <c r="D20" s="330" t="s">
        <v>10</v>
      </c>
      <c r="E20" s="330" t="s">
        <v>11</v>
      </c>
      <c r="F20" s="330" t="s">
        <v>8</v>
      </c>
      <c r="G20" s="330" t="s">
        <v>5</v>
      </c>
      <c r="H20" s="331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70500.162601626042</v>
      </c>
      <c r="Q20" s="258">
        <v>3000</v>
      </c>
      <c r="R20" s="38"/>
      <c r="S20" s="14" t="s">
        <v>130</v>
      </c>
      <c r="T20" s="9"/>
      <c r="W20" s="4"/>
    </row>
    <row r="21" spans="1:24" ht="18" thickBot="1" x14ac:dyDescent="0.35">
      <c r="B21" s="332">
        <v>1</v>
      </c>
      <c r="C21" s="333" t="s">
        <v>159</v>
      </c>
      <c r="D21" s="334">
        <v>2</v>
      </c>
      <c r="E21" s="334">
        <v>0.6</v>
      </c>
      <c r="F21" s="333" t="s">
        <v>160</v>
      </c>
      <c r="G21" s="335">
        <f>P21</f>
        <v>86715.200000000012</v>
      </c>
      <c r="H21" s="336">
        <f t="shared" ref="H21" si="1">G21*B21</f>
        <v>86715.200000000012</v>
      </c>
      <c r="I21" s="265"/>
      <c r="J21" s="47"/>
      <c r="K21" s="315">
        <f>B21</f>
        <v>1</v>
      </c>
      <c r="L21" s="316">
        <f t="shared" ref="L21:M21" si="2">D21+L$19</f>
        <v>2.0499999999999998</v>
      </c>
      <c r="M21" s="316">
        <f t="shared" si="2"/>
        <v>0.6</v>
      </c>
      <c r="N21" s="261">
        <f>L21*M21</f>
        <v>1.2299999999999998</v>
      </c>
      <c r="O21" s="259">
        <f>N21*K21</f>
        <v>1.2299999999999998</v>
      </c>
      <c r="P21" s="252">
        <f>P$20*N21</f>
        <v>86715.200000000012</v>
      </c>
      <c r="Q21" s="258">
        <f>P21+Q$20</f>
        <v>89715.200000000012</v>
      </c>
      <c r="R21" s="306">
        <f>K21*L21</f>
        <v>2.0499999999999998</v>
      </c>
      <c r="S21" s="14"/>
      <c r="T21" s="9"/>
      <c r="W21" s="4"/>
    </row>
    <row r="22" spans="1:24" ht="18" thickBot="1" x14ac:dyDescent="0.35">
      <c r="B22" s="284"/>
      <c r="C22" s="284"/>
      <c r="D22" s="285"/>
      <c r="E22" s="285"/>
      <c r="F22" s="284"/>
      <c r="G22" s="310"/>
      <c r="H22" s="310"/>
      <c r="I22" s="265"/>
      <c r="J22" s="47"/>
      <c r="K22" s="47"/>
      <c r="L22" s="39"/>
      <c r="M22" s="39"/>
      <c r="N22" s="261"/>
      <c r="O22" s="259"/>
      <c r="P22" s="252"/>
      <c r="Q22" s="258"/>
      <c r="R22" s="306"/>
      <c r="S22" s="14"/>
      <c r="T22" s="9"/>
      <c r="W22" s="4"/>
    </row>
    <row r="23" spans="1:24" ht="17.399999999999999" x14ac:dyDescent="0.3">
      <c r="B23" s="284"/>
      <c r="C23" s="284"/>
      <c r="D23" s="285"/>
      <c r="E23" s="285"/>
      <c r="F23" s="284"/>
      <c r="G23" s="307" t="s">
        <v>30</v>
      </c>
      <c r="H23" s="308">
        <f>SUM(H21:H22)</f>
        <v>86715.200000000012</v>
      </c>
      <c r="I23" s="232"/>
      <c r="J23" s="47"/>
      <c r="K23" s="47"/>
      <c r="L23" s="39"/>
      <c r="M23" s="39"/>
      <c r="N23" s="261"/>
      <c r="O23" s="259"/>
      <c r="P23" s="252"/>
      <c r="Q23" s="258"/>
      <c r="R23" s="306"/>
      <c r="S23" s="14"/>
      <c r="T23" s="9"/>
      <c r="W23" s="4"/>
    </row>
    <row r="24" spans="1:24" ht="17.399999999999999" x14ac:dyDescent="0.3">
      <c r="B24" s="278"/>
      <c r="C24" s="281"/>
      <c r="D24" s="282"/>
      <c r="E24" s="282"/>
      <c r="F24" s="283"/>
      <c r="G24" s="305" t="s">
        <v>53</v>
      </c>
      <c r="H24" s="302">
        <f>H23*0.19</f>
        <v>16475.888000000003</v>
      </c>
      <c r="I24" s="265"/>
      <c r="J24" s="47"/>
      <c r="K24" s="47"/>
      <c r="L24" s="39">
        <f>SUM(L21:L23)</f>
        <v>2.0499999999999998</v>
      </c>
      <c r="M24" s="39"/>
      <c r="N24" s="261"/>
      <c r="O24" s="259"/>
      <c r="P24" s="252"/>
      <c r="Q24" s="258"/>
      <c r="R24" s="306"/>
      <c r="S24" s="14"/>
      <c r="T24" s="9"/>
      <c r="W24" s="4"/>
    </row>
    <row r="25" spans="1:24" ht="18" thickBot="1" x14ac:dyDescent="0.35">
      <c r="B25" s="274"/>
      <c r="C25" s="280"/>
      <c r="D25" s="271"/>
      <c r="E25" s="271"/>
      <c r="F25" s="272"/>
      <c r="G25" s="279" t="s">
        <v>6</v>
      </c>
      <c r="H25" s="303">
        <f>H23+H24</f>
        <v>103191.08800000002</v>
      </c>
      <c r="I25" s="265"/>
      <c r="J25" s="47"/>
      <c r="K25" s="47"/>
      <c r="L25" s="39"/>
      <c r="M25" s="12"/>
      <c r="N25" s="12"/>
      <c r="O25" s="253">
        <f>SUM(O21:O21)</f>
        <v>1.2299999999999998</v>
      </c>
      <c r="P25" s="14"/>
      <c r="Q25" s="12"/>
      <c r="R25" s="238"/>
      <c r="S25" s="14"/>
      <c r="T25" s="9"/>
      <c r="W25" s="4"/>
    </row>
    <row r="26" spans="1:24" ht="17.399999999999999" x14ac:dyDescent="0.3">
      <c r="I26" s="265"/>
      <c r="J26" s="47"/>
      <c r="K26" s="47"/>
      <c r="L26" s="39"/>
      <c r="M26" s="12"/>
      <c r="N26" s="12"/>
      <c r="O26" s="253">
        <f>O25</f>
        <v>1.2299999999999998</v>
      </c>
      <c r="P26" s="14"/>
      <c r="Q26" s="12"/>
      <c r="R26" s="238">
        <f>SUM(R21:R25)</f>
        <v>2.0499999999999998</v>
      </c>
      <c r="S26" s="14"/>
      <c r="T26" s="9"/>
      <c r="W26" s="4"/>
    </row>
    <row r="27" spans="1:24" ht="17.399999999999999" x14ac:dyDescent="0.35">
      <c r="B27" s="269"/>
      <c r="C27" s="230"/>
      <c r="D27" s="230"/>
      <c r="E27" s="232"/>
      <c r="F27" s="233"/>
      <c r="G27" s="230"/>
      <c r="H27" s="273"/>
      <c r="I27" s="265"/>
      <c r="J27" s="47">
        <v>32</v>
      </c>
      <c r="K27" s="47"/>
      <c r="L27" s="14"/>
      <c r="M27" s="12"/>
      <c r="N27" s="12"/>
      <c r="O27" s="39">
        <f>O26*20%</f>
        <v>0.24599999999999997</v>
      </c>
      <c r="P27" s="39" t="s">
        <v>132</v>
      </c>
      <c r="Q27" s="42"/>
      <c r="R27" s="239"/>
      <c r="S27" s="14"/>
      <c r="T27" s="9"/>
      <c r="W27" s="4"/>
    </row>
    <row r="28" spans="1:24" ht="17.399999999999999" x14ac:dyDescent="0.35">
      <c r="B28" s="234"/>
      <c r="C28" s="235"/>
      <c r="D28" s="236"/>
      <c r="E28" s="234"/>
      <c r="F28" s="230"/>
      <c r="G28" s="230"/>
      <c r="I28" s="265"/>
      <c r="J28" s="312">
        <v>32</v>
      </c>
      <c r="K28" s="47"/>
      <c r="L28" s="14"/>
      <c r="M28" s="12"/>
      <c r="N28" s="12"/>
      <c r="O28" s="46">
        <f>O26+O27</f>
        <v>1.4759999999999998</v>
      </c>
      <c r="P28" s="14"/>
      <c r="Q28" s="14"/>
      <c r="R28" s="237">
        <v>40</v>
      </c>
      <c r="S28" s="14"/>
      <c r="T28" s="9"/>
      <c r="W28" s="4"/>
    </row>
    <row r="29" spans="1:24" ht="17.399999999999999" x14ac:dyDescent="0.35">
      <c r="B29" s="230"/>
      <c r="C29" s="230"/>
      <c r="D29" s="230"/>
      <c r="E29" s="230"/>
      <c r="F29" s="230"/>
      <c r="G29" s="230"/>
      <c r="I29" s="265"/>
      <c r="J29" s="312">
        <v>55</v>
      </c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1:24" ht="17.399999999999999" x14ac:dyDescent="0.35">
      <c r="A30" s="230"/>
      <c r="B30" s="230"/>
      <c r="C30" s="230"/>
      <c r="D30" s="230"/>
      <c r="E30" s="230"/>
      <c r="F30" s="230"/>
      <c r="G30" s="230"/>
      <c r="H30" s="230"/>
      <c r="I30" s="265"/>
      <c r="J30" s="47">
        <f>SUM(J27:J29)</f>
        <v>119</v>
      </c>
      <c r="K30" s="47"/>
      <c r="L30" s="39">
        <f>O28</f>
        <v>1.4759999999999998</v>
      </c>
      <c r="M30" s="12">
        <v>3500</v>
      </c>
      <c r="N30" s="12">
        <f t="shared" ref="N30:N35" si="3">L30*M30</f>
        <v>5165.9999999999991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1:24" ht="17.399999999999999" x14ac:dyDescent="0.35">
      <c r="A31" s="230"/>
      <c r="B31" s="24" t="s">
        <v>153</v>
      </c>
      <c r="C31" s="230"/>
      <c r="D31" s="230"/>
      <c r="E31" s="230"/>
      <c r="F31" s="230"/>
      <c r="G31" s="230"/>
      <c r="H31" s="230"/>
      <c r="I31" s="265"/>
      <c r="J31" s="47"/>
      <c r="K31" s="47"/>
      <c r="L31" s="249">
        <v>0.33</v>
      </c>
      <c r="M31" s="12">
        <v>25000</v>
      </c>
      <c r="N31" s="12">
        <f t="shared" si="3"/>
        <v>8250</v>
      </c>
      <c r="O31" s="39" t="s">
        <v>156</v>
      </c>
      <c r="P31" s="42"/>
      <c r="Q31" s="14"/>
      <c r="R31" s="239"/>
      <c r="S31" s="14"/>
      <c r="T31" s="9"/>
      <c r="W31" s="4"/>
    </row>
    <row r="32" spans="1:24" s="230" customFormat="1" ht="17.399999999999999" x14ac:dyDescent="0.35">
      <c r="B32" s="24" t="s">
        <v>146</v>
      </c>
      <c r="C32"/>
      <c r="D32"/>
      <c r="E32"/>
      <c r="F32"/>
      <c r="I32" s="262"/>
      <c r="J32" s="47"/>
      <c r="K32" s="250"/>
      <c r="L32" s="14"/>
      <c r="M32" s="250">
        <v>43000</v>
      </c>
      <c r="N32" s="12">
        <f t="shared" si="3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9" t="s">
        <v>127</v>
      </c>
      <c r="C33"/>
      <c r="D33"/>
      <c r="E33"/>
      <c r="F33" s="229" t="s">
        <v>16</v>
      </c>
      <c r="I33" s="262"/>
      <c r="J33" s="311"/>
      <c r="K33" s="250"/>
      <c r="L33" s="14">
        <v>1</v>
      </c>
      <c r="M33" s="250">
        <v>23000</v>
      </c>
      <c r="N33" s="12">
        <f t="shared" si="3"/>
        <v>23000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I34" s="262"/>
      <c r="J34" s="311"/>
      <c r="K34" s="250"/>
      <c r="L34" s="249"/>
      <c r="M34" s="250">
        <v>800</v>
      </c>
      <c r="N34" s="12">
        <f t="shared" si="3"/>
        <v>0</v>
      </c>
      <c r="O34" s="14" t="s">
        <v>34</v>
      </c>
      <c r="P34" s="14"/>
      <c r="Q34" s="230">
        <v>1.52</v>
      </c>
      <c r="R34" s="237"/>
      <c r="S34" s="237"/>
    </row>
    <row r="35" spans="2:23" s="230" customFormat="1" ht="17.399999999999999" x14ac:dyDescent="0.35">
      <c r="I35" s="301"/>
      <c r="J35" s="47"/>
      <c r="K35" s="250"/>
      <c r="L35" s="266">
        <v>2</v>
      </c>
      <c r="M35" s="12">
        <v>1500</v>
      </c>
      <c r="N35" s="12">
        <f t="shared" si="3"/>
        <v>3000</v>
      </c>
      <c r="O35" s="14" t="s">
        <v>24</v>
      </c>
      <c r="P35" s="14"/>
      <c r="Q35">
        <v>2.44</v>
      </c>
      <c r="R35"/>
      <c r="S35" s="237">
        <v>1500</v>
      </c>
      <c r="W35" s="231"/>
    </row>
    <row r="36" spans="2:23" s="230" customFormat="1" ht="17.399999999999999" x14ac:dyDescent="0.35">
      <c r="J36" s="47"/>
      <c r="K36" s="250"/>
      <c r="L36" s="14"/>
      <c r="M36" s="12"/>
      <c r="N36" s="12">
        <f>SUM(N30:N35)</f>
        <v>39416</v>
      </c>
      <c r="O36" s="39" t="s">
        <v>25</v>
      </c>
      <c r="P36" s="14"/>
      <c r="Q36">
        <f>Q34*Q35</f>
        <v>3.7088000000000001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43000</v>
      </c>
      <c r="K37" s="250"/>
      <c r="L37" s="254" t="s">
        <v>35</v>
      </c>
      <c r="M37" s="12"/>
      <c r="N37" s="255">
        <f>N36*2.2</f>
        <v>86715.200000000012</v>
      </c>
      <c r="O37" s="14" t="s">
        <v>142</v>
      </c>
      <c r="P37" s="14"/>
      <c r="Q37" s="46">
        <f>O26/Q36</f>
        <v>0.33164365832614318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36134.45378151261</v>
      </c>
      <c r="K38" s="250"/>
      <c r="L38" s="14"/>
      <c r="M38" s="12"/>
      <c r="N38" s="12">
        <f>N37/O26</f>
        <v>70500.162601626042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2.2000000000000002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0.32262295081967207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150</v>
      </c>
    </row>
    <row r="74" spans="3:14" x14ac:dyDescent="0.3">
      <c r="C74" t="s">
        <v>149</v>
      </c>
    </row>
    <row r="77" spans="3:14" x14ac:dyDescent="0.3">
      <c r="C77" t="s">
        <v>149</v>
      </c>
    </row>
    <row r="154" spans="3:3" x14ac:dyDescent="0.3">
      <c r="C154" t="s">
        <v>149</v>
      </c>
    </row>
    <row r="155" spans="3:3" x14ac:dyDescent="0.3">
      <c r="C155" t="s">
        <v>151</v>
      </c>
    </row>
    <row r="156" spans="3:3" x14ac:dyDescent="0.3">
      <c r="C156" t="s">
        <v>152</v>
      </c>
    </row>
    <row r="581" spans="3:3" x14ac:dyDescent="0.3">
      <c r="C581" t="s">
        <v>149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45476</v>
      </c>
    </row>
    <row r="6" spans="2:31" ht="16.2" thickBot="1" x14ac:dyDescent="0.35">
      <c r="B6" s="140" t="s">
        <v>2</v>
      </c>
      <c r="C6" s="139" t="str">
        <f>'2229'!C10</f>
        <v>CLAUDIA LEWIN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20" t="s">
        <v>100</v>
      </c>
      <c r="I7" s="321"/>
      <c r="J7" s="321"/>
      <c r="K7" s="322"/>
      <c r="N7" s="75"/>
      <c r="O7" s="319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11017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19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-2558.7583667874424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'2229'!H23</f>
        <v>86715.200000000012</v>
      </c>
      <c r="E11" s="132">
        <f>D11*0.19</f>
        <v>16475.888000000003</v>
      </c>
      <c r="F11" s="131">
        <f>E11+D11</f>
        <v>103191.08800000002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103431.24163321256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43250.090787439614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85431.241633212558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43465.109212560397</v>
      </c>
      <c r="E13" s="221">
        <f>(D11/D12)-1</f>
        <v>1.0049715138443878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76431.241633212558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37431.241633212558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71362.649799275358</v>
      </c>
      <c r="F15" s="216">
        <f>E15-D12</f>
        <v>28112.559011835743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37431.241633212558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77431.241633212558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8250</v>
      </c>
      <c r="E19" s="123">
        <f>D19*0.19</f>
        <v>1567.5</v>
      </c>
      <c r="F19" s="120">
        <f>SUM(D19:E19)</f>
        <v>9817.5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5165.9999999999991</v>
      </c>
      <c r="E20" s="121">
        <f>D20*0.19</f>
        <v>981.53999999999985</v>
      </c>
      <c r="F20" s="120">
        <f>SUM(D20:E20)</f>
        <v>6147.5399999999991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13416</v>
      </c>
      <c r="E21" s="116">
        <f>SUM(E18:E20)</f>
        <v>2549.04</v>
      </c>
      <c r="F21" s="115">
        <f>SUM(F18:F20)</f>
        <v>15965.039999999999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13926.848000000002</v>
      </c>
    </row>
    <row r="41" spans="2:16" ht="15" thickBot="1" x14ac:dyDescent="0.35">
      <c r="H41" s="323" t="s">
        <v>62</v>
      </c>
      <c r="I41" s="324"/>
      <c r="J41" s="324"/>
      <c r="K41" s="324"/>
      <c r="L41" s="324"/>
      <c r="M41" s="325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86715.200000000012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13416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43465.109212560397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43465.109212560397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2024-07-03T16:52:58Z</cp:lastPrinted>
  <dcterms:created xsi:type="dcterms:W3CDTF">2013-03-18T13:35:42Z</dcterms:created>
  <dcterms:modified xsi:type="dcterms:W3CDTF">2024-07-03T16:54:11Z</dcterms:modified>
</cp:coreProperties>
</file>