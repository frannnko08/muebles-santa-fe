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C8DF3B2E-30A8-498E-B01E-E3E19783D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1" i="1" l="1"/>
  <c r="K28" i="1"/>
  <c r="L28" i="1"/>
  <c r="M28" i="1"/>
  <c r="N28" i="1" s="1"/>
  <c r="K22" i="1"/>
  <c r="L22" i="1"/>
  <c r="M22" i="1"/>
  <c r="N22" i="1"/>
  <c r="O22" i="1" s="1"/>
  <c r="K23" i="1"/>
  <c r="L23" i="1"/>
  <c r="N23" i="1" s="1"/>
  <c r="O23" i="1" s="1"/>
  <c r="M23" i="1"/>
  <c r="H28" i="1"/>
  <c r="H22" i="1"/>
  <c r="H23" i="1"/>
  <c r="M27" i="1"/>
  <c r="L27" i="1"/>
  <c r="N27" i="1" s="1"/>
  <c r="O27" i="1" s="1"/>
  <c r="H26" i="1"/>
  <c r="L26" i="1"/>
  <c r="M26" i="1"/>
  <c r="K26" i="1"/>
  <c r="H27" i="1"/>
  <c r="K27" i="1"/>
  <c r="H24" i="1"/>
  <c r="M24" i="1"/>
  <c r="L24" i="1"/>
  <c r="K24" i="1"/>
  <c r="K25" i="1"/>
  <c r="L25" i="1"/>
  <c r="M25" i="1"/>
  <c r="O28" i="1" l="1"/>
  <c r="N26" i="1"/>
  <c r="O26" i="1" s="1"/>
  <c r="R26" i="1"/>
  <c r="N24" i="1"/>
  <c r="O24" i="1" s="1"/>
  <c r="S25" i="1"/>
  <c r="N25" i="1"/>
  <c r="O25" i="1" s="1"/>
  <c r="R25" i="1"/>
  <c r="K21" i="1"/>
  <c r="J45" i="1"/>
  <c r="L21" i="1"/>
  <c r="L30" i="1" s="1"/>
  <c r="M21" i="1"/>
  <c r="S21" i="1" l="1"/>
  <c r="S30" i="1" s="1"/>
  <c r="S31" i="1" s="1"/>
  <c r="S32" i="1" s="1"/>
  <c r="R21" i="1"/>
  <c r="R32" i="1" s="1"/>
  <c r="N21" i="1"/>
  <c r="O21" i="1" s="1"/>
  <c r="U38" i="1"/>
  <c r="U39" i="1" s="1"/>
  <c r="N37" i="1" l="1"/>
  <c r="O32" i="1" l="1"/>
  <c r="O33" i="1" s="1"/>
  <c r="O34" i="1" s="1"/>
  <c r="L36" i="1" s="1"/>
  <c r="M20" i="1"/>
  <c r="K20" i="1"/>
  <c r="N38" i="1" l="1"/>
  <c r="Q42" i="1"/>
  <c r="N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N36" i="1" l="1"/>
  <c r="N42" i="1" s="1"/>
  <c r="N43" i="1" s="1"/>
  <c r="Q43" i="1"/>
  <c r="D20" i="3" l="1"/>
  <c r="E20" i="3" s="1"/>
  <c r="E21" i="3" s="1"/>
  <c r="N44" i="1" l="1"/>
  <c r="D21" i="3"/>
  <c r="M43" i="3" s="1"/>
  <c r="D12" i="3" s="1"/>
  <c r="F20" i="3"/>
  <c r="F21" i="3" s="1"/>
  <c r="N45" i="1" l="1"/>
  <c r="P20" i="1"/>
  <c r="P28" i="1" s="1"/>
  <c r="Q28" i="1" s="1"/>
  <c r="E15" i="3"/>
  <c r="P27" i="1" l="1"/>
  <c r="Q27" i="1" s="1"/>
  <c r="P23" i="1"/>
  <c r="Q23" i="1" s="1"/>
  <c r="P22" i="1"/>
  <c r="Q22" i="1" s="1"/>
  <c r="P24" i="1"/>
  <c r="Q24" i="1" s="1"/>
  <c r="P26" i="1"/>
  <c r="Q26" i="1" s="1"/>
  <c r="P25" i="1"/>
  <c r="Q25" i="1" s="1"/>
  <c r="H25" i="1" s="1"/>
  <c r="P21" i="1"/>
  <c r="F15" i="3"/>
  <c r="Q21" i="1" l="1"/>
  <c r="H21" i="1" l="1"/>
  <c r="H30" i="1" s="1"/>
  <c r="H32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<sst xmlns="http://schemas.openxmlformats.org/spreadsheetml/2006/main" count="246" uniqueCount="179">
  <si>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</si>
  <si>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</si>
  <si>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</si>
  <si>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</si>
  <si>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</si>
  <si>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</si>
  <si>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</si>
  <si>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</si>
  <si>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</si>
  <si>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</si>
  <si>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</si>
  <si>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</si>
  <si>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</si>
  <si>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</si>
  <si>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</si>
  <si>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</si>
  <si>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</si>
  <si>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</si>
  <si>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</si>
  <si>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</si>
  <si>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</si>
  <si>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</si>
  <si>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</si>
  <si>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</si>
  <si>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</si>
  <si>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</si>
  <si>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</si>
  <si>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</si>
  <si>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</si>
  <si>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</si>
  <si>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</si>
  <si>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</si>
  <si>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</si>
  <si>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</si>
  <si>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</si>
  <si>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</si>
  <si>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</si>
  <si>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</si>
  <si>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</si>
  <si>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</si>
  <si>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</si>
  <si>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</si>
  <si>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</si>
  <si>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</si>
  <si>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</si>
  <si>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</si>
  <si>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</si>
  <si>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</si>
  <si>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</si>
  <si>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</si>
  <si>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</si>
  <si>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</si>
  <si>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</si>
  <si>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</si>
  <si>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</si>
  <si>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</si>
  <si>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</si>
  <si>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</si>
  <si>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</si>
  <si>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</si>
  <si>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</si>
  <si>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</si>
  <si>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</si>
  <si>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</si>
  <si>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</si>
  <si>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</si>
  <si>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</si>
  <si>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</si>
  <si>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</si>
  <si>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</si>
  <si>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</si>
  <si>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</si>
  <si>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</si>
  <si>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</si>
  <si>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</si>
  <si>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</si>
  <si>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</si>
  <si>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</si>
  <si>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</si>
  <si>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</si>
  <si>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</si>
  <si>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</si>
  <si>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</si>
  <si>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</si>
  <si>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</si>
  <si>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</si>
  <si>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</si>
  <si>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</si>
  <si>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</si>
  <si>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</si>
  <si>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</si>
  <si>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</si>
  <si>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</si>
  <si>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</si>
  <si>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</si>
  <si>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</si>
  <si>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</si>
  <si>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</si>
  <si>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</si>
  <si>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</si>
  <si>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</si>
  <si>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</si>
  <si>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</si>
  <si>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</si>
  <si>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</si>
  <si>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</si>
  <si>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</si>
  <si>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</si>
  <si>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</si>
  <si>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</si>
  <si>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</si>
  <si>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</si>
  <si>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</si>
  <si>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</si>
  <si>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</si>
  <si>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</si>
  <si>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</si>
  <si>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</si>
  <si>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</si>
  <si>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</si>
  <si>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</si>
  <si>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</si>
  <si>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</si>
  <si>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</si>
  <si>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</si>
  <si>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</si>
  <si>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</si>
  <si>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</si>
  <si>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</si>
  <si>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</si>
  <si>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</si>
  <si>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</si>
  <si>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</si>
  <si>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</si>
  <si>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</si>
  <si>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</si>
  <si>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</si>
  <si>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</si>
  <si>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</si>
  <si>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</si>
  <si>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</si>
  <si>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</si>
  <si>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</si>
  <si>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</si>
  <si>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</si>
  <si>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</si>
  <si>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</si>
  <si>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</si>
  <si>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</si>
  <si>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</si>
  <si>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</si>
  <si>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</si>
  <si>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</si>
  <si>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</si>
  <si>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</si>
  <si>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</si>
  <si>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</si>
  <si>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</si>
  <si>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</si>
  <si>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</si>
  <si>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</si>
  <si>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</si>
  <si>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</si>
  <si>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</si>
  <si>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</si>
  <si>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</si>
  <si>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</si>
  <si>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10 DIAS HABILES</t>
  </si>
  <si>
    <t>YUNES SALIBE</t>
  </si>
  <si>
    <t>PUERTO MONTT</t>
  </si>
  <si>
    <t xml:space="preserve">+569 </t>
  </si>
  <si>
    <t>SI POR TRANSPORTES</t>
  </si>
  <si>
    <t>VAINILLA 2109 MT ANTIBACTERIAL</t>
  </si>
  <si>
    <t>CUB MESA R6 3 LADOS</t>
  </si>
  <si>
    <t>lamitech</t>
  </si>
  <si>
    <t>CUB MESA R6 2 LADOS</t>
  </si>
  <si>
    <t>CUB MESA R6 4 LADOS</t>
  </si>
  <si>
    <t>DESCTO. 10%</t>
  </si>
  <si>
    <t>N° 11032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</si>
</sst>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166" fontId="32" fillId="18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34</xdr:row>
      <xdr:rowOff>26670</xdr:rowOff>
    </xdr:from>
    <xdr:to>
      <xdr:col>7</xdr:col>
      <xdr:colOff>1034435</xdr:colOff>
      <xdr:row>37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29</xdr:row>
      <xdr:rowOff>9525</xdr:rowOff>
    </xdr:from>
    <xdr:to>
      <xdr:col>5</xdr:col>
      <xdr:colOff>1594096</xdr:colOff>
      <xdr:row>32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DESPACHAN CORTADAS A LA MEDIDA,EMBALADAS CON CARTON CORRUGADO POR TRANSPORTES CASEM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 RESPONDEMOS POR EVENTUALES DAÑOS EN EL TRANSPORTE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168</v>
      </c>
      <c r="D10" s="243"/>
      <c r="E10" s="243"/>
      <c r="F10" s="244" t="s">
        <v>0</v>
      </c>
      <c r="G10" s="277">
        <v>45488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167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170</v>
      </c>
      <c r="D15" s="314"/>
      <c r="F15" t="s">
        <v>135</v>
      </c>
      <c r="G15" s="312" t="s">
        <v>171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169</v>
      </c>
      <c r="D17" s="317"/>
      <c r="E17" s="119"/>
      <c r="F17" s="328" t="s">
        <v>166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N44</f>
        <v>51611.845514898559</v>
      </c>
      <c r="Q20" s="258">
        <v>10000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175</v>
      </c>
      <c r="D21" s="325">
        <v>2.4500000000000002</v>
      </c>
      <c r="E21" s="325">
        <v>1.2</v>
      </c>
      <c r="F21" s="324" t="s">
        <v>172</v>
      </c>
      <c r="G21" s="326">
        <v>184673</v>
      </c>
      <c r="H21" s="326">
        <f>G21*B21</f>
        <v>184673</v>
      </c>
      <c r="I21" s="265"/>
      <c r="J21" s="47"/>
      <c r="K21" s="47">
        <f>B21</f>
        <v>1</v>
      </c>
      <c r="L21" s="39">
        <f t="shared" ref="L21" si="1">D21+L$19</f>
        <v>2.5</v>
      </c>
      <c r="M21" s="39">
        <f t="shared" ref="M21" si="2">E21+M$19</f>
        <v>1.2</v>
      </c>
      <c r="N21" s="261">
        <f t="shared" ref="N21" si="3">L21*M21</f>
        <v>3</v>
      </c>
      <c r="O21" s="259">
        <f t="shared" ref="O21" si="4">N21*K21</f>
        <v>3</v>
      </c>
      <c r="P21" s="252">
        <f t="shared" ref="P21" si="5">P$20*N21</f>
        <v>154835.53654469567</v>
      </c>
      <c r="Q21" s="327">
        <f t="shared" ref="Q21" si="6">P21+Q$20</f>
        <v>164835.53654469567</v>
      </c>
      <c r="R21" s="298">
        <f>L21*K21*2</f>
        <v>5</v>
      </c>
      <c r="S21" s="46">
        <f>M21*2*K21</f>
        <v>2.4</v>
      </c>
      <c r="T21" s="9"/>
      <c r="W21" s="4"/>
    </row>
    <row r="22" spans="2:24" ht="17.399999999999999" x14ac:dyDescent="0.3">
      <c r="B22" s="324">
        <v>1</v>
      </c>
      <c r="C22" s="324" t="s">
        <v>173</v>
      </c>
      <c r="D22" s="325">
        <v>2.4500000000000002</v>
      </c>
      <c r="E22" s="325">
        <v>1.2</v>
      </c>
      <c r="F22" s="324" t="s">
        <v>172</v>
      </c>
      <c r="G22" s="326">
        <v>184674</v>
      </c>
      <c r="H22" s="326">
        <f>G22*B22</f>
        <v>184674</v>
      </c>
      <c r="I22" s="265"/>
      <c r="J22" s="47"/>
      <c r="K22" s="47">
        <f t="shared" ref="K22:K23" si="7">B22</f>
        <v>1</v>
      </c>
      <c r="L22" s="39">
        <f t="shared" ref="L22:L23" si="8">D22+L$19</f>
        <v>2.5</v>
      </c>
      <c r="M22" s="39">
        <f t="shared" ref="M22:M23" si="9">E22+M$19</f>
        <v>1.2</v>
      </c>
      <c r="N22" s="261">
        <f t="shared" ref="N22:N23" si="10">L22*M22</f>
        <v>3</v>
      </c>
      <c r="O22" s="259">
        <f t="shared" ref="O22:O23" si="11">N22*K22</f>
        <v>3</v>
      </c>
      <c r="P22" s="252">
        <f t="shared" ref="P22:P23" si="12">P$20*N22</f>
        <v>154835.53654469567</v>
      </c>
      <c r="Q22" s="327">
        <f t="shared" ref="Q22:Q23" si="13">P22+Q$20</f>
        <v>164835.53654469567</v>
      </c>
      <c r="R22" s="298"/>
      <c r="S22" s="46"/>
      <c r="T22" s="9"/>
      <c r="W22" s="4"/>
    </row>
    <row r="23" spans="2:24" ht="17.399999999999999" x14ac:dyDescent="0.3">
      <c r="B23" s="344">
        <v>1</v>
      </c>
      <c r="C23" s="344" t="s">
        <v>175</v>
      </c>
      <c r="D23" s="345">
        <v>1.88</v>
      </c>
      <c r="E23" s="345">
        <v>1.2</v>
      </c>
      <c r="F23" s="324" t="s">
        <v>172</v>
      </c>
      <c r="G23" s="326">
        <v>144847</v>
      </c>
      <c r="H23" s="326">
        <f>G23*B23</f>
        <v>144847</v>
      </c>
      <c r="I23" s="265"/>
      <c r="J23" s="47"/>
      <c r="K23" s="47">
        <f t="shared" si="7"/>
        <v>1</v>
      </c>
      <c r="L23" s="39">
        <f t="shared" si="8"/>
        <v>1.93</v>
      </c>
      <c r="M23" s="39">
        <f t="shared" si="9"/>
        <v>1.2</v>
      </c>
      <c r="N23" s="261">
        <f t="shared" si="10"/>
        <v>2.3159999999999998</v>
      </c>
      <c r="O23" s="259">
        <f t="shared" si="11"/>
        <v>2.3159999999999998</v>
      </c>
      <c r="P23" s="252">
        <f t="shared" si="12"/>
        <v>119533.03421250505</v>
      </c>
      <c r="Q23" s="327">
        <f t="shared" si="13"/>
        <v>129533.03421250505</v>
      </c>
      <c r="R23" s="298"/>
      <c r="S23" s="46"/>
      <c r="T23" s="9"/>
      <c r="W23" s="4"/>
    </row>
    <row r="24" spans="2:24" ht="17.399999999999999" x14ac:dyDescent="0.3">
      <c r="B24" s="344">
        <v>1</v>
      </c>
      <c r="C24" s="344" t="s">
        <v>173</v>
      </c>
      <c r="D24" s="345">
        <v>1.88</v>
      </c>
      <c r="E24" s="345">
        <v>1.2</v>
      </c>
      <c r="F24" s="324" t="s">
        <v>172</v>
      </c>
      <c r="G24" s="326">
        <v>144847</v>
      </c>
      <c r="H24" s="326">
        <f>G24*B24</f>
        <v>144847</v>
      </c>
      <c r="I24" s="265"/>
      <c r="J24" s="47"/>
      <c r="K24" s="47">
        <f>B24</f>
        <v>1</v>
      </c>
      <c r="L24" s="39">
        <f t="shared" ref="L24" si="14">D24+L$19</f>
        <v>1.93</v>
      </c>
      <c r="M24" s="39">
        <f t="shared" ref="M24" si="15">E24+M$19</f>
        <v>1.2</v>
      </c>
      <c r="N24" s="261">
        <f t="shared" ref="N24" si="16">L24*M24</f>
        <v>2.3159999999999998</v>
      </c>
      <c r="O24" s="259">
        <f t="shared" ref="O24" si="17">N24*K24</f>
        <v>2.3159999999999998</v>
      </c>
      <c r="P24" s="252">
        <f t="shared" ref="P24" si="18">P$20*N24</f>
        <v>119533.03421250505</v>
      </c>
      <c r="Q24" s="327">
        <f t="shared" ref="Q24" si="19">P24+Q$20</f>
        <v>129533.03421250505</v>
      </c>
      <c r="R24" s="298"/>
      <c r="S24" s="46"/>
      <c r="T24" s="9"/>
      <c r="W24" s="4"/>
    </row>
    <row r="25" spans="2:24" ht="17.399999999999999" x14ac:dyDescent="0.3">
      <c r="B25" s="344">
        <v>4</v>
      </c>
      <c r="C25" s="344" t="s">
        <v>173</v>
      </c>
      <c r="D25" s="345">
        <v>2.95</v>
      </c>
      <c r="E25" s="345">
        <v>1.45</v>
      </c>
      <c r="F25" s="324" t="s">
        <v>172</v>
      </c>
      <c r="G25" s="326">
        <v>263276</v>
      </c>
      <c r="H25" s="326">
        <f t="shared" ref="H25:H27" si="20">G25*B25</f>
        <v>1053104</v>
      </c>
      <c r="I25" s="265"/>
      <c r="J25" s="47"/>
      <c r="K25" s="47">
        <f t="shared" ref="K25:K27" si="21">B25</f>
        <v>4</v>
      </c>
      <c r="L25" s="39">
        <f t="shared" ref="L25" si="22">D25+L$19</f>
        <v>3</v>
      </c>
      <c r="M25" s="39">
        <f t="shared" ref="M25" si="23">E25+M$19</f>
        <v>1.45</v>
      </c>
      <c r="N25" s="261">
        <f t="shared" ref="N25" si="24">L25*M25</f>
        <v>4.3499999999999996</v>
      </c>
      <c r="O25" s="259">
        <f t="shared" ref="O25" si="25">N25*K25</f>
        <v>17.399999999999999</v>
      </c>
      <c r="P25" s="252">
        <f t="shared" ref="P25" si="26">P$20*N25</f>
        <v>224511.5279898087</v>
      </c>
      <c r="Q25" s="327">
        <f t="shared" ref="Q25" si="27">P25+Q$20</f>
        <v>234511.5279898087</v>
      </c>
      <c r="R25" s="298">
        <f t="shared" ref="R25" si="28">L25*K25*2</f>
        <v>24</v>
      </c>
      <c r="S25" s="46">
        <f t="shared" ref="S25" si="29">M25*2*K25</f>
        <v>11.6</v>
      </c>
      <c r="T25" s="9"/>
      <c r="W25" s="4"/>
    </row>
    <row r="26" spans="2:24" ht="17.399999999999999" x14ac:dyDescent="0.3">
      <c r="B26" s="344">
        <v>4</v>
      </c>
      <c r="C26" s="344" t="s">
        <v>175</v>
      </c>
      <c r="D26" s="345">
        <v>2.95</v>
      </c>
      <c r="E26" s="345">
        <v>1.45</v>
      </c>
      <c r="F26" s="324" t="s">
        <v>172</v>
      </c>
      <c r="G26" s="326">
        <v>263276</v>
      </c>
      <c r="H26" s="326">
        <f t="shared" si="20"/>
        <v>1053104</v>
      </c>
      <c r="I26" s="265"/>
      <c r="J26" s="47"/>
      <c r="K26" s="47">
        <f t="shared" si="21"/>
        <v>4</v>
      </c>
      <c r="L26" s="39">
        <f t="shared" ref="L26:L27" si="30">D26+L$19</f>
        <v>3</v>
      </c>
      <c r="M26" s="39">
        <f t="shared" ref="M26:M27" si="31">E26+M$19</f>
        <v>1.45</v>
      </c>
      <c r="N26" s="261">
        <f t="shared" ref="N26:N27" si="32">L26*M26</f>
        <v>4.3499999999999996</v>
      </c>
      <c r="O26" s="259">
        <f t="shared" ref="O26:O27" si="33">N26*K26</f>
        <v>17.399999999999999</v>
      </c>
      <c r="P26" s="252">
        <f t="shared" ref="P26:P27" si="34">P$20*N26</f>
        <v>224511.5279898087</v>
      </c>
      <c r="Q26" s="327">
        <f t="shared" ref="Q26:Q27" si="35">P26+Q$20</f>
        <v>234511.5279898087</v>
      </c>
      <c r="R26" s="298">
        <f t="shared" ref="R26" si="36">L26*K26*2</f>
        <v>24</v>
      </c>
      <c r="S26" s="46"/>
      <c r="T26" s="9"/>
      <c r="W26" s="4"/>
    </row>
    <row r="27" spans="2:24" ht="17.399999999999999" x14ac:dyDescent="0.3">
      <c r="B27" s="344">
        <v>1</v>
      </c>
      <c r="C27" s="344" t="s">
        <v>176</v>
      </c>
      <c r="D27" s="345">
        <v>1.1000000000000001</v>
      </c>
      <c r="E27" s="345">
        <v>1.2</v>
      </c>
      <c r="F27" s="324" t="s">
        <v>172</v>
      </c>
      <c r="G27" s="326">
        <v>90349</v>
      </c>
      <c r="H27" s="326">
        <f t="shared" si="20"/>
        <v>90349</v>
      </c>
      <c r="I27" s="265"/>
      <c r="J27" s="47"/>
      <c r="K27" s="47">
        <f t="shared" si="21"/>
        <v>1</v>
      </c>
      <c r="L27" s="39">
        <f t="shared" si="30"/>
        <v>1.1500000000000001</v>
      </c>
      <c r="M27" s="39">
        <f t="shared" si="31"/>
        <v>1.2</v>
      </c>
      <c r="N27" s="261">
        <f t="shared" si="32"/>
        <v>1.3800000000000001</v>
      </c>
      <c r="O27" s="259">
        <f t="shared" si="33"/>
        <v>1.3800000000000001</v>
      </c>
      <c r="P27" s="252">
        <f t="shared" si="34"/>
        <v>71224.346810560019</v>
      </c>
      <c r="Q27" s="327">
        <f t="shared" si="35"/>
        <v>81224.346810560019</v>
      </c>
      <c r="R27" s="298"/>
      <c r="S27" s="46"/>
      <c r="T27" s="9"/>
      <c r="W27" s="4"/>
    </row>
    <row r="28" spans="2:24" ht="17.399999999999999" x14ac:dyDescent="0.3">
      <c r="B28" s="346">
        <v>1</v>
      </c>
      <c r="C28" s="346" t="s">
        <v>176</v>
      </c>
      <c r="D28" s="347">
        <v>1.4</v>
      </c>
      <c r="E28" s="347">
        <v>1.01</v>
      </c>
      <c r="F28" s="346" t="s">
        <v>172</v>
      </c>
      <c r="G28" s="326">
        <v>125360</v>
      </c>
      <c r="H28" s="326">
        <f t="shared" ref="H28" si="37">G28*B28</f>
        <v>125360</v>
      </c>
      <c r="I28" s="265"/>
      <c r="J28" s="47"/>
      <c r="K28" s="47">
        <f t="shared" ref="K28" si="38">B28</f>
        <v>1</v>
      </c>
      <c r="L28" s="39">
        <f t="shared" ref="L28" si="39">D28+L$19</f>
        <v>1.45</v>
      </c>
      <c r="M28" s="39">
        <f t="shared" ref="M28" si="40">E28+M$19</f>
        <v>1.01</v>
      </c>
      <c r="N28" s="261">
        <f t="shared" ref="N28" si="41">L28*M28</f>
        <v>1.4644999999999999</v>
      </c>
      <c r="O28" s="259">
        <f t="shared" ref="O28" si="42">N28*K28</f>
        <v>1.4644999999999999</v>
      </c>
      <c r="P28" s="252">
        <f t="shared" ref="P28" si="43">P$20*N28</f>
        <v>75585.547756568936</v>
      </c>
      <c r="Q28" s="327">
        <f t="shared" ref="Q28" si="44">P28+Q$20</f>
        <v>85585.547756568936</v>
      </c>
      <c r="R28" s="298"/>
      <c r="S28" s="46"/>
      <c r="T28" s="9"/>
      <c r="W28" s="4"/>
    </row>
    <row r="29" spans="2:24" ht="17.399999999999999" x14ac:dyDescent="0.3">
      <c r="B29" s="286"/>
      <c r="C29" s="286"/>
      <c r="D29" s="287"/>
      <c r="E29" s="287"/>
      <c r="F29" s="286"/>
      <c r="G29" s="342" t="s">
        <v>177</v>
      </c>
      <c r="H29" s="343">
        <v>-298096</v>
      </c>
      <c r="I29" s="233"/>
      <c r="J29" s="47"/>
      <c r="K29" s="47"/>
      <c r="L29" s="39"/>
      <c r="M29" s="39"/>
      <c r="N29" s="261"/>
      <c r="O29" s="259"/>
      <c r="P29" s="252"/>
      <c r="Q29" s="258"/>
      <c r="R29" s="298"/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40" t="s">
        <v>29</v>
      </c>
      <c r="H30" s="341">
        <f>SUM(H21:H29)</f>
        <v>2682862</v>
      </c>
      <c r="I30" s="265"/>
      <c r="J30" s="47">
        <v>2600000</v>
      </c>
      <c r="K30" s="47"/>
      <c r="L30" s="39">
        <f>SUM(L21:L29)</f>
        <v>17.459999999999997</v>
      </c>
      <c r="M30" s="39"/>
      <c r="N30" s="261"/>
      <c r="O30" s="259"/>
      <c r="P30" s="252"/>
      <c r="Q30" s="258"/>
      <c r="R30" s="298"/>
      <c r="S30" s="46">
        <f>SUM(S21:S29)</f>
        <v>14</v>
      </c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297" t="s">
        <v>52</v>
      </c>
      <c r="H31" s="295">
        <v>38000</v>
      </c>
      <c r="I31" s="265"/>
      <c r="J31" s="47"/>
      <c r="K31" s="47"/>
      <c r="L31" s="39"/>
      <c r="M31" s="12"/>
      <c r="N31" s="12"/>
      <c r="O31" s="253">
        <f>SUM(O21:O28)</f>
        <v>48.276499999999999</v>
      </c>
      <c r="P31" s="14"/>
      <c r="Q31" s="12"/>
      <c r="R31" s="239"/>
      <c r="S31" s="46">
        <f>S30*20%</f>
        <v>2.8000000000000003</v>
      </c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296">
        <f>H30+H31</f>
        <v>2720862</v>
      </c>
      <c r="I32" s="265"/>
      <c r="J32" s="47"/>
      <c r="K32" s="47"/>
      <c r="L32" s="39"/>
      <c r="M32" s="12"/>
      <c r="N32" s="12"/>
      <c r="O32" s="253">
        <f>O31</f>
        <v>48.276499999999999</v>
      </c>
      <c r="P32" s="14"/>
      <c r="Q32" s="12"/>
      <c r="R32" s="239">
        <f>SUM(R21:R31)</f>
        <v>53</v>
      </c>
      <c r="S32" s="46">
        <f>S30+S31</f>
        <v>16.8</v>
      </c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O32*20%</f>
        <v>9.6553000000000004</v>
      </c>
      <c r="P33" s="39" t="s">
        <v>131</v>
      </c>
      <c r="Q33" s="42"/>
      <c r="R33" s="240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47"/>
      <c r="K34" s="47"/>
      <c r="L34" s="14"/>
      <c r="M34" s="12"/>
      <c r="N34" s="12"/>
      <c r="O34" s="46">
        <f>O32+O33</f>
        <v>57.931799999999996</v>
      </c>
      <c r="P34" s="14"/>
      <c r="Q34" s="14"/>
      <c r="R34" s="238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3"/>
      <c r="F35" s="234"/>
      <c r="G35" s="230"/>
      <c r="H35" s="275"/>
      <c r="I35" s="265"/>
      <c r="J35" s="47"/>
      <c r="K35" s="47"/>
      <c r="L35" s="14"/>
      <c r="M35" s="14"/>
      <c r="N35" s="14"/>
      <c r="O35" s="14"/>
      <c r="P35" s="14"/>
      <c r="Q35" s="14"/>
      <c r="R35" s="238"/>
      <c r="S35" s="14"/>
      <c r="T35" s="303" t="s">
        <v>22</v>
      </c>
      <c r="U35" s="300" t="s">
        <v>153</v>
      </c>
      <c r="V35" s="304">
        <v>44971</v>
      </c>
      <c r="W35" s="305"/>
    </row>
    <row r="36" spans="2:23" ht="17.399999999999999" x14ac:dyDescent="0.35">
      <c r="B36" s="235"/>
      <c r="C36" s="236"/>
      <c r="D36" s="237"/>
      <c r="E36" s="235"/>
      <c r="F36" s="230"/>
      <c r="G36" s="230"/>
      <c r="I36" s="265"/>
      <c r="J36" s="47"/>
      <c r="K36" s="47"/>
      <c r="L36" s="39">
        <f>O34</f>
        <v>57.931799999999996</v>
      </c>
      <c r="M36" s="12">
        <v>3500</v>
      </c>
      <c r="N36" s="12">
        <f t="shared" ref="N36:N41" si="45">L36*M36</f>
        <v>202761.3</v>
      </c>
      <c r="O36" s="14" t="s">
        <v>22</v>
      </c>
      <c r="P36" s="14"/>
      <c r="Q36" s="14"/>
      <c r="R36" s="241"/>
      <c r="S36" s="14"/>
      <c r="T36" s="303" t="s">
        <v>154</v>
      </c>
      <c r="U36" s="300">
        <v>3625</v>
      </c>
      <c r="V36" s="59" t="s">
        <v>155</v>
      </c>
      <c r="W36" s="305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 t="s">
        <v>174</v>
      </c>
      <c r="K37" s="47"/>
      <c r="L37" s="249">
        <v>16</v>
      </c>
      <c r="M37" s="12">
        <v>25000</v>
      </c>
      <c r="N37" s="12">
        <f t="shared" si="45"/>
        <v>400000</v>
      </c>
      <c r="O37" s="39" t="s">
        <v>32</v>
      </c>
      <c r="P37" s="42"/>
      <c r="Q37" s="14"/>
      <c r="R37" s="240"/>
      <c r="S37" s="14"/>
      <c r="T37" s="303"/>
      <c r="U37" s="59">
        <v>906.25</v>
      </c>
      <c r="V37" s="59" t="s">
        <v>156</v>
      </c>
      <c r="W37" s="305"/>
    </row>
    <row r="38" spans="2:23" s="230" customFormat="1" ht="17.399999999999999" x14ac:dyDescent="0.35">
      <c r="I38" s="262"/>
      <c r="J38" s="232">
        <v>40754</v>
      </c>
      <c r="K38" s="250">
        <v>34989</v>
      </c>
      <c r="L38" s="14">
        <v>13</v>
      </c>
      <c r="M38" s="250">
        <v>40754</v>
      </c>
      <c r="N38" s="12">
        <f t="shared" si="45"/>
        <v>529802</v>
      </c>
      <c r="O38" s="39" t="s">
        <v>31</v>
      </c>
      <c r="P38" s="42"/>
      <c r="R38" s="240"/>
      <c r="S38" s="256"/>
      <c r="T38" s="59"/>
      <c r="U38" s="59">
        <f>U37*20%</f>
        <v>181.25</v>
      </c>
      <c r="V38" s="305" t="s">
        <v>157</v>
      </c>
      <c r="W38" s="59"/>
    </row>
    <row r="39" spans="2:23" s="230" customFormat="1" ht="17.399999999999999" x14ac:dyDescent="0.35">
      <c r="B39" s="24" t="s">
        <v>152</v>
      </c>
      <c r="I39" s="262"/>
      <c r="J39" s="232">
        <v>26644</v>
      </c>
      <c r="K39" s="250">
        <v>22025</v>
      </c>
      <c r="L39" s="14"/>
      <c r="M39" s="250">
        <v>22025</v>
      </c>
      <c r="N39" s="12">
        <f t="shared" si="45"/>
        <v>0</v>
      </c>
      <c r="O39" s="14" t="s">
        <v>142</v>
      </c>
      <c r="P39" s="17"/>
      <c r="R39" s="238"/>
      <c r="S39" s="256"/>
      <c r="T39" s="59"/>
      <c r="U39" s="59">
        <f>U37+U38</f>
        <v>1087.5</v>
      </c>
      <c r="V39" s="305" t="s">
        <v>158</v>
      </c>
      <c r="W39" s="59"/>
    </row>
    <row r="40" spans="2:23" s="230" customFormat="1" ht="17.399999999999999" x14ac:dyDescent="0.35">
      <c r="B40" s="24" t="s">
        <v>145</v>
      </c>
      <c r="C40"/>
      <c r="D40"/>
      <c r="E40"/>
      <c r="F40"/>
      <c r="I40" s="262"/>
      <c r="K40" s="250"/>
      <c r="L40" s="249"/>
      <c r="M40" s="250">
        <v>300</v>
      </c>
      <c r="N40" s="12">
        <f t="shared" si="45"/>
        <v>0</v>
      </c>
      <c r="O40" s="14" t="s">
        <v>33</v>
      </c>
      <c r="P40" s="14"/>
      <c r="Q40" s="230">
        <v>1.52</v>
      </c>
      <c r="R40" s="238"/>
      <c r="S40" s="238"/>
    </row>
    <row r="41" spans="2:23" s="230" customFormat="1" ht="17.399999999999999" x14ac:dyDescent="0.35">
      <c r="B41" s="29" t="s">
        <v>126</v>
      </c>
      <c r="C41"/>
      <c r="D41"/>
      <c r="E41"/>
      <c r="F41" s="229" t="s">
        <v>16</v>
      </c>
      <c r="I41" s="294"/>
      <c r="K41" s="250"/>
      <c r="L41" s="266"/>
      <c r="M41" s="12">
        <v>1500</v>
      </c>
      <c r="N41" s="12">
        <f t="shared" si="45"/>
        <v>0</v>
      </c>
      <c r="O41" s="14" t="s">
        <v>23</v>
      </c>
      <c r="P41" s="14"/>
      <c r="Q41">
        <v>2.44</v>
      </c>
      <c r="R41"/>
      <c r="S41" s="238"/>
      <c r="W41" s="231"/>
    </row>
    <row r="42" spans="2:23" s="230" customFormat="1" ht="17.399999999999999" x14ac:dyDescent="0.35">
      <c r="K42" s="250"/>
      <c r="L42" s="14"/>
      <c r="M42" s="12"/>
      <c r="N42" s="12">
        <f>SUM(N36:N41)</f>
        <v>1132563.3</v>
      </c>
      <c r="O42" s="39" t="s">
        <v>24</v>
      </c>
      <c r="P42" s="14"/>
      <c r="Q42">
        <f>Q40*Q41</f>
        <v>3.7088000000000001</v>
      </c>
      <c r="R42"/>
      <c r="S42" s="238"/>
      <c r="W42" s="231"/>
    </row>
    <row r="43" spans="2:23" s="230" customFormat="1" ht="17.399999999999999" x14ac:dyDescent="0.35">
      <c r="K43" s="250"/>
      <c r="L43" s="254" t="s">
        <v>34</v>
      </c>
      <c r="M43" s="12"/>
      <c r="N43" s="255">
        <f>N42*2.2</f>
        <v>2491639.2600000002</v>
      </c>
      <c r="O43" s="14" t="s">
        <v>141</v>
      </c>
      <c r="P43" s="14"/>
      <c r="Q43" s="40">
        <f>O34/Q42</f>
        <v>15.620092752372733</v>
      </c>
      <c r="R43"/>
      <c r="S43" s="257"/>
    </row>
    <row r="44" spans="2:23" s="230" customFormat="1" ht="17.399999999999999" x14ac:dyDescent="0.35">
      <c r="G44"/>
      <c r="H44" s="260"/>
      <c r="I44" s="260"/>
      <c r="J44" s="230">
        <v>61690</v>
      </c>
      <c r="K44" s="250"/>
      <c r="L44" s="14"/>
      <c r="M44" s="12"/>
      <c r="N44" s="12">
        <f>N43/O32</f>
        <v>51611.845514898559</v>
      </c>
      <c r="O44" s="45" t="s">
        <v>25</v>
      </c>
      <c r="P44" s="14"/>
      <c r="Q44" s="14"/>
      <c r="R44"/>
      <c r="S44" s="238"/>
      <c r="T44" s="59" t="s">
        <v>159</v>
      </c>
      <c r="U44" s="300">
        <v>43650</v>
      </c>
    </row>
    <row r="45" spans="2:23" s="230" customFormat="1" ht="17.399999999999999" x14ac:dyDescent="0.35">
      <c r="G45"/>
      <c r="H45" s="230" t="s">
        <v>165</v>
      </c>
      <c r="J45" s="230">
        <f>J44/1.19</f>
        <v>51840.336134453784</v>
      </c>
      <c r="K45" s="250"/>
      <c r="L45" s="13"/>
      <c r="M45" s="14"/>
      <c r="N45" s="17">
        <f>N43/N42</f>
        <v>2.2000000000000002</v>
      </c>
      <c r="O45" s="15"/>
      <c r="P45"/>
      <c r="Q45"/>
      <c r="R45"/>
      <c r="S45" s="238"/>
      <c r="T45" s="59" t="s">
        <v>161</v>
      </c>
      <c r="U45" s="301" t="s">
        <v>160</v>
      </c>
      <c r="V45" s="59">
        <v>2.4</v>
      </c>
    </row>
    <row r="46" spans="2:23" s="230" customFormat="1" ht="17.399999999999999" x14ac:dyDescent="0.35">
      <c r="G46" s="23"/>
      <c r="K46" s="12"/>
      <c r="S46" s="238"/>
      <c r="T46" s="59" t="s">
        <v>162</v>
      </c>
      <c r="U46" s="302">
        <v>395.37</v>
      </c>
    </row>
    <row r="47" spans="2:23" s="230" customFormat="1" ht="17.399999999999999" x14ac:dyDescent="0.35">
      <c r="B47"/>
      <c r="C47" s="228"/>
      <c r="D47" s="22"/>
      <c r="E47" s="22"/>
      <c r="F47" s="21"/>
      <c r="G47" s="23"/>
      <c r="K47" s="12"/>
      <c r="S47" s="238"/>
      <c r="T47" s="59" t="s">
        <v>157</v>
      </c>
      <c r="U47" s="59">
        <v>474.45</v>
      </c>
    </row>
    <row r="48" spans="2:23" ht="14.4" customHeight="1" x14ac:dyDescent="0.3">
      <c r="K48" s="12"/>
      <c r="T48" s="59"/>
      <c r="U48" s="59"/>
    </row>
    <row r="49" spans="11:19" x14ac:dyDescent="0.3">
      <c r="K49" s="250"/>
    </row>
    <row r="50" spans="11:19" x14ac:dyDescent="0.3">
      <c r="K50" s="250"/>
      <c r="S50" s="270"/>
    </row>
    <row r="51" spans="11:19" x14ac:dyDescent="0.3">
      <c r="K51" s="250"/>
    </row>
    <row r="52" spans="11:19" ht="15" customHeight="1" x14ac:dyDescent="0.3"/>
    <row r="54" spans="11:19" x14ac:dyDescent="0.3">
      <c r="N54">
        <v>40935</v>
      </c>
      <c r="O54" t="s">
        <v>17</v>
      </c>
      <c r="P54" t="s">
        <v>27</v>
      </c>
    </row>
    <row r="56" spans="11:19" x14ac:dyDescent="0.3">
      <c r="N56" s="54"/>
      <c r="O56" s="54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4" spans="11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149</v>
      </c>
    </row>
    <row r="80" spans="3:19" x14ac:dyDescent="0.3">
      <c r="C80" t="s">
        <v>148</v>
      </c>
    </row>
    <row r="83" spans="3:3" x14ac:dyDescent="0.3">
      <c r="C83" t="s">
        <v>148</v>
      </c>
    </row>
    <row r="160" spans="3:3" x14ac:dyDescent="0.3">
      <c r="C160" t="s">
        <v>148</v>
      </c>
    </row>
    <row r="161" spans="3:3" x14ac:dyDescent="0.3">
      <c r="C161" t="s">
        <v>150</v>
      </c>
    </row>
    <row r="162" spans="3:3" x14ac:dyDescent="0.3">
      <c r="C162" t="s">
        <v>151</v>
      </c>
    </row>
    <row r="587" spans="3:3" x14ac:dyDescent="0.3">
      <c r="C587" t="s">
        <v>148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45488</v>
      </c>
    </row>
    <row r="6" spans="2:31" ht="16.2" thickBot="1" x14ac:dyDescent="0.35">
      <c r="B6" s="140" t="s">
        <v>2</v>
      </c>
      <c r="C6" s="139" t="str">
        <f>'2229'!C10</f>
        <v>YUNES SALIBE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11032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-127484.38420012077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'2229'!H30</f>
        <v>2682862</v>
      </c>
      <c r="E11" s="132">
        <f>D11*0.19</f>
        <v>509743.78</v>
      </c>
      <c r="F11" s="131">
        <f>E11+D11</f>
        <v>3192605.7800000003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-21494.384200120767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1162397.3907874397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-39494.384200120767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1520464.6092125603</v>
      </c>
      <c r="E13" s="221">
        <f>(D11/D12)-1</f>
        <v>1.3080420011804708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-48494.384200120767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-87494.384200120767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1917955.6947992754</v>
      </c>
      <c r="F15" s="216">
        <f>E15-D12</f>
        <v>755558.30401183572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-87494.384200120767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-47494.384200120767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'2229'!N38</f>
        <v>529802</v>
      </c>
      <c r="E18" s="123">
        <f>D18*0.19</f>
        <v>100662.38</v>
      </c>
      <c r="F18" s="120">
        <f>SUM(D18:E18)</f>
        <v>630464.38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'2229'!N37</f>
        <v>400000</v>
      </c>
      <c r="E19" s="123">
        <f>D19*0.19</f>
        <v>76000</v>
      </c>
      <c r="F19" s="120">
        <f>SUM(D19:E19)</f>
        <v>476000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202761.3</v>
      </c>
      <c r="E20" s="121">
        <f>D20*0.19</f>
        <v>38524.646999999997</v>
      </c>
      <c r="F20" s="120">
        <f>SUM(D20:E20)</f>
        <v>241285.94699999999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1132563.3</v>
      </c>
      <c r="E21" s="116">
        <f>SUM(E18:E20)</f>
        <v>215187.027</v>
      </c>
      <c r="F21" s="115">
        <f>SUM(F18:F20)</f>
        <v>1347750.3269999998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294556.75300000003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2682862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1132563.3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1520464.6092125603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1520464.6092125603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2024-07-15T13:48:38Z</dcterms:modified>
</cp:coreProperties>
</file>