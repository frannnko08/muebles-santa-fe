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1DA1B0BC-FA12-4867-A634-66DC52E292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6" i="1" s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<sst xmlns="http://schemas.openxmlformats.org/spreadsheetml/2006/main" count="219" uniqueCount="165">
  <si>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</si>
  <si>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</si>
  <si>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</si>
  <si>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</si>
  <si>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</si>
  <si>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</si>
  <si>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</si>
  <si>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</si>
  <si>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</si>
  <si>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</si>
  <si>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</si>
  <si>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</si>
  <si>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</si>
  <si>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</si>
  <si>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</si>
  <si>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</si>
  <si>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</si>
  <si>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</si>
  <si>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</si>
  <si>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</si>
  <si>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</si>
  <si>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</si>
  <si>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</si>
  <si>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</si>
  <si>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</si>
  <si>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</si>
  <si>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</si>
  <si>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</si>
  <si>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</si>
  <si>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</si>
  <si>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</si>
  <si>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</si>
  <si>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</si>
  <si>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</si>
  <si>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</si>
  <si>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</si>
  <si>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</si>
  <si>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</si>
  <si>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</si>
  <si>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</si>
  <si>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</si>
  <si>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</si>
  <si>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</si>
  <si>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</si>
  <si>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</si>
  <si>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</si>
  <si>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</si>
  <si>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</si>
  <si>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</si>
  <si>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</si>
  <si>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</si>
  <si>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</si>
  <si>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</si>
  <si>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</si>
  <si>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</si>
  <si>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</si>
  <si>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</si>
  <si>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</si>
  <si>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</si>
  <si>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</si>
  <si>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</si>
  <si>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</si>
  <si>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</si>
  <si>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</si>
  <si>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</si>
  <si>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</si>
  <si>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</si>
  <si>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</si>
  <si>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</si>
  <si>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</si>
  <si>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</si>
  <si>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</si>
  <si>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</si>
  <si>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</si>
  <si>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</si>
  <si>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</si>
  <si>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</si>
  <si>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</si>
  <si>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</si>
  <si>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</si>
  <si>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</si>
  <si>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</si>
  <si>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</si>
  <si>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</si>
  <si>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</si>
  <si>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</si>
  <si>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</si>
  <si>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</si>
  <si>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</si>
  <si>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</si>
  <si>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</si>
  <si>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</si>
  <si>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</si>
  <si>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</si>
  <si>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</si>
  <si>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</si>
  <si>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</si>
  <si>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</si>
  <si>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</si>
  <si>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</si>
  <si>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</si>
  <si>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</si>
  <si>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</si>
  <si>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</si>
  <si>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</si>
  <si>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</si>
  <si>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</si>
  <si>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</si>
  <si>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</si>
  <si>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</si>
  <si>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</si>
  <si>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</si>
  <si>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</si>
  <si>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</si>
  <si>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</si>
  <si>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</si>
  <si>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</si>
  <si>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</si>
  <si>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</si>
  <si>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</si>
  <si>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</si>
  <si>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</si>
  <si>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</si>
  <si>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</si>
  <si>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</si>
  <si>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</si>
  <si>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</si>
  <si>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</si>
  <si>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</si>
  <si>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</si>
  <si>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</si>
  <si>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</si>
  <si>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</si>
  <si>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</si>
  <si>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</si>
  <si>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</si>
  <si>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</si>
  <si>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</si>
  <si>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</si>
  <si>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</si>
  <si>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</si>
  <si>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</si>
  <si>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</si>
  <si>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</si>
  <si>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</si>
  <si>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</si>
  <si>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</si>
  <si>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</si>
  <si>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</si>
  <si>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</si>
  <si>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</si>
  <si>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</si>
  <si>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</si>
  <si>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</si>
  <si>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</si>
  <si>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</si>
  <si>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</si>
  <si>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</si>
  <si>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</si>
  <si>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</si>
  <si>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CUBIERTA C/R FTE. 90° R8</t>
  </si>
  <si>
    <t>N° 11030</t>
  </si>
  <si>
    <t>ALEJANDRO CLIENTE</t>
  </si>
  <si>
    <t>+569 7550 3537</t>
  </si>
  <si>
    <t>BORGUNDY 2158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</si>
</sst>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5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162</v>
      </c>
      <c r="D10" s="243"/>
      <c r="E10" s="243"/>
      <c r="F10" s="244" t="s">
        <v>0</v>
      </c>
      <c r="G10" s="277">
        <v>45849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 t="s">
        <v>163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7" t="s">
        <v>154</v>
      </c>
      <c r="G17" s="327"/>
      <c r="H17" s="328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9" t="s">
        <v>149</v>
      </c>
      <c r="C19" s="330"/>
      <c r="D19" s="330"/>
      <c r="E19" s="330"/>
      <c r="F19" s="330"/>
      <c r="G19" s="330"/>
      <c r="H19" s="331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101260.17094017095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23" t="s">
        <v>160</v>
      </c>
      <c r="D21" s="324">
        <v>1.9</v>
      </c>
      <c r="E21" s="324">
        <v>0.6</v>
      </c>
      <c r="F21" s="323" t="s">
        <v>164</v>
      </c>
      <c r="G21" s="325">
        <v>121474</v>
      </c>
      <c r="H21" s="326">
        <f t="shared" ref="H21" si="1">G21*B21</f>
        <v>121474</v>
      </c>
      <c r="I21" s="265"/>
      <c r="J21" s="47"/>
      <c r="K21" s="317">
        <f t="shared" ref="K21" si="2">B21</f>
        <v>1</v>
      </c>
      <c r="L21" s="318">
        <f t="shared" ref="L21:M21" si="3">D21+L$19</f>
        <v>1.95</v>
      </c>
      <c r="M21" s="318">
        <f t="shared" si="3"/>
        <v>0.6</v>
      </c>
      <c r="N21" s="261">
        <f>L21*M21</f>
        <v>1.17</v>
      </c>
      <c r="O21" s="259">
        <f>N21*K21</f>
        <v>1.17</v>
      </c>
      <c r="P21" s="252">
        <f>P$20*N21</f>
        <v>118474.40000000001</v>
      </c>
      <c r="Q21" s="258">
        <f>P21+Q$20</f>
        <v>121474.40000000001</v>
      </c>
      <c r="R21" s="308">
        <f>K21*L21</f>
        <v>1.95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2"/>
      <c r="H22" s="312"/>
      <c r="I22" s="265"/>
      <c r="J22" s="47"/>
      <c r="K22" s="47"/>
      <c r="L22" s="39"/>
      <c r="M22" s="39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2"/>
      <c r="H23" s="312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121474</v>
      </c>
      <c r="I25" s="265"/>
      <c r="J25" s="47"/>
      <c r="K25" s="47"/>
      <c r="L25" s="39">
        <f>SUM(L21:L24)</f>
        <v>1.95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>
        <f>H25*19%</f>
        <v>23080.06</v>
      </c>
      <c r="I26" s="265"/>
      <c r="J26" s="47"/>
      <c r="K26" s="47"/>
      <c r="L26" s="39"/>
      <c r="M26" s="12"/>
      <c r="N26" s="12"/>
      <c r="O26" s="253">
        <f>SUM(O21:O21)</f>
        <v>1.17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144554.06</v>
      </c>
      <c r="I27" s="265"/>
      <c r="J27" s="47"/>
      <c r="K27" s="47"/>
      <c r="L27" s="39"/>
      <c r="M27" s="12"/>
      <c r="N27" s="12"/>
      <c r="O27" s="253">
        <f>O26</f>
        <v>1.17</v>
      </c>
      <c r="P27" s="14"/>
      <c r="Q27" s="12"/>
      <c r="R27" s="238">
        <f>SUM(R21:R26)</f>
        <v>1.95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0.23399999999999999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1.4039999999999999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1.4039999999999999</v>
      </c>
      <c r="M31" s="12">
        <v>3500</v>
      </c>
      <c r="N31" s="12">
        <f t="shared" ref="N31:N36" si="4">L31*M31</f>
        <v>4914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0.5</v>
      </c>
      <c r="M32" s="12">
        <v>25000</v>
      </c>
      <c r="N32" s="12">
        <f t="shared" si="4"/>
        <v>12500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1</v>
      </c>
      <c r="M34" s="250">
        <v>33513</v>
      </c>
      <c r="N34" s="12">
        <f t="shared" si="4"/>
        <v>33513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1.95</v>
      </c>
      <c r="M36" s="12">
        <v>1500</v>
      </c>
      <c r="N36" s="12">
        <f t="shared" si="4"/>
        <v>2925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53852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39880</v>
      </c>
      <c r="K38" s="250"/>
      <c r="L38" s="254" t="s">
        <v>35</v>
      </c>
      <c r="M38" s="12"/>
      <c r="N38" s="255">
        <f>N37*2.2</f>
        <v>118474.40000000001</v>
      </c>
      <c r="O38" s="14" t="s">
        <v>142</v>
      </c>
      <c r="P38" s="14"/>
      <c r="Q38" s="46">
        <f>O27/Q37</f>
        <v>0.31546591889559961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33512.60504201681</v>
      </c>
      <c r="K39" s="250"/>
      <c r="L39" s="14"/>
      <c r="M39" s="12"/>
      <c r="N39" s="12">
        <f>N38/O27</f>
        <v>101260.17094017095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0.30688524590163929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ALEJANDRO CLIENTE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3" t="s">
        <v>100</v>
      </c>
      <c r="I7" s="334"/>
      <c r="J7" s="334"/>
      <c r="K7" s="335"/>
      <c r="N7" s="75"/>
      <c r="O7" s="332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11030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2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-7252.4417001207739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121474</v>
      </c>
      <c r="E11" s="132">
        <f>D11*0.19</f>
        <v>23080.06</v>
      </c>
      <c r="F11" s="131">
        <f>E11+D11</f>
        <v>144554.06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98737.558299879223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47248.090787439614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80737.558299879223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74225.909212560393</v>
      </c>
      <c r="E13" s="221">
        <f>(D11/D12)-1</f>
        <v>1.5709821915659825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71737.558299879223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32737.558299879227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77959.349799275355</v>
      </c>
      <c r="F15" s="216">
        <f>E15-D12</f>
        <v>30711.25901183574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32737.558299879227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72737.558299879223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4914</v>
      </c>
      <c r="E20" s="121">
        <f>D20*0.19</f>
        <v>933.66</v>
      </c>
      <c r="F20" s="120">
        <f>SUM(D20:E20)</f>
        <v>5847.66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17414</v>
      </c>
      <c r="E21" s="116">
        <f>SUM(E18:E20)</f>
        <v>3308.66</v>
      </c>
      <c r="F21" s="115">
        <f>SUM(F18:F20)</f>
        <v>20722.66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19771.400000000001</v>
      </c>
    </row>
    <row r="41" spans="2:16" ht="15" thickBot="1" x14ac:dyDescent="0.35">
      <c r="H41" s="336" t="s">
        <v>62</v>
      </c>
      <c r="I41" s="337"/>
      <c r="J41" s="337"/>
      <c r="K41" s="337"/>
      <c r="L41" s="337"/>
      <c r="M41" s="338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121474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17414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74225.909212560393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74225.909212560393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2024-07-11T20:30:04Z</dcterms:modified>
</cp:coreProperties>
</file>