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46FE0BC7-4B7C-45C5-9E32-3512FD2F4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R23" i="1"/>
  <c r="R24" i="1"/>
  <c r="R25" i="1"/>
  <c r="R26" i="1"/>
  <c r="R27" i="1"/>
  <c r="R28" i="1"/>
  <c r="R29" i="1"/>
  <c r="R21" i="1"/>
  <c r="K22" i="1"/>
  <c r="L22" i="1"/>
  <c r="M22" i="1"/>
  <c r="N22" i="1"/>
  <c r="O22" i="1" s="1"/>
  <c r="K23" i="1"/>
  <c r="L23" i="1"/>
  <c r="M23" i="1"/>
  <c r="N23" i="1"/>
  <c r="O23" i="1" s="1"/>
  <c r="K24" i="1"/>
  <c r="L24" i="1"/>
  <c r="M24" i="1"/>
  <c r="N24" i="1"/>
  <c r="O24" i="1" s="1"/>
  <c r="O31" i="1" s="1"/>
  <c r="K25" i="1"/>
  <c r="L25" i="1"/>
  <c r="M25" i="1"/>
  <c r="N25" i="1"/>
  <c r="O25" i="1" s="1"/>
  <c r="K26" i="1"/>
  <c r="L26" i="1"/>
  <c r="M26" i="1"/>
  <c r="N26" i="1"/>
  <c r="O26" i="1" s="1"/>
  <c r="K27" i="1"/>
  <c r="L27" i="1"/>
  <c r="M27" i="1"/>
  <c r="N27" i="1"/>
  <c r="O27" i="1" s="1"/>
  <c r="K28" i="1"/>
  <c r="L28" i="1"/>
  <c r="M28" i="1"/>
  <c r="N28" i="1"/>
  <c r="O28" i="1" s="1"/>
  <c r="H22" i="1"/>
  <c r="H23" i="1"/>
  <c r="H24" i="1"/>
  <c r="H25" i="1"/>
  <c r="H26" i="1"/>
  <c r="H27" i="1"/>
  <c r="H28" i="1"/>
  <c r="K21" i="1"/>
  <c r="J48" i="1"/>
  <c r="J45" i="1" l="1"/>
  <c r="L21" i="1"/>
  <c r="L30" i="1" s="1"/>
  <c r="M21" i="1"/>
  <c r="S21" i="1" l="1"/>
  <c r="S30" i="1" s="1"/>
  <c r="S31" i="1" s="1"/>
  <c r="S32" i="1" s="1"/>
  <c r="R32" i="1"/>
  <c r="N21" i="1"/>
  <c r="O21" i="1" s="1"/>
  <c r="U38" i="1"/>
  <c r="U39" i="1" s="1"/>
  <c r="N37" i="1" l="1"/>
  <c r="O32" i="1" l="1"/>
  <c r="O33" i="1" s="1"/>
  <c r="O34" i="1" s="1"/>
  <c r="L36" i="1" s="1"/>
  <c r="M20" i="1"/>
  <c r="K20" i="1"/>
  <c r="N38" i="1" l="1"/>
  <c r="Q42" i="1"/>
  <c r="N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N36" i="1" l="1"/>
  <c r="N42" i="1" s="1"/>
  <c r="N43" i="1" s="1"/>
  <c r="Q43" i="1"/>
  <c r="D20" i="3" l="1"/>
  <c r="E20" i="3" s="1"/>
  <c r="E21" i="3" s="1"/>
  <c r="N44" i="1" l="1"/>
  <c r="D21" i="3"/>
  <c r="M43" i="3" s="1"/>
  <c r="D12" i="3" s="1"/>
  <c r="F20" i="3"/>
  <c r="F21" i="3" s="1"/>
  <c r="N45" i="1" l="1"/>
  <c r="P20" i="1"/>
  <c r="E15" i="3"/>
  <c r="P28" i="1" l="1"/>
  <c r="Q28" i="1" s="1"/>
  <c r="P24" i="1"/>
  <c r="Q24" i="1" s="1"/>
  <c r="P23" i="1"/>
  <c r="Q23" i="1" s="1"/>
  <c r="P22" i="1"/>
  <c r="Q22" i="1" s="1"/>
  <c r="P25" i="1"/>
  <c r="Q25" i="1" s="1"/>
  <c r="P27" i="1"/>
  <c r="Q27" i="1" s="1"/>
  <c r="P26" i="1"/>
  <c r="Q26" i="1" s="1"/>
  <c r="P21" i="1"/>
  <c r="F15" i="3"/>
  <c r="Q21" i="1" l="1"/>
  <c r="H21" i="1" l="1"/>
  <c r="H30" i="1" s="1"/>
  <c r="H31" i="1" s="1"/>
  <c r="H32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<sst xmlns="http://schemas.openxmlformats.org/spreadsheetml/2006/main" count="246" uniqueCount="176">
  <si>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</si>
  <si>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</si>
  <si>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</si>
  <si>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</si>
  <si>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</si>
  <si>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</si>
  <si>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</si>
  <si>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</si>
  <si>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</si>
  <si>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</si>
  <si>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</si>
  <si>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</si>
  <si>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</si>
  <si>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</si>
  <si>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</si>
  <si>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</si>
  <si>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</si>
  <si>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</si>
  <si>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</si>
  <si>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</si>
  <si>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</si>
  <si>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</si>
  <si>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</si>
  <si>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</si>
  <si>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</si>
  <si>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</si>
  <si>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</si>
  <si>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</si>
  <si>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</si>
  <si>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</si>
  <si>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</si>
  <si>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</si>
  <si>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</si>
  <si>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</si>
  <si>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</si>
  <si>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</si>
  <si>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</si>
  <si>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</si>
  <si>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</si>
  <si>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</si>
  <si>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</si>
  <si>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</si>
  <si>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</si>
  <si>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</si>
  <si>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</si>
  <si>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</si>
  <si>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</si>
  <si>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</si>
  <si>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</si>
  <si>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</si>
  <si>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</si>
  <si>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</si>
  <si>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</si>
  <si>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</si>
  <si>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</si>
  <si>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</si>
  <si>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</si>
  <si>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</si>
  <si>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</si>
  <si>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</si>
  <si>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</si>
  <si>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</si>
  <si>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</si>
  <si>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</si>
  <si>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</si>
  <si>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</si>
  <si>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</si>
  <si>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</si>
  <si>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</si>
  <si>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</si>
  <si>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</si>
  <si>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</si>
  <si>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</si>
  <si>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</si>
  <si>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</si>
  <si>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</si>
  <si>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</si>
  <si>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</si>
  <si>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</si>
  <si>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</si>
  <si>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</si>
  <si>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</si>
  <si>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</si>
  <si>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</si>
  <si>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</si>
  <si>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</si>
  <si>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</si>
  <si>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</si>
  <si>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</si>
  <si>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</si>
  <si>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</si>
  <si>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</si>
  <si>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</si>
  <si>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</si>
  <si>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</si>
  <si>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</si>
  <si>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</si>
  <si>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</si>
  <si>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</si>
  <si>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</si>
  <si>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</si>
  <si>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</si>
  <si>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</si>
  <si>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</si>
  <si>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</si>
  <si>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</si>
  <si>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</si>
  <si>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</si>
  <si>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</si>
  <si>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</si>
  <si>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</si>
  <si>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</si>
  <si>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</si>
  <si>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</si>
  <si>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</si>
  <si>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</si>
  <si>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</si>
  <si>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</si>
  <si>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</si>
  <si>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</si>
  <si>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</si>
  <si>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</si>
  <si>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</si>
  <si>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</si>
  <si>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</si>
  <si>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</si>
  <si>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</si>
  <si>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</si>
  <si>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</si>
  <si>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</si>
  <si>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</si>
  <si>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</si>
  <si>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</si>
  <si>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</si>
  <si>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</si>
  <si>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</si>
  <si>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</si>
  <si>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</si>
  <si>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</si>
  <si>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</si>
  <si>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</si>
  <si>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</si>
  <si>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</si>
  <si>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</si>
  <si>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</si>
  <si>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</si>
  <si>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</si>
  <si>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</si>
  <si>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</si>
  <si>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</si>
  <si>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</si>
  <si>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</si>
  <si>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</si>
  <si>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</si>
  <si>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</si>
  <si>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</si>
  <si>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</si>
  <si>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</si>
  <si>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</si>
  <si>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</si>
  <si>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</si>
  <si>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</si>
  <si>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</si>
  <si>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</si>
  <si>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</si>
  <si>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</si>
  <si>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</si>
  <si>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</si>
  <si>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11053</t>
  </si>
  <si>
    <t>MODULAR STONE</t>
  </si>
  <si>
    <t>DENIS LECAROS</t>
  </si>
  <si>
    <t>+569 32305616</t>
  </si>
  <si>
    <t>10  DIAS HABILES</t>
  </si>
  <si>
    <t>CUB C/R 90° R6</t>
  </si>
  <si>
    <t>GALAXIA GRAFITO 0491  MT</t>
  </si>
  <si>
    <t>02-0-2024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</si>
</sst>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0" fillId="21" borderId="0" xfId="0" applyNumberFormat="1" applyFill="1"/>
    <xf numFmtId="166" fontId="3" fillId="21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167" fontId="0" fillId="23" borderId="0" xfId="0" applyNumberFormat="1" applyFill="1"/>
    <xf numFmtId="166" fontId="3" fillId="23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34</xdr:row>
      <xdr:rowOff>26670</xdr:rowOff>
    </xdr:from>
    <xdr:to>
      <xdr:col>7</xdr:col>
      <xdr:colOff>1034435</xdr:colOff>
      <xdr:row>37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29</xdr:row>
      <xdr:rowOff>9525</xdr:rowOff>
    </xdr:from>
    <xdr:to>
      <xdr:col>5</xdr:col>
      <xdr:colOff>1594096</xdr:colOff>
      <xdr:row>32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SE CONSIDERA LA ENTREGA DE LAS CUBIERTAS PARA USAR EL MISMO SUSTRATO Y VOLVER A ENCHAPARLAS 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A4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4.777343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 t="s">
        <v>175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s="279" t="s">
        <v>170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6" t="s">
        <v>166</v>
      </c>
      <c r="G17" s="336"/>
      <c r="H17" s="33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8" t="s">
        <v>148</v>
      </c>
      <c r="C19" s="339"/>
      <c r="D19" s="339"/>
      <c r="E19" s="339"/>
      <c r="F19" s="339"/>
      <c r="G19" s="339"/>
      <c r="H19" s="34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N44</f>
        <v>64340.266284309713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5</v>
      </c>
      <c r="C21" s="325" t="s">
        <v>173</v>
      </c>
      <c r="D21" s="326">
        <v>1.45</v>
      </c>
      <c r="E21" s="326">
        <v>0.6</v>
      </c>
      <c r="F21" s="325" t="s">
        <v>174</v>
      </c>
      <c r="G21" s="327">
        <v>60906</v>
      </c>
      <c r="H21" s="327">
        <f>G21*B21</f>
        <v>304530</v>
      </c>
      <c r="I21" s="265"/>
      <c r="J21" s="47"/>
      <c r="K21" s="332">
        <f>B21</f>
        <v>5</v>
      </c>
      <c r="L21" s="333">
        <f t="shared" ref="L21" si="1">D21+L$19</f>
        <v>1.5</v>
      </c>
      <c r="M21" s="39">
        <f t="shared" ref="M21" si="2">E21+M$19</f>
        <v>0.6</v>
      </c>
      <c r="N21" s="261">
        <f t="shared" ref="N21" si="3">L21*M21</f>
        <v>0.89999999999999991</v>
      </c>
      <c r="O21" s="259">
        <f t="shared" ref="O21" si="4">N21*K21</f>
        <v>4.5</v>
      </c>
      <c r="P21" s="252">
        <f t="shared" ref="P21" si="5">P$20*N21</f>
        <v>57906.239655878737</v>
      </c>
      <c r="Q21" s="328">
        <f t="shared" ref="Q21" si="6">P21+Q$20</f>
        <v>60906.239655878737</v>
      </c>
      <c r="R21" s="298">
        <f>L21*K21</f>
        <v>7.5</v>
      </c>
      <c r="S21" s="46">
        <f>M21*2*K21</f>
        <v>6</v>
      </c>
      <c r="T21" s="9"/>
      <c r="W21" s="4"/>
    </row>
    <row r="22" spans="2:24" ht="17.399999999999999" x14ac:dyDescent="0.3">
      <c r="B22" s="325">
        <v>5</v>
      </c>
      <c r="C22" s="325" t="s">
        <v>173</v>
      </c>
      <c r="D22" s="326">
        <v>1.65</v>
      </c>
      <c r="E22" s="326">
        <v>0.6</v>
      </c>
      <c r="F22" s="325" t="s">
        <v>174</v>
      </c>
      <c r="G22" s="327">
        <v>68627</v>
      </c>
      <c r="H22" s="327">
        <f t="shared" ref="H22:H28" si="7">G22*B22</f>
        <v>343135</v>
      </c>
      <c r="I22" s="265"/>
      <c r="J22" s="47">
        <v>2</v>
      </c>
      <c r="K22" s="334">
        <f t="shared" ref="K22:K28" si="8">B22</f>
        <v>5</v>
      </c>
      <c r="L22" s="335">
        <f t="shared" ref="L22:L28" si="9">D22+L$19</f>
        <v>1.7</v>
      </c>
      <c r="M22" s="335">
        <f t="shared" ref="M22:M28" si="10">E22+M$19</f>
        <v>0.6</v>
      </c>
      <c r="N22" s="261">
        <f t="shared" ref="N22:N28" si="11">L22*M22</f>
        <v>1.02</v>
      </c>
      <c r="O22" s="259">
        <f t="shared" ref="O22:O28" si="12">N22*K22</f>
        <v>5.0999999999999996</v>
      </c>
      <c r="P22" s="252">
        <f t="shared" ref="P22:P28" si="13">P$20*N22</f>
        <v>65627.07160999591</v>
      </c>
      <c r="Q22" s="328">
        <f t="shared" ref="Q22:Q28" si="14">P22+Q$20</f>
        <v>68627.07160999591</v>
      </c>
      <c r="R22" s="298">
        <f t="shared" ref="R22:R29" si="15">L22*K22</f>
        <v>8.5</v>
      </c>
      <c r="S22" s="46"/>
      <c r="T22" s="9"/>
      <c r="W22" s="4"/>
    </row>
    <row r="23" spans="2:24" ht="17.399999999999999" x14ac:dyDescent="0.3">
      <c r="B23" s="325">
        <v>5</v>
      </c>
      <c r="C23" s="325" t="s">
        <v>173</v>
      </c>
      <c r="D23" s="326">
        <v>1.1000000000000001</v>
      </c>
      <c r="E23" s="326">
        <v>0.6</v>
      </c>
      <c r="F23" s="325" t="s">
        <v>174</v>
      </c>
      <c r="G23" s="327">
        <v>47395</v>
      </c>
      <c r="H23" s="327">
        <f t="shared" si="7"/>
        <v>236975</v>
      </c>
      <c r="I23" s="265">
        <v>2</v>
      </c>
      <c r="J23" s="47"/>
      <c r="K23" s="334">
        <f t="shared" si="8"/>
        <v>5</v>
      </c>
      <c r="L23" s="335">
        <f t="shared" si="9"/>
        <v>1.1500000000000001</v>
      </c>
      <c r="M23" s="39">
        <f t="shared" si="10"/>
        <v>0.6</v>
      </c>
      <c r="N23" s="261">
        <f t="shared" si="11"/>
        <v>0.69000000000000006</v>
      </c>
      <c r="O23" s="259">
        <f t="shared" si="12"/>
        <v>3.45</v>
      </c>
      <c r="P23" s="252">
        <f t="shared" si="13"/>
        <v>44394.783736173704</v>
      </c>
      <c r="Q23" s="328">
        <f t="shared" si="14"/>
        <v>47394.783736173704</v>
      </c>
      <c r="R23" s="298">
        <f t="shared" si="15"/>
        <v>5.7500000000000009</v>
      </c>
      <c r="S23" s="46"/>
      <c r="T23" s="9"/>
      <c r="W23" s="4"/>
    </row>
    <row r="24" spans="2:24" ht="17.399999999999999" x14ac:dyDescent="0.3">
      <c r="B24" s="325">
        <v>9</v>
      </c>
      <c r="C24" s="325" t="s">
        <v>173</v>
      </c>
      <c r="D24" s="326">
        <v>1.3</v>
      </c>
      <c r="E24" s="326">
        <v>0.33</v>
      </c>
      <c r="F24" s="325" t="s">
        <v>174</v>
      </c>
      <c r="G24" s="327">
        <v>31664</v>
      </c>
      <c r="H24" s="327">
        <f t="shared" si="7"/>
        <v>284976</v>
      </c>
      <c r="I24" s="265">
        <v>3</v>
      </c>
      <c r="J24" s="47"/>
      <c r="K24" s="332">
        <f t="shared" si="8"/>
        <v>9</v>
      </c>
      <c r="L24" s="39">
        <f t="shared" si="9"/>
        <v>1.35</v>
      </c>
      <c r="M24" s="39">
        <f t="shared" si="10"/>
        <v>0.33</v>
      </c>
      <c r="N24" s="261">
        <f t="shared" si="11"/>
        <v>0.44550000000000006</v>
      </c>
      <c r="O24" s="259">
        <f t="shared" si="12"/>
        <v>4.009500000000001</v>
      </c>
      <c r="P24" s="252">
        <f t="shared" si="13"/>
        <v>28663.588629659982</v>
      </c>
      <c r="Q24" s="328">
        <f t="shared" si="14"/>
        <v>31663.588629659982</v>
      </c>
      <c r="R24" s="298">
        <f t="shared" si="15"/>
        <v>12.15</v>
      </c>
      <c r="S24" s="46"/>
      <c r="T24" s="9"/>
      <c r="W24" s="4"/>
    </row>
    <row r="25" spans="2:24" ht="17.399999999999999" x14ac:dyDescent="0.3">
      <c r="B25" s="325">
        <v>9</v>
      </c>
      <c r="C25" s="325" t="s">
        <v>173</v>
      </c>
      <c r="D25" s="326">
        <v>1.9</v>
      </c>
      <c r="E25" s="326">
        <v>0.6</v>
      </c>
      <c r="F25" s="325" t="s">
        <v>174</v>
      </c>
      <c r="G25" s="327">
        <v>78278</v>
      </c>
      <c r="H25" s="327">
        <f t="shared" si="7"/>
        <v>704502</v>
      </c>
      <c r="I25" s="265"/>
      <c r="J25" s="47">
        <v>5</v>
      </c>
      <c r="K25" s="332">
        <f t="shared" si="8"/>
        <v>9</v>
      </c>
      <c r="L25" s="333">
        <f t="shared" si="9"/>
        <v>1.95</v>
      </c>
      <c r="M25" s="333">
        <f t="shared" si="10"/>
        <v>0.6</v>
      </c>
      <c r="N25" s="261">
        <f t="shared" si="11"/>
        <v>1.17</v>
      </c>
      <c r="O25" s="259">
        <f t="shared" si="12"/>
        <v>10.53</v>
      </c>
      <c r="P25" s="252">
        <f t="shared" si="13"/>
        <v>75278.111552642353</v>
      </c>
      <c r="Q25" s="328">
        <f t="shared" si="14"/>
        <v>78278.111552642353</v>
      </c>
      <c r="R25" s="298">
        <f t="shared" si="15"/>
        <v>17.55</v>
      </c>
      <c r="S25" s="46"/>
      <c r="T25" s="9"/>
      <c r="W25" s="4"/>
    </row>
    <row r="26" spans="2:24" ht="17.399999999999999" x14ac:dyDescent="0.3">
      <c r="B26" s="325">
        <v>6</v>
      </c>
      <c r="C26" s="325" t="s">
        <v>173</v>
      </c>
      <c r="D26" s="326">
        <v>2.6</v>
      </c>
      <c r="E26" s="326">
        <v>0.6</v>
      </c>
      <c r="F26" s="325" t="s">
        <v>174</v>
      </c>
      <c r="G26" s="327">
        <v>105301</v>
      </c>
      <c r="H26" s="327">
        <f t="shared" si="7"/>
        <v>631806</v>
      </c>
      <c r="I26" s="265"/>
      <c r="J26" s="47">
        <v>3</v>
      </c>
      <c r="K26" s="330">
        <f t="shared" si="8"/>
        <v>6</v>
      </c>
      <c r="L26" s="331">
        <f t="shared" si="9"/>
        <v>2.65</v>
      </c>
      <c r="M26" s="331">
        <f t="shared" si="10"/>
        <v>0.6</v>
      </c>
      <c r="N26" s="261">
        <f t="shared" si="11"/>
        <v>1.5899999999999999</v>
      </c>
      <c r="O26" s="259">
        <f t="shared" si="12"/>
        <v>9.5399999999999991</v>
      </c>
      <c r="P26" s="252">
        <f t="shared" si="13"/>
        <v>102301.02339205243</v>
      </c>
      <c r="Q26" s="328">
        <f t="shared" si="14"/>
        <v>105301.02339205243</v>
      </c>
      <c r="R26" s="298">
        <f t="shared" si="15"/>
        <v>15.899999999999999</v>
      </c>
      <c r="S26" s="46"/>
      <c r="T26" s="9"/>
      <c r="W26" s="4"/>
    </row>
    <row r="27" spans="2:24" ht="17.399999999999999" x14ac:dyDescent="0.3">
      <c r="B27" s="325">
        <v>1</v>
      </c>
      <c r="C27" s="325" t="s">
        <v>173</v>
      </c>
      <c r="D27" s="326">
        <v>1.5</v>
      </c>
      <c r="E27" s="326">
        <v>0.43</v>
      </c>
      <c r="F27" s="325" t="s">
        <v>174</v>
      </c>
      <c r="G27" s="327">
        <v>45883</v>
      </c>
      <c r="H27" s="327">
        <f t="shared" si="7"/>
        <v>45883</v>
      </c>
      <c r="I27" s="265"/>
      <c r="J27" s="47"/>
      <c r="K27" s="332">
        <f t="shared" si="8"/>
        <v>1</v>
      </c>
      <c r="L27" s="333">
        <f t="shared" si="9"/>
        <v>1.55</v>
      </c>
      <c r="M27" s="39">
        <f t="shared" si="10"/>
        <v>0.43</v>
      </c>
      <c r="N27" s="261">
        <f t="shared" si="11"/>
        <v>0.66649999999999998</v>
      </c>
      <c r="O27" s="259">
        <f t="shared" si="12"/>
        <v>0.66649999999999998</v>
      </c>
      <c r="P27" s="252">
        <f t="shared" si="13"/>
        <v>42882.787478492421</v>
      </c>
      <c r="Q27" s="328">
        <f t="shared" si="14"/>
        <v>45882.787478492421</v>
      </c>
      <c r="R27" s="298">
        <f t="shared" si="15"/>
        <v>1.55</v>
      </c>
      <c r="S27" s="46"/>
      <c r="T27" s="9"/>
      <c r="W27" s="4"/>
    </row>
    <row r="28" spans="2:24" ht="17.399999999999999" x14ac:dyDescent="0.3">
      <c r="B28" s="325">
        <v>1</v>
      </c>
      <c r="C28" s="325" t="s">
        <v>173</v>
      </c>
      <c r="D28" s="326">
        <v>2.0499999999999998</v>
      </c>
      <c r="E28" s="326">
        <v>0.6</v>
      </c>
      <c r="F28" s="325" t="s">
        <v>174</v>
      </c>
      <c r="G28" s="327">
        <v>84069</v>
      </c>
      <c r="H28" s="327">
        <f t="shared" si="7"/>
        <v>84069</v>
      </c>
      <c r="I28" s="265"/>
      <c r="J28" s="47"/>
      <c r="K28" s="332">
        <f t="shared" si="8"/>
        <v>1</v>
      </c>
      <c r="L28" s="333">
        <f t="shared" si="9"/>
        <v>2.0999999999999996</v>
      </c>
      <c r="M28" s="333">
        <f t="shared" si="10"/>
        <v>0.6</v>
      </c>
      <c r="N28" s="261">
        <f t="shared" si="11"/>
        <v>1.2599999999999998</v>
      </c>
      <c r="O28" s="259">
        <f t="shared" si="12"/>
        <v>1.2599999999999998</v>
      </c>
      <c r="P28" s="252">
        <f t="shared" si="13"/>
        <v>81068.735518230227</v>
      </c>
      <c r="Q28" s="328">
        <f t="shared" si="14"/>
        <v>84068.735518230227</v>
      </c>
      <c r="R28" s="298">
        <f t="shared" si="15"/>
        <v>2.0999999999999996</v>
      </c>
      <c r="S28" s="46"/>
      <c r="T28" s="9"/>
      <c r="W28" s="4"/>
    </row>
    <row r="29" spans="2:24" ht="18" thickBot="1" x14ac:dyDescent="0.35">
      <c r="B29" s="286"/>
      <c r="C29" s="286"/>
      <c r="D29" s="287"/>
      <c r="E29" s="287"/>
      <c r="F29" s="286"/>
      <c r="G29" s="265"/>
      <c r="H29" s="233"/>
      <c r="I29" s="233"/>
      <c r="J29" s="47"/>
      <c r="K29" s="47"/>
      <c r="L29" s="39"/>
      <c r="M29" s="39"/>
      <c r="N29" s="261"/>
      <c r="O29" s="259"/>
      <c r="P29" s="252"/>
      <c r="Q29" s="258"/>
      <c r="R29" s="298">
        <f t="shared" si="15"/>
        <v>0</v>
      </c>
      <c r="S29" s="14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299" t="s">
        <v>29</v>
      </c>
      <c r="H30" s="300">
        <f>SUM(H21:H29)</f>
        <v>2635876</v>
      </c>
      <c r="I30" s="265"/>
      <c r="J30" s="47"/>
      <c r="K30" s="47"/>
      <c r="L30" s="39">
        <f>SUM(L21:L29)</f>
        <v>13.950000000000001</v>
      </c>
      <c r="M30" s="39"/>
      <c r="N30" s="261"/>
      <c r="O30" s="259"/>
      <c r="P30" s="252"/>
      <c r="Q30" s="258"/>
      <c r="R30" s="298"/>
      <c r="S30" s="46">
        <f>SUM(S21:S29)</f>
        <v>6</v>
      </c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297" t="s">
        <v>52</v>
      </c>
      <c r="H31" s="295">
        <f>H30*19%</f>
        <v>500816.44</v>
      </c>
      <c r="I31" s="265"/>
      <c r="J31" s="47"/>
      <c r="K31" s="47"/>
      <c r="L31" s="39"/>
      <c r="M31" s="12"/>
      <c r="N31" s="12"/>
      <c r="O31" s="253">
        <f>SUM(O21:O28)</f>
        <v>39.055999999999997</v>
      </c>
      <c r="P31" s="14"/>
      <c r="Q31" s="12"/>
      <c r="R31" s="239"/>
      <c r="S31" s="46">
        <f>S30*20%</f>
        <v>1.2000000000000002</v>
      </c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296">
        <f>H30+H31</f>
        <v>3136692.44</v>
      </c>
      <c r="I32" s="265"/>
      <c r="J32" s="47"/>
      <c r="K32" s="47"/>
      <c r="L32" s="39"/>
      <c r="M32" s="12"/>
      <c r="N32" s="12"/>
      <c r="O32" s="253">
        <f>O31</f>
        <v>39.055999999999997</v>
      </c>
      <c r="P32" s="14"/>
      <c r="Q32" s="12"/>
      <c r="R32" s="239">
        <f>SUM(R21:R31)</f>
        <v>70.999999999999986</v>
      </c>
      <c r="S32" s="46">
        <f>S30+S31</f>
        <v>7.2</v>
      </c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/>
      <c r="K33" s="47"/>
      <c r="L33" s="14"/>
      <c r="M33" s="12"/>
      <c r="N33" s="12"/>
      <c r="O33" s="39">
        <f>O32*20%</f>
        <v>7.8111999999999995</v>
      </c>
      <c r="P33" s="39" t="s">
        <v>131</v>
      </c>
      <c r="Q33" s="42"/>
      <c r="R33" s="240"/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47"/>
      <c r="K34" s="47"/>
      <c r="L34" s="14"/>
      <c r="M34" s="12"/>
      <c r="N34" s="12"/>
      <c r="O34" s="46">
        <f>O32+O33</f>
        <v>46.867199999999997</v>
      </c>
      <c r="P34" s="14"/>
      <c r="Q34" s="14"/>
      <c r="R34" s="238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3"/>
      <c r="F35" s="234"/>
      <c r="G35" s="230"/>
      <c r="H35" s="275"/>
      <c r="I35" s="265"/>
      <c r="J35" s="47"/>
      <c r="K35" s="47"/>
      <c r="L35" s="14"/>
      <c r="M35" s="14"/>
      <c r="N35" s="14"/>
      <c r="O35" s="14"/>
      <c r="P35" s="14"/>
      <c r="Q35" s="14"/>
      <c r="R35" s="238"/>
      <c r="S35" s="14"/>
      <c r="T35" s="305" t="s">
        <v>22</v>
      </c>
      <c r="U35" s="302" t="s">
        <v>153</v>
      </c>
      <c r="V35" s="306">
        <v>44971</v>
      </c>
      <c r="W35" s="307"/>
    </row>
    <row r="36" spans="2:23" ht="17.399999999999999" x14ac:dyDescent="0.35">
      <c r="B36" s="235"/>
      <c r="C36" s="236"/>
      <c r="D36" s="237"/>
      <c r="E36" s="235"/>
      <c r="F36" s="230"/>
      <c r="G36" s="230"/>
      <c r="I36" s="265"/>
      <c r="J36" s="47"/>
      <c r="K36" s="47"/>
      <c r="L36" s="39">
        <f>O34</f>
        <v>46.867199999999997</v>
      </c>
      <c r="M36" s="12">
        <v>3500</v>
      </c>
      <c r="N36" s="12">
        <f t="shared" ref="N36:N41" si="16">L36*M36</f>
        <v>164035.19999999998</v>
      </c>
      <c r="O36" s="14" t="s">
        <v>22</v>
      </c>
      <c r="P36" s="14"/>
      <c r="Q36" s="14"/>
      <c r="R36" s="241"/>
      <c r="S36" s="14"/>
      <c r="T36" s="305" t="s">
        <v>154</v>
      </c>
      <c r="U36" s="302">
        <v>3625</v>
      </c>
      <c r="V36" s="59" t="s">
        <v>155</v>
      </c>
      <c r="W36" s="307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/>
      <c r="K37" s="47"/>
      <c r="L37" s="249"/>
      <c r="M37" s="12">
        <v>23000</v>
      </c>
      <c r="N37" s="12">
        <f t="shared" si="16"/>
        <v>0</v>
      </c>
      <c r="O37" s="39" t="s">
        <v>32</v>
      </c>
      <c r="P37" s="42"/>
      <c r="Q37" s="14"/>
      <c r="R37" s="240"/>
      <c r="S37" s="14"/>
      <c r="T37" s="305"/>
      <c r="U37" s="59">
        <v>906.25</v>
      </c>
      <c r="V37" s="59" t="s">
        <v>156</v>
      </c>
      <c r="W37" s="307"/>
    </row>
    <row r="38" spans="2:23" s="230" customFormat="1" ht="17.399999999999999" x14ac:dyDescent="0.35">
      <c r="I38" s="262"/>
      <c r="J38" s="232"/>
      <c r="K38" s="250"/>
      <c r="L38" s="14">
        <v>12</v>
      </c>
      <c r="M38" s="250">
        <v>72640</v>
      </c>
      <c r="N38" s="12">
        <f t="shared" si="16"/>
        <v>871680</v>
      </c>
      <c r="O38" s="39" t="s">
        <v>31</v>
      </c>
      <c r="P38" s="42"/>
      <c r="R38" s="240"/>
      <c r="S38" s="256"/>
      <c r="T38" s="59"/>
      <c r="U38" s="59">
        <f>U37*20%</f>
        <v>181.25</v>
      </c>
      <c r="V38" s="307" t="s">
        <v>157</v>
      </c>
      <c r="W38" s="59"/>
    </row>
    <row r="39" spans="2:23" s="230" customFormat="1" ht="17.399999999999999" x14ac:dyDescent="0.35">
      <c r="B39" s="24" t="s">
        <v>152</v>
      </c>
      <c r="I39" s="262"/>
      <c r="J39" s="232"/>
      <c r="K39" s="250"/>
      <c r="L39" s="14"/>
      <c r="M39" s="250">
        <v>35000</v>
      </c>
      <c r="N39" s="12">
        <f t="shared" si="16"/>
        <v>0</v>
      </c>
      <c r="O39" s="14" t="s">
        <v>142</v>
      </c>
      <c r="P39" s="17"/>
      <c r="R39" s="238"/>
      <c r="S39" s="256"/>
      <c r="T39" s="59"/>
      <c r="U39" s="59">
        <f>U37+U38</f>
        <v>1087.5</v>
      </c>
      <c r="V39" s="307" t="s">
        <v>158</v>
      </c>
      <c r="W39" s="59"/>
    </row>
    <row r="40" spans="2:23" s="230" customFormat="1" ht="17.399999999999999" x14ac:dyDescent="0.35">
      <c r="B40" s="24" t="s">
        <v>145</v>
      </c>
      <c r="C40"/>
      <c r="D40"/>
      <c r="E40"/>
      <c r="F40"/>
      <c r="I40" s="262"/>
      <c r="K40" s="250"/>
      <c r="L40" s="249"/>
      <c r="M40" s="250">
        <v>300</v>
      </c>
      <c r="N40" s="12">
        <f t="shared" si="16"/>
        <v>0</v>
      </c>
      <c r="O40" s="14" t="s">
        <v>33</v>
      </c>
      <c r="P40" s="14"/>
      <c r="Q40" s="230">
        <v>1.52</v>
      </c>
      <c r="R40" s="238"/>
      <c r="S40" s="238"/>
    </row>
    <row r="41" spans="2:23" s="230" customFormat="1" ht="17.399999999999999" x14ac:dyDescent="0.35">
      <c r="B41" s="29" t="s">
        <v>126</v>
      </c>
      <c r="C41"/>
      <c r="D41"/>
      <c r="E41"/>
      <c r="F41" s="229" t="s">
        <v>16</v>
      </c>
      <c r="I41" s="294"/>
      <c r="K41" s="250"/>
      <c r="L41" s="266">
        <v>71</v>
      </c>
      <c r="M41" s="12">
        <v>1500</v>
      </c>
      <c r="N41" s="12">
        <f t="shared" si="16"/>
        <v>106500</v>
      </c>
      <c r="O41" s="14" t="s">
        <v>23</v>
      </c>
      <c r="P41" s="14"/>
      <c r="Q41">
        <v>2.44</v>
      </c>
      <c r="R41"/>
      <c r="S41" s="238"/>
      <c r="W41" s="231"/>
    </row>
    <row r="42" spans="2:23" s="230" customFormat="1" ht="17.399999999999999" x14ac:dyDescent="0.35">
      <c r="K42" s="250"/>
      <c r="L42" s="14"/>
      <c r="M42" s="12"/>
      <c r="N42" s="12">
        <f>SUM(N36:N41)</f>
        <v>1142215.2</v>
      </c>
      <c r="O42" s="39" t="s">
        <v>24</v>
      </c>
      <c r="P42" s="14"/>
      <c r="Q42">
        <f>Q40*Q41</f>
        <v>3.7088000000000001</v>
      </c>
      <c r="R42"/>
      <c r="S42" s="238"/>
      <c r="W42" s="231"/>
    </row>
    <row r="43" spans="2:23" s="230" customFormat="1" ht="17.399999999999999" x14ac:dyDescent="0.35">
      <c r="K43" s="250"/>
      <c r="L43" s="254" t="s">
        <v>34</v>
      </c>
      <c r="M43" s="12"/>
      <c r="N43" s="255">
        <f>N42*2.2</f>
        <v>2512873.44</v>
      </c>
      <c r="O43" s="14" t="s">
        <v>141</v>
      </c>
      <c r="P43" s="14"/>
      <c r="Q43" s="40">
        <f>O34/Q42</f>
        <v>12.636755823986194</v>
      </c>
      <c r="R43"/>
      <c r="S43" s="257"/>
    </row>
    <row r="44" spans="2:23" s="230" customFormat="1" ht="17.399999999999999" x14ac:dyDescent="0.35">
      <c r="G44"/>
      <c r="H44" s="260"/>
      <c r="I44" s="260"/>
      <c r="J44" s="230">
        <v>86440</v>
      </c>
      <c r="K44" s="250"/>
      <c r="L44" s="14"/>
      <c r="M44" s="12"/>
      <c r="N44" s="12">
        <f>N43/O32</f>
        <v>64340.266284309713</v>
      </c>
      <c r="O44" s="45" t="s">
        <v>25</v>
      </c>
      <c r="P44" s="14"/>
      <c r="Q44" s="14"/>
      <c r="R44"/>
      <c r="S44" s="238"/>
      <c r="T44" s="59" t="s">
        <v>159</v>
      </c>
      <c r="U44" s="302">
        <v>43650</v>
      </c>
    </row>
    <row r="45" spans="2:23" s="230" customFormat="1" ht="17.399999999999999" x14ac:dyDescent="0.35">
      <c r="G45"/>
      <c r="H45" s="230" t="s">
        <v>165</v>
      </c>
      <c r="J45" s="230">
        <f>J44/1.19</f>
        <v>72638.655462184877</v>
      </c>
      <c r="K45" s="250"/>
      <c r="L45" s="13"/>
      <c r="M45" s="14"/>
      <c r="N45" s="17">
        <f>N43/N42</f>
        <v>2.2000000000000002</v>
      </c>
      <c r="O45" s="15"/>
      <c r="P45"/>
      <c r="Q45"/>
      <c r="R45"/>
      <c r="S45" s="238"/>
      <c r="T45" s="59" t="s">
        <v>161</v>
      </c>
      <c r="U45" s="303" t="s">
        <v>160</v>
      </c>
      <c r="V45" s="59">
        <v>2.4</v>
      </c>
    </row>
    <row r="46" spans="2:23" s="230" customFormat="1" ht="17.399999999999999" x14ac:dyDescent="0.35">
      <c r="G46" s="23"/>
      <c r="K46" s="12"/>
      <c r="S46" s="238"/>
      <c r="T46" s="59" t="s">
        <v>162</v>
      </c>
      <c r="U46" s="304">
        <v>395.37</v>
      </c>
    </row>
    <row r="47" spans="2:23" s="230" customFormat="1" ht="17.399999999999999" x14ac:dyDescent="0.35">
      <c r="B47"/>
      <c r="C47" s="228"/>
      <c r="D47" s="22"/>
      <c r="E47" s="22"/>
      <c r="F47" s="21"/>
      <c r="G47" s="23"/>
      <c r="J47" s="230">
        <v>110000</v>
      </c>
      <c r="K47" s="12"/>
      <c r="S47" s="238"/>
      <c r="T47" s="59" t="s">
        <v>157</v>
      </c>
      <c r="U47" s="59">
        <v>474.45</v>
      </c>
    </row>
    <row r="48" spans="2:23" ht="14.4" customHeight="1" x14ac:dyDescent="0.3">
      <c r="J48">
        <f>J47/9</f>
        <v>12222.222222222223</v>
      </c>
      <c r="K48" s="12"/>
      <c r="T48" s="59"/>
      <c r="U48" s="59"/>
    </row>
    <row r="49" spans="11:19" x14ac:dyDescent="0.3">
      <c r="K49" s="250"/>
    </row>
    <row r="50" spans="11:19" x14ac:dyDescent="0.3">
      <c r="K50" s="250"/>
      <c r="S50" s="270"/>
    </row>
    <row r="51" spans="11:19" x14ac:dyDescent="0.3">
      <c r="K51" s="250"/>
    </row>
    <row r="52" spans="11:19" ht="15" customHeight="1" x14ac:dyDescent="0.3"/>
    <row r="54" spans="11:19" x14ac:dyDescent="0.3">
      <c r="N54">
        <v>40935</v>
      </c>
      <c r="O54" t="s">
        <v>17</v>
      </c>
      <c r="P54" t="s">
        <v>27</v>
      </c>
    </row>
    <row r="56" spans="11:19" x14ac:dyDescent="0.3">
      <c r="N56" s="54"/>
      <c r="O56" s="54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149</v>
      </c>
    </row>
    <row r="80" spans="3:19" x14ac:dyDescent="0.3">
      <c r="C80" t="s">
        <v>148</v>
      </c>
    </row>
    <row r="83" spans="3:3" x14ac:dyDescent="0.3">
      <c r="C83" t="s">
        <v>148</v>
      </c>
    </row>
    <row r="160" spans="3:3" x14ac:dyDescent="0.3">
      <c r="C160" t="s">
        <v>148</v>
      </c>
    </row>
    <row r="161" spans="3:3" x14ac:dyDescent="0.3">
      <c r="C161" t="s">
        <v>150</v>
      </c>
    </row>
    <row r="162" spans="3:3" x14ac:dyDescent="0.3">
      <c r="C162" t="s">
        <v>151</v>
      </c>
    </row>
    <row r="587" spans="3:3" x14ac:dyDescent="0.3">
      <c r="C587" t="s">
        <v>148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02-0-2024</v>
      </c>
    </row>
    <row r="6" spans="2:31" ht="16.2" thickBot="1" x14ac:dyDescent="0.35">
      <c r="B6" s="140" t="s">
        <v>2</v>
      </c>
      <c r="C6" s="139" t="str">
        <f>'2229'!C10</f>
        <v>MODULAR STONE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99</v>
      </c>
      <c r="I7" s="343"/>
      <c r="J7" s="343"/>
      <c r="K7" s="344"/>
      <c r="N7" s="75"/>
      <c r="O7" s="34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-146286.61170012082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'2229'!H30</f>
        <v>2635876</v>
      </c>
      <c r="E11" s="132">
        <f>D11*0.19</f>
        <v>500816.44</v>
      </c>
      <c r="F11" s="131">
        <f>E11+D11</f>
        <v>3136692.44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-40296.611700120819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1065549.2907874396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-58296.611700120819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1570326.7092125604</v>
      </c>
      <c r="E13" s="221">
        <f>(D11/D12)-1</f>
        <v>1.4737250756856972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-67296.611700120819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-106296.61170012082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1758156.3297992751</v>
      </c>
      <c r="F15" s="216">
        <f>E15-D12</f>
        <v>692607.03901183559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-106296.61170012082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-66296.611700120819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'2229'!N38</f>
        <v>871680</v>
      </c>
      <c r="E18" s="123">
        <f>D18*0.19</f>
        <v>165619.20000000001</v>
      </c>
      <c r="F18" s="120">
        <f>SUM(D18:E18)</f>
        <v>1037299.2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'2229'!N37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164035.19999999998</v>
      </c>
      <c r="E20" s="121">
        <f>D20*0.19</f>
        <v>31166.687999999998</v>
      </c>
      <c r="F20" s="120">
        <f>SUM(D20:E20)</f>
        <v>195201.88799999998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1035715.2</v>
      </c>
      <c r="E21" s="116">
        <f>SUM(E18:E20)</f>
        <v>196785.88800000001</v>
      </c>
      <c r="F21" s="115">
        <f>SUM(F18:F20)</f>
        <v>1232501.088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304030.55200000003</v>
      </c>
    </row>
    <row r="41" spans="2:16" ht="15" thickBot="1" x14ac:dyDescent="0.35">
      <c r="H41" s="345" t="s">
        <v>61</v>
      </c>
      <c r="I41" s="346"/>
      <c r="J41" s="346"/>
      <c r="K41" s="346"/>
      <c r="L41" s="346"/>
      <c r="M41" s="34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2635876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1035715.2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1570326.7092125604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1570326.7092125604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2024-07-29T21:24:07Z</cp:lastPrinted>
  <dcterms:created xsi:type="dcterms:W3CDTF">2013-03-18T13:35:42Z</dcterms:created>
  <dcterms:modified xsi:type="dcterms:W3CDTF">2024-09-02T14:10:07Z</dcterms:modified>
</cp:coreProperties>
</file>