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A0589905-217B-4F28-B323-0096EEACEE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J30" i="1"/>
  <c r="K10" i="1"/>
  <c r="J38" i="1" l="1"/>
  <c r="L21" i="1" l="1"/>
  <c r="L24" i="1" s="1"/>
  <c r="M21" i="1"/>
  <c r="N21" i="1" l="1"/>
  <c r="O21" i="1" s="1"/>
  <c r="O25" i="1" s="1"/>
  <c r="R21" i="1"/>
  <c r="N31" i="1"/>
  <c r="O26" i="1" l="1"/>
  <c r="S43" i="1"/>
  <c r="O27" i="1" l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O28" i="1" l="1"/>
  <c r="L30" i="1" s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H21" i="1" s="1"/>
  <c r="H24" i="1" s="1"/>
  <c r="R26" i="1"/>
  <c r="H26" i="1" l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<sst xmlns="http://schemas.openxmlformats.org/spreadsheetml/2006/main" count="218" uniqueCount="164">
  <si>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</si>
  <si>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</si>
  <si>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</si>
  <si>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</si>
  <si>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</si>
  <si>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</si>
  <si>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</si>
  <si>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</si>
  <si>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</si>
  <si>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</si>
  <si>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</si>
  <si>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</si>
  <si>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</si>
  <si>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</si>
  <si>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</si>
  <si>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</si>
  <si>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</si>
  <si>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</si>
  <si>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</si>
  <si>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</si>
  <si>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</si>
  <si>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</si>
  <si>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</si>
  <si>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</si>
  <si>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</si>
  <si>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</si>
  <si>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</si>
  <si>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</si>
  <si>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</si>
  <si>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</si>
  <si>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</si>
  <si>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</si>
  <si>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</si>
  <si>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</si>
  <si>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</si>
  <si>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</si>
  <si>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</si>
  <si>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</si>
  <si>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</si>
  <si>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</si>
  <si>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</si>
  <si>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</si>
  <si>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</si>
  <si>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</si>
  <si>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</si>
  <si>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</si>
  <si>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</si>
  <si>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</si>
  <si>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</si>
  <si>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</si>
  <si>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</si>
  <si>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</si>
  <si>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</si>
  <si>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</si>
  <si>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</si>
  <si>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</si>
  <si>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</si>
  <si>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</si>
  <si>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</si>
  <si>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</si>
  <si>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</si>
  <si>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</si>
  <si>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</si>
  <si>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</si>
  <si>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</si>
  <si>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</si>
  <si>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</si>
  <si>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</si>
  <si>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</si>
  <si>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</si>
  <si>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</si>
  <si>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</si>
  <si>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</si>
  <si>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</si>
  <si>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</si>
  <si>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</si>
  <si>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</si>
  <si>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</si>
  <si>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</si>
  <si>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</si>
  <si>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</si>
  <si>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</si>
  <si>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</si>
  <si>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</si>
  <si>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</si>
  <si>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</si>
  <si>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</si>
  <si>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</si>
  <si>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</si>
  <si>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</si>
  <si>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</si>
  <si>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</si>
  <si>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</si>
  <si>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</si>
  <si>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</si>
  <si>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</si>
  <si>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</si>
  <si>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</si>
  <si>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</si>
  <si>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</si>
  <si>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</si>
  <si>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</si>
  <si>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</si>
  <si>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</si>
  <si>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</si>
  <si>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</si>
  <si>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</si>
  <si>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</si>
  <si>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</si>
  <si>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</si>
  <si>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</si>
  <si>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</si>
  <si>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</si>
  <si>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</si>
  <si>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</si>
  <si>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</si>
  <si>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</si>
  <si>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</si>
  <si>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</si>
  <si>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</si>
  <si>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</si>
  <si>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</si>
  <si>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</si>
  <si>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</si>
  <si>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</si>
  <si>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</si>
  <si>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</si>
  <si>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</si>
  <si>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</si>
  <si>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</si>
  <si>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</si>
  <si>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</si>
  <si>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</si>
  <si>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</si>
  <si>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</si>
  <si>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</si>
  <si>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</si>
  <si>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</si>
  <si>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</si>
  <si>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</si>
  <si>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</si>
  <si>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</si>
  <si>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</si>
  <si>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</si>
  <si>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</si>
  <si>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</si>
  <si>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</si>
  <si>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</si>
  <si>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</si>
  <si>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</si>
  <si>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</si>
  <si>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</si>
  <si>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</si>
  <si>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</si>
  <si>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</si>
  <si>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</si>
  <si>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</si>
  <si>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</si>
  <si>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</si>
  <si>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>FRANCISCO MELLA</t>
  </si>
  <si>
    <t>+569 8451 4974</t>
  </si>
  <si>
    <t>CUB CON RESPALDO FRENTE 90° R12</t>
  </si>
  <si>
    <t>NERO MARCHINA PP-5974 BR</t>
  </si>
  <si>
    <t>N° 11014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</si>
</sst>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21" fillId="20" borderId="42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28575</xdr:rowOff>
    </xdr:from>
    <xdr:to>
      <xdr:col>8</xdr:col>
      <xdr:colOff>100890</xdr:colOff>
      <xdr:row>31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22</xdr:row>
      <xdr:rowOff>169545</xdr:rowOff>
    </xdr:from>
    <xdr:to>
      <xdr:col>5</xdr:col>
      <xdr:colOff>1764030</xdr:colOff>
      <xdr:row>26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9" zoomScale="98" zoomScaleNormal="98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88671875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0" t="s">
        <v>163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45483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160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8" t="s">
        <v>155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0" t="s">
        <v>149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15" t="s">
        <v>1</v>
      </c>
      <c r="D20" s="326" t="s">
        <v>10</v>
      </c>
      <c r="E20" s="326" t="s">
        <v>11</v>
      </c>
      <c r="F20" s="315" t="s">
        <v>8</v>
      </c>
      <c r="G20" s="315" t="s">
        <v>5</v>
      </c>
      <c r="H20" s="316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128014.19354838708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2">
        <v>1</v>
      </c>
      <c r="C21" s="312" t="s">
        <v>161</v>
      </c>
      <c r="D21" s="327">
        <v>1.5</v>
      </c>
      <c r="E21" s="327">
        <v>0.55000000000000004</v>
      </c>
      <c r="F21" s="312" t="s">
        <v>162</v>
      </c>
      <c r="G21" s="313">
        <v>112132</v>
      </c>
      <c r="H21" s="314">
        <f t="shared" ref="H21" si="1">G21*B21</f>
        <v>112132</v>
      </c>
      <c r="I21" s="265"/>
      <c r="J21" s="47"/>
      <c r="K21" s="324">
        <f>B21</f>
        <v>1</v>
      </c>
      <c r="L21" s="325">
        <f t="shared" ref="L21:M21" si="2">D21+L$19</f>
        <v>1.55</v>
      </c>
      <c r="M21" s="325">
        <f t="shared" si="2"/>
        <v>0.55000000000000004</v>
      </c>
      <c r="N21" s="261">
        <f>L21*M21</f>
        <v>0.85250000000000015</v>
      </c>
      <c r="O21" s="259">
        <f>N21*K21</f>
        <v>0.85250000000000015</v>
      </c>
      <c r="P21" s="252">
        <f>P$20*N21</f>
        <v>109132.1</v>
      </c>
      <c r="Q21" s="258">
        <f>P21+Q$20</f>
        <v>112132.1</v>
      </c>
      <c r="R21" s="308">
        <f>K21*L21</f>
        <v>1.55</v>
      </c>
      <c r="S21" s="14"/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17"/>
      <c r="H22" s="317"/>
      <c r="I22" s="265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9" t="s">
        <v>30</v>
      </c>
      <c r="H24" s="310">
        <f>SUM(H21:H23)</f>
        <v>112132</v>
      </c>
      <c r="I24" s="265"/>
      <c r="J24" s="47"/>
      <c r="K24" s="47"/>
      <c r="L24" s="39">
        <f>SUM(L21:L23)</f>
        <v>1.55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53</v>
      </c>
      <c r="H25" s="304"/>
      <c r="I25" s="265"/>
      <c r="J25" s="47"/>
      <c r="K25" s="47"/>
      <c r="L25" s="39"/>
      <c r="M25" s="12"/>
      <c r="N25" s="12"/>
      <c r="O25" s="253">
        <f>SUM(O21:O21)</f>
        <v>0.85250000000000015</v>
      </c>
      <c r="P25" s="14"/>
      <c r="Q25" s="12"/>
      <c r="R25" s="238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112132</v>
      </c>
      <c r="I26" s="265"/>
      <c r="J26" s="47"/>
      <c r="K26" s="47"/>
      <c r="L26" s="39"/>
      <c r="M26" s="12"/>
      <c r="N26" s="12"/>
      <c r="O26" s="253">
        <f>O25</f>
        <v>0.85250000000000015</v>
      </c>
      <c r="P26" s="14"/>
      <c r="Q26" s="12"/>
      <c r="R26" s="238">
        <f>SUM(R21:R25)</f>
        <v>1.55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>
        <v>32</v>
      </c>
      <c r="K27" s="47"/>
      <c r="L27" s="14"/>
      <c r="M27" s="12"/>
      <c r="N27" s="12"/>
      <c r="O27" s="39">
        <f>O26*20%</f>
        <v>0.17050000000000004</v>
      </c>
      <c r="P27" s="39" t="s">
        <v>132</v>
      </c>
      <c r="Q27" s="42"/>
      <c r="R27" s="239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319">
        <v>32</v>
      </c>
      <c r="K28" s="47"/>
      <c r="L28" s="14"/>
      <c r="M28" s="12"/>
      <c r="N28" s="12"/>
      <c r="O28" s="46">
        <f>O26+O27</f>
        <v>1.0230000000000001</v>
      </c>
      <c r="P28" s="14"/>
      <c r="Q28" s="14"/>
      <c r="R28" s="237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2"/>
      <c r="F29" s="233"/>
      <c r="G29" s="230"/>
      <c r="H29" s="275"/>
      <c r="I29" s="265"/>
      <c r="J29" s="319">
        <v>55</v>
      </c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2:24" ht="17.399999999999999" x14ac:dyDescent="0.35">
      <c r="B30" s="234"/>
      <c r="C30" s="235"/>
      <c r="D30" s="236"/>
      <c r="E30" s="234"/>
      <c r="F30" s="230"/>
      <c r="G30" s="230"/>
      <c r="I30" s="265"/>
      <c r="J30" s="47">
        <f>SUM(J27:J29)</f>
        <v>119</v>
      </c>
      <c r="K30" s="47"/>
      <c r="L30" s="39">
        <f>O28</f>
        <v>1.0230000000000001</v>
      </c>
      <c r="M30" s="12">
        <v>3500</v>
      </c>
      <c r="N30" s="12">
        <f t="shared" ref="N30:N35" si="3">L30*M30</f>
        <v>3580.5000000000005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0.3</v>
      </c>
      <c r="M31" s="12">
        <v>25000</v>
      </c>
      <c r="N31" s="12">
        <f t="shared" si="3"/>
        <v>7500</v>
      </c>
      <c r="O31" s="39" t="s">
        <v>156</v>
      </c>
      <c r="P31" s="42"/>
      <c r="Q31" s="14"/>
      <c r="R31" s="239"/>
      <c r="S31" s="14"/>
      <c r="T31" s="9"/>
      <c r="W31" s="4"/>
    </row>
    <row r="32" spans="2:24" s="230" customFormat="1" ht="17.399999999999999" x14ac:dyDescent="0.35">
      <c r="I32" s="262"/>
      <c r="J32" s="47"/>
      <c r="K32" s="250"/>
      <c r="L32" s="14"/>
      <c r="M32" s="250">
        <v>43000</v>
      </c>
      <c r="N32" s="12">
        <f t="shared" si="3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153</v>
      </c>
      <c r="I33" s="262"/>
      <c r="J33" s="318"/>
      <c r="K33" s="250"/>
      <c r="L33" s="14">
        <v>1</v>
      </c>
      <c r="M33" s="250">
        <v>36200</v>
      </c>
      <c r="N33" s="12">
        <f t="shared" si="3"/>
        <v>36200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18"/>
      <c r="K34" s="250"/>
      <c r="L34" s="249"/>
      <c r="M34" s="250">
        <v>800</v>
      </c>
      <c r="N34" s="12">
        <f t="shared" si="3"/>
        <v>0</v>
      </c>
      <c r="O34" s="14" t="s">
        <v>34</v>
      </c>
      <c r="P34" s="14"/>
      <c r="Q34" s="230">
        <v>1.52</v>
      </c>
      <c r="R34" s="237"/>
      <c r="S34" s="237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303"/>
      <c r="J35" s="47"/>
      <c r="K35" s="250"/>
      <c r="L35" s="266">
        <v>1.55</v>
      </c>
      <c r="M35" s="12">
        <v>1500</v>
      </c>
      <c r="N35" s="12">
        <f t="shared" si="3"/>
        <v>2325</v>
      </c>
      <c r="O35" s="14" t="s">
        <v>24</v>
      </c>
      <c r="P35" s="14"/>
      <c r="Q35">
        <v>2.44</v>
      </c>
      <c r="R35"/>
      <c r="S35" s="237">
        <v>1500</v>
      </c>
      <c r="W35" s="231"/>
    </row>
    <row r="36" spans="2:23" s="230" customFormat="1" ht="17.399999999999999" x14ac:dyDescent="0.35">
      <c r="J36" s="47"/>
      <c r="K36" s="250"/>
      <c r="L36" s="14"/>
      <c r="M36" s="12"/>
      <c r="N36" s="12">
        <f>SUM(N30:N35)</f>
        <v>49605.5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43000</v>
      </c>
      <c r="K37" s="250"/>
      <c r="L37" s="254" t="s">
        <v>35</v>
      </c>
      <c r="M37" s="12"/>
      <c r="N37" s="255">
        <f>N36*2.2</f>
        <v>109132.1</v>
      </c>
      <c r="O37" s="14" t="s">
        <v>142</v>
      </c>
      <c r="P37" s="14"/>
      <c r="Q37" s="46">
        <f>O26/Q36</f>
        <v>0.22985871440897329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36134.45378151261</v>
      </c>
      <c r="K38" s="250"/>
      <c r="L38" s="14"/>
      <c r="M38" s="12"/>
      <c r="N38" s="12">
        <f>N37/O26</f>
        <v>128014.19354838708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2.2000000000000002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0.22360655737704921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45483</v>
      </c>
    </row>
    <row r="6" spans="2:31" ht="16.2" thickBot="1" x14ac:dyDescent="0.35">
      <c r="B6" s="140" t="s">
        <v>2</v>
      </c>
      <c r="C6" s="139" t="str">
        <f>'2229'!C10</f>
        <v>FRANCISCO MELLA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11014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-7437.1542001207736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112132</v>
      </c>
      <c r="E11" s="132">
        <f>D11*0.19</f>
        <v>21305.08</v>
      </c>
      <c r="F11" s="131">
        <f>E11+D11</f>
        <v>133437.08000000002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98552.845799879229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40914.590787439614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80552.845799879229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71217.409212560393</v>
      </c>
      <c r="E13" s="221">
        <f>(D11/D12)-1</f>
        <v>1.7406359893112615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71552.845799879229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32552.845799879226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67509.07479927536</v>
      </c>
      <c r="F15" s="216">
        <f>E15-D12</f>
        <v>26594.484011835746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32552.845799879226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72552.845799879229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7500</v>
      </c>
      <c r="E19" s="123">
        <f>D19*0.19</f>
        <v>1425</v>
      </c>
      <c r="F19" s="120">
        <f>SUM(D19:E19)</f>
        <v>8925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3580.5000000000005</v>
      </c>
      <c r="E20" s="121">
        <f>D20*0.19</f>
        <v>680.29500000000007</v>
      </c>
      <c r="F20" s="120">
        <f>SUM(D20:E20)</f>
        <v>4260.7950000000001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11080.5</v>
      </c>
      <c r="E21" s="116">
        <f>SUM(E18:E20)</f>
        <v>2105.2950000000001</v>
      </c>
      <c r="F21" s="115">
        <f>SUM(F18:F20)</f>
        <v>13185.795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19199.785000000003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112132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11080.5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71217.409212560393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71217.409212560393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2024-07-01T20:53:41Z</dcterms:modified>
</cp:coreProperties>
</file>