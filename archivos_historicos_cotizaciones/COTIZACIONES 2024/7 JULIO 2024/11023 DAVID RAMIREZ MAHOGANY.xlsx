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54E56AF-DB94-4820-91D6-C3AD6854D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H25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<sst xmlns="http://schemas.openxmlformats.org/spreadsheetml/2006/main" count="218" uniqueCount="164">
  <si>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</si>
  <si>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</si>
  <si>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</si>
  <si>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</si>
  <si>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</si>
  <si>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</si>
  <si>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</si>
  <si>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</si>
  <si>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</si>
  <si>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</si>
  <si>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</si>
  <si>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</si>
  <si>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</si>
  <si>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</si>
  <si>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</si>
  <si>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</si>
  <si>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</si>
  <si>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</si>
  <si>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</si>
  <si>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</si>
  <si>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</si>
  <si>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</si>
  <si>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</si>
  <si>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</si>
  <si>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</si>
  <si>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</si>
  <si>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</si>
  <si>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</si>
  <si>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</si>
  <si>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</si>
  <si>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</si>
  <si>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</si>
  <si>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</si>
  <si>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</si>
  <si>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</si>
  <si>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</si>
  <si>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</si>
  <si>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</si>
  <si>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</si>
  <si>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</si>
  <si>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</si>
  <si>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</si>
  <si>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</si>
  <si>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</si>
  <si>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</si>
  <si>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</si>
  <si>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</si>
  <si>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</si>
  <si>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</si>
  <si>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</si>
  <si>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</si>
  <si>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</si>
  <si>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</si>
  <si>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</si>
  <si>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</si>
  <si>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</si>
  <si>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</si>
  <si>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</si>
  <si>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</si>
  <si>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</si>
  <si>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</si>
  <si>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</si>
  <si>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</si>
  <si>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</si>
  <si>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</si>
  <si>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</si>
  <si>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</si>
  <si>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</si>
  <si>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</si>
  <si>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</si>
  <si>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</si>
  <si>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</si>
  <si>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</si>
  <si>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</si>
  <si>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</si>
  <si>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</si>
  <si>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</si>
  <si>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</si>
  <si>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</si>
  <si>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</si>
  <si>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</si>
  <si>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</si>
  <si>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</si>
  <si>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</si>
  <si>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</si>
  <si>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</si>
  <si>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</si>
  <si>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</si>
  <si>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</si>
  <si>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</si>
  <si>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</si>
  <si>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</si>
  <si>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</si>
  <si>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</si>
  <si>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</si>
  <si>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</si>
  <si>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</si>
  <si>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</si>
  <si>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</si>
  <si>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</si>
  <si>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</si>
  <si>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</si>
  <si>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</si>
  <si>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</si>
  <si>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</si>
  <si>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</si>
  <si>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</si>
  <si>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</si>
  <si>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</si>
  <si>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</si>
  <si>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</si>
  <si>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</si>
  <si>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</si>
  <si>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</si>
  <si>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</si>
  <si>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</si>
  <si>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</si>
  <si>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</si>
  <si>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</si>
  <si>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</si>
  <si>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</si>
  <si>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</si>
  <si>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</si>
  <si>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</si>
  <si>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</si>
  <si>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</si>
  <si>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</si>
  <si>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</si>
  <si>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</si>
  <si>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</si>
  <si>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</si>
  <si>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</si>
  <si>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</si>
  <si>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</si>
  <si>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</si>
  <si>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</si>
  <si>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</si>
  <si>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</si>
  <si>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</si>
  <si>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</si>
  <si>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</si>
  <si>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</si>
  <si>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</si>
  <si>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</si>
  <si>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</si>
  <si>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</si>
  <si>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</si>
  <si>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</si>
  <si>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</si>
  <si>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</si>
  <si>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</si>
  <si>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</si>
  <si>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</si>
  <si>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</si>
  <si>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</si>
  <si>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</si>
  <si>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</si>
  <si>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</si>
  <si>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</si>
  <si>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DAVID RAMIREZ</t>
  </si>
  <si>
    <t>+569 8521 7073</t>
  </si>
  <si>
    <t>CUB MESA R8 4 LADOS</t>
  </si>
  <si>
    <t>MAHOGANY 1460 MT</t>
  </si>
  <si>
    <t>N° 11023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</si>
</sst>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ENCHAPADA POR</a:t>
          </a:r>
          <a:r>
            <a:rPr lang="es-CL" sz="1200" b="1" baseline="0"/>
            <a:t> SUS CUATRO  CANTOS CON LA MISMA LAMINA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45481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94321.504702194346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161</v>
      </c>
      <c r="D21" s="327">
        <v>1.1599999999999999</v>
      </c>
      <c r="E21" s="327">
        <v>1.1599999999999999</v>
      </c>
      <c r="F21" s="312" t="s">
        <v>162</v>
      </c>
      <c r="G21" s="313">
        <v>138390</v>
      </c>
      <c r="H21" s="314">
        <f t="shared" ref="H21" si="1">G21*B21</f>
        <v>138390</v>
      </c>
      <c r="I21" s="265"/>
      <c r="J21" s="47"/>
      <c r="K21" s="324">
        <f>B21</f>
        <v>1</v>
      </c>
      <c r="L21" s="325">
        <f t="shared" ref="L21:M21" si="2">D21+L$19</f>
        <v>1.21</v>
      </c>
      <c r="M21" s="325">
        <f t="shared" si="2"/>
        <v>1.1599999999999999</v>
      </c>
      <c r="N21" s="261">
        <f>L21*M21</f>
        <v>1.4036</v>
      </c>
      <c r="O21" s="259">
        <f>N21*K21</f>
        <v>1.4036</v>
      </c>
      <c r="P21" s="252">
        <f>P$20*N21</f>
        <v>132389.66399999999</v>
      </c>
      <c r="Q21" s="258">
        <f>P21+Q$20</f>
        <v>135389.66399999999</v>
      </c>
      <c r="R21" s="308">
        <f>K21*L21</f>
        <v>1.21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138390</v>
      </c>
      <c r="I24" s="265"/>
      <c r="J24" s="47"/>
      <c r="K24" s="47"/>
      <c r="L24" s="39">
        <f>SUM(L21:L23)</f>
        <v>1.21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26294.1</v>
      </c>
      <c r="I25" s="265"/>
      <c r="J25" s="47"/>
      <c r="K25" s="47"/>
      <c r="L25" s="39"/>
      <c r="M25" s="12"/>
      <c r="N25" s="12"/>
      <c r="O25" s="253">
        <f>SUM(O21:O21)</f>
        <v>1.4036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164684.1</v>
      </c>
      <c r="I26" s="265"/>
      <c r="J26" s="47"/>
      <c r="K26" s="47"/>
      <c r="L26" s="39"/>
      <c r="M26" s="12"/>
      <c r="N26" s="12"/>
      <c r="O26" s="253">
        <f>O25</f>
        <v>1.4036</v>
      </c>
      <c r="P26" s="14"/>
      <c r="Q26" s="12"/>
      <c r="R26" s="238">
        <f>SUM(R21:R25)</f>
        <v>1.21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0.28072000000000003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/>
      <c r="K28" s="47"/>
      <c r="L28" s="14"/>
      <c r="M28" s="12"/>
      <c r="N28" s="12"/>
      <c r="O28" s="46">
        <f>O26+O27</f>
        <v>1.68432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1.68432</v>
      </c>
      <c r="M30" s="12">
        <v>3500</v>
      </c>
      <c r="N30" s="12">
        <f t="shared" ref="N30:N35" si="3">L30*M30</f>
        <v>5895.12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3"/>
        <v>12500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41782</v>
      </c>
      <c r="N33" s="12">
        <f t="shared" si="3"/>
        <v>41782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60177.119999999995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49720</v>
      </c>
      <c r="K37" s="250"/>
      <c r="L37" s="254" t="s">
        <v>35</v>
      </c>
      <c r="M37" s="12"/>
      <c r="N37" s="255">
        <f>N36*2.2</f>
        <v>132389.66399999999</v>
      </c>
      <c r="O37" s="14" t="s">
        <v>142</v>
      </c>
      <c r="P37" s="14"/>
      <c r="Q37" s="46">
        <f>O26/Q36</f>
        <v>0.37845125107851596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41781.512605042022</v>
      </c>
      <c r="K38" s="250"/>
      <c r="L38" s="14"/>
      <c r="M38" s="12"/>
      <c r="N38" s="12">
        <f>N37/O26</f>
        <v>94321.504702194346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0.36815737704918033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45481</v>
      </c>
    </row>
    <row r="6" spans="2:31" ht="16.2" thickBot="1" x14ac:dyDescent="0.35">
      <c r="B6" s="140" t="s">
        <v>2</v>
      </c>
      <c r="C6" s="139" t="str">
        <f>'2229'!C10</f>
        <v>DAVID RAMIREZ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-9801.9670334541061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138390</v>
      </c>
      <c r="E11" s="132">
        <f>D11*0.19</f>
        <v>26294.1</v>
      </c>
      <c r="F11" s="131">
        <f>E11+D11</f>
        <v>164684.1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96188.032966545899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48229.210787439617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78188.032966545899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90160.789212560383</v>
      </c>
      <c r="E13" s="221">
        <f>(D11/D12)-1</f>
        <v>1.8694228609695815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69188.032966545899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30188.032966545892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79578.197799275367</v>
      </c>
      <c r="F15" s="216">
        <f>E15-D12</f>
        <v>31348.98701183575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30188.032966545892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70188.032966545899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5895.12</v>
      </c>
      <c r="E20" s="121">
        <f>D20*0.19</f>
        <v>1120.0727999999999</v>
      </c>
      <c r="F20" s="120">
        <f>SUM(D20:E20)</f>
        <v>7015.1927999999998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18395.12</v>
      </c>
      <c r="E21" s="116">
        <f>SUM(E18:E20)</f>
        <v>3495.0727999999999</v>
      </c>
      <c r="F21" s="115">
        <f>SUM(F18:F20)</f>
        <v>21890.192800000001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22799.027199999997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138390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18395.12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90160.789212560383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90160.789212560383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2024-07-08T19:10:14Z</dcterms:modified>
</cp:coreProperties>
</file>