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7EFA3C5D-B455-49B6-BE29-2172D7A28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24" i="1"/>
  <c r="H23" i="1"/>
  <c r="H22" i="1"/>
  <c r="O32" i="1"/>
  <c r="K22" i="1"/>
  <c r="L22" i="1"/>
  <c r="M22" i="1"/>
  <c r="N22" i="1"/>
  <c r="O22" i="1" s="1"/>
  <c r="K23" i="1"/>
  <c r="L23" i="1"/>
  <c r="M23" i="1"/>
  <c r="N23" i="1"/>
  <c r="O23" i="1"/>
  <c r="K24" i="1"/>
  <c r="L24" i="1"/>
  <c r="N24" i="1" s="1"/>
  <c r="M24" i="1"/>
  <c r="K25" i="1"/>
  <c r="L25" i="1"/>
  <c r="N25" i="1" s="1"/>
  <c r="M25" i="1"/>
  <c r="K26" i="1"/>
  <c r="L26" i="1"/>
  <c r="M26" i="1"/>
  <c r="N26" i="1"/>
  <c r="O26" i="1" s="1"/>
  <c r="K27" i="1"/>
  <c r="L27" i="1"/>
  <c r="M27" i="1"/>
  <c r="N27" i="1"/>
  <c r="O27" i="1"/>
  <c r="O24" i="1" l="1"/>
  <c r="O25" i="1"/>
  <c r="K21" i="1"/>
  <c r="J37" i="1"/>
  <c r="K10" i="1"/>
  <c r="J45" i="1" l="1"/>
  <c r="L21" i="1" l="1"/>
  <c r="L31" i="1" s="1"/>
  <c r="M21" i="1"/>
  <c r="N21" i="1" l="1"/>
  <c r="O21" i="1" s="1"/>
  <c r="R21" i="1"/>
  <c r="N38" i="1"/>
  <c r="O33" i="1" l="1"/>
  <c r="S50" i="1"/>
  <c r="O34" i="1" l="1"/>
  <c r="M20" i="1"/>
  <c r="K20" i="1"/>
  <c r="N39" i="1" l="1"/>
  <c r="Q43" i="1"/>
  <c r="Q44" i="1" s="1"/>
  <c r="N40" i="1" l="1"/>
  <c r="S43" i="1" l="1"/>
  <c r="S4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O35" i="1" l="1"/>
  <c r="L37" i="1" s="1"/>
  <c r="N37" i="1" l="1"/>
  <c r="S51" i="1"/>
  <c r="N43" i="1" l="1"/>
  <c r="N44" i="1" s="1"/>
  <c r="D20" i="3"/>
  <c r="E20" i="3" s="1"/>
  <c r="E21" i="3" s="1"/>
  <c r="N46" i="1" l="1"/>
  <c r="D21" i="3"/>
  <c r="M43" i="3" s="1"/>
  <c r="D12" i="3" s="1"/>
  <c r="F20" i="3"/>
  <c r="F21" i="3" s="1"/>
  <c r="N45" i="1" l="1"/>
  <c r="P20" i="1" s="1"/>
  <c r="E15" i="3"/>
  <c r="P23" i="1" l="1"/>
  <c r="Q23" i="1" s="1"/>
  <c r="P25" i="1"/>
  <c r="Q25" i="1" s="1"/>
  <c r="P27" i="1"/>
  <c r="Q27" i="1" s="1"/>
  <c r="P26" i="1"/>
  <c r="Q26" i="1" s="1"/>
  <c r="P24" i="1"/>
  <c r="Q24" i="1" s="1"/>
  <c r="P22" i="1"/>
  <c r="Q22" i="1" s="1"/>
  <c r="P21" i="1"/>
  <c r="F15" i="3"/>
  <c r="Q21" i="1" l="1"/>
  <c r="H21" i="1" s="1"/>
  <c r="H30" i="1" s="1"/>
  <c r="H31" i="1" s="1"/>
  <c r="R33" i="1"/>
  <c r="H32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<sst xmlns="http://schemas.openxmlformats.org/spreadsheetml/2006/main" count="230" uniqueCount="165">
  <si>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</si>
  <si>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</si>
  <si>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</si>
  <si>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</si>
  <si>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</si>
  <si>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</si>
  <si>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</si>
  <si>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</si>
  <si>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</si>
  <si>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</si>
  <si>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</si>
  <si>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</si>
  <si>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</si>
  <si>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</si>
  <si>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</si>
  <si>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</si>
  <si>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</si>
  <si>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</si>
  <si>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</si>
  <si>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</si>
  <si>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</si>
  <si>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</si>
  <si>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</si>
  <si>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</si>
  <si>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</si>
  <si>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</si>
  <si>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</si>
  <si>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</si>
  <si>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</si>
  <si>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</si>
  <si>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</si>
  <si>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</si>
  <si>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</si>
  <si>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</si>
  <si>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</si>
  <si>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</si>
  <si>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</si>
  <si>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</si>
  <si>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</si>
  <si>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</si>
  <si>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</si>
  <si>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</si>
  <si>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</si>
  <si>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</si>
  <si>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</si>
  <si>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</si>
  <si>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</si>
  <si>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</si>
  <si>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</si>
  <si>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</si>
  <si>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</si>
  <si>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</si>
  <si>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</si>
  <si>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</si>
  <si>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</si>
  <si>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</si>
  <si>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</si>
  <si>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</si>
  <si>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</si>
  <si>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</si>
  <si>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</si>
  <si>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</si>
  <si>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</si>
  <si>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</si>
  <si>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</si>
  <si>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</si>
  <si>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</si>
  <si>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</si>
  <si>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</si>
  <si>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</si>
  <si>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</si>
  <si>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</si>
  <si>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</si>
  <si>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</si>
  <si>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</si>
  <si>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</si>
  <si>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</si>
  <si>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</si>
  <si>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</si>
  <si>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</si>
  <si>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</si>
  <si>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</si>
  <si>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</si>
  <si>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</si>
  <si>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</si>
  <si>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</si>
  <si>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</si>
  <si>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</si>
  <si>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</si>
  <si>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</si>
  <si>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</si>
  <si>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</si>
  <si>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</si>
  <si>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</si>
  <si>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</si>
  <si>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</si>
  <si>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</si>
  <si>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</si>
  <si>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</si>
  <si>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</si>
  <si>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</si>
  <si>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</si>
  <si>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</si>
  <si>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</si>
  <si>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</si>
  <si>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</si>
  <si>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</si>
  <si>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</si>
  <si>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</si>
  <si>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</si>
  <si>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</si>
  <si>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</si>
  <si>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</si>
  <si>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</si>
  <si>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</si>
  <si>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</si>
  <si>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</si>
  <si>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</si>
  <si>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</si>
  <si>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</si>
  <si>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</si>
  <si>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</si>
  <si>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</si>
  <si>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</si>
  <si>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</si>
  <si>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</si>
  <si>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</si>
  <si>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</si>
  <si>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</si>
  <si>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</si>
  <si>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</si>
  <si>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</si>
  <si>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</si>
  <si>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</si>
  <si>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</si>
  <si>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</si>
  <si>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</si>
  <si>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</si>
  <si>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</si>
  <si>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</si>
  <si>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</si>
  <si>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</si>
  <si>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</si>
  <si>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</si>
  <si>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</si>
  <si>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</si>
  <si>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</si>
  <si>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</si>
  <si>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</si>
  <si>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</si>
  <si>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</si>
  <si>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</si>
  <si>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</si>
  <si>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</si>
  <si>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</si>
  <si>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</si>
  <si>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</si>
  <si>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</si>
  <si>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CESAR AREVALO</t>
  </si>
  <si>
    <t>+569 85024064</t>
  </si>
  <si>
    <t>10 DIAS HABILES</t>
  </si>
  <si>
    <t>CUB SIN RESPALDO R8 TRASCARA MISMA LAMINA</t>
  </si>
  <si>
    <t>ENCHAPE RECTO 2 CARAS</t>
  </si>
  <si>
    <t>WENGUE 1807 MT</t>
  </si>
  <si>
    <t>N° 11018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</si>
</sst>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5248</xdr:rowOff>
    </xdr:from>
    <xdr:to>
      <xdr:col>8</xdr:col>
      <xdr:colOff>23327</xdr:colOff>
      <xdr:row>36</xdr:row>
      <xdr:rowOff>5249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264076" y="5300370"/>
          <a:ext cx="2027659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1765041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304647"/>
          <a:ext cx="6389720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15551</xdr:colOff>
      <xdr:row>28</xdr:row>
      <xdr:rowOff>216198</xdr:rowOff>
    </xdr:from>
    <xdr:to>
      <xdr:col>5</xdr:col>
      <xdr:colOff>1764030</xdr:colOff>
      <xdr:row>32</xdr:row>
      <xdr:rowOff>15551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3" y="4624912"/>
          <a:ext cx="6351581" cy="68576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8"/>
  <sheetViews>
    <sheetView tabSelected="1" topLeftCell="A3" zoomScale="98" zoomScaleNormal="98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51.4414062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9" t="s">
        <v>128</v>
      </c>
      <c r="C8" s="300"/>
      <c r="D8" s="313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7" t="s">
        <v>158</v>
      </c>
      <c r="D10" s="243"/>
      <c r="E10" s="243"/>
      <c r="F10" s="244" t="s">
        <v>0</v>
      </c>
      <c r="G10" s="275">
        <v>45477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309"/>
      <c r="F11" t="s">
        <v>125</v>
      </c>
      <c r="G11" s="287" t="s">
        <v>160</v>
      </c>
      <c r="H11" s="288"/>
      <c r="P11" s="19"/>
      <c r="Q11" s="25" t="s">
        <v>19</v>
      </c>
      <c r="R11" s="19"/>
    </row>
    <row r="12" spans="2:23" ht="16.8" x14ac:dyDescent="0.4">
      <c r="B12" s="246" t="s">
        <v>147</v>
      </c>
      <c r="C12" s="309"/>
      <c r="D12" s="247"/>
      <c r="E12" s="247"/>
      <c r="F12" s="247" t="s">
        <v>129</v>
      </c>
      <c r="G12" s="276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6"/>
      <c r="H13" s="248"/>
      <c r="P13" s="19"/>
      <c r="Q13" s="25"/>
      <c r="R13" s="19"/>
    </row>
    <row r="14" spans="2:23" x14ac:dyDescent="0.3">
      <c r="B14" s="286" t="s">
        <v>141</v>
      </c>
      <c r="C14" s="304"/>
      <c r="F14" s="29" t="s">
        <v>138</v>
      </c>
      <c r="G14" s="289" t="s">
        <v>137</v>
      </c>
      <c r="H14" s="288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159</v>
      </c>
      <c r="D15" s="293"/>
      <c r="E15" s="247"/>
      <c r="F15" s="247" t="s">
        <v>136</v>
      </c>
      <c r="G15" s="294" t="s">
        <v>137</v>
      </c>
      <c r="H15" s="248"/>
    </row>
    <row r="16" spans="2:23" ht="16.8" x14ac:dyDescent="0.4">
      <c r="B16" s="290" t="s">
        <v>3</v>
      </c>
      <c r="C16" s="309"/>
      <c r="F16" s="291" t="s">
        <v>131</v>
      </c>
      <c r="G16" s="292" t="s">
        <v>157</v>
      </c>
      <c r="H16" s="288"/>
    </row>
    <row r="17" spans="2:24" ht="15" thickBot="1" x14ac:dyDescent="0.35">
      <c r="B17" s="295" t="s">
        <v>13</v>
      </c>
      <c r="C17" s="296" t="s">
        <v>154</v>
      </c>
      <c r="D17" s="297"/>
      <c r="E17" s="298"/>
      <c r="F17" s="319" t="s">
        <v>155</v>
      </c>
      <c r="G17" s="319"/>
      <c r="H17" s="32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1" t="s">
        <v>149</v>
      </c>
      <c r="C19" s="322"/>
      <c r="D19" s="322"/>
      <c r="E19" s="322"/>
      <c r="F19" s="322"/>
      <c r="G19" s="322"/>
      <c r="H19" s="32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7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4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N45</f>
        <v>115091.77227404312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33">
        <v>1</v>
      </c>
      <c r="C21" s="334" t="s">
        <v>161</v>
      </c>
      <c r="D21" s="335">
        <v>1.22</v>
      </c>
      <c r="E21" s="335">
        <v>0.35</v>
      </c>
      <c r="F21" s="334" t="s">
        <v>163</v>
      </c>
      <c r="G21" s="336">
        <v>54158</v>
      </c>
      <c r="H21" s="339">
        <f t="shared" ref="H21:H27" si="1">G21*B21</f>
        <v>54158</v>
      </c>
      <c r="I21" s="265"/>
      <c r="J21" s="47"/>
      <c r="K21" s="315">
        <f>B21</f>
        <v>1</v>
      </c>
      <c r="L21" s="316">
        <f t="shared" ref="L21:M21" si="2">D21+L$19</f>
        <v>1.27</v>
      </c>
      <c r="M21" s="316">
        <f t="shared" si="2"/>
        <v>0.35</v>
      </c>
      <c r="N21" s="261">
        <f>L21*M21</f>
        <v>0.44449999999999995</v>
      </c>
      <c r="O21" s="259">
        <f>N21*K21</f>
        <v>0.44449999999999995</v>
      </c>
      <c r="P21" s="252">
        <f>P$20*N21</f>
        <v>51158.292775812159</v>
      </c>
      <c r="Q21" s="258">
        <f>P21+Q$20</f>
        <v>54158.292775812159</v>
      </c>
      <c r="R21" s="306">
        <f>K21*L21</f>
        <v>1.27</v>
      </c>
      <c r="S21" s="14"/>
      <c r="T21" s="9"/>
      <c r="W21" s="4"/>
    </row>
    <row r="22" spans="2:24" ht="17.399999999999999" x14ac:dyDescent="0.3">
      <c r="B22" s="337">
        <v>2</v>
      </c>
      <c r="C22" s="337" t="s">
        <v>162</v>
      </c>
      <c r="D22" s="338">
        <v>0.4</v>
      </c>
      <c r="E22" s="338">
        <v>0.35</v>
      </c>
      <c r="F22" s="334" t="s">
        <v>163</v>
      </c>
      <c r="G22" s="339">
        <v>21127</v>
      </c>
      <c r="H22" s="339">
        <f t="shared" si="1"/>
        <v>42254</v>
      </c>
      <c r="I22" s="265"/>
      <c r="J22" s="47"/>
      <c r="K22" s="315">
        <f t="shared" ref="K22:K27" si="3">B22</f>
        <v>2</v>
      </c>
      <c r="L22" s="316">
        <f t="shared" ref="L22:L27" si="4">D22+L$19</f>
        <v>0.45</v>
      </c>
      <c r="M22" s="316">
        <f t="shared" ref="M22:M27" si="5">E22+M$19</f>
        <v>0.35</v>
      </c>
      <c r="N22" s="261">
        <f t="shared" ref="N22:N27" si="6">L22*M22</f>
        <v>0.1575</v>
      </c>
      <c r="O22" s="259">
        <f t="shared" ref="O22:O27" si="7">N22*K22</f>
        <v>0.315</v>
      </c>
      <c r="P22" s="252">
        <f t="shared" ref="P22:P27" si="8">P$20*N22</f>
        <v>18126.954133161791</v>
      </c>
      <c r="Q22" s="258">
        <f t="shared" ref="Q22:Q27" si="9">P22+Q$20</f>
        <v>21126.954133161791</v>
      </c>
      <c r="R22" s="306"/>
      <c r="S22" s="14"/>
      <c r="T22" s="9"/>
      <c r="W22" s="4"/>
    </row>
    <row r="23" spans="2:24" ht="17.399999999999999" x14ac:dyDescent="0.3">
      <c r="B23" s="337">
        <v>1</v>
      </c>
      <c r="C23" s="337" t="s">
        <v>162</v>
      </c>
      <c r="D23" s="338">
        <v>0.23</v>
      </c>
      <c r="E23" s="338">
        <v>0.35</v>
      </c>
      <c r="F23" s="334" t="s">
        <v>163</v>
      </c>
      <c r="G23" s="339">
        <v>14279</v>
      </c>
      <c r="H23" s="339">
        <f t="shared" si="1"/>
        <v>14279</v>
      </c>
      <c r="I23" s="265"/>
      <c r="J23" s="47"/>
      <c r="K23" s="315">
        <f t="shared" si="3"/>
        <v>1</v>
      </c>
      <c r="L23" s="316">
        <f t="shared" si="4"/>
        <v>0.28000000000000003</v>
      </c>
      <c r="M23" s="316">
        <f t="shared" si="5"/>
        <v>0.35</v>
      </c>
      <c r="N23" s="261">
        <f t="shared" si="6"/>
        <v>9.8000000000000004E-2</v>
      </c>
      <c r="O23" s="259">
        <f t="shared" si="7"/>
        <v>9.8000000000000004E-2</v>
      </c>
      <c r="P23" s="252">
        <f t="shared" si="8"/>
        <v>11278.993682856226</v>
      </c>
      <c r="Q23" s="258">
        <f t="shared" si="9"/>
        <v>14278.993682856226</v>
      </c>
      <c r="R23" s="306"/>
      <c r="S23" s="14"/>
      <c r="T23" s="9"/>
      <c r="W23" s="4"/>
    </row>
    <row r="24" spans="2:24" ht="17.399999999999999" x14ac:dyDescent="0.3">
      <c r="B24" s="337">
        <v>1</v>
      </c>
      <c r="C24" s="337" t="s">
        <v>162</v>
      </c>
      <c r="D24" s="338">
        <v>0.4</v>
      </c>
      <c r="E24" s="338">
        <v>0.15</v>
      </c>
      <c r="F24" s="334" t="s">
        <v>163</v>
      </c>
      <c r="G24" s="339">
        <v>10769</v>
      </c>
      <c r="H24" s="339">
        <f t="shared" si="1"/>
        <v>10769</v>
      </c>
      <c r="I24" s="265"/>
      <c r="J24" s="47"/>
      <c r="K24" s="315">
        <f t="shared" si="3"/>
        <v>1</v>
      </c>
      <c r="L24" s="316">
        <f t="shared" si="4"/>
        <v>0.45</v>
      </c>
      <c r="M24" s="316">
        <f t="shared" si="5"/>
        <v>0.15</v>
      </c>
      <c r="N24" s="261">
        <f t="shared" si="6"/>
        <v>6.7500000000000004E-2</v>
      </c>
      <c r="O24" s="259">
        <f t="shared" si="7"/>
        <v>6.7500000000000004E-2</v>
      </c>
      <c r="P24" s="252">
        <f t="shared" si="8"/>
        <v>7768.6946284979113</v>
      </c>
      <c r="Q24" s="258">
        <f t="shared" si="9"/>
        <v>10768.694628497911</v>
      </c>
      <c r="R24" s="306"/>
      <c r="S24" s="14"/>
      <c r="T24" s="9"/>
      <c r="W24" s="4"/>
    </row>
    <row r="25" spans="2:24" ht="17.399999999999999" x14ac:dyDescent="0.3">
      <c r="B25" s="337">
        <v>2</v>
      </c>
      <c r="C25" s="337" t="s">
        <v>162</v>
      </c>
      <c r="D25" s="338">
        <v>0.4</v>
      </c>
      <c r="E25" s="338">
        <v>0.35</v>
      </c>
      <c r="F25" s="334" t="s">
        <v>163</v>
      </c>
      <c r="G25" s="339">
        <v>21127</v>
      </c>
      <c r="H25" s="339">
        <f t="shared" si="1"/>
        <v>42254</v>
      </c>
      <c r="I25" s="265"/>
      <c r="J25" s="47"/>
      <c r="K25" s="315">
        <f t="shared" si="3"/>
        <v>2</v>
      </c>
      <c r="L25" s="316">
        <f t="shared" si="4"/>
        <v>0.45</v>
      </c>
      <c r="M25" s="316">
        <f t="shared" si="5"/>
        <v>0.35</v>
      </c>
      <c r="N25" s="261">
        <f t="shared" si="6"/>
        <v>0.1575</v>
      </c>
      <c r="O25" s="259">
        <f t="shared" si="7"/>
        <v>0.315</v>
      </c>
      <c r="P25" s="252">
        <f t="shared" si="8"/>
        <v>18126.954133161791</v>
      </c>
      <c r="Q25" s="258">
        <f t="shared" si="9"/>
        <v>21126.954133161791</v>
      </c>
      <c r="R25" s="306"/>
      <c r="S25" s="14"/>
      <c r="T25" s="9"/>
      <c r="W25" s="4"/>
    </row>
    <row r="26" spans="2:24" ht="17.399999999999999" x14ac:dyDescent="0.3">
      <c r="B26" s="337">
        <v>1</v>
      </c>
      <c r="C26" s="337" t="s">
        <v>162</v>
      </c>
      <c r="D26" s="338">
        <v>0.46</v>
      </c>
      <c r="E26" s="338">
        <v>0.15</v>
      </c>
      <c r="F26" s="334" t="s">
        <v>163</v>
      </c>
      <c r="G26" s="339">
        <v>11805</v>
      </c>
      <c r="H26" s="339">
        <f t="shared" si="1"/>
        <v>11805</v>
      </c>
      <c r="I26" s="265"/>
      <c r="J26" s="47"/>
      <c r="K26" s="315">
        <f t="shared" si="3"/>
        <v>1</v>
      </c>
      <c r="L26" s="316">
        <f t="shared" si="4"/>
        <v>0.51</v>
      </c>
      <c r="M26" s="316">
        <f t="shared" si="5"/>
        <v>0.15</v>
      </c>
      <c r="N26" s="261">
        <f t="shared" si="6"/>
        <v>7.6499999999999999E-2</v>
      </c>
      <c r="O26" s="259">
        <f t="shared" si="7"/>
        <v>7.6499999999999999E-2</v>
      </c>
      <c r="P26" s="252">
        <f t="shared" si="8"/>
        <v>8804.5205789642987</v>
      </c>
      <c r="Q26" s="258">
        <f t="shared" si="9"/>
        <v>11804.520578964299</v>
      </c>
      <c r="R26" s="306"/>
      <c r="S26" s="14"/>
      <c r="T26" s="9"/>
      <c r="W26" s="4"/>
    </row>
    <row r="27" spans="2:24" ht="17.399999999999999" x14ac:dyDescent="0.3">
      <c r="B27" s="337">
        <v>2</v>
      </c>
      <c r="C27" s="337" t="s">
        <v>162</v>
      </c>
      <c r="D27" s="338">
        <v>1.1399999999999999</v>
      </c>
      <c r="E27" s="338">
        <v>0.1</v>
      </c>
      <c r="F27" s="334" t="s">
        <v>163</v>
      </c>
      <c r="G27" s="339">
        <v>16696</v>
      </c>
      <c r="H27" s="339">
        <f t="shared" si="1"/>
        <v>33392</v>
      </c>
      <c r="I27" s="265"/>
      <c r="J27" s="47"/>
      <c r="K27" s="315">
        <f t="shared" si="3"/>
        <v>2</v>
      </c>
      <c r="L27" s="316">
        <f t="shared" si="4"/>
        <v>1.19</v>
      </c>
      <c r="M27" s="316">
        <f t="shared" si="5"/>
        <v>0.1</v>
      </c>
      <c r="N27" s="261">
        <f t="shared" si="6"/>
        <v>0.11899999999999999</v>
      </c>
      <c r="O27" s="259">
        <f t="shared" si="7"/>
        <v>0.23799999999999999</v>
      </c>
      <c r="P27" s="252">
        <f t="shared" si="8"/>
        <v>13695.92090061113</v>
      </c>
      <c r="Q27" s="258">
        <f t="shared" si="9"/>
        <v>16695.92090061113</v>
      </c>
      <c r="R27" s="306"/>
      <c r="S27" s="14"/>
      <c r="T27" s="9"/>
      <c r="W27" s="4"/>
    </row>
    <row r="28" spans="2:24" ht="17.399999999999999" x14ac:dyDescent="0.3">
      <c r="B28" s="331"/>
      <c r="C28" s="331"/>
      <c r="D28" s="332"/>
      <c r="E28" s="332"/>
      <c r="F28" s="331"/>
      <c r="G28" s="310"/>
      <c r="H28" s="310"/>
      <c r="I28" s="265"/>
      <c r="J28" s="47"/>
      <c r="K28" s="315"/>
      <c r="L28" s="316"/>
      <c r="M28" s="316"/>
      <c r="N28" s="261"/>
      <c r="O28" s="259"/>
      <c r="P28" s="252"/>
      <c r="Q28" s="258"/>
      <c r="R28" s="306"/>
      <c r="S28" s="14"/>
      <c r="T28" s="9"/>
      <c r="W28" s="4"/>
    </row>
    <row r="29" spans="2:24" ht="18" thickBot="1" x14ac:dyDescent="0.35">
      <c r="B29" s="284"/>
      <c r="C29" s="284"/>
      <c r="D29" s="285"/>
      <c r="E29" s="285"/>
      <c r="F29" s="284"/>
      <c r="G29" s="310"/>
      <c r="H29" s="310"/>
      <c r="I29" s="265"/>
      <c r="J29" s="47"/>
      <c r="K29" s="47"/>
      <c r="L29" s="39"/>
      <c r="M29" s="39"/>
      <c r="N29" s="261"/>
      <c r="O29" s="259"/>
      <c r="P29" s="252"/>
      <c r="Q29" s="258"/>
      <c r="R29" s="306"/>
      <c r="S29" s="14"/>
      <c r="T29" s="9"/>
      <c r="W29" s="4"/>
    </row>
    <row r="30" spans="2:24" ht="17.399999999999999" x14ac:dyDescent="0.3">
      <c r="B30" s="284"/>
      <c r="C30" s="284"/>
      <c r="D30" s="285"/>
      <c r="E30" s="285"/>
      <c r="F30" s="284"/>
      <c r="G30" s="307" t="s">
        <v>30</v>
      </c>
      <c r="H30" s="308">
        <f>SUM(H21:H29)</f>
        <v>208911</v>
      </c>
      <c r="I30" s="232"/>
      <c r="J30" s="47"/>
      <c r="K30" s="47"/>
      <c r="L30" s="39"/>
      <c r="M30" s="39"/>
      <c r="N30" s="261"/>
      <c r="O30" s="259"/>
      <c r="P30" s="252"/>
      <c r="Q30" s="258"/>
      <c r="R30" s="306"/>
      <c r="S30" s="14"/>
      <c r="T30" s="9"/>
      <c r="W30" s="4"/>
    </row>
    <row r="31" spans="2:24" ht="17.399999999999999" x14ac:dyDescent="0.3">
      <c r="B31" s="278"/>
      <c r="C31" s="281"/>
      <c r="D31" s="282"/>
      <c r="E31" s="282"/>
      <c r="F31" s="283"/>
      <c r="G31" s="305" t="s">
        <v>53</v>
      </c>
      <c r="H31" s="302">
        <f>H30*0.19</f>
        <v>39693.090000000004</v>
      </c>
      <c r="I31" s="265"/>
      <c r="J31" s="47"/>
      <c r="K31" s="47"/>
      <c r="L31" s="39">
        <f>SUM(L21:L30)</f>
        <v>4.5999999999999996</v>
      </c>
      <c r="M31" s="39"/>
      <c r="N31" s="261"/>
      <c r="O31" s="259"/>
      <c r="P31" s="252"/>
      <c r="Q31" s="258"/>
      <c r="R31" s="306"/>
      <c r="S31" s="14"/>
      <c r="T31" s="9"/>
      <c r="W31" s="4"/>
    </row>
    <row r="32" spans="2:24" ht="18" thickBot="1" x14ac:dyDescent="0.35">
      <c r="B32" s="274"/>
      <c r="C32" s="280"/>
      <c r="D32" s="271"/>
      <c r="E32" s="271"/>
      <c r="F32" s="272"/>
      <c r="G32" s="279" t="s">
        <v>6</v>
      </c>
      <c r="H32" s="303">
        <f>H30+H31</f>
        <v>248604.09</v>
      </c>
      <c r="I32" s="265"/>
      <c r="J32" s="47"/>
      <c r="K32" s="47"/>
      <c r="L32" s="39"/>
      <c r="M32" s="12"/>
      <c r="N32" s="12"/>
      <c r="O32" s="253">
        <f>SUM(O21:O27)</f>
        <v>1.5545</v>
      </c>
      <c r="P32" s="14"/>
      <c r="Q32" s="12"/>
      <c r="R32" s="238"/>
      <c r="S32" s="14"/>
      <c r="T32" s="9"/>
      <c r="W32" s="4"/>
    </row>
    <row r="33" spans="1:23" ht="17.399999999999999" x14ac:dyDescent="0.3">
      <c r="I33" s="265"/>
      <c r="J33" s="47"/>
      <c r="K33" s="47"/>
      <c r="L33" s="39"/>
      <c r="M33" s="12"/>
      <c r="N33" s="12"/>
      <c r="O33" s="253">
        <f>O32</f>
        <v>1.5545</v>
      </c>
      <c r="P33" s="14"/>
      <c r="Q33" s="12"/>
      <c r="R33" s="238">
        <f>SUM(R21:R32)</f>
        <v>1.27</v>
      </c>
      <c r="S33" s="14"/>
      <c r="T33" s="9"/>
      <c r="W33" s="4"/>
    </row>
    <row r="34" spans="1:23" ht="17.399999999999999" x14ac:dyDescent="0.35">
      <c r="B34" s="269"/>
      <c r="C34" s="230"/>
      <c r="D34" s="230"/>
      <c r="E34" s="232"/>
      <c r="F34" s="233"/>
      <c r="G34" s="230"/>
      <c r="H34" s="273"/>
      <c r="I34" s="265"/>
      <c r="J34" s="47">
        <v>32</v>
      </c>
      <c r="K34" s="47"/>
      <c r="L34" s="14"/>
      <c r="M34" s="12"/>
      <c r="N34" s="12"/>
      <c r="O34" s="39">
        <f>O33*20%</f>
        <v>0.31090000000000001</v>
      </c>
      <c r="P34" s="39" t="s">
        <v>132</v>
      </c>
      <c r="Q34" s="42"/>
      <c r="R34" s="239"/>
      <c r="S34" s="14"/>
      <c r="T34" s="9"/>
      <c r="W34" s="4"/>
    </row>
    <row r="35" spans="1:23" ht="17.399999999999999" x14ac:dyDescent="0.35">
      <c r="B35" s="234"/>
      <c r="C35" s="235"/>
      <c r="D35" s="236"/>
      <c r="E35" s="234"/>
      <c r="F35" s="230"/>
      <c r="G35" s="230"/>
      <c r="I35" s="265"/>
      <c r="J35" s="312">
        <v>32</v>
      </c>
      <c r="K35" s="47"/>
      <c r="L35" s="14"/>
      <c r="M35" s="12"/>
      <c r="N35" s="12"/>
      <c r="O35" s="46">
        <f>O33+O34</f>
        <v>1.8653999999999999</v>
      </c>
      <c r="P35" s="14"/>
      <c r="Q35" s="14"/>
      <c r="R35" s="237">
        <v>40</v>
      </c>
      <c r="S35" s="14"/>
      <c r="T35" s="9"/>
      <c r="W35" s="4"/>
    </row>
    <row r="36" spans="1:23" ht="17.399999999999999" x14ac:dyDescent="0.35">
      <c r="B36" s="230"/>
      <c r="C36" s="230"/>
      <c r="D36" s="230"/>
      <c r="E36" s="230"/>
      <c r="F36" s="230"/>
      <c r="G36" s="230"/>
      <c r="I36" s="265"/>
      <c r="J36" s="312">
        <v>55</v>
      </c>
      <c r="K36" s="47"/>
      <c r="L36" s="14"/>
      <c r="M36" s="14"/>
      <c r="N36" s="14"/>
      <c r="O36" s="14"/>
      <c r="P36" s="14"/>
      <c r="Q36" s="14"/>
      <c r="R36" s="237"/>
      <c r="S36" s="14"/>
      <c r="T36" s="9"/>
      <c r="W36" s="4"/>
    </row>
    <row r="37" spans="1:23" ht="17.399999999999999" x14ac:dyDescent="0.35">
      <c r="A37" s="230"/>
      <c r="B37" s="230"/>
      <c r="C37" s="230"/>
      <c r="D37" s="230"/>
      <c r="E37" s="230"/>
      <c r="F37" s="230"/>
      <c r="G37" s="230"/>
      <c r="H37" s="230"/>
      <c r="I37" s="265"/>
      <c r="J37" s="47">
        <f>SUM(J34:J36)</f>
        <v>119</v>
      </c>
      <c r="K37" s="47"/>
      <c r="L37" s="39">
        <f>O35*2</f>
        <v>3.7307999999999999</v>
      </c>
      <c r="M37" s="12">
        <v>3500</v>
      </c>
      <c r="N37" s="12">
        <f t="shared" ref="N37:N42" si="10">L37*M37</f>
        <v>13057.8</v>
      </c>
      <c r="O37" s="14" t="s">
        <v>22</v>
      </c>
      <c r="P37" s="14" t="s">
        <v>23</v>
      </c>
      <c r="Q37" s="14"/>
      <c r="R37" s="240"/>
      <c r="S37" s="14"/>
      <c r="T37" s="9"/>
      <c r="W37" s="4"/>
    </row>
    <row r="38" spans="1:23" ht="17.399999999999999" x14ac:dyDescent="0.35">
      <c r="A38" s="230"/>
      <c r="B38" s="24" t="s">
        <v>153</v>
      </c>
      <c r="C38" s="230"/>
      <c r="D38" s="230"/>
      <c r="E38" s="230"/>
      <c r="F38" s="230"/>
      <c r="G38" s="230"/>
      <c r="H38" s="230"/>
      <c r="I38" s="265"/>
      <c r="J38" s="47"/>
      <c r="K38" s="47"/>
      <c r="L38" s="249">
        <v>0.5</v>
      </c>
      <c r="M38" s="12">
        <v>25000</v>
      </c>
      <c r="N38" s="12">
        <f t="shared" si="10"/>
        <v>12500</v>
      </c>
      <c r="O38" s="39" t="s">
        <v>156</v>
      </c>
      <c r="P38" s="42"/>
      <c r="Q38" s="14"/>
      <c r="R38" s="239"/>
      <c r="S38" s="14"/>
      <c r="T38" s="9"/>
      <c r="W38" s="4"/>
    </row>
    <row r="39" spans="1:23" s="230" customFormat="1" ht="17.399999999999999" x14ac:dyDescent="0.35">
      <c r="B39" s="24" t="s">
        <v>146</v>
      </c>
      <c r="C39"/>
      <c r="D39"/>
      <c r="E39"/>
      <c r="F39"/>
      <c r="I39" s="262"/>
      <c r="J39" s="47"/>
      <c r="K39" s="250"/>
      <c r="L39" s="14">
        <v>1</v>
      </c>
      <c r="M39" s="250">
        <v>55765</v>
      </c>
      <c r="N39" s="12">
        <f t="shared" si="10"/>
        <v>55765</v>
      </c>
      <c r="O39" s="39" t="s">
        <v>32</v>
      </c>
      <c r="P39" s="42"/>
      <c r="R39" s="239"/>
      <c r="S39" s="256"/>
      <c r="V39" s="231"/>
    </row>
    <row r="40" spans="1:23" s="230" customFormat="1" ht="17.399999999999999" x14ac:dyDescent="0.35">
      <c r="B40" s="29" t="s">
        <v>127</v>
      </c>
      <c r="C40"/>
      <c r="D40"/>
      <c r="E40"/>
      <c r="F40" s="229" t="s">
        <v>16</v>
      </c>
      <c r="I40" s="262"/>
      <c r="J40" s="311"/>
      <c r="K40" s="250"/>
      <c r="L40" s="14"/>
      <c r="M40" s="250">
        <v>39100</v>
      </c>
      <c r="N40" s="12">
        <f t="shared" si="10"/>
        <v>0</v>
      </c>
      <c r="O40" s="14" t="s">
        <v>143</v>
      </c>
      <c r="P40" s="17"/>
      <c r="R40" s="237"/>
      <c r="S40" s="256"/>
      <c r="V40" s="231"/>
    </row>
    <row r="41" spans="1:23" s="230" customFormat="1" ht="17.399999999999999" x14ac:dyDescent="0.35">
      <c r="I41" s="262"/>
      <c r="J41" s="311"/>
      <c r="K41" s="250"/>
      <c r="L41" s="249"/>
      <c r="M41" s="250">
        <v>800</v>
      </c>
      <c r="N41" s="12">
        <f t="shared" si="10"/>
        <v>0</v>
      </c>
      <c r="O41" s="14" t="s">
        <v>34</v>
      </c>
      <c r="P41" s="14"/>
      <c r="Q41" s="230">
        <v>1.52</v>
      </c>
      <c r="R41" s="237"/>
      <c r="S41" s="237"/>
    </row>
    <row r="42" spans="1:23" s="230" customFormat="1" ht="17.399999999999999" x14ac:dyDescent="0.35">
      <c r="I42" s="301"/>
      <c r="J42" s="47"/>
      <c r="K42" s="250"/>
      <c r="L42" s="266"/>
      <c r="M42" s="12">
        <v>1500</v>
      </c>
      <c r="N42" s="12">
        <f t="shared" si="10"/>
        <v>0</v>
      </c>
      <c r="O42" s="14" t="s">
        <v>24</v>
      </c>
      <c r="P42" s="14"/>
      <c r="Q42">
        <v>2.44</v>
      </c>
      <c r="R42"/>
      <c r="S42" s="237">
        <v>1500</v>
      </c>
      <c r="W42" s="231"/>
    </row>
    <row r="43" spans="1:23" s="230" customFormat="1" ht="17.399999999999999" x14ac:dyDescent="0.35">
      <c r="J43" s="47"/>
      <c r="K43" s="250"/>
      <c r="L43" s="14"/>
      <c r="M43" s="12"/>
      <c r="N43" s="12">
        <f>SUM(N37:N42)</f>
        <v>81322.8</v>
      </c>
      <c r="O43" s="39" t="s">
        <v>25</v>
      </c>
      <c r="P43" s="14"/>
      <c r="Q43">
        <f>Q41*Q42</f>
        <v>3.7088000000000001</v>
      </c>
      <c r="R43"/>
      <c r="S43" s="237">
        <f>R35*S42</f>
        <v>60000</v>
      </c>
      <c r="W43" s="231"/>
    </row>
    <row r="44" spans="1:23" s="230" customFormat="1" ht="17.399999999999999" x14ac:dyDescent="0.35">
      <c r="J44" s="47">
        <v>66360</v>
      </c>
      <c r="K44" s="250"/>
      <c r="L44" s="254" t="s">
        <v>35</v>
      </c>
      <c r="M44" s="12"/>
      <c r="N44" s="255">
        <f>N43*2.2</f>
        <v>178910.16000000003</v>
      </c>
      <c r="O44" s="14" t="s">
        <v>142</v>
      </c>
      <c r="P44" s="14"/>
      <c r="Q44" s="46">
        <f>O33/Q43</f>
        <v>0.41913826574633301</v>
      </c>
      <c r="R44"/>
      <c r="S44" s="257" t="e">
        <f>S43/#REF!</f>
        <v>#REF!</v>
      </c>
    </row>
    <row r="45" spans="1:23" s="230" customFormat="1" ht="17.399999999999999" x14ac:dyDescent="0.35">
      <c r="G45"/>
      <c r="H45" s="260"/>
      <c r="I45" s="260"/>
      <c r="J45" s="47">
        <f>J44/1.19</f>
        <v>55764.705882352944</v>
      </c>
      <c r="K45" s="250"/>
      <c r="L45" s="14"/>
      <c r="M45" s="12"/>
      <c r="N45" s="12">
        <f>N44/O33</f>
        <v>115091.77227404312</v>
      </c>
      <c r="O45" s="45" t="s">
        <v>26</v>
      </c>
      <c r="P45" s="14"/>
      <c r="Q45" s="14"/>
      <c r="R45"/>
      <c r="S45" s="237"/>
    </row>
    <row r="46" spans="1:23" s="230" customFormat="1" ht="17.399999999999999" x14ac:dyDescent="0.35">
      <c r="G46"/>
      <c r="J46" s="47"/>
      <c r="K46" s="250"/>
      <c r="L46" s="13"/>
      <c r="M46" s="14"/>
      <c r="N46" s="17">
        <f>N44/N43</f>
        <v>2.2000000000000002</v>
      </c>
      <c r="O46" s="15"/>
      <c r="P46"/>
      <c r="Q46"/>
      <c r="R46"/>
      <c r="S46" s="237"/>
    </row>
    <row r="47" spans="1:23" s="230" customFormat="1" ht="17.399999999999999" x14ac:dyDescent="0.35">
      <c r="G47" s="23"/>
      <c r="J47" s="47"/>
      <c r="K47" s="12"/>
      <c r="S47" s="237"/>
    </row>
    <row r="48" spans="1:23" s="230" customFormat="1" ht="17.399999999999999" x14ac:dyDescent="0.35">
      <c r="B48"/>
      <c r="C48" s="228"/>
      <c r="D48" s="22"/>
      <c r="E48" s="22"/>
      <c r="F48" s="21"/>
      <c r="G48" s="23"/>
      <c r="J48" s="47"/>
      <c r="K48" s="12"/>
      <c r="S48" s="237">
        <v>1.83</v>
      </c>
    </row>
    <row r="49" spans="10:19" ht="14.4" customHeight="1" x14ac:dyDescent="0.3">
      <c r="J49" s="47"/>
      <c r="K49" s="12"/>
      <c r="S49">
        <v>2.5</v>
      </c>
    </row>
    <row r="50" spans="10:19" x14ac:dyDescent="0.3">
      <c r="J50" s="47"/>
      <c r="K50" s="250"/>
      <c r="S50">
        <f>S48*S49</f>
        <v>4.5750000000000002</v>
      </c>
    </row>
    <row r="51" spans="10:19" x14ac:dyDescent="0.3">
      <c r="K51" s="250"/>
      <c r="S51" s="270">
        <f>O35/S50</f>
        <v>0.40773770491803274</v>
      </c>
    </row>
    <row r="52" spans="10:19" x14ac:dyDescent="0.3">
      <c r="K52" s="250"/>
    </row>
    <row r="53" spans="10:19" ht="15" customHeight="1" x14ac:dyDescent="0.3"/>
    <row r="55" spans="10:19" x14ac:dyDescent="0.3">
      <c r="N55">
        <v>40935</v>
      </c>
      <c r="O55" t="s">
        <v>17</v>
      </c>
      <c r="P55" t="s">
        <v>28</v>
      </c>
    </row>
    <row r="57" spans="10:19" x14ac:dyDescent="0.3">
      <c r="N57" s="54"/>
      <c r="O57" s="54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150</v>
      </c>
    </row>
    <row r="81" spans="3:3" x14ac:dyDescent="0.3">
      <c r="C81" t="s">
        <v>149</v>
      </c>
    </row>
    <row r="84" spans="3:3" x14ac:dyDescent="0.3">
      <c r="C84" t="s">
        <v>149</v>
      </c>
    </row>
    <row r="161" spans="3:3" x14ac:dyDescent="0.3">
      <c r="C161" t="s">
        <v>149</v>
      </c>
    </row>
    <row r="162" spans="3:3" x14ac:dyDescent="0.3">
      <c r="C162" t="s">
        <v>151</v>
      </c>
    </row>
    <row r="163" spans="3:3" x14ac:dyDescent="0.3">
      <c r="C163" t="s">
        <v>152</v>
      </c>
    </row>
    <row r="588" spans="3:3" x14ac:dyDescent="0.3">
      <c r="C588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45477</v>
      </c>
    </row>
    <row r="6" spans="2:31" ht="16.2" thickBot="1" x14ac:dyDescent="0.35">
      <c r="B6" s="140" t="s">
        <v>2</v>
      </c>
      <c r="C6" s="139" t="str">
        <f>'2229'!C10</f>
        <v>CESAR AREVALO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5" t="s">
        <v>100</v>
      </c>
      <c r="I7" s="326"/>
      <c r="J7" s="326"/>
      <c r="K7" s="327"/>
      <c r="N7" s="75"/>
      <c r="O7" s="32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11018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-4250.3550334541069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'2229'!H30</f>
        <v>208911</v>
      </c>
      <c r="E11" s="132">
        <f>D11*0.19</f>
        <v>39693.090000000004</v>
      </c>
      <c r="F11" s="131">
        <f>E11+D11</f>
        <v>248604.09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101739.64496654589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111156.89078743962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83739.644966545893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97754.109212560375</v>
      </c>
      <c r="E13" s="221">
        <f>(D11/D12)-1</f>
        <v>0.87942464493264039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74739.644966545893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35739.644966545893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183408.86979927536</v>
      </c>
      <c r="F15" s="216">
        <f>E15-D12</f>
        <v>72251.979011835734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35739.644966545893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75739.644966545893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'2229'!N39</f>
        <v>55765</v>
      </c>
      <c r="E18" s="123">
        <f>D18*0.19</f>
        <v>10595.35</v>
      </c>
      <c r="F18" s="120">
        <f>SUM(D18:E18)</f>
        <v>66360.350000000006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'2229'!N38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13057.8</v>
      </c>
      <c r="E20" s="121">
        <f>D20*0.19</f>
        <v>2480.982</v>
      </c>
      <c r="F20" s="120">
        <f>SUM(D20:E20)</f>
        <v>15538.781999999999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81322.8</v>
      </c>
      <c r="E21" s="116">
        <f>SUM(E18:E20)</f>
        <v>15451.332</v>
      </c>
      <c r="F21" s="115">
        <f>SUM(F18:F20)</f>
        <v>96774.132000000012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24241.758000000002</v>
      </c>
    </row>
    <row r="41" spans="2:16" ht="15" thickBot="1" x14ac:dyDescent="0.35">
      <c r="H41" s="328" t="s">
        <v>62</v>
      </c>
      <c r="I41" s="329"/>
      <c r="J41" s="329"/>
      <c r="K41" s="329"/>
      <c r="L41" s="329"/>
      <c r="M41" s="33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208911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81322.8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97754.109212560375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97754.109212560375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2024-07-03T16:52:58Z</cp:lastPrinted>
  <dcterms:created xsi:type="dcterms:W3CDTF">2013-03-18T13:35:42Z</dcterms:created>
  <dcterms:modified xsi:type="dcterms:W3CDTF">2024-07-05T02:15:20Z</dcterms:modified>
</cp:coreProperties>
</file>