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FCF2F314-1946-4561-A23E-730866232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2" i="1"/>
  <c r="M22" i="1"/>
  <c r="L23" i="1"/>
  <c r="N23" i="1" s="1"/>
  <c r="M23" i="1"/>
  <c r="K24" i="1"/>
  <c r="L24" i="1"/>
  <c r="N24" i="1" s="1"/>
  <c r="O24" i="1" s="1"/>
  <c r="M24" i="1"/>
  <c r="H22" i="1"/>
  <c r="H23" i="1"/>
  <c r="K21" i="1"/>
  <c r="J44" i="1"/>
  <c r="N22" i="1" l="1"/>
  <c r="R22" i="1"/>
  <c r="R23" i="1"/>
  <c r="O23" i="1"/>
  <c r="O22" i="1"/>
  <c r="R24" i="1"/>
  <c r="J41" i="1"/>
  <c r="L21" i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4" i="1" l="1"/>
  <c r="Q24" i="1" s="1"/>
  <c r="P23" i="1"/>
  <c r="Q23" i="1" s="1"/>
  <c r="P22" i="1"/>
  <c r="Q22" i="1" s="1"/>
  <c r="P21" i="1"/>
  <c r="F15" i="3"/>
  <c r="Q21" i="1" l="1"/>
  <c r="H21" i="1" l="1"/>
  <c r="H26" i="1" l="1"/>
  <c r="H27" i="1" l="1"/>
  <c r="H28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<sst xmlns="http://schemas.openxmlformats.org/spreadsheetml/2006/main" count="238" uniqueCount="176">
  <si>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</si>
  <si>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</si>
  <si>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</si>
  <si>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</si>
  <si>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</si>
  <si>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</si>
  <si>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</si>
  <si>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</si>
  <si>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</si>
  <si>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</si>
  <si>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</si>
  <si>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</si>
  <si>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</si>
  <si>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</si>
  <si>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</si>
  <si>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</si>
  <si>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</si>
  <si>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</si>
  <si>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</si>
  <si>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</si>
  <si>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</si>
  <si>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</si>
  <si>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</si>
  <si>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</si>
  <si>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</si>
  <si>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</si>
  <si>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</si>
  <si>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</si>
  <si>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</si>
  <si>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</si>
  <si>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</si>
  <si>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</si>
  <si>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</si>
  <si>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</si>
  <si>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</si>
  <si>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</si>
  <si>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</si>
  <si>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</si>
  <si>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</si>
  <si>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</si>
  <si>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</si>
  <si>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</si>
  <si>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</si>
  <si>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</si>
  <si>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</si>
  <si>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</si>
  <si>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</si>
  <si>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</si>
  <si>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</si>
  <si>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</si>
  <si>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</si>
  <si>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</si>
  <si>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</si>
  <si>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</si>
  <si>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</si>
  <si>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</si>
  <si>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</si>
  <si>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</si>
  <si>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</si>
  <si>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</si>
  <si>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</si>
  <si>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</si>
  <si>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</si>
  <si>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</si>
  <si>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</si>
  <si>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</si>
  <si>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</si>
  <si>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</si>
  <si>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</si>
  <si>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</si>
  <si>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</si>
  <si>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</si>
  <si>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</si>
  <si>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</si>
  <si>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</si>
  <si>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</si>
  <si>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</si>
  <si>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</si>
  <si>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</si>
  <si>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</si>
  <si>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</si>
  <si>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</si>
  <si>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</si>
  <si>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</si>
  <si>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</si>
  <si>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</si>
  <si>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</si>
  <si>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</si>
  <si>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</si>
  <si>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</si>
  <si>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</si>
  <si>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</si>
  <si>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</si>
  <si>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</si>
  <si>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</si>
  <si>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</si>
  <si>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</si>
  <si>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</si>
  <si>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</si>
  <si>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</si>
  <si>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</si>
  <si>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</si>
  <si>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</si>
  <si>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</si>
  <si>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</si>
  <si>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</si>
  <si>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</si>
  <si>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</si>
  <si>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</si>
  <si>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</si>
  <si>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</si>
  <si>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</si>
  <si>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</si>
  <si>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</si>
  <si>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</si>
  <si>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</si>
  <si>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</si>
  <si>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</si>
  <si>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</si>
  <si>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</si>
  <si>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</si>
  <si>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</si>
  <si>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</si>
  <si>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</si>
  <si>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</si>
  <si>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</si>
  <si>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</si>
  <si>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</si>
  <si>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</si>
  <si>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</si>
  <si>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</si>
  <si>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</si>
  <si>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</si>
  <si>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</si>
  <si>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</si>
  <si>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</si>
  <si>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</si>
  <si>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</si>
  <si>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</si>
  <si>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</si>
  <si>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</si>
  <si>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</si>
  <si>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</si>
  <si>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</si>
  <si>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</si>
  <si>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</si>
  <si>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</si>
  <si>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</si>
  <si>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</si>
  <si>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</si>
  <si>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</si>
  <si>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</si>
  <si>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</si>
  <si>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</si>
  <si>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</si>
  <si>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</si>
  <si>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</si>
  <si>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</si>
  <si>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</si>
  <si>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</si>
  <si>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</si>
  <si>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</si>
  <si>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</si>
  <si>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</si>
  <si>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</si>
  <si>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</si>
  <si>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</si>
  <si>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</si>
  <si>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11051</t>
  </si>
  <si>
    <t>AARON LUNA</t>
  </si>
  <si>
    <t>MAESTRANZA MAROTI SPA</t>
  </si>
  <si>
    <t>79.955.615-K</t>
  </si>
  <si>
    <t>+569 81843090</t>
  </si>
  <si>
    <t>3  DIAS HABILES</t>
  </si>
  <si>
    <t>CENEFA 2 LADOS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</si>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</sst>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CENEFAS SE ENTREGAN CON SOBRE MEDIDA EN EL LARGO, LLEVAN CORTE DE 45°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25MM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6" zoomScale="93" zoomScaleNormal="93" workbookViewId="0">
      <selection activeCell="L37" sqref="L37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45497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 t="s">
        <v>171</v>
      </c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s="279" t="s">
        <v>169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172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63646.130268199238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174</v>
      </c>
      <c r="D21" s="326">
        <v>2.56</v>
      </c>
      <c r="E21" s="326">
        <v>0.55000000000000004</v>
      </c>
      <c r="F21" s="325" t="s">
        <v>175</v>
      </c>
      <c r="G21" s="327">
        <v>17492</v>
      </c>
      <c r="H21" s="327">
        <f>G21*B21</f>
        <v>17492</v>
      </c>
      <c r="I21" s="265"/>
      <c r="J21" s="47"/>
      <c r="K21" s="47">
        <f>B21</f>
        <v>1</v>
      </c>
      <c r="L21" s="39">
        <f t="shared" ref="L21" si="1">D21+L$19</f>
        <v>2.61</v>
      </c>
      <c r="M21" s="39">
        <f t="shared" ref="M21" si="2">E21+M$19</f>
        <v>0.55000000000000004</v>
      </c>
      <c r="N21" s="261">
        <f t="shared" ref="N21" si="3">L21*M21</f>
        <v>1.4355</v>
      </c>
      <c r="O21" s="259">
        <f t="shared" ref="O21" si="4">N21*K21</f>
        <v>1.4355</v>
      </c>
      <c r="P21" s="252">
        <f t="shared" ref="P21" si="5">P$20*N21</f>
        <v>91364.02</v>
      </c>
      <c r="Q21" s="328">
        <f t="shared" ref="Q21" si="6">P21+Q$20</f>
        <v>94364.02</v>
      </c>
      <c r="R21" s="298">
        <f>L21*K21*2</f>
        <v>5.22</v>
      </c>
      <c r="S21" s="46">
        <f>M21*2*K21</f>
        <v>1.1000000000000001</v>
      </c>
      <c r="T21" s="9"/>
      <c r="W21" s="4"/>
    </row>
    <row r="22" spans="2:24" ht="17.399999999999999" x14ac:dyDescent="0.3">
      <c r="B22" s="325">
        <v>1</v>
      </c>
      <c r="C22" s="325" t="s">
        <v>174</v>
      </c>
      <c r="D22" s="326">
        <v>0.75</v>
      </c>
      <c r="E22" s="326">
        <v>0.5</v>
      </c>
      <c r="F22" s="325" t="s">
        <v>175</v>
      </c>
      <c r="G22" s="327">
        <v>29064</v>
      </c>
      <c r="H22" s="327">
        <f t="shared" ref="H22:H24" si="7">G22*B22</f>
        <v>29064</v>
      </c>
      <c r="I22" s="265"/>
      <c r="J22" s="47"/>
      <c r="K22" s="47"/>
      <c r="L22" s="39">
        <f t="shared" ref="L22:L24" si="8">D22+L$19</f>
        <v>0.8</v>
      </c>
      <c r="M22" s="39">
        <f t="shared" ref="M22:M24" si="9">E22+M$19</f>
        <v>0.5</v>
      </c>
      <c r="N22" s="261">
        <f t="shared" ref="N22:N24" si="10">L22*M22</f>
        <v>0.4</v>
      </c>
      <c r="O22" s="259">
        <f t="shared" ref="O22:O24" si="11">N22*K22</f>
        <v>0</v>
      </c>
      <c r="P22" s="252">
        <f t="shared" ref="P22:P24" si="12">P$20*N22</f>
        <v>25458.452107279696</v>
      </c>
      <c r="Q22" s="328">
        <f t="shared" ref="Q22:Q24" si="13">P22+Q$20</f>
        <v>28458.452107279696</v>
      </c>
      <c r="R22" s="298">
        <f t="shared" ref="R22:R24" si="14">L22*K22*2</f>
        <v>0</v>
      </c>
      <c r="S22" s="46"/>
      <c r="T22" s="9"/>
      <c r="W22" s="4"/>
    </row>
    <row r="23" spans="2:24" ht="17.399999999999999" x14ac:dyDescent="0.3">
      <c r="B23" s="325">
        <v>2</v>
      </c>
      <c r="C23" s="325" t="s">
        <v>174</v>
      </c>
      <c r="D23" s="326">
        <v>0.75</v>
      </c>
      <c r="E23" s="326">
        <v>0.44800000000000001</v>
      </c>
      <c r="F23" s="325" t="s">
        <v>175</v>
      </c>
      <c r="G23" s="327">
        <v>26354</v>
      </c>
      <c r="H23" s="327">
        <f t="shared" si="7"/>
        <v>52708</v>
      </c>
      <c r="I23" s="265"/>
      <c r="J23" s="47"/>
      <c r="K23" s="47"/>
      <c r="L23" s="39">
        <f t="shared" si="8"/>
        <v>0.8</v>
      </c>
      <c r="M23" s="39">
        <f t="shared" si="9"/>
        <v>0.44800000000000001</v>
      </c>
      <c r="N23" s="261">
        <f t="shared" si="10"/>
        <v>0.35840000000000005</v>
      </c>
      <c r="O23" s="259">
        <f t="shared" si="11"/>
        <v>0</v>
      </c>
      <c r="P23" s="252">
        <f t="shared" si="12"/>
        <v>22810.773088122609</v>
      </c>
      <c r="Q23" s="328">
        <f t="shared" si="13"/>
        <v>25810.773088122609</v>
      </c>
      <c r="R23" s="298">
        <f t="shared" si="14"/>
        <v>0</v>
      </c>
      <c r="S23" s="46"/>
      <c r="T23" s="9"/>
      <c r="W23" s="4"/>
    </row>
    <row r="24" spans="2:24" ht="17.399999999999999" x14ac:dyDescent="0.3">
      <c r="B24" s="325"/>
      <c r="C24" s="325" t="s">
        <v>174</v>
      </c>
      <c r="D24" s="326"/>
      <c r="E24" s="326">
        <v>0.22</v>
      </c>
      <c r="F24" s="325" t="s">
        <v>175</v>
      </c>
      <c r="G24" s="327">
        <v>20514</v>
      </c>
      <c r="H24" s="327">
        <f t="shared" si="7"/>
        <v>0</v>
      </c>
      <c r="I24" s="265"/>
      <c r="J24" s="47"/>
      <c r="K24" s="47">
        <f t="shared" ref="K22:K24" si="15">B24</f>
        <v>0</v>
      </c>
      <c r="L24" s="39">
        <f t="shared" si="8"/>
        <v>0.05</v>
      </c>
      <c r="M24" s="39">
        <f t="shared" si="9"/>
        <v>0.22</v>
      </c>
      <c r="N24" s="261">
        <f t="shared" si="10"/>
        <v>1.1000000000000001E-2</v>
      </c>
      <c r="O24" s="259">
        <f t="shared" si="11"/>
        <v>0</v>
      </c>
      <c r="P24" s="252">
        <f t="shared" si="12"/>
        <v>700.10743295019165</v>
      </c>
      <c r="Q24" s="328">
        <f t="shared" si="13"/>
        <v>3700.1074329501917</v>
      </c>
      <c r="R24" s="298">
        <f t="shared" si="14"/>
        <v>0</v>
      </c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99264</v>
      </c>
      <c r="I26" s="265"/>
      <c r="J26" s="47"/>
      <c r="K26" s="47"/>
      <c r="L26" s="39">
        <f>SUM(L21:L25)</f>
        <v>4.26</v>
      </c>
      <c r="M26" s="39"/>
      <c r="N26" s="261"/>
      <c r="O26" s="259"/>
      <c r="P26" s="252"/>
      <c r="Q26" s="258"/>
      <c r="R26" s="298"/>
      <c r="S26" s="46">
        <f>SUM(S21:S25)</f>
        <v>1.1000000000000001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18860.16</v>
      </c>
      <c r="I27" s="265"/>
      <c r="J27" s="47"/>
      <c r="K27" s="47"/>
      <c r="L27" s="39"/>
      <c r="M27" s="12"/>
      <c r="N27" s="12"/>
      <c r="O27" s="253">
        <f>SUM(O21:O24)</f>
        <v>1.4355</v>
      </c>
      <c r="P27" s="14"/>
      <c r="Q27" s="12"/>
      <c r="R27" s="239"/>
      <c r="S27" s="46">
        <f>S26*20%</f>
        <v>0.22000000000000003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118124.16</v>
      </c>
      <c r="I28" s="265"/>
      <c r="J28" s="47"/>
      <c r="K28" s="47"/>
      <c r="L28" s="39"/>
      <c r="M28" s="12"/>
      <c r="N28" s="12"/>
      <c r="O28" s="253">
        <f>O27</f>
        <v>1.4355</v>
      </c>
      <c r="P28" s="14"/>
      <c r="Q28" s="12"/>
      <c r="R28" s="239">
        <f>SUM(R21:R27)</f>
        <v>5.22</v>
      </c>
      <c r="S28" s="46">
        <f>S26+S27</f>
        <v>1.32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0.28710000000000002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1.7225999999999999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153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1.7225999999999999</v>
      </c>
      <c r="M32" s="12">
        <v>3500</v>
      </c>
      <c r="N32" s="12">
        <f t="shared" ref="N32:N37" si="16">L32*M32</f>
        <v>6029.0999999999995</v>
      </c>
      <c r="O32" s="14" t="s">
        <v>22</v>
      </c>
      <c r="P32" s="14"/>
      <c r="Q32" s="14"/>
      <c r="R32" s="241"/>
      <c r="S32" s="14"/>
      <c r="T32" s="305" t="s">
        <v>154</v>
      </c>
      <c r="U32" s="302">
        <v>3625</v>
      </c>
      <c r="V32" s="59" t="s">
        <v>155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16"/>
        <v>12500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156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25000</v>
      </c>
      <c r="N34" s="12">
        <f t="shared" si="16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23000</v>
      </c>
      <c r="N35" s="12">
        <f t="shared" si="16"/>
        <v>23000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6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/>
      <c r="M37" s="12">
        <v>1500</v>
      </c>
      <c r="N37" s="12">
        <f t="shared" si="16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41529.1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91364.02</v>
      </c>
      <c r="O39" s="14" t="s">
        <v>141</v>
      </c>
      <c r="P39" s="14"/>
      <c r="Q39" s="40">
        <f>O30/Q38</f>
        <v>0.46446289905090593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44730</v>
      </c>
      <c r="K40" s="250"/>
      <c r="L40" s="14"/>
      <c r="M40" s="12"/>
      <c r="N40" s="12">
        <f>N39/O28</f>
        <v>63646.130268199238</v>
      </c>
      <c r="O40" s="45" t="s">
        <v>25</v>
      </c>
      <c r="P40" s="14"/>
      <c r="Q40" s="14"/>
      <c r="R40"/>
      <c r="S40" s="238"/>
      <c r="T40" s="59" t="s">
        <v>159</v>
      </c>
      <c r="U40" s="302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37588.23529411765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230">
        <v>110000</v>
      </c>
      <c r="K43" s="12"/>
      <c r="S43" s="238"/>
      <c r="T43" s="59" t="s">
        <v>157</v>
      </c>
      <c r="U43" s="59">
        <v>474.45</v>
      </c>
    </row>
    <row r="44" spans="2:23" ht="14.4" customHeight="1" x14ac:dyDescent="0.3">
      <c r="J44">
        <f>J43/9</f>
        <v>12222.222222222223</v>
      </c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45497</v>
      </c>
    </row>
    <row r="6" spans="2:31" ht="16.2" thickBot="1" x14ac:dyDescent="0.35">
      <c r="B6" s="140" t="s">
        <v>2</v>
      </c>
      <c r="C6" s="139" t="str">
        <f>'2229'!C10</f>
        <v>MAESTRANZA MAROTI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-3244.1225334541064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99264</v>
      </c>
      <c r="E11" s="132">
        <f>D11*0.19</f>
        <v>18860.16</v>
      </c>
      <c r="F11" s="131">
        <f>E11+D11</f>
        <v>118124.16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102745.87746654589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48363.190787439613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84745.877466545891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50900.809212560387</v>
      </c>
      <c r="E13" s="221">
        <f>(D11/D12)-1</f>
        <v>1.052470037311513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75745.877466545891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36745.877466545891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79799.264799275363</v>
      </c>
      <c r="F15" s="216">
        <f>E15-D12</f>
        <v>31436.07401183575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36745.877466545891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76745.877466545891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6029.0999999999995</v>
      </c>
      <c r="E20" s="121">
        <f>D20*0.19</f>
        <v>1145.529</v>
      </c>
      <c r="F20" s="120">
        <f>SUM(D20:E20)</f>
        <v>7174.628999999999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18529.099999999999</v>
      </c>
      <c r="E21" s="116">
        <f>SUM(E18:E20)</f>
        <v>3520.529</v>
      </c>
      <c r="F21" s="115">
        <f>SUM(F18:F20)</f>
        <v>22049.629000000001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15339.630999999999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99264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18529.099999999999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50900.809212560387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50900.809212560387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2024-07-29T21:24:07Z</cp:lastPrinted>
  <dcterms:created xsi:type="dcterms:W3CDTF">2013-03-18T13:35:42Z</dcterms:created>
  <dcterms:modified xsi:type="dcterms:W3CDTF">2024-08-01T01:14:14Z</dcterms:modified>
</cp:coreProperties>
</file>