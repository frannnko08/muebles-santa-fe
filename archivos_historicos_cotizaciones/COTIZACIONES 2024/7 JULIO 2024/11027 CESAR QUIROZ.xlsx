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5033E404-3E5F-4FEE-986D-51C14DFB27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K26" i="1"/>
  <c r="K22" i="1" l="1"/>
  <c r="L22" i="1"/>
  <c r="M22" i="1"/>
  <c r="K23" i="1"/>
  <c r="L23" i="1"/>
  <c r="M23" i="1"/>
  <c r="K24" i="1"/>
  <c r="L24" i="1"/>
  <c r="M24" i="1"/>
  <c r="K25" i="1"/>
  <c r="L25" i="1"/>
  <c r="R25" i="1" s="1"/>
  <c r="M25" i="1"/>
  <c r="K21" i="1"/>
  <c r="K10" i="1"/>
  <c r="R24" i="1" l="1"/>
  <c r="N25" i="1"/>
  <c r="O25" i="1" s="1"/>
  <c r="N24" i="1"/>
  <c r="O24" i="1" s="1"/>
  <c r="N23" i="1"/>
  <c r="O23" i="1" s="1"/>
  <c r="R23" i="1"/>
  <c r="N22" i="1"/>
  <c r="O22" i="1" s="1"/>
  <c r="R22" i="1"/>
  <c r="J43" i="1"/>
  <c r="L21" i="1" l="1"/>
  <c r="L27" i="1" s="1"/>
  <c r="M21" i="1"/>
  <c r="N21" i="1" l="1"/>
  <c r="O21" i="1" s="1"/>
  <c r="O30" i="1" s="1"/>
  <c r="R21" i="1"/>
  <c r="N36" i="1"/>
  <c r="O31" i="1" l="1"/>
  <c r="S48" i="1"/>
  <c r="O32" i="1" l="1"/>
  <c r="M20" i="1"/>
  <c r="K20" i="1"/>
  <c r="N37" i="1" l="1"/>
  <c r="Q41" i="1"/>
  <c r="Q42" i="1" s="1"/>
  <c r="N38" i="1" l="1"/>
  <c r="S41" i="1" l="1"/>
  <c r="S4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O33" i="1" l="1"/>
  <c r="L35" i="1" s="1"/>
  <c r="N35" i="1" l="1"/>
  <c r="S49" i="1"/>
  <c r="N41" i="1" l="1"/>
  <c r="N42" i="1" s="1"/>
  <c r="D20" i="3"/>
  <c r="E20" i="3" s="1"/>
  <c r="E21" i="3" s="1"/>
  <c r="N44" i="1" l="1"/>
  <c r="D21" i="3"/>
  <c r="M43" i="3" s="1"/>
  <c r="D12" i="3" s="1"/>
  <c r="F20" i="3"/>
  <c r="F21" i="3" s="1"/>
  <c r="N43" i="1" l="1"/>
  <c r="P20" i="1" s="1"/>
  <c r="E15" i="3"/>
  <c r="P22" i="1" l="1"/>
  <c r="P25" i="1"/>
  <c r="Q25" i="1" s="1"/>
  <c r="H25" i="1" s="1"/>
  <c r="P24" i="1"/>
  <c r="P23" i="1"/>
  <c r="P21" i="1"/>
  <c r="G21" i="1" s="1"/>
  <c r="F15" i="3"/>
  <c r="Q23" i="1" l="1"/>
  <c r="G23" i="1"/>
  <c r="H23" i="1" s="1"/>
  <c r="Q24" i="1"/>
  <c r="G24" i="1"/>
  <c r="H24" i="1" s="1"/>
  <c r="Q22" i="1"/>
  <c r="G22" i="1"/>
  <c r="H22" i="1" s="1"/>
  <c r="Q21" i="1"/>
  <c r="H21" i="1" s="1"/>
  <c r="R31" i="1"/>
  <c r="H29" i="1" l="1"/>
  <c r="H31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<sst xmlns="http://schemas.openxmlformats.org/spreadsheetml/2006/main" count="228" uniqueCount="167">
  <si>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</si>
  <si>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</si>
  <si>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</si>
  <si>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</si>
  <si>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</si>
  <si>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</si>
  <si>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</si>
  <si>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</si>
  <si>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</si>
  <si>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</si>
  <si>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</si>
  <si>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</si>
  <si>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</si>
  <si>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</si>
  <si>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</si>
  <si>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</si>
  <si>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</si>
  <si>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</si>
  <si>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</si>
  <si>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</si>
  <si>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</si>
  <si>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</si>
  <si>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</si>
  <si>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</si>
  <si>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</si>
  <si>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</si>
  <si>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</si>
  <si>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</si>
  <si>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</si>
  <si>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</si>
  <si>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</si>
  <si>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</si>
  <si>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</si>
  <si>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</si>
  <si>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</si>
  <si>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</si>
  <si>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</si>
  <si>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</si>
  <si>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</si>
  <si>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</si>
  <si>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</si>
  <si>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</si>
  <si>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</si>
  <si>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</si>
  <si>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</si>
  <si>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</si>
  <si>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</si>
  <si>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</si>
  <si>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</si>
  <si>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</si>
  <si>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</si>
  <si>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</si>
  <si>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</si>
  <si>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</si>
  <si>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</si>
  <si>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</si>
  <si>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</si>
  <si>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</si>
  <si>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</si>
  <si>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</si>
  <si>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</si>
  <si>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</si>
  <si>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</si>
  <si>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</si>
  <si>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</si>
  <si>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</si>
  <si>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</si>
  <si>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</si>
  <si>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</si>
  <si>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</si>
  <si>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</si>
  <si>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</si>
  <si>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</si>
  <si>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</si>
  <si>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</si>
  <si>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</si>
  <si>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</si>
  <si>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</si>
  <si>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</si>
  <si>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</si>
  <si>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</si>
  <si>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</si>
  <si>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</si>
  <si>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</si>
  <si>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</si>
  <si>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</si>
  <si>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</si>
  <si>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</si>
  <si>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</si>
  <si>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</si>
  <si>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</si>
  <si>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</si>
  <si>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</si>
  <si>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</si>
  <si>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</si>
  <si>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</si>
  <si>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</si>
  <si>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</si>
  <si>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</si>
  <si>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</si>
  <si>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</si>
  <si>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</si>
  <si>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</si>
  <si>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</si>
  <si>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</si>
  <si>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</si>
  <si>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</si>
  <si>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</si>
  <si>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</si>
  <si>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</si>
  <si>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</si>
  <si>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</si>
  <si>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</si>
  <si>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</si>
  <si>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</si>
  <si>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</si>
  <si>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</si>
  <si>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</si>
  <si>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</si>
  <si>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</si>
  <si>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</si>
  <si>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</si>
  <si>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</si>
  <si>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</si>
  <si>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</si>
  <si>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</si>
  <si>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</si>
  <si>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</si>
  <si>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</si>
  <si>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</si>
  <si>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</si>
  <si>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</si>
  <si>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</si>
  <si>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</si>
  <si>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</si>
  <si>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</si>
  <si>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</si>
  <si>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</si>
  <si>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</si>
  <si>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</si>
  <si>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</si>
  <si>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</si>
  <si>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</si>
  <si>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</si>
  <si>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</si>
  <si>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</si>
  <si>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</si>
  <si>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</si>
  <si>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</si>
  <si>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</si>
  <si>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</si>
  <si>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</si>
  <si>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</si>
  <si>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</si>
  <si>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</si>
  <si>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</si>
  <si>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</si>
  <si>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</si>
  <si>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</si>
  <si>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CESAR QUIROZ</t>
  </si>
  <si>
    <t>+569 4201 5434</t>
  </si>
  <si>
    <t>CUBIERTA C/R R6</t>
  </si>
  <si>
    <t>CUBIERTA MESA 4L R6</t>
  </si>
  <si>
    <t>7 DIAS HABILES</t>
  </si>
  <si>
    <t>N° 11027</t>
  </si>
  <si>
    <t>CORTE 45°</t>
  </si>
  <si>
    <t>WHITE MARBLE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</si>
</sst>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45" xfId="2" applyNumberFormat="1" applyFont="1" applyFill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167" fontId="11" fillId="0" borderId="4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33</xdr:row>
      <xdr:rowOff>28575</xdr:rowOff>
    </xdr:from>
    <xdr:to>
      <xdr:col>8</xdr:col>
      <xdr:colOff>100890</xdr:colOff>
      <xdr:row>36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1714500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27</xdr:row>
      <xdr:rowOff>169545</xdr:rowOff>
    </xdr:from>
    <xdr:to>
      <xdr:col>5</xdr:col>
      <xdr:colOff>1764030</xdr:colOff>
      <xdr:row>31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SOBRE MEDIDAS EN EL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B22" zoomScale="98" zoomScaleNormal="98" workbookViewId="0">
      <selection activeCell="I32" sqref="I32"/>
    </sheetView>
  </sheetViews>
  <sheetFormatPr baseColWidth="10" defaultRowHeight="14.4" x14ac:dyDescent="0.3"/>
  <cols>
    <col min="1" max="1" width="6" customWidth="1"/>
    <col min="2" max="2" width="10.5546875" customWidth="1"/>
    <col min="3" max="3" width="27.777343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8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45849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163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9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158</v>
      </c>
      <c r="D17" s="299"/>
      <c r="E17" s="300"/>
      <c r="F17" s="341" t="s">
        <v>154</v>
      </c>
      <c r="G17" s="341"/>
      <c r="H17" s="34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43" t="s">
        <v>149</v>
      </c>
      <c r="C19" s="344"/>
      <c r="D19" s="344"/>
      <c r="E19" s="344"/>
      <c r="F19" s="344"/>
      <c r="G19" s="344"/>
      <c r="H19" s="34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N43</f>
        <v>66253.234509580347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28">
        <v>1</v>
      </c>
      <c r="C21" s="329" t="s">
        <v>161</v>
      </c>
      <c r="D21" s="330">
        <v>2.35</v>
      </c>
      <c r="E21" s="330">
        <v>0.53</v>
      </c>
      <c r="F21" s="329" t="s">
        <v>166</v>
      </c>
      <c r="G21" s="331">
        <f>P21</f>
        <v>84274.114296186206</v>
      </c>
      <c r="H21" s="332">
        <f t="shared" ref="H21" si="1">G21*B21</f>
        <v>84274.114296186206</v>
      </c>
      <c r="I21" s="265"/>
      <c r="J21" s="47"/>
      <c r="K21" s="321">
        <f>B21</f>
        <v>1</v>
      </c>
      <c r="L21" s="322">
        <f t="shared" ref="L21:M21" si="2">D21+L$19</f>
        <v>2.4</v>
      </c>
      <c r="M21" s="322">
        <f t="shared" si="2"/>
        <v>0.53</v>
      </c>
      <c r="N21" s="261">
        <f>L21*M21</f>
        <v>1.272</v>
      </c>
      <c r="O21" s="259">
        <f>N21*K21</f>
        <v>1.272</v>
      </c>
      <c r="P21" s="252">
        <f>P$20*N21</f>
        <v>84274.114296186206</v>
      </c>
      <c r="Q21" s="258">
        <f>P21+Q$20</f>
        <v>87274.114296186206</v>
      </c>
      <c r="R21" s="308">
        <f>K21*L21</f>
        <v>2.4</v>
      </c>
      <c r="S21" s="14"/>
      <c r="T21" s="9"/>
      <c r="W21" s="4"/>
    </row>
    <row r="22" spans="2:24" ht="18" thickBot="1" x14ac:dyDescent="0.35">
      <c r="B22" s="333">
        <v>1</v>
      </c>
      <c r="C22" s="312" t="s">
        <v>161</v>
      </c>
      <c r="D22" s="320">
        <v>2.11</v>
      </c>
      <c r="E22" s="320">
        <v>0.53</v>
      </c>
      <c r="F22" s="329" t="s">
        <v>166</v>
      </c>
      <c r="G22" s="313">
        <f>P22</f>
        <v>75846.702866567575</v>
      </c>
      <c r="H22" s="314">
        <f>G22*B22</f>
        <v>75846.702866567575</v>
      </c>
      <c r="I22" s="265"/>
      <c r="J22" s="47"/>
      <c r="K22" s="323">
        <f t="shared" ref="K22:K26" si="3">B22</f>
        <v>1</v>
      </c>
      <c r="L22" s="324">
        <f t="shared" ref="L22:L25" si="4">D22+L$19</f>
        <v>2.1599999999999997</v>
      </c>
      <c r="M22" s="324">
        <f t="shared" ref="M22:M25" si="5">E22+M$19</f>
        <v>0.53</v>
      </c>
      <c r="N22" s="261">
        <f t="shared" ref="N22:N25" si="6">L22*M22</f>
        <v>1.1447999999999998</v>
      </c>
      <c r="O22" s="259">
        <f t="shared" ref="O22:O25" si="7">N22*K22</f>
        <v>1.1447999999999998</v>
      </c>
      <c r="P22" s="252">
        <f t="shared" ref="P22:P25" si="8">P$20*N22</f>
        <v>75846.702866567575</v>
      </c>
      <c r="Q22" s="258">
        <f t="shared" ref="Q22:Q25" si="9">P22+Q$20</f>
        <v>78846.702866567575</v>
      </c>
      <c r="R22" s="308">
        <f t="shared" ref="R22:R25" si="10">K22*L22</f>
        <v>2.1599999999999997</v>
      </c>
      <c r="S22" s="14"/>
      <c r="T22" s="9"/>
      <c r="W22" s="4"/>
    </row>
    <row r="23" spans="2:24" ht="18" thickBot="1" x14ac:dyDescent="0.35">
      <c r="B23" s="333">
        <v>1</v>
      </c>
      <c r="C23" s="312" t="s">
        <v>161</v>
      </c>
      <c r="D23" s="320">
        <v>2.11</v>
      </c>
      <c r="E23" s="320">
        <v>0.57999999999999996</v>
      </c>
      <c r="F23" s="329" t="s">
        <v>166</v>
      </c>
      <c r="G23" s="313">
        <f>P23</f>
        <v>83002.052193602241</v>
      </c>
      <c r="H23" s="314">
        <f>G23*B23</f>
        <v>83002.052193602241</v>
      </c>
      <c r="I23" s="265"/>
      <c r="J23" s="47"/>
      <c r="K23" s="321">
        <f t="shared" si="3"/>
        <v>1</v>
      </c>
      <c r="L23" s="322">
        <f t="shared" si="4"/>
        <v>2.1599999999999997</v>
      </c>
      <c r="M23" s="322">
        <f t="shared" si="5"/>
        <v>0.57999999999999996</v>
      </c>
      <c r="N23" s="261">
        <f t="shared" si="6"/>
        <v>1.2527999999999997</v>
      </c>
      <c r="O23" s="259">
        <f t="shared" si="7"/>
        <v>1.2527999999999997</v>
      </c>
      <c r="P23" s="252">
        <f t="shared" si="8"/>
        <v>83002.052193602241</v>
      </c>
      <c r="Q23" s="258">
        <f t="shared" si="9"/>
        <v>86002.052193602241</v>
      </c>
      <c r="R23" s="308">
        <f t="shared" si="10"/>
        <v>2.1599999999999997</v>
      </c>
      <c r="S23" s="14"/>
      <c r="T23" s="9"/>
      <c r="W23" s="4"/>
    </row>
    <row r="24" spans="2:24" ht="18" thickBot="1" x14ac:dyDescent="0.35">
      <c r="B24" s="333">
        <v>1</v>
      </c>
      <c r="C24" s="312" t="s">
        <v>161</v>
      </c>
      <c r="D24" s="320">
        <v>1.25</v>
      </c>
      <c r="E24" s="320">
        <v>0.43</v>
      </c>
      <c r="F24" s="329" t="s">
        <v>166</v>
      </c>
      <c r="G24" s="313">
        <f>P24</f>
        <v>37035.558090855418</v>
      </c>
      <c r="H24" s="314">
        <f>G24*B24</f>
        <v>37035.558090855418</v>
      </c>
      <c r="I24" s="265"/>
      <c r="J24" s="47"/>
      <c r="K24" s="323">
        <f t="shared" si="3"/>
        <v>1</v>
      </c>
      <c r="L24" s="324">
        <f t="shared" si="4"/>
        <v>1.3</v>
      </c>
      <c r="M24" s="324">
        <f t="shared" si="5"/>
        <v>0.43</v>
      </c>
      <c r="N24" s="261">
        <f t="shared" si="6"/>
        <v>0.55900000000000005</v>
      </c>
      <c r="O24" s="259">
        <f t="shared" si="7"/>
        <v>0.55900000000000005</v>
      </c>
      <c r="P24" s="252">
        <f t="shared" si="8"/>
        <v>37035.558090855418</v>
      </c>
      <c r="Q24" s="258">
        <f t="shared" si="9"/>
        <v>40035.558090855418</v>
      </c>
      <c r="R24" s="308">
        <f t="shared" si="10"/>
        <v>1.3</v>
      </c>
      <c r="S24" s="14"/>
      <c r="T24" s="9"/>
      <c r="W24" s="4"/>
    </row>
    <row r="25" spans="2:24" ht="18" thickBot="1" x14ac:dyDescent="0.35">
      <c r="B25" s="335">
        <v>1</v>
      </c>
      <c r="C25" s="336" t="s">
        <v>162</v>
      </c>
      <c r="D25" s="337">
        <v>1</v>
      </c>
      <c r="E25" s="337">
        <v>0.65</v>
      </c>
      <c r="F25" s="329" t="s">
        <v>166</v>
      </c>
      <c r="G25" s="338">
        <v>51631</v>
      </c>
      <c r="H25" s="334">
        <f>G25*B25</f>
        <v>51631</v>
      </c>
      <c r="I25" s="265"/>
      <c r="J25" s="47"/>
      <c r="K25" s="321">
        <f t="shared" si="3"/>
        <v>1</v>
      </c>
      <c r="L25" s="322">
        <f t="shared" si="4"/>
        <v>1.05</v>
      </c>
      <c r="M25" s="322">
        <f t="shared" si="5"/>
        <v>0.65</v>
      </c>
      <c r="N25" s="261">
        <f t="shared" si="6"/>
        <v>0.68250000000000011</v>
      </c>
      <c r="O25" s="259">
        <f t="shared" si="7"/>
        <v>0.68250000000000011</v>
      </c>
      <c r="P25" s="252">
        <f t="shared" si="8"/>
        <v>45217.832552788597</v>
      </c>
      <c r="Q25" s="258">
        <f t="shared" si="9"/>
        <v>48217.832552788597</v>
      </c>
      <c r="R25" s="308">
        <f t="shared" si="10"/>
        <v>1.05</v>
      </c>
      <c r="S25" s="14"/>
      <c r="T25" s="9"/>
      <c r="W25" s="4"/>
    </row>
    <row r="26" spans="2:24" ht="18" thickBot="1" x14ac:dyDescent="0.35">
      <c r="B26" s="339">
        <v>4</v>
      </c>
      <c r="C26" s="339" t="s">
        <v>165</v>
      </c>
      <c r="D26" s="320"/>
      <c r="E26" s="320"/>
      <c r="F26" s="339"/>
      <c r="G26" s="340">
        <v>10000</v>
      </c>
      <c r="H26" s="334">
        <f>G26*B26</f>
        <v>40000</v>
      </c>
      <c r="I26" s="265"/>
      <c r="J26" s="47"/>
      <c r="K26" s="47">
        <f t="shared" si="3"/>
        <v>4</v>
      </c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15"/>
      <c r="H27" s="315"/>
      <c r="I27" s="265"/>
      <c r="J27" s="47"/>
      <c r="K27" s="47"/>
      <c r="L27" s="39">
        <f>L21+L22+L23+L24</f>
        <v>8.02</v>
      </c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8" thickBot="1" x14ac:dyDescent="0.35">
      <c r="B28" s="286"/>
      <c r="C28" s="286"/>
      <c r="D28" s="287"/>
      <c r="E28" s="287"/>
      <c r="F28" s="286"/>
      <c r="G28" s="265"/>
      <c r="H28" s="232"/>
      <c r="I28" s="232"/>
      <c r="J28" s="47"/>
      <c r="K28" s="47"/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309" t="s">
        <v>30</v>
      </c>
      <c r="H29" s="310">
        <f>SUM(H21:H28)</f>
        <v>371789.42744721146</v>
      </c>
      <c r="I29" s="265">
        <v>370000</v>
      </c>
      <c r="J29" s="47">
        <v>0</v>
      </c>
      <c r="K29" s="47"/>
      <c r="M29" s="39"/>
      <c r="N29" s="261"/>
      <c r="O29" s="259"/>
      <c r="P29" s="252"/>
      <c r="Q29" s="258"/>
      <c r="R29" s="308"/>
      <c r="S29" s="14"/>
      <c r="T29" s="9"/>
      <c r="W29" s="4"/>
    </row>
    <row r="30" spans="2:24" ht="17.399999999999999" x14ac:dyDescent="0.3">
      <c r="B30" s="280"/>
      <c r="C30" s="283"/>
      <c r="D30" s="284"/>
      <c r="E30" s="284"/>
      <c r="F30" s="285"/>
      <c r="G30" s="307" t="s">
        <v>53</v>
      </c>
      <c r="H30" s="304"/>
      <c r="I30" s="265"/>
      <c r="J30" s="47"/>
      <c r="K30" s="47"/>
      <c r="L30" s="39"/>
      <c r="M30" s="12"/>
      <c r="N30" s="12"/>
      <c r="O30" s="253">
        <f>SUM(O21:O25)</f>
        <v>4.9110999999999994</v>
      </c>
      <c r="P30" s="14"/>
      <c r="Q30" s="12"/>
      <c r="R30" s="238"/>
      <c r="S30" s="14"/>
      <c r="T30" s="9"/>
      <c r="W30" s="4"/>
    </row>
    <row r="31" spans="2:24" ht="18" thickBot="1" x14ac:dyDescent="0.35">
      <c r="B31" s="276"/>
      <c r="C31" s="282"/>
      <c r="D31" s="272"/>
      <c r="E31" s="272"/>
      <c r="F31" s="273"/>
      <c r="G31" s="281" t="s">
        <v>6</v>
      </c>
      <c r="H31" s="305">
        <f>H29+H30</f>
        <v>371789.42744721146</v>
      </c>
      <c r="I31" s="265">
        <v>370000</v>
      </c>
      <c r="J31" s="47"/>
      <c r="K31" s="47"/>
      <c r="L31" s="39"/>
      <c r="M31" s="12"/>
      <c r="N31" s="12"/>
      <c r="O31" s="253">
        <f>O30</f>
        <v>4.9110999999999994</v>
      </c>
      <c r="P31" s="14"/>
      <c r="Q31" s="12"/>
      <c r="R31" s="238">
        <f>SUM(R21:R30)</f>
        <v>9.07</v>
      </c>
      <c r="S31" s="14"/>
      <c r="T31" s="9"/>
      <c r="W31" s="4"/>
    </row>
    <row r="32" spans="2:24" ht="17.399999999999999" x14ac:dyDescent="0.3">
      <c r="B32" s="276"/>
      <c r="C32" s="271"/>
      <c r="D32" s="272"/>
      <c r="E32" s="272"/>
      <c r="F32" s="273"/>
      <c r="I32" s="265"/>
      <c r="J32" s="47"/>
      <c r="K32" s="47"/>
      <c r="L32" s="14"/>
      <c r="M32" s="12"/>
      <c r="N32" s="12"/>
      <c r="O32" s="39">
        <f>O31*20%</f>
        <v>0.98221999999999987</v>
      </c>
      <c r="P32" s="39" t="s">
        <v>132</v>
      </c>
      <c r="Q32" s="42"/>
      <c r="R32" s="239"/>
      <c r="S32" s="14"/>
      <c r="T32" s="9"/>
      <c r="W32" s="4"/>
    </row>
    <row r="33" spans="2:23" ht="17.399999999999999" x14ac:dyDescent="0.3">
      <c r="B33" s="271"/>
      <c r="C33" s="271"/>
      <c r="D33" s="272"/>
      <c r="E33" s="272"/>
      <c r="F33" s="273"/>
      <c r="G33" s="274"/>
      <c r="H33" s="275"/>
      <c r="I33" s="265"/>
      <c r="J33" s="317"/>
      <c r="K33" s="47"/>
      <c r="L33" s="14"/>
      <c r="M33" s="12"/>
      <c r="N33" s="12"/>
      <c r="O33" s="46">
        <f>O31+O32</f>
        <v>5.8933199999999992</v>
      </c>
      <c r="P33" s="14"/>
      <c r="Q33" s="14"/>
      <c r="R33" s="237">
        <v>40</v>
      </c>
      <c r="S33" s="14"/>
      <c r="T33" s="9"/>
      <c r="W33" s="4"/>
    </row>
    <row r="34" spans="2:23" ht="17.399999999999999" x14ac:dyDescent="0.35">
      <c r="B34" s="269"/>
      <c r="C34" s="230"/>
      <c r="D34" s="230"/>
      <c r="E34" s="232"/>
      <c r="F34" s="233"/>
      <c r="G34" s="230"/>
      <c r="H34" s="275"/>
      <c r="I34" s="265"/>
      <c r="J34" s="317"/>
      <c r="K34" s="47"/>
      <c r="L34" s="14"/>
      <c r="M34" s="14"/>
      <c r="N34" s="14"/>
      <c r="O34" s="14"/>
      <c r="P34" s="14"/>
      <c r="Q34" s="14"/>
      <c r="R34" s="237"/>
      <c r="S34" s="14"/>
      <c r="T34" s="9"/>
      <c r="W34" s="4"/>
    </row>
    <row r="35" spans="2:23" ht="17.399999999999999" x14ac:dyDescent="0.35">
      <c r="B35" s="234"/>
      <c r="C35" s="235"/>
      <c r="D35" s="236"/>
      <c r="E35" s="234"/>
      <c r="F35" s="230"/>
      <c r="G35" s="230"/>
      <c r="I35" s="265"/>
      <c r="J35" s="47"/>
      <c r="K35" s="47"/>
      <c r="L35" s="39">
        <f>O33</f>
        <v>5.8933199999999992</v>
      </c>
      <c r="M35" s="12">
        <v>2500</v>
      </c>
      <c r="N35" s="12">
        <f t="shared" ref="N35:N40" si="11">L35*M35</f>
        <v>14733.299999999997</v>
      </c>
      <c r="O35" s="14" t="s">
        <v>22</v>
      </c>
      <c r="P35" s="14" t="s">
        <v>23</v>
      </c>
      <c r="Q35" s="14"/>
      <c r="R35" s="240"/>
      <c r="S35" s="14"/>
      <c r="T35" s="9"/>
      <c r="W35" s="4"/>
    </row>
    <row r="36" spans="2:23" ht="17.399999999999999" x14ac:dyDescent="0.35">
      <c r="B36" s="230"/>
      <c r="C36" s="230"/>
      <c r="D36" s="230"/>
      <c r="E36" s="230"/>
      <c r="F36" s="230"/>
      <c r="G36" s="230"/>
      <c r="I36" s="265"/>
      <c r="J36" s="47"/>
      <c r="K36" s="47"/>
      <c r="L36" s="249">
        <v>2</v>
      </c>
      <c r="M36" s="12">
        <v>23500</v>
      </c>
      <c r="N36" s="12">
        <f t="shared" si="11"/>
        <v>47000</v>
      </c>
      <c r="O36" s="39" t="s">
        <v>155</v>
      </c>
      <c r="P36" s="42"/>
      <c r="Q36" s="14"/>
      <c r="R36" s="239"/>
      <c r="S36" s="14"/>
      <c r="T36" s="9"/>
      <c r="W36" s="4"/>
    </row>
    <row r="37" spans="2:23" s="230" customFormat="1" ht="17.399999999999999" x14ac:dyDescent="0.35">
      <c r="I37" s="262"/>
      <c r="J37" s="47"/>
      <c r="K37" s="250"/>
      <c r="L37" s="14"/>
      <c r="M37" s="250">
        <v>43000</v>
      </c>
      <c r="N37" s="12">
        <f t="shared" si="11"/>
        <v>0</v>
      </c>
      <c r="O37" s="39" t="s">
        <v>32</v>
      </c>
      <c r="P37" s="42"/>
      <c r="R37" s="239"/>
      <c r="S37" s="256"/>
      <c r="V37" s="231"/>
    </row>
    <row r="38" spans="2:23" s="230" customFormat="1" ht="17.399999999999999" x14ac:dyDescent="0.35">
      <c r="B38" s="24" t="s">
        <v>153</v>
      </c>
      <c r="I38" s="262"/>
      <c r="J38" s="316"/>
      <c r="K38" s="250"/>
      <c r="L38" s="14">
        <v>4</v>
      </c>
      <c r="M38" s="250">
        <v>19500</v>
      </c>
      <c r="N38" s="12">
        <f t="shared" si="11"/>
        <v>78000</v>
      </c>
      <c r="O38" s="14" t="s">
        <v>143</v>
      </c>
      <c r="P38" s="17"/>
      <c r="R38" s="237"/>
      <c r="S38" s="256"/>
      <c r="V38" s="231"/>
    </row>
    <row r="39" spans="2:23" s="230" customFormat="1" ht="17.399999999999999" x14ac:dyDescent="0.35">
      <c r="B39" s="24" t="s">
        <v>146</v>
      </c>
      <c r="C39"/>
      <c r="D39"/>
      <c r="E39"/>
      <c r="F39"/>
      <c r="I39" s="262"/>
      <c r="J39" s="316"/>
      <c r="K39" s="250"/>
      <c r="L39" s="249"/>
      <c r="M39" s="250">
        <v>800</v>
      </c>
      <c r="N39" s="12">
        <f t="shared" si="11"/>
        <v>0</v>
      </c>
      <c r="O39" s="14" t="s">
        <v>34</v>
      </c>
      <c r="P39" s="14"/>
      <c r="Q39" s="230">
        <v>1.52</v>
      </c>
      <c r="R39" s="237"/>
      <c r="S39" s="237"/>
    </row>
    <row r="40" spans="2:23" s="230" customFormat="1" ht="17.399999999999999" x14ac:dyDescent="0.35">
      <c r="B40" s="29" t="s">
        <v>127</v>
      </c>
      <c r="C40"/>
      <c r="D40"/>
      <c r="E40"/>
      <c r="F40" s="229" t="s">
        <v>16</v>
      </c>
      <c r="I40" s="303"/>
      <c r="J40" s="47"/>
      <c r="K40" s="250"/>
      <c r="L40" s="266">
        <v>8.1649999999999991</v>
      </c>
      <c r="M40" s="12">
        <v>1000</v>
      </c>
      <c r="N40" s="12">
        <f t="shared" si="11"/>
        <v>8164.9999999999991</v>
      </c>
      <c r="O40" s="14" t="s">
        <v>24</v>
      </c>
      <c r="P40" s="14"/>
      <c r="Q40">
        <v>2.44</v>
      </c>
      <c r="R40"/>
      <c r="S40" s="237">
        <v>1500</v>
      </c>
      <c r="W40" s="231"/>
    </row>
    <row r="41" spans="2:23" s="230" customFormat="1" ht="17.399999999999999" x14ac:dyDescent="0.35">
      <c r="I41" s="230" t="s">
        <v>157</v>
      </c>
      <c r="J41" s="47"/>
      <c r="K41" s="250"/>
      <c r="L41" s="14"/>
      <c r="M41" s="12"/>
      <c r="N41" s="12">
        <f>SUM(N35:N40)</f>
        <v>147898.29999999999</v>
      </c>
      <c r="O41" s="39" t="s">
        <v>25</v>
      </c>
      <c r="P41" s="14"/>
      <c r="Q41">
        <f>Q39*Q40</f>
        <v>3.7088000000000001</v>
      </c>
      <c r="R41"/>
      <c r="S41" s="237">
        <f>R33*S40</f>
        <v>60000</v>
      </c>
      <c r="W41" s="231"/>
    </row>
    <row r="42" spans="2:23" s="230" customFormat="1" ht="17.399999999999999" x14ac:dyDescent="0.35">
      <c r="J42" s="47">
        <v>48208</v>
      </c>
      <c r="K42" s="250"/>
      <c r="L42" s="254" t="s">
        <v>35</v>
      </c>
      <c r="M42" s="12"/>
      <c r="N42" s="255">
        <f>N41*2.2</f>
        <v>325376.26</v>
      </c>
      <c r="O42" s="14" t="s">
        <v>142</v>
      </c>
      <c r="P42" s="14"/>
      <c r="Q42" s="46">
        <f>O31/Q41</f>
        <v>1.3241749352890422</v>
      </c>
      <c r="R42"/>
      <c r="S42" s="257" t="e">
        <f>S41/#REF!</f>
        <v>#REF!</v>
      </c>
    </row>
    <row r="43" spans="2:23" s="230" customFormat="1" ht="17.399999999999999" x14ac:dyDescent="0.35">
      <c r="G43"/>
      <c r="H43" s="260"/>
      <c r="I43" s="260"/>
      <c r="J43" s="47">
        <f>J42/1.19</f>
        <v>40510.924369747903</v>
      </c>
      <c r="K43" s="250"/>
      <c r="L43" s="14"/>
      <c r="M43" s="12"/>
      <c r="N43" s="12">
        <f>N42/O31</f>
        <v>66253.234509580347</v>
      </c>
      <c r="O43" s="45" t="s">
        <v>26</v>
      </c>
      <c r="P43" s="14"/>
      <c r="Q43" s="14"/>
      <c r="R43"/>
      <c r="S43" s="237"/>
    </row>
    <row r="44" spans="2:23" s="230" customFormat="1" ht="17.399999999999999" x14ac:dyDescent="0.35">
      <c r="G44"/>
      <c r="J44" s="47"/>
      <c r="K44" s="250"/>
      <c r="L44" s="13"/>
      <c r="M44" s="14"/>
      <c r="N44" s="17">
        <f>N42/N41</f>
        <v>2.2000000000000002</v>
      </c>
      <c r="O44" s="15"/>
      <c r="P44"/>
      <c r="Q44"/>
      <c r="R44"/>
      <c r="S44" s="237"/>
    </row>
    <row r="45" spans="2:23" s="230" customFormat="1" ht="17.399999999999999" x14ac:dyDescent="0.35">
      <c r="G45" s="23"/>
      <c r="J45" s="47"/>
      <c r="K45" s="12"/>
      <c r="S45" s="237"/>
    </row>
    <row r="46" spans="2:23" s="230" customFormat="1" ht="17.399999999999999" x14ac:dyDescent="0.35">
      <c r="B46"/>
      <c r="C46" s="228"/>
      <c r="D46" s="22"/>
      <c r="E46" s="22"/>
      <c r="F46" s="21"/>
      <c r="G46" s="23"/>
      <c r="J46" s="47"/>
      <c r="K46" s="12"/>
      <c r="S46" s="237">
        <v>1.83</v>
      </c>
    </row>
    <row r="47" spans="2:23" ht="14.4" customHeight="1" x14ac:dyDescent="0.3">
      <c r="J47" s="47"/>
      <c r="K47" s="12"/>
      <c r="S47">
        <v>2.5</v>
      </c>
    </row>
    <row r="48" spans="2:23" x14ac:dyDescent="0.3">
      <c r="J48" s="47"/>
      <c r="K48" s="250"/>
      <c r="S48">
        <f>S46*S47</f>
        <v>4.5750000000000002</v>
      </c>
    </row>
    <row r="49" spans="11:19" x14ac:dyDescent="0.3">
      <c r="K49" s="250"/>
      <c r="S49" s="270">
        <f>O33/S48</f>
        <v>1.2881573770491801</v>
      </c>
    </row>
    <row r="50" spans="11:19" x14ac:dyDescent="0.3">
      <c r="K50" s="250"/>
    </row>
    <row r="51" spans="11:19" ht="15" customHeight="1" x14ac:dyDescent="0.3"/>
    <row r="53" spans="11:19" x14ac:dyDescent="0.3">
      <c r="N53">
        <v>40935</v>
      </c>
      <c r="O53" t="s">
        <v>17</v>
      </c>
      <c r="P53" t="s">
        <v>28</v>
      </c>
    </row>
    <row r="55" spans="11:19" x14ac:dyDescent="0.3">
      <c r="N55" s="54"/>
      <c r="O55" s="54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7" spans="3:14" x14ac:dyDescent="0.3">
      <c r="N67" s="43"/>
    </row>
    <row r="68" spans="3:14" x14ac:dyDescent="0.3">
      <c r="N68" s="43"/>
    </row>
    <row r="69" spans="3:14" x14ac:dyDescent="0.3">
      <c r="N69" s="6"/>
    </row>
    <row r="70" spans="3:14" x14ac:dyDescent="0.3">
      <c r="N70" s="6"/>
    </row>
    <row r="78" spans="3:14" x14ac:dyDescent="0.3">
      <c r="C78" t="s">
        <v>150</v>
      </c>
    </row>
    <row r="79" spans="3:14" x14ac:dyDescent="0.3">
      <c r="C79" t="s">
        <v>149</v>
      </c>
    </row>
    <row r="82" spans="3:3" x14ac:dyDescent="0.3">
      <c r="C82" t="s">
        <v>149</v>
      </c>
    </row>
    <row r="159" spans="3:3" x14ac:dyDescent="0.3">
      <c r="C159" t="s">
        <v>149</v>
      </c>
    </row>
    <row r="160" spans="3:3" x14ac:dyDescent="0.3">
      <c r="C160" t="s">
        <v>151</v>
      </c>
    </row>
    <row r="161" spans="3:3" x14ac:dyDescent="0.3">
      <c r="C161" t="s">
        <v>152</v>
      </c>
    </row>
    <row r="586" spans="3:3" x14ac:dyDescent="0.3">
      <c r="C586" t="s">
        <v>149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45849</v>
      </c>
    </row>
    <row r="6" spans="2:31" ht="16.2" thickBot="1" x14ac:dyDescent="0.35">
      <c r="B6" s="140" t="s">
        <v>2</v>
      </c>
      <c r="C6" s="139" t="str">
        <f>'2229'!C10</f>
        <v>CESAR QUIROZ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7" t="s">
        <v>100</v>
      </c>
      <c r="I7" s="348"/>
      <c r="J7" s="348"/>
      <c r="K7" s="349"/>
      <c r="N7" s="75"/>
      <c r="O7" s="346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11027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46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-36783.872107989351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'2229'!H29</f>
        <v>371789.42744721146</v>
      </c>
      <c r="E11" s="132">
        <f>D11*0.19</f>
        <v>70639.991214970185</v>
      </c>
      <c r="F11" s="131">
        <f>E11+D11</f>
        <v>442429.41866218165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69206.127892010642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91567.39078743961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51206.127892010649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280222.03665977187</v>
      </c>
      <c r="E13" s="221">
        <f>(D11/D12)-1</f>
        <v>3.0602819873973104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42206.127892010649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3206.1278920106488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151086.19479927534</v>
      </c>
      <c r="F15" s="216">
        <f>E15-D12</f>
        <v>59518.804011835731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3206.1278920106488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43206.127892010649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'2229'!N36</f>
        <v>47000</v>
      </c>
      <c r="E19" s="123">
        <f>D19*0.19</f>
        <v>8930</v>
      </c>
      <c r="F19" s="120">
        <f>SUM(D19:E19)</f>
        <v>55930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'2229'!N35</f>
        <v>14733.299999999997</v>
      </c>
      <c r="E20" s="121">
        <f>D20*0.19</f>
        <v>2799.3269999999998</v>
      </c>
      <c r="F20" s="120">
        <f>SUM(D20:E20)</f>
        <v>17532.626999999997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61733.299999999996</v>
      </c>
      <c r="E21" s="116">
        <f>SUM(E18:E20)</f>
        <v>11729.326999999999</v>
      </c>
      <c r="F21" s="115">
        <f>SUM(F18:F20)</f>
        <v>73462.626999999993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58910.664214970187</v>
      </c>
    </row>
    <row r="41" spans="2:16" ht="15" thickBot="1" x14ac:dyDescent="0.35">
      <c r="H41" s="350" t="s">
        <v>62</v>
      </c>
      <c r="I41" s="351"/>
      <c r="J41" s="351"/>
      <c r="K41" s="351"/>
      <c r="L41" s="351"/>
      <c r="M41" s="352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371789.42744721146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61733.299999999996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280222.03665977187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280222.03665977187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2024-07-15T16:01:18Z</cp:lastPrinted>
  <dcterms:created xsi:type="dcterms:W3CDTF">2013-03-18T13:35:42Z</dcterms:created>
  <dcterms:modified xsi:type="dcterms:W3CDTF">2024-07-23T16:49:18Z</dcterms:modified>
</cp:coreProperties>
</file>