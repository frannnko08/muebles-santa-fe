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0041F3A7-91EA-4FCC-9EB7-8C5B209D8F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1" i="1"/>
  <c r="K10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R26" i="1"/>
  <c r="H26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<sst xmlns="http://schemas.openxmlformats.org/spreadsheetml/2006/main" count="219" uniqueCount="165">
  <si>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</si>
  <si>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</si>
  <si>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</si>
  <si>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</si>
  <si>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</si>
  <si>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</si>
  <si>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</si>
  <si>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</si>
  <si>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</si>
  <si>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</si>
  <si>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</si>
  <si>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</si>
  <si>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</si>
  <si>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</si>
  <si>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</si>
  <si>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</si>
  <si>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</si>
  <si>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</si>
  <si>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</si>
  <si>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</si>
  <si>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</si>
  <si>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</si>
  <si>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</si>
  <si>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</si>
  <si>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</si>
  <si>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</si>
  <si>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</si>
  <si>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</si>
  <si>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</si>
  <si>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</si>
  <si>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</si>
  <si>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</si>
  <si>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</si>
  <si>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</si>
  <si>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</si>
  <si>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</si>
  <si>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</si>
  <si>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</si>
  <si>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</si>
  <si>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</si>
  <si>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</si>
  <si>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</si>
  <si>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</si>
  <si>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</si>
  <si>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</si>
  <si>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</si>
  <si>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</si>
  <si>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</si>
  <si>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</si>
  <si>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</si>
  <si>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</si>
  <si>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</si>
  <si>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</si>
  <si>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</si>
  <si>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</si>
  <si>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</si>
  <si>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</si>
  <si>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</si>
  <si>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</si>
  <si>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</si>
  <si>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</si>
  <si>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</si>
  <si>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</si>
  <si>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</si>
  <si>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</si>
  <si>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</si>
  <si>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</si>
  <si>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</si>
  <si>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</si>
  <si>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</si>
  <si>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</si>
  <si>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</si>
  <si>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</si>
  <si>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</si>
  <si>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</si>
  <si>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</si>
  <si>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</si>
  <si>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</si>
  <si>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</si>
  <si>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</si>
  <si>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</si>
  <si>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</si>
  <si>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</si>
  <si>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</si>
  <si>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</si>
  <si>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</si>
  <si>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</si>
  <si>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</si>
  <si>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</si>
  <si>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</si>
  <si>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</si>
  <si>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</si>
  <si>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</si>
  <si>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</si>
  <si>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</si>
  <si>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</si>
  <si>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</si>
  <si>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</si>
  <si>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</si>
  <si>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</si>
  <si>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</si>
  <si>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</si>
  <si>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</si>
  <si>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</si>
  <si>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</si>
  <si>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</si>
  <si>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</si>
  <si>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</si>
  <si>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</si>
  <si>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</si>
  <si>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</si>
  <si>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</si>
  <si>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</si>
  <si>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</si>
  <si>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</si>
  <si>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</si>
  <si>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</si>
  <si>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</si>
  <si>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</si>
  <si>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</si>
  <si>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</si>
  <si>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</si>
  <si>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</si>
  <si>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</si>
  <si>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</si>
  <si>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</si>
  <si>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</si>
  <si>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</si>
  <si>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</si>
  <si>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</si>
  <si>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</si>
  <si>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</si>
  <si>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</si>
  <si>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</si>
  <si>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</si>
  <si>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</si>
  <si>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</si>
  <si>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</si>
  <si>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</si>
  <si>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</si>
  <si>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</si>
  <si>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</si>
  <si>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</si>
  <si>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</si>
  <si>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</si>
  <si>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</si>
  <si>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</si>
  <si>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</si>
  <si>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</si>
  <si>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</si>
  <si>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</si>
  <si>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</si>
  <si>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</si>
  <si>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</si>
  <si>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</si>
  <si>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</si>
  <si>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</si>
  <si>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5 DIAS HABILES</t>
  </si>
  <si>
    <t>N° 11025</t>
  </si>
  <si>
    <t>MANUEL CABRERA</t>
  </si>
  <si>
    <t>+569 6807 1036</t>
  </si>
  <si>
    <t>FLORENTINO AZUL BRILLO</t>
  </si>
  <si>
    <t>SI</t>
  </si>
  <si>
    <t>CORTE Y ENCHAPE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</si>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</sst>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MDF18MM</a:t>
          </a:r>
        </a:p>
        <a:p>
          <a:pPr algn="l"/>
          <a:r>
            <a:rPr lang="es-CL" sz="1200" b="1" baseline="0"/>
            <a:t>ABONO $ 50.000.-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11" zoomScale="98" zoomScaleNormal="98" workbookViewId="0">
      <selection activeCell="I18" sqref="I1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9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45483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157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162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164</v>
      </c>
      <c r="D17" s="299"/>
      <c r="E17" s="300"/>
      <c r="F17" s="327" t="s">
        <v>154</v>
      </c>
      <c r="G17" s="327"/>
      <c r="H17" s="328"/>
      <c r="S17" s="6"/>
      <c r="T17" s="6"/>
    </row>
    <row r="18" spans="2:24" ht="15.75" customHeight="1" thickBot="1" x14ac:dyDescent="0.35">
      <c r="I18" s="263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5" t="s">
        <v>10</v>
      </c>
      <c r="E20" s="325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100540.00000000001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1">
        <v>1</v>
      </c>
      <c r="C21" s="312" t="s">
        <v>37</v>
      </c>
      <c r="D21" s="326">
        <v>1.95</v>
      </c>
      <c r="E21" s="326">
        <v>0.5</v>
      </c>
      <c r="F21" s="312" t="s">
        <v>161</v>
      </c>
      <c r="G21" s="313">
        <v>103540</v>
      </c>
      <c r="H21" s="314">
        <f t="shared" ref="H21" si="1">G21*B21</f>
        <v>103540</v>
      </c>
      <c r="I21" s="265"/>
      <c r="J21" s="47"/>
      <c r="K21" s="323">
        <f>B21</f>
        <v>1</v>
      </c>
      <c r="L21" s="324">
        <f t="shared" ref="L21:M21" si="2">D21+L$19</f>
        <v>2</v>
      </c>
      <c r="M21" s="324">
        <f t="shared" si="2"/>
        <v>0.5</v>
      </c>
      <c r="N21" s="261">
        <f>L21*M21</f>
        <v>1</v>
      </c>
      <c r="O21" s="259">
        <f>N21*K21</f>
        <v>1</v>
      </c>
      <c r="P21" s="252">
        <f>P$20*N21</f>
        <v>100540.00000000001</v>
      </c>
      <c r="Q21" s="258">
        <f>P21+Q$20</f>
        <v>103540.00000000001</v>
      </c>
      <c r="R21" s="308">
        <f>K21*L21</f>
        <v>2</v>
      </c>
      <c r="S21" s="14"/>
      <c r="T21" s="9"/>
      <c r="W21" s="4"/>
    </row>
    <row r="22" spans="2:24" ht="17.399999999999999" x14ac:dyDescent="0.3">
      <c r="B22" s="321">
        <v>1</v>
      </c>
      <c r="C22" s="312" t="s">
        <v>163</v>
      </c>
      <c r="D22" s="326"/>
      <c r="E22" s="326"/>
      <c r="F22" s="312"/>
      <c r="G22" s="313">
        <v>5000</v>
      </c>
      <c r="H22" s="314">
        <f t="shared" ref="H22" si="3">G22*B22</f>
        <v>5000</v>
      </c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108540</v>
      </c>
      <c r="I24" s="265"/>
      <c r="J24" s="47"/>
      <c r="K24" s="47"/>
      <c r="L24" s="39">
        <f>SUM(L21:L23)</f>
        <v>2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/>
      <c r="I25" s="265"/>
      <c r="J25" s="47"/>
      <c r="K25" s="47"/>
      <c r="L25" s="39"/>
      <c r="M25" s="12"/>
      <c r="N25" s="12"/>
      <c r="O25" s="253">
        <f>SUM(O21:O21)</f>
        <v>1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108540</v>
      </c>
      <c r="I26" s="265"/>
      <c r="J26" s="47"/>
      <c r="K26" s="47"/>
      <c r="L26" s="39"/>
      <c r="M26" s="12"/>
      <c r="N26" s="12"/>
      <c r="O26" s="253">
        <f>O25</f>
        <v>1</v>
      </c>
      <c r="P26" s="14"/>
      <c r="Q26" s="12"/>
      <c r="R26" s="238">
        <f>SUM(R21:R25)</f>
        <v>2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0.2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8"/>
      <c r="K28" s="47"/>
      <c r="L28" s="14"/>
      <c r="M28" s="12"/>
      <c r="N28" s="12"/>
      <c r="O28" s="46">
        <f>O26+O27</f>
        <v>1.2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8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1.2</v>
      </c>
      <c r="M30" s="12">
        <v>3500</v>
      </c>
      <c r="N30" s="12">
        <f t="shared" ref="N30:N35" si="4">L30*M30</f>
        <v>4200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0.5</v>
      </c>
      <c r="M31" s="12">
        <v>27000</v>
      </c>
      <c r="N31" s="12">
        <f t="shared" si="4"/>
        <v>13500</v>
      </c>
      <c r="O31" s="39" t="s">
        <v>155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43000</v>
      </c>
      <c r="N32" s="12">
        <f t="shared" si="4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7"/>
      <c r="K33" s="250"/>
      <c r="L33" s="14">
        <v>1</v>
      </c>
      <c r="M33" s="250">
        <v>25000</v>
      </c>
      <c r="N33" s="12">
        <f t="shared" si="4"/>
        <v>25000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7"/>
      <c r="K34" s="250"/>
      <c r="L34" s="249"/>
      <c r="M34" s="250">
        <v>800</v>
      </c>
      <c r="N34" s="12">
        <f t="shared" si="4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v>2</v>
      </c>
      <c r="M35" s="12">
        <v>1500</v>
      </c>
      <c r="N35" s="12">
        <f t="shared" si="4"/>
        <v>3000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45700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43000</v>
      </c>
      <c r="K37" s="250"/>
      <c r="L37" s="254" t="s">
        <v>35</v>
      </c>
      <c r="M37" s="12"/>
      <c r="N37" s="255">
        <f>N36*2.2</f>
        <v>100540.00000000001</v>
      </c>
      <c r="O37" s="14" t="s">
        <v>142</v>
      </c>
      <c r="P37" s="14"/>
      <c r="Q37" s="46">
        <f>O26/Q36</f>
        <v>0.26962899050905953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36134.45378151261</v>
      </c>
      <c r="K38" s="250"/>
      <c r="L38" s="14"/>
      <c r="M38" s="12"/>
      <c r="N38" s="12">
        <f>N37/O26</f>
        <v>100540.00000000001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0.26229508196721307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45483</v>
      </c>
    </row>
    <row r="6" spans="2:31" ht="16.2" thickBot="1" x14ac:dyDescent="0.35">
      <c r="B6" s="140" t="s">
        <v>2</v>
      </c>
      <c r="C6" s="139" t="str">
        <f>'2229'!C10</f>
        <v>MANUEL CABRERA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11025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-5018.1250334541064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108540</v>
      </c>
      <c r="E11" s="132">
        <f>D11*0.19</f>
        <v>20622.599999999999</v>
      </c>
      <c r="F11" s="131">
        <f>E11+D11</f>
        <v>129162.6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100971.87496654589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47534.090787439614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82971.874966545889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61005.909212560386</v>
      </c>
      <c r="E13" s="221">
        <f>(D11/D12)-1</f>
        <v>1.2834138236779014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73971.874966545889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34971.874966545896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78431.249799275363</v>
      </c>
      <c r="F15" s="216">
        <f>E15-D12</f>
        <v>30897.159011835749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34971.874966545896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74971.874966545889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13500</v>
      </c>
      <c r="E19" s="123">
        <f>D19*0.19</f>
        <v>2565</v>
      </c>
      <c r="F19" s="120">
        <f>SUM(D19:E19)</f>
        <v>16065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4200</v>
      </c>
      <c r="E20" s="121">
        <f>D20*0.19</f>
        <v>798</v>
      </c>
      <c r="F20" s="120">
        <f>SUM(D20:E20)</f>
        <v>4998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17700</v>
      </c>
      <c r="E21" s="116">
        <f>SUM(E18:E20)</f>
        <v>3363</v>
      </c>
      <c r="F21" s="115">
        <f>SUM(F18:F20)</f>
        <v>21063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17259.599999999999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108540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17700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61005.909212560386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61005.909212560386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2024-07-15T13:24:32Z</cp:lastPrinted>
  <dcterms:created xsi:type="dcterms:W3CDTF">2013-03-18T13:35:42Z</dcterms:created>
  <dcterms:modified xsi:type="dcterms:W3CDTF">2024-07-15T13:26:46Z</dcterms:modified>
</cp:coreProperties>
</file>