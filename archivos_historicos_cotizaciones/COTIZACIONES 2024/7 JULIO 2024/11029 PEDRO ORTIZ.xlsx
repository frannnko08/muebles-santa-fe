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6E036884-257C-4436-8445-811A37BABC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2" i="1"/>
  <c r="K22" i="1" l="1"/>
  <c r="L22" i="1"/>
  <c r="M22" i="1"/>
  <c r="K10" i="1"/>
  <c r="N22" i="1" l="1"/>
  <c r="O22" i="1" s="1"/>
  <c r="R22" i="1"/>
  <c r="J40" i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P21" i="1"/>
  <c r="G21" i="1" s="1"/>
  <c r="F15" i="3"/>
  <c r="Q22" i="1" l="1"/>
  <c r="Q21" i="1"/>
  <c r="H21" i="1" s="1"/>
  <c r="R28" i="1"/>
  <c r="H26" i="1" l="1"/>
  <c r="H27" i="1" s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<sst xmlns="http://schemas.openxmlformats.org/spreadsheetml/2006/main" count="221" uniqueCount="166">
  <si>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</si>
  <si>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</si>
  <si>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</si>
  <si>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</si>
  <si>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</si>
  <si>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</si>
  <si>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</si>
  <si>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</si>
  <si>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</si>
  <si>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</si>
  <si>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</si>
  <si>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</si>
  <si>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</si>
  <si>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</si>
  <si>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</si>
  <si>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</si>
  <si>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</si>
  <si>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</si>
  <si>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</si>
  <si>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</si>
  <si>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</si>
  <si>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</si>
  <si>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</si>
  <si>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</si>
  <si>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</si>
  <si>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</si>
  <si>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</si>
  <si>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</si>
  <si>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</si>
  <si>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</si>
  <si>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</si>
  <si>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</si>
  <si>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</si>
  <si>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</si>
  <si>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</si>
  <si>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</si>
  <si>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</si>
  <si>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</si>
  <si>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</si>
  <si>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</si>
  <si>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</si>
  <si>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</si>
  <si>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</si>
  <si>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</si>
  <si>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</si>
  <si>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</si>
  <si>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</si>
  <si>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</si>
  <si>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</si>
  <si>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</si>
  <si>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</si>
  <si>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</si>
  <si>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</si>
  <si>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</si>
  <si>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</si>
  <si>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</si>
  <si>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</si>
  <si>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</si>
  <si>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</si>
  <si>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</si>
  <si>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</si>
  <si>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</si>
  <si>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</si>
  <si>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</si>
  <si>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</si>
  <si>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</si>
  <si>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</si>
  <si>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</si>
  <si>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</si>
  <si>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</si>
  <si>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</si>
  <si>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</si>
  <si>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</si>
  <si>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</si>
  <si>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</si>
  <si>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</si>
  <si>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</si>
  <si>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</si>
  <si>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</si>
  <si>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</si>
  <si>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</si>
  <si>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</si>
  <si>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</si>
  <si>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</si>
  <si>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</si>
  <si>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</si>
  <si>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</si>
  <si>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</si>
  <si>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</si>
  <si>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</si>
  <si>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</si>
  <si>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</si>
  <si>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</si>
  <si>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</si>
  <si>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</si>
  <si>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</si>
  <si>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</si>
  <si>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</si>
  <si>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</si>
  <si>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</si>
  <si>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</si>
  <si>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</si>
  <si>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</si>
  <si>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</si>
  <si>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</si>
  <si>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</si>
  <si>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</si>
  <si>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</si>
  <si>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</si>
  <si>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</si>
  <si>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</si>
  <si>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</si>
  <si>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</si>
  <si>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</si>
  <si>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</si>
  <si>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</si>
  <si>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</si>
  <si>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</si>
  <si>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</si>
  <si>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</si>
  <si>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</si>
  <si>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</si>
  <si>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</si>
  <si>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</si>
  <si>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</si>
  <si>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</si>
  <si>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</si>
  <si>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</si>
  <si>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</si>
  <si>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</si>
  <si>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</si>
  <si>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</si>
  <si>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</si>
  <si>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</si>
  <si>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</si>
  <si>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</si>
  <si>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</si>
  <si>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</si>
  <si>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</si>
  <si>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</si>
  <si>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</si>
  <si>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</si>
  <si>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</si>
  <si>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</si>
  <si>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</si>
  <si>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</si>
  <si>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</si>
  <si>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</si>
  <si>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</si>
  <si>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</si>
  <si>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</si>
  <si>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</si>
  <si>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</si>
  <si>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</si>
  <si>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</si>
  <si>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</si>
  <si>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</si>
  <si>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</si>
  <si>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</si>
  <si>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</si>
  <si>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PEDRO ORTIZ</t>
  </si>
  <si>
    <t>+569 85526125</t>
  </si>
  <si>
    <t>CUBIERTA C/R FTE. 90° R8</t>
  </si>
  <si>
    <t>CUBIERTA MESA 90° R8 2 LADOS</t>
  </si>
  <si>
    <t>NATURAL ELM 1499 MT</t>
  </si>
  <si>
    <t>N° 11029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</si>
</sst>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C2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8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45849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32" t="s">
        <v>154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4" t="s">
        <v>149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103012.5947521866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6">
        <v>1</v>
      </c>
      <c r="C21" s="327" t="s">
        <v>162</v>
      </c>
      <c r="D21" s="328">
        <v>3</v>
      </c>
      <c r="E21" s="328">
        <v>0.6</v>
      </c>
      <c r="F21" s="327" t="s">
        <v>164</v>
      </c>
      <c r="G21" s="329">
        <f>P21</f>
        <v>188513.04839650146</v>
      </c>
      <c r="H21" s="330">
        <f t="shared" ref="H21" si="1">G21*B21</f>
        <v>188513.04839650146</v>
      </c>
      <c r="I21" s="265"/>
      <c r="J21" s="47"/>
      <c r="K21" s="321">
        <f t="shared" ref="K21:K22" si="2">B21</f>
        <v>1</v>
      </c>
      <c r="L21" s="322">
        <f t="shared" ref="L21:M21" si="3">D21+L$19</f>
        <v>3.05</v>
      </c>
      <c r="M21" s="322">
        <f t="shared" si="3"/>
        <v>0.6</v>
      </c>
      <c r="N21" s="261">
        <f>L21*M21</f>
        <v>1.8299999999999998</v>
      </c>
      <c r="O21" s="259">
        <f>N21*K21</f>
        <v>1.8299999999999998</v>
      </c>
      <c r="P21" s="252">
        <f>P$20*N21</f>
        <v>188513.04839650146</v>
      </c>
      <c r="Q21" s="258">
        <f>P21+Q$20</f>
        <v>191513.04839650146</v>
      </c>
      <c r="R21" s="308">
        <f>K21*L21</f>
        <v>3.05</v>
      </c>
      <c r="S21" s="14"/>
      <c r="T21" s="9"/>
      <c r="W21" s="4"/>
    </row>
    <row r="22" spans="2:24" ht="17.399999999999999" x14ac:dyDescent="0.3">
      <c r="B22" s="331">
        <v>1</v>
      </c>
      <c r="C22" s="312" t="s">
        <v>163</v>
      </c>
      <c r="D22" s="320">
        <v>1.6</v>
      </c>
      <c r="E22" s="320">
        <v>0.45</v>
      </c>
      <c r="F22" s="327" t="s">
        <v>164</v>
      </c>
      <c r="G22" s="313">
        <v>76487</v>
      </c>
      <c r="H22" s="314">
        <f>G22*B22</f>
        <v>76487</v>
      </c>
      <c r="I22" s="265"/>
      <c r="J22" s="47"/>
      <c r="K22" s="321">
        <f t="shared" si="2"/>
        <v>1</v>
      </c>
      <c r="L22" s="322">
        <f t="shared" ref="L22" si="4">D22+L$19</f>
        <v>1.6500000000000001</v>
      </c>
      <c r="M22" s="322">
        <f t="shared" ref="M22" si="5">E22+M$19</f>
        <v>0.45</v>
      </c>
      <c r="N22" s="261">
        <f t="shared" ref="N22" si="6">L22*M22</f>
        <v>0.74250000000000005</v>
      </c>
      <c r="O22" s="259">
        <f t="shared" ref="O22" si="7">N22*K22</f>
        <v>0.74250000000000005</v>
      </c>
      <c r="P22" s="252">
        <f t="shared" ref="P22" si="8">P$20*N22</f>
        <v>76486.851603498551</v>
      </c>
      <c r="Q22" s="258">
        <f t="shared" ref="Q22" si="9">P22+Q$20</f>
        <v>79486.851603498551</v>
      </c>
      <c r="R22" s="308">
        <f t="shared" ref="R22" si="10">K22*L22</f>
        <v>1.6500000000000001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5"/>
      <c r="H23" s="315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5"/>
      <c r="H24" s="315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265000.04839650146</v>
      </c>
      <c r="I26" s="265"/>
      <c r="J26" s="47"/>
      <c r="K26" s="47"/>
      <c r="L26" s="39">
        <f>SUM(L21:L25)</f>
        <v>4.7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50350.009195335275</v>
      </c>
      <c r="I27" s="265"/>
      <c r="J27" s="47"/>
      <c r="K27" s="47"/>
      <c r="L27" s="39"/>
      <c r="M27" s="12"/>
      <c r="N27" s="12"/>
      <c r="O27" s="253">
        <f>SUM(O21:O22)</f>
        <v>2.5724999999999998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315350.05759183672</v>
      </c>
      <c r="I28" s="265"/>
      <c r="J28" s="47"/>
      <c r="K28" s="47"/>
      <c r="L28" s="39"/>
      <c r="M28" s="12"/>
      <c r="N28" s="12"/>
      <c r="O28" s="253">
        <f>O27</f>
        <v>2.5724999999999998</v>
      </c>
      <c r="P28" s="14"/>
      <c r="Q28" s="12"/>
      <c r="R28" s="238">
        <f>SUM(R21:R27)</f>
        <v>4.7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0.51449999999999996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7"/>
      <c r="K30" s="47"/>
      <c r="L30" s="14"/>
      <c r="M30" s="12"/>
      <c r="N30" s="12"/>
      <c r="O30" s="46">
        <f>O28+O29</f>
        <v>3.0869999999999997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7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3.0869999999999997</v>
      </c>
      <c r="M32" s="12">
        <v>3500</v>
      </c>
      <c r="N32" s="12">
        <f t="shared" ref="N32:N37" si="11">L32*M32</f>
        <v>10804.5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1"/>
        <v>25000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11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6"/>
      <c r="K35" s="250"/>
      <c r="L35" s="14">
        <v>2</v>
      </c>
      <c r="M35" s="250">
        <v>40000</v>
      </c>
      <c r="N35" s="12">
        <f t="shared" si="11"/>
        <v>80000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6"/>
      <c r="K36" s="250"/>
      <c r="L36" s="249"/>
      <c r="M36" s="250">
        <v>800</v>
      </c>
      <c r="N36" s="12">
        <f t="shared" si="11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3.1</v>
      </c>
      <c r="M37" s="12">
        <v>1500</v>
      </c>
      <c r="N37" s="12">
        <f t="shared" si="11"/>
        <v>4650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I38" s="230" t="s">
        <v>157</v>
      </c>
      <c r="J38" s="47"/>
      <c r="K38" s="250"/>
      <c r="L38" s="14"/>
      <c r="M38" s="12"/>
      <c r="N38" s="12">
        <f>SUM(N32:N37)</f>
        <v>120454.5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48208</v>
      </c>
      <c r="K39" s="250"/>
      <c r="L39" s="254" t="s">
        <v>35</v>
      </c>
      <c r="M39" s="12"/>
      <c r="N39" s="255">
        <f>N38*2.2</f>
        <v>264999.90000000002</v>
      </c>
      <c r="O39" s="14" t="s">
        <v>142</v>
      </c>
      <c r="P39" s="14"/>
      <c r="Q39" s="46">
        <f>O28/Q38</f>
        <v>0.69362057808455557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40510.924369747903</v>
      </c>
      <c r="K40" s="250"/>
      <c r="L40" s="14"/>
      <c r="M40" s="12"/>
      <c r="N40" s="12">
        <f>N39/O28</f>
        <v>103012.5947521866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0.6747540983606557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PEDRO ORTIZ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100</v>
      </c>
      <c r="I7" s="339"/>
      <c r="J7" s="339"/>
      <c r="K7" s="340"/>
      <c r="N7" s="75"/>
      <c r="O7" s="337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11029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7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-26116.06226620435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265000.04839650146</v>
      </c>
      <c r="E11" s="132">
        <f>D11*0.19</f>
        <v>50350.009195335275</v>
      </c>
      <c r="F11" s="131">
        <f>E11+D11</f>
        <v>315350.05759183672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79873.937733795654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65638.590787439607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61873.937733795654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199361.45760906185</v>
      </c>
      <c r="E13" s="221">
        <f>(D11/D12)-1</f>
        <v>3.0372598682787535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52873.937733795654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13873.93773379565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108303.67479927535</v>
      </c>
      <c r="F15" s="216">
        <f>E15-D12</f>
        <v>42665.084011835745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13873.93773379565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53873.937733795654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10804.5</v>
      </c>
      <c r="E20" s="121">
        <f>D20*0.19</f>
        <v>2052.855</v>
      </c>
      <c r="F20" s="120">
        <f>SUM(D20:E20)</f>
        <v>12857.355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35804.5</v>
      </c>
      <c r="E21" s="116">
        <f>SUM(E18:E20)</f>
        <v>6802.8549999999996</v>
      </c>
      <c r="F21" s="115">
        <f>SUM(F18:F20)</f>
        <v>42607.354999999996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43547.154195335272</v>
      </c>
    </row>
    <row r="41" spans="2:16" ht="15" thickBot="1" x14ac:dyDescent="0.35">
      <c r="H41" s="341" t="s">
        <v>62</v>
      </c>
      <c r="I41" s="342"/>
      <c r="J41" s="342"/>
      <c r="K41" s="342"/>
      <c r="L41" s="342"/>
      <c r="M41" s="343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265000.04839650146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35804.5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199361.45760906185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199361.45760906185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2024-07-11T20:22:31Z</dcterms:modified>
</cp:coreProperties>
</file>