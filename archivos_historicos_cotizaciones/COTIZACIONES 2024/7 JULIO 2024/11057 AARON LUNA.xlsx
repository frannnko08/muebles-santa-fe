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5892792A-F6E1-4F0D-95CB-655AF6649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K21" i="1" l="1"/>
  <c r="J43" i="1"/>
  <c r="J40" i="1" l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1" i="1" l="1"/>
  <c r="F15" i="3"/>
  <c r="Q21" i="1" l="1"/>
  <c r="H2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<sst xmlns="http://schemas.openxmlformats.org/spreadsheetml/2006/main" count="237" uniqueCount="179">
  <si>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</si>
  <si>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</si>
  <si>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</si>
  <si>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</si>
  <si>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</si>
  <si>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</si>
  <si>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</si>
  <si>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</si>
  <si>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</si>
  <si>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</si>
  <si>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</si>
  <si>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</si>
  <si>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</si>
  <si>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</si>
  <si>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</si>
  <si>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</si>
  <si>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</si>
  <si>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</si>
  <si>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</si>
  <si>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</si>
  <si>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</si>
  <si>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</si>
  <si>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</si>
  <si>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</si>
  <si>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</si>
  <si>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</si>
  <si>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</si>
  <si>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</si>
  <si>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</si>
  <si>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</si>
  <si>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</si>
  <si>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</si>
  <si>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</si>
  <si>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</si>
  <si>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</si>
  <si>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</si>
  <si>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</si>
  <si>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</si>
  <si>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</si>
  <si>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</si>
  <si>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</si>
  <si>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</si>
  <si>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</si>
  <si>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</si>
  <si>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</si>
  <si>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</si>
  <si>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</si>
  <si>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</si>
  <si>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</si>
  <si>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</si>
  <si>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</si>
  <si>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</si>
  <si>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</si>
  <si>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</si>
  <si>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</si>
  <si>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</si>
  <si>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</si>
  <si>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</si>
  <si>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</si>
  <si>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</si>
  <si>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</si>
  <si>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</si>
  <si>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</si>
  <si>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</si>
  <si>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</si>
  <si>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</si>
  <si>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</si>
  <si>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</si>
  <si>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</si>
  <si>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</si>
  <si>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</si>
  <si>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</si>
  <si>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</si>
  <si>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</si>
  <si>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</si>
  <si>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</si>
  <si>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</si>
  <si>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</si>
  <si>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</si>
  <si>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</si>
  <si>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</si>
  <si>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</si>
  <si>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</si>
  <si>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</si>
  <si>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</si>
  <si>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</si>
  <si>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</si>
  <si>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</si>
  <si>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</si>
  <si>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</si>
  <si>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</si>
  <si>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</si>
  <si>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</si>
  <si>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</si>
  <si>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</si>
  <si>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</si>
  <si>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</si>
  <si>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</si>
  <si>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</si>
  <si>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</si>
  <si>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</si>
  <si>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</si>
  <si>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</si>
  <si>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</si>
  <si>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</si>
  <si>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</si>
  <si>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</si>
  <si>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</si>
  <si>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</si>
  <si>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</si>
  <si>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</si>
  <si>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</si>
  <si>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</si>
  <si>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</si>
  <si>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</si>
  <si>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</si>
  <si>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</si>
  <si>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</si>
  <si>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</si>
  <si>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</si>
  <si>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</si>
  <si>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</si>
  <si>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</si>
  <si>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</si>
  <si>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</si>
  <si>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</si>
  <si>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</si>
  <si>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</si>
  <si>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</si>
  <si>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</si>
  <si>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</si>
  <si>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</si>
  <si>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</si>
  <si>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</si>
  <si>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</si>
  <si>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</si>
  <si>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</si>
  <si>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</si>
  <si>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</si>
  <si>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</si>
  <si>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</si>
  <si>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</si>
  <si>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</si>
  <si>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</si>
  <si>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</si>
  <si>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</si>
  <si>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</si>
  <si>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</si>
  <si>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</si>
  <si>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</si>
  <si>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</si>
  <si>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</si>
  <si>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</si>
  <si>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</si>
  <si>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</si>
  <si>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</si>
  <si>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</si>
  <si>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</si>
  <si>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</si>
  <si>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</si>
  <si>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</si>
  <si>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</si>
  <si>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</si>
  <si>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</si>
  <si>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</si>
  <si>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</si>
  <si>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</si>
  <si>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</si>
  <si>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AARON LUNA</t>
  </si>
  <si>
    <t>MAESTRANZA MAROTI SPA</t>
  </si>
  <si>
    <t>79.955.615-K</t>
  </si>
  <si>
    <t>+569 81843090</t>
  </si>
  <si>
    <t>3  DIAS HABILES</t>
  </si>
  <si>
    <t>N° 11057</t>
  </si>
  <si>
    <t>ENCHAPE RECTO 2 CARAS</t>
  </si>
  <si>
    <t>DARK STEEL 2315 MT</t>
  </si>
  <si>
    <t>GRIS NUBE 2189 MT</t>
  </si>
  <si>
    <t>HUMO 2108 MT</t>
  </si>
  <si>
    <t>VALORES MAS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</si>
</sst>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PUERTAS DEBEN SER ENTREGADAS EN NUESTRO TALLER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8" zoomScale="93" zoomScaleNormal="93" workbookViewId="0">
      <selection activeCell="G25" sqref="G25"/>
    </sheetView>
  </sheetViews>
  <sheetFormatPr baseColWidth="10" defaultRowHeight="14.4" x14ac:dyDescent="0.3"/>
  <cols>
    <col min="1" max="1" width="6" customWidth="1"/>
    <col min="2" max="2" width="10.5546875" customWidth="1"/>
    <col min="3" max="3" width="26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45523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 t="s">
        <v>170</v>
      </c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s="279" t="s">
        <v>168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100040.97560975612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3</v>
      </c>
      <c r="C21" s="325" t="s">
        <v>174</v>
      </c>
      <c r="D21" s="326">
        <v>2</v>
      </c>
      <c r="E21" s="326">
        <v>0.75</v>
      </c>
      <c r="F21" s="325" t="s">
        <v>175</v>
      </c>
      <c r="G21" s="327">
        <v>229413</v>
      </c>
      <c r="H21" s="327">
        <f>G21*B21</f>
        <v>688239</v>
      </c>
      <c r="I21" s="265"/>
      <c r="J21" s="47"/>
      <c r="K21" s="47">
        <f>B21</f>
        <v>3</v>
      </c>
      <c r="L21" s="39">
        <f t="shared" ref="L21" si="1">D21+L$19</f>
        <v>2.0499999999999998</v>
      </c>
      <c r="M21" s="39">
        <f t="shared" ref="M21" si="2">E21+M$19</f>
        <v>0.75</v>
      </c>
      <c r="N21" s="261">
        <f t="shared" ref="N21" si="3">L21*M21</f>
        <v>1.5374999999999999</v>
      </c>
      <c r="O21" s="259">
        <f t="shared" ref="O21" si="4">N21*K21</f>
        <v>4.6124999999999998</v>
      </c>
      <c r="P21" s="252">
        <f t="shared" ref="P21" si="5">P$20*N21</f>
        <v>153813.00000000003</v>
      </c>
      <c r="Q21" s="328">
        <f t="shared" ref="Q21" si="6">P21+Q$20</f>
        <v>156813.00000000003</v>
      </c>
      <c r="R21" s="298">
        <f>L21*K21*2</f>
        <v>12.299999999999999</v>
      </c>
      <c r="S21" s="46">
        <f>M21*2*K21</f>
        <v>4.5</v>
      </c>
      <c r="T21" s="9"/>
      <c r="W21" s="4"/>
    </row>
    <row r="22" spans="2:24" ht="17.399999999999999" x14ac:dyDescent="0.3">
      <c r="B22" s="325">
        <v>3</v>
      </c>
      <c r="C22" s="325" t="s">
        <v>174</v>
      </c>
      <c r="D22" s="326">
        <v>2</v>
      </c>
      <c r="E22" s="326">
        <v>0.75</v>
      </c>
      <c r="F22" s="325" t="s">
        <v>176</v>
      </c>
      <c r="G22" s="327">
        <v>123813</v>
      </c>
      <c r="H22" s="327">
        <f>G22*B22</f>
        <v>371439</v>
      </c>
      <c r="I22" s="265"/>
      <c r="J22" s="47"/>
      <c r="K22" s="47"/>
      <c r="L22" s="39"/>
      <c r="M22" s="39"/>
      <c r="N22" s="261"/>
      <c r="O22" s="259"/>
      <c r="P22" s="252"/>
      <c r="Q22" s="328"/>
      <c r="R22" s="298"/>
      <c r="S22" s="46"/>
      <c r="T22" s="9"/>
      <c r="W22" s="4"/>
    </row>
    <row r="23" spans="2:24" ht="17.399999999999999" x14ac:dyDescent="0.3">
      <c r="B23" s="325">
        <v>3</v>
      </c>
      <c r="C23" s="325" t="s">
        <v>174</v>
      </c>
      <c r="D23" s="326">
        <v>2</v>
      </c>
      <c r="E23" s="326">
        <v>0.75</v>
      </c>
      <c r="F23" s="325" t="s">
        <v>177</v>
      </c>
      <c r="G23" s="327">
        <v>156813</v>
      </c>
      <c r="H23" s="327">
        <f>G23*B23</f>
        <v>470439</v>
      </c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 t="s">
        <v>178</v>
      </c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/>
      <c r="I25" s="265"/>
      <c r="J25" s="47"/>
      <c r="K25" s="47"/>
      <c r="L25" s="39">
        <f>SUM(L21:L24)</f>
        <v>2.0499999999999998</v>
      </c>
      <c r="M25" s="39"/>
      <c r="N25" s="261"/>
      <c r="O25" s="259"/>
      <c r="P25" s="252"/>
      <c r="Q25" s="258"/>
      <c r="R25" s="298"/>
      <c r="S25" s="46">
        <f>SUM(S21:S24)</f>
        <v>4.5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SUM(O21:O21)</f>
        <v>4.6124999999999998</v>
      </c>
      <c r="P26" s="14"/>
      <c r="Q26" s="12"/>
      <c r="R26" s="239"/>
      <c r="S26" s="46">
        <f>S25*20%</f>
        <v>0.9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/>
      <c r="I27" s="265"/>
      <c r="J27" s="47"/>
      <c r="K27" s="47"/>
      <c r="L27" s="39"/>
      <c r="M27" s="12"/>
      <c r="N27" s="12"/>
      <c r="O27" s="253">
        <f>O26</f>
        <v>4.6124999999999998</v>
      </c>
      <c r="P27" s="14"/>
      <c r="Q27" s="12"/>
      <c r="R27" s="239">
        <f>SUM(R21:R26)</f>
        <v>12.299999999999999</v>
      </c>
      <c r="S27" s="46">
        <f>S25+S26</f>
        <v>5.4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0.92249999999999999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5.5350000000000001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O29*2</f>
        <v>11.07</v>
      </c>
      <c r="M31" s="12">
        <v>3500</v>
      </c>
      <c r="N31" s="12">
        <f t="shared" ref="N31:N36" si="7">L31*M31</f>
        <v>38745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/>
      <c r="M32" s="12">
        <v>25000</v>
      </c>
      <c r="N32" s="12">
        <f t="shared" si="7"/>
        <v>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25000</v>
      </c>
      <c r="N33" s="12">
        <f t="shared" si="7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6</v>
      </c>
      <c r="M34" s="250">
        <v>28500</v>
      </c>
      <c r="N34" s="12">
        <f t="shared" si="7"/>
        <v>171000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7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/>
      <c r="M36" s="12">
        <v>1500</v>
      </c>
      <c r="N36" s="12">
        <f t="shared" si="7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209745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461439.00000000006</v>
      </c>
      <c r="O38" s="14" t="s">
        <v>141</v>
      </c>
      <c r="P38" s="14"/>
      <c r="Q38" s="40">
        <f>O29/Q37</f>
        <v>1.4923964624676445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44730</v>
      </c>
      <c r="K39" s="250"/>
      <c r="L39" s="14"/>
      <c r="M39" s="12"/>
      <c r="N39" s="12">
        <f>N38/O27</f>
        <v>100040.97560975612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37588.23529411765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230">
        <v>110000</v>
      </c>
      <c r="K42" s="12"/>
      <c r="S42" s="238"/>
      <c r="T42" s="59" t="s">
        <v>157</v>
      </c>
      <c r="U42" s="59">
        <v>474.45</v>
      </c>
    </row>
    <row r="43" spans="2:23" ht="14.4" customHeight="1" x14ac:dyDescent="0.3">
      <c r="J43">
        <f>J42/9</f>
        <v>12222.222222222223</v>
      </c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45523</v>
      </c>
    </row>
    <row r="6" spans="2:31" ht="16.2" thickBot="1" x14ac:dyDescent="0.35">
      <c r="B6" s="140" t="s">
        <v>2</v>
      </c>
      <c r="C6" s="139" t="str">
        <f>'2229'!C10</f>
        <v>MAESTRANZA MAROTI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18859.249966545893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124849.24996654589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68579.090787439607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106849.24996654589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-68579.090787439607</v>
      </c>
      <c r="E13" s="221">
        <f>(D11/D12)-1</f>
        <v>-1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97849.249966545889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58849.249966545889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113155.49979927535</v>
      </c>
      <c r="F15" s="216">
        <f>E15-D12</f>
        <v>44576.409011835742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58849.249966545889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98849.249966545889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38745</v>
      </c>
      <c r="E20" s="121">
        <f>D20*0.19</f>
        <v>7361.55</v>
      </c>
      <c r="F20" s="120">
        <f>SUM(D20:E20)</f>
        <v>46106.55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38745</v>
      </c>
      <c r="E21" s="116">
        <f>SUM(E18:E20)</f>
        <v>7361.55</v>
      </c>
      <c r="F21" s="115">
        <f>SUM(F18:F20)</f>
        <v>46106.55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-7361.55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38745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-68579.090787439607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-68579.090787439607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2024-07-29T21:24:07Z</cp:lastPrinted>
  <dcterms:created xsi:type="dcterms:W3CDTF">2013-03-18T13:35:42Z</dcterms:created>
  <dcterms:modified xsi:type="dcterms:W3CDTF">2024-08-19T18:59:43Z</dcterms:modified>
</cp:coreProperties>
</file>