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k\Dropbox\PC\Desktop\POSTFORMADO 2020\COTIZACIONES MUEBLES SANTA FE\7 JULIO 2024\"/>
    </mc:Choice>
  </mc:AlternateContent>
  <xr:revisionPtr revIDLastSave="0" documentId="13_ncr:1_{C54F0D8E-1915-4516-933F-4E9BDBD56EFA}" xr6:coauthVersionLast="47" xr6:coauthVersionMax="47" xr10:uidLastSave="{00000000-0000-0000-0000-000000000000}"/>
  <bookViews>
    <workbookView xWindow="11640" yWindow="2535" windowWidth="23640" windowHeight="15420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/>
  <c r="M21" i="1"/>
  <c r="N21" i="1" l="1"/>
  <c r="O21" i="1" s="1"/>
  <c r="R21" i="1"/>
  <c r="J38" i="1"/>
  <c r="L23" i="1"/>
  <c r="S23" i="1" l="1"/>
  <c r="S24" i="1" s="1"/>
  <c r="S25" i="1" s="1"/>
  <c r="R25" i="1"/>
  <c r="U31" i="1"/>
  <c r="U32" i="1" s="1"/>
  <c r="O24" i="1" l="1"/>
  <c r="O25" i="1" s="1"/>
  <c r="O26" i="1" s="1"/>
  <c r="N30" i="1"/>
  <c r="O27" i="1" l="1"/>
  <c r="M20" i="1"/>
  <c r="K20" i="1"/>
  <c r="L29" i="1" l="1"/>
  <c r="N31" i="1"/>
  <c r="Q35" i="1"/>
  <c r="Q36" i="1" s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5" i="1" s="1"/>
  <c r="N36" i="1" s="1"/>
  <c r="D20" i="3" l="1"/>
  <c r="E20" i="3" s="1"/>
  <c r="E21" i="3" s="1"/>
  <c r="N37" i="1" l="1"/>
  <c r="D21" i="3"/>
  <c r="M43" i="3" s="1"/>
  <c r="D12" i="3" s="1"/>
  <c r="F20" i="3"/>
  <c r="F21" i="3" s="1"/>
  <c r="N38" i="1" l="1"/>
  <c r="P20" i="1"/>
  <c r="E15" i="3"/>
  <c r="P21" i="1" l="1"/>
  <c r="G21" i="1" s="1"/>
  <c r="F15" i="3"/>
  <c r="Q21" i="1" l="1"/>
  <c r="H21" i="1"/>
  <c r="H23" i="1" l="1"/>
  <c r="H24" i="1" s="1"/>
  <c r="H25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<sst xmlns="http://schemas.openxmlformats.org/spreadsheetml/2006/main" count="231" uniqueCount="175">
  <si>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</si>
  <si>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</si>
  <si>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</si>
  <si>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</si>
  <si>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</si>
  <si>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</si>
  <si>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</si>
  <si>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</si>
  <si>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</si>
  <si>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</si>
  <si>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</si>
  <si>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</si>
  <si>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</si>
  <si>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</si>
  <si>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</si>
  <si>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</si>
  <si>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</si>
  <si>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</si>
  <si>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</si>
  <si>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</si>
  <si>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</si>
  <si>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</si>
  <si>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</si>
  <si>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</si>
  <si>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</si>
  <si>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</si>
  <si>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</si>
  <si>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</si>
  <si>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</si>
  <si>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</si>
  <si>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</si>
  <si>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</si>
  <si>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</si>
  <si>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</si>
  <si>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</si>
  <si>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</si>
  <si>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</si>
  <si>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</si>
  <si>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</si>
  <si>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</si>
  <si>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</si>
  <si>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</si>
  <si>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</si>
  <si>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</si>
  <si>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</si>
  <si>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</si>
  <si>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</si>
  <si>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</si>
  <si>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</si>
  <si>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</si>
  <si>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</si>
  <si>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</si>
  <si>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</si>
  <si>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</si>
  <si>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</si>
  <si>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</si>
  <si>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</si>
  <si>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</si>
  <si>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</si>
  <si>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</si>
  <si>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</si>
  <si>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</si>
  <si>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</si>
  <si>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</si>
  <si>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</si>
  <si>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</si>
  <si>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</si>
  <si>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</si>
  <si>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</si>
  <si>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</si>
  <si>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</si>
  <si>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</si>
  <si>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</si>
  <si>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</si>
  <si>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</si>
  <si>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</si>
  <si>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</si>
  <si>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</si>
  <si>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</si>
  <si>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</si>
  <si>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</si>
  <si>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</si>
  <si>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</si>
  <si>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</si>
  <si>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</si>
  <si>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</si>
  <si>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</si>
  <si>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</si>
  <si>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</si>
  <si>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</si>
  <si>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</si>
  <si>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</si>
  <si>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</si>
  <si>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</si>
  <si>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</si>
  <si>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</si>
  <si>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</si>
  <si>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</si>
  <si>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</si>
  <si>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</si>
  <si>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</si>
  <si>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</si>
  <si>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</si>
  <si>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</si>
  <si>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</si>
  <si>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</si>
  <si>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</si>
  <si>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</si>
  <si>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</si>
  <si>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</si>
  <si>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</si>
  <si>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</si>
  <si>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</si>
  <si>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</si>
  <si>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</si>
  <si>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</si>
  <si>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</si>
  <si>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</si>
  <si>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</si>
  <si>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</si>
  <si>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</si>
  <si>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</si>
  <si>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</si>
  <si>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</si>
  <si>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</si>
  <si>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</si>
  <si>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</si>
  <si>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</si>
  <si>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</si>
  <si>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</si>
  <si>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</si>
  <si>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</si>
  <si>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</si>
  <si>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</si>
  <si>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</si>
  <si>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</si>
  <si>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</si>
  <si>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</si>
  <si>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</si>
  <si>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</si>
  <si>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</si>
  <si>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</si>
  <si>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</si>
  <si>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</si>
  <si>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</si>
  <si>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</si>
  <si>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</si>
  <si>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</si>
  <si>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</si>
  <si>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</si>
  <si>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</si>
  <si>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</si>
  <si>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</si>
  <si>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</si>
  <si>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</si>
  <si>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</si>
  <si>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</si>
  <si>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</si>
  <si>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</si>
  <si>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</si>
  <si>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</si>
  <si>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</si>
  <si>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</si>
  <si>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</si>
  <si>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</si>
  <si>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</si>
  <si>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</si>
  <si>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lamitech</t>
  </si>
  <si>
    <t>SANTIAGO</t>
  </si>
  <si>
    <t>5 DIAS HABILES</t>
  </si>
  <si>
    <t>JUAN ZURA</t>
  </si>
  <si>
    <t>N° 11038</t>
  </si>
  <si>
    <t>+569 4493 9030</t>
  </si>
  <si>
    <t>CUBIERTA C/RESPALDO 90°</t>
  </si>
  <si>
    <t>CLASSIC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</si>
</sst>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41" fontId="22" fillId="0" borderId="4" xfId="4" applyFont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22" fillId="0" borderId="31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166" fontId="11" fillId="0" borderId="33" xfId="0" applyNumberFormat="1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1966452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837186"/>
          <a:ext cx="6444226" cy="81740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SOBRE MEDIDAS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4" zoomScale="93" zoomScaleNormal="93" workbookViewId="0">
      <selection activeCell="N35" sqref="N35"/>
    </sheetView>
  </sheetViews>
  <sheetFormatPr baseColWidth="10" defaultRowHeight="15" x14ac:dyDescent="0.25"/>
  <cols>
    <col min="1" max="1" width="6" customWidth="1"/>
    <col min="2" max="2" width="10.5703125" customWidth="1"/>
    <col min="3" max="3" width="34.42578125" customWidth="1"/>
    <col min="4" max="4" width="11.140625" customWidth="1"/>
    <col min="5" max="5" width="10.5703125" customWidth="1"/>
    <col min="6" max="6" width="34.28515625" customWidth="1"/>
    <col min="7" max="7" width="14" customWidth="1"/>
    <col min="8" max="8" width="15.42578125" customWidth="1"/>
    <col min="9" max="9" width="13.42578125" customWidth="1"/>
    <col min="11" max="11" width="9.5703125" style="18" customWidth="1"/>
    <col min="12" max="12" width="8.85546875" customWidth="1"/>
    <col min="13" max="13" width="8.28515625" customWidth="1"/>
    <col min="14" max="14" width="9.42578125" customWidth="1"/>
    <col min="15" max="15" width="7.7109375" customWidth="1"/>
    <col min="16" max="16" width="9.42578125" customWidth="1"/>
    <col min="17" max="17" width="10.140625" customWidth="1"/>
    <col min="18" max="18" width="8.85546875" customWidth="1"/>
    <col min="19" max="19" width="9.7109375" customWidth="1"/>
    <col min="20" max="20" width="9.28515625" customWidth="1"/>
    <col min="21" max="21" width="9.7109375" customWidth="1"/>
    <col min="22" max="22" width="10.85546875" customWidth="1"/>
    <col min="23" max="23" width="10.42578125" customWidth="1"/>
    <col min="24" max="24" width="9" customWidth="1"/>
  </cols>
  <sheetData>
    <row r="2" spans="2:23" ht="15.75" x14ac:dyDescent="0.25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25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25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25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75" x14ac:dyDescent="0.25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.75" thickBot="1" x14ac:dyDescent="0.3">
      <c r="F7" s="59" t="s">
        <v>125</v>
      </c>
      <c r="P7" s="2"/>
      <c r="Q7" s="2"/>
      <c r="R7" s="3"/>
      <c r="S7" s="3"/>
      <c r="T7" s="2"/>
      <c r="U7" s="2"/>
      <c r="V7" s="3"/>
    </row>
    <row r="8" spans="2:23" ht="21.75" thickBot="1" x14ac:dyDescent="0.4">
      <c r="B8" s="292" t="s">
        <v>127</v>
      </c>
      <c r="C8" s="293"/>
      <c r="D8" s="323" t="s">
        <v>171</v>
      </c>
      <c r="F8" s="59"/>
      <c r="J8" s="52"/>
      <c r="Q8" s="2"/>
      <c r="R8" s="3"/>
      <c r="S8" s="3"/>
      <c r="T8" s="2"/>
      <c r="U8" s="2"/>
      <c r="V8" s="3"/>
    </row>
    <row r="9" spans="2:23" ht="15.75" thickBot="1" x14ac:dyDescent="0.3">
      <c r="Q9" s="2"/>
      <c r="R9" s="3"/>
      <c r="S9" s="3"/>
      <c r="T9" s="4"/>
      <c r="U9" s="2"/>
      <c r="V9" s="3"/>
    </row>
    <row r="10" spans="2:23" x14ac:dyDescent="0.25">
      <c r="B10" s="306" t="s">
        <v>163</v>
      </c>
      <c r="C10" s="279" t="s">
        <v>170</v>
      </c>
      <c r="D10" s="243"/>
      <c r="E10" s="243"/>
      <c r="F10" s="244" t="s">
        <v>0</v>
      </c>
      <c r="G10" s="277">
        <v>45488</v>
      </c>
      <c r="H10" s="245"/>
      <c r="J10" s="1"/>
      <c r="Q10" s="2"/>
      <c r="R10" s="3"/>
      <c r="S10" s="3"/>
      <c r="T10" s="4"/>
      <c r="U10" s="2"/>
      <c r="V10" s="3"/>
    </row>
    <row r="11" spans="2:23" ht="16.5" x14ac:dyDescent="0.3">
      <c r="B11" s="288" t="s">
        <v>12</v>
      </c>
      <c r="C11" s="299"/>
      <c r="F11" t="s">
        <v>124</v>
      </c>
      <c r="G11" s="289" t="s">
        <v>169</v>
      </c>
      <c r="H11" s="290"/>
      <c r="P11" s="19"/>
      <c r="Q11" s="25" t="s">
        <v>19</v>
      </c>
      <c r="R11" s="19"/>
    </row>
    <row r="12" spans="2:23" ht="16.5" x14ac:dyDescent="0.3">
      <c r="B12" s="246" t="s">
        <v>146</v>
      </c>
      <c r="C12" s="310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25">
      <c r="B13" s="288" t="s">
        <v>147</v>
      </c>
      <c r="G13" s="311"/>
      <c r="H13" s="290"/>
      <c r="P13" s="19"/>
      <c r="Q13" s="25"/>
      <c r="R13" s="19"/>
    </row>
    <row r="14" spans="2:23" x14ac:dyDescent="0.25">
      <c r="B14" s="246" t="s">
        <v>140</v>
      </c>
      <c r="C14" s="318"/>
      <c r="D14" s="247"/>
      <c r="E14" s="247"/>
      <c r="F14" s="319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75" x14ac:dyDescent="0.25">
      <c r="B15" s="288" t="s">
        <v>4</v>
      </c>
      <c r="C15" s="313" t="s">
        <v>172</v>
      </c>
      <c r="D15" s="314"/>
      <c r="F15" t="s">
        <v>135</v>
      </c>
      <c r="G15" s="312" t="s">
        <v>136</v>
      </c>
      <c r="H15" s="290"/>
    </row>
    <row r="16" spans="2:23" ht="16.5" x14ac:dyDescent="0.3">
      <c r="B16" s="320" t="s">
        <v>3</v>
      </c>
      <c r="C16" s="310"/>
      <c r="D16" s="247"/>
      <c r="E16" s="247"/>
      <c r="F16" s="321" t="s">
        <v>130</v>
      </c>
      <c r="G16" s="322" t="s">
        <v>164</v>
      </c>
      <c r="H16" s="248"/>
    </row>
    <row r="17" spans="2:24" ht="15.75" thickBot="1" x14ac:dyDescent="0.3">
      <c r="B17" s="315" t="s">
        <v>13</v>
      </c>
      <c r="C17" s="316" t="s">
        <v>168</v>
      </c>
      <c r="D17" s="317"/>
      <c r="E17" s="119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">
      <c r="I18" s="47"/>
      <c r="J18" s="5"/>
      <c r="U18" s="9"/>
      <c r="W18" s="6"/>
      <c r="X18" s="6"/>
    </row>
    <row r="19" spans="2:24" ht="13.5" customHeight="1" x14ac:dyDescent="0.25">
      <c r="B19" s="331" t="s">
        <v>148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25" x14ac:dyDescent="0.25">
      <c r="B20" s="307" t="s">
        <v>7</v>
      </c>
      <c r="C20" s="308" t="s">
        <v>1</v>
      </c>
      <c r="D20" s="308" t="s">
        <v>10</v>
      </c>
      <c r="E20" s="308" t="s">
        <v>11</v>
      </c>
      <c r="F20" s="308" t="s">
        <v>8</v>
      </c>
      <c r="G20" s="308" t="s">
        <v>5</v>
      </c>
      <c r="H20" s="309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46775.245901639348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">
      <c r="B21" s="341">
        <v>1</v>
      </c>
      <c r="C21" s="342" t="s">
        <v>173</v>
      </c>
      <c r="D21" s="343">
        <v>3</v>
      </c>
      <c r="E21" s="343">
        <v>0.8</v>
      </c>
      <c r="F21" s="342" t="s">
        <v>174</v>
      </c>
      <c r="G21" s="344">
        <f t="shared" ref="G21" si="1">P21</f>
        <v>114131.6</v>
      </c>
      <c r="H21" s="345">
        <f t="shared" ref="H21" si="2">G21*B21</f>
        <v>114131.6</v>
      </c>
      <c r="I21" s="265"/>
      <c r="J21" s="47"/>
      <c r="K21" s="47">
        <f t="shared" ref="K21" si="3">B21</f>
        <v>1</v>
      </c>
      <c r="L21" s="39">
        <f t="shared" ref="L21" si="4">D21+L$19</f>
        <v>3.05</v>
      </c>
      <c r="M21" s="39">
        <f t="shared" ref="M21" si="5">E21+M$19</f>
        <v>0.8</v>
      </c>
      <c r="N21" s="261">
        <f t="shared" ref="N21" si="6">L21*M21</f>
        <v>2.44</v>
      </c>
      <c r="O21" s="259">
        <f t="shared" ref="O21" si="7">N21*K21</f>
        <v>2.44</v>
      </c>
      <c r="P21" s="252">
        <f t="shared" ref="P21" si="8">P$20*N21</f>
        <v>114131.6</v>
      </c>
      <c r="Q21" s="324">
        <f t="shared" ref="Q21" si="9">P21+Q$20</f>
        <v>117131.6</v>
      </c>
      <c r="R21" s="298">
        <f t="shared" ref="R21" si="10">L21*K21*2</f>
        <v>6.1</v>
      </c>
      <c r="S21" s="14"/>
      <c r="T21" s="9"/>
      <c r="W21" s="4"/>
    </row>
    <row r="22" spans="2:24" ht="18" thickBot="1" x14ac:dyDescent="0.3">
      <c r="B22" s="286"/>
      <c r="C22" s="286"/>
      <c r="D22" s="287"/>
      <c r="E22" s="287"/>
      <c r="F22" s="286"/>
      <c r="G22" s="325"/>
      <c r="H22" s="326"/>
      <c r="I22" s="233"/>
      <c r="J22" s="47"/>
      <c r="K22" s="47"/>
      <c r="L22" s="39"/>
      <c r="M22" s="39"/>
      <c r="N22" s="261"/>
      <c r="O22" s="259"/>
      <c r="P22" s="252"/>
      <c r="Q22" s="258"/>
      <c r="R22" s="298"/>
      <c r="S22" s="14"/>
      <c r="T22" s="9"/>
      <c r="W22" s="4"/>
    </row>
    <row r="23" spans="2:24" ht="17.25" x14ac:dyDescent="0.25">
      <c r="B23" s="286"/>
      <c r="C23" s="286"/>
      <c r="D23" s="287"/>
      <c r="E23" s="287"/>
      <c r="F23" s="286"/>
      <c r="G23" s="327" t="s">
        <v>29</v>
      </c>
      <c r="H23" s="328">
        <f>SUM(H21:H21)</f>
        <v>114131.6</v>
      </c>
      <c r="I23" s="265"/>
      <c r="J23" s="47">
        <v>2600000</v>
      </c>
      <c r="K23" s="47"/>
      <c r="L23" s="39">
        <f>SUM(L22:L22)</f>
        <v>0</v>
      </c>
      <c r="M23" s="39"/>
      <c r="N23" s="261"/>
      <c r="O23" s="259"/>
      <c r="P23" s="252"/>
      <c r="Q23" s="258"/>
      <c r="R23" s="298"/>
      <c r="S23" s="46">
        <f>SUM(S22:S22)</f>
        <v>0</v>
      </c>
      <c r="T23" s="9"/>
      <c r="W23" s="4"/>
    </row>
    <row r="24" spans="2:24" ht="17.25" x14ac:dyDescent="0.25">
      <c r="B24" s="280"/>
      <c r="C24" s="283"/>
      <c r="D24" s="284"/>
      <c r="E24" s="284"/>
      <c r="F24" s="285"/>
      <c r="G24" s="297" t="s">
        <v>52</v>
      </c>
      <c r="H24" s="295">
        <f>H23*0.19</f>
        <v>21685.004000000001</v>
      </c>
      <c r="I24" s="265"/>
      <c r="J24" s="47"/>
      <c r="K24" s="47"/>
      <c r="L24" s="39"/>
      <c r="M24" s="12"/>
      <c r="N24" s="12"/>
      <c r="O24" s="253">
        <f>SUM(O21:O21)</f>
        <v>2.44</v>
      </c>
      <c r="P24" s="14"/>
      <c r="Q24" s="12"/>
      <c r="R24" s="239"/>
      <c r="S24" s="46">
        <f>S23*20%</f>
        <v>0</v>
      </c>
      <c r="T24" s="9"/>
      <c r="W24" s="4"/>
    </row>
    <row r="25" spans="2:24" ht="18" thickBot="1" x14ac:dyDescent="0.3">
      <c r="B25" s="276"/>
      <c r="C25" s="282"/>
      <c r="D25" s="272"/>
      <c r="E25" s="272"/>
      <c r="F25" s="273"/>
      <c r="G25" s="281" t="s">
        <v>6</v>
      </c>
      <c r="H25" s="296">
        <f>H23+H24</f>
        <v>135816.60399999999</v>
      </c>
      <c r="I25" s="265"/>
      <c r="J25" s="47"/>
      <c r="K25" s="47"/>
      <c r="L25" s="39"/>
      <c r="M25" s="12"/>
      <c r="N25" s="12"/>
      <c r="O25" s="253">
        <f>O24</f>
        <v>2.44</v>
      </c>
      <c r="P25" s="14"/>
      <c r="Q25" s="12"/>
      <c r="R25" s="239">
        <f>SUM(R22:R24)</f>
        <v>0</v>
      </c>
      <c r="S25" s="46">
        <f>S23+S24</f>
        <v>0</v>
      </c>
      <c r="T25" s="9"/>
      <c r="W25" s="4"/>
    </row>
    <row r="26" spans="2:24" ht="17.25" x14ac:dyDescent="0.25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0.48799999999999999</v>
      </c>
      <c r="P26" s="39" t="s">
        <v>131</v>
      </c>
      <c r="Q26" s="42"/>
      <c r="R26" s="240"/>
      <c r="S26" s="14"/>
      <c r="T26" s="9"/>
      <c r="W26" s="4"/>
    </row>
    <row r="27" spans="2:24" ht="17.25" x14ac:dyDescent="0.25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2.9279999999999999</v>
      </c>
      <c r="P27" s="14"/>
      <c r="Q27" s="14"/>
      <c r="R27" s="238">
        <v>40</v>
      </c>
      <c r="S27" s="14"/>
      <c r="T27" s="9"/>
      <c r="W27" s="4"/>
    </row>
    <row r="28" spans="2:24" ht="17.25" x14ac:dyDescent="0.3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3" t="s">
        <v>22</v>
      </c>
      <c r="U28" s="300" t="s">
        <v>153</v>
      </c>
      <c r="V28" s="304">
        <v>44971</v>
      </c>
      <c r="W28" s="305"/>
    </row>
    <row r="29" spans="2:24" ht="17.25" x14ac:dyDescent="0.3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2.9279999999999999</v>
      </c>
      <c r="M29" s="12">
        <v>3500</v>
      </c>
      <c r="N29" s="12">
        <f t="shared" ref="N29:N34" si="11">L29*M29</f>
        <v>10248</v>
      </c>
      <c r="O29" s="14" t="s">
        <v>22</v>
      </c>
      <c r="P29" s="14"/>
      <c r="Q29" s="14"/>
      <c r="R29" s="241"/>
      <c r="S29" s="14"/>
      <c r="T29" s="303" t="s">
        <v>154</v>
      </c>
      <c r="U29" s="300">
        <v>3625</v>
      </c>
      <c r="V29" s="59" t="s">
        <v>155</v>
      </c>
      <c r="W29" s="305"/>
    </row>
    <row r="30" spans="2:24" ht="17.25" x14ac:dyDescent="0.3">
      <c r="B30" s="230"/>
      <c r="C30" s="230"/>
      <c r="D30" s="230"/>
      <c r="E30" s="230"/>
      <c r="F30" s="230"/>
      <c r="G30" s="230"/>
      <c r="I30" s="265"/>
      <c r="J30" s="47" t="s">
        <v>167</v>
      </c>
      <c r="K30" s="47"/>
      <c r="L30" s="249">
        <v>0.8</v>
      </c>
      <c r="M30" s="12">
        <v>25000</v>
      </c>
      <c r="N30" s="12">
        <f t="shared" si="11"/>
        <v>20000</v>
      </c>
      <c r="O30" s="39" t="s">
        <v>32</v>
      </c>
      <c r="P30" s="42"/>
      <c r="Q30" s="14"/>
      <c r="R30" s="240"/>
      <c r="S30" s="14"/>
      <c r="T30" s="303"/>
      <c r="U30" s="59">
        <v>906.25</v>
      </c>
      <c r="V30" s="59" t="s">
        <v>156</v>
      </c>
      <c r="W30" s="305"/>
    </row>
    <row r="31" spans="2:24" s="230" customFormat="1" ht="17.25" x14ac:dyDescent="0.3">
      <c r="I31" s="262"/>
      <c r="J31" s="232">
        <v>40754</v>
      </c>
      <c r="K31" s="250">
        <v>34989</v>
      </c>
      <c r="L31" s="14"/>
      <c r="M31" s="250">
        <v>77000</v>
      </c>
      <c r="N31" s="12">
        <f t="shared" si="11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5" t="s">
        <v>157</v>
      </c>
      <c r="W31" s="59"/>
    </row>
    <row r="32" spans="2:24" s="230" customFormat="1" ht="17.25" x14ac:dyDescent="0.3">
      <c r="B32" s="24" t="s">
        <v>152</v>
      </c>
      <c r="I32" s="262"/>
      <c r="J32" s="232">
        <v>26644</v>
      </c>
      <c r="K32" s="250">
        <v>22025</v>
      </c>
      <c r="L32" s="14">
        <v>1</v>
      </c>
      <c r="M32" s="250">
        <v>21630</v>
      </c>
      <c r="N32" s="12">
        <f t="shared" si="11"/>
        <v>21630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5" t="s">
        <v>158</v>
      </c>
      <c r="W32" s="59"/>
    </row>
    <row r="33" spans="2:23" s="230" customFormat="1" ht="17.25" x14ac:dyDescent="0.3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11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25" x14ac:dyDescent="0.3">
      <c r="B34" s="29" t="s">
        <v>126</v>
      </c>
      <c r="C34"/>
      <c r="D34"/>
      <c r="E34"/>
      <c r="F34" s="229" t="s">
        <v>16</v>
      </c>
      <c r="I34" s="294"/>
      <c r="K34" s="250"/>
      <c r="L34" s="266"/>
      <c r="M34" s="12">
        <v>1500</v>
      </c>
      <c r="N34" s="12">
        <f t="shared" si="11"/>
        <v>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25" x14ac:dyDescent="0.3">
      <c r="K35" s="250"/>
      <c r="L35" s="14"/>
      <c r="M35" s="12"/>
      <c r="N35" s="12">
        <f>SUM(N29:N34)</f>
        <v>51878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25" x14ac:dyDescent="0.3">
      <c r="K36" s="250"/>
      <c r="L36" s="254" t="s">
        <v>34</v>
      </c>
      <c r="M36" s="12"/>
      <c r="N36" s="255">
        <f>N35*2.2</f>
        <v>114131.6</v>
      </c>
      <c r="O36" s="14" t="s">
        <v>141</v>
      </c>
      <c r="P36" s="14"/>
      <c r="Q36" s="40">
        <f>O27/Q35</f>
        <v>0.78947368421052633</v>
      </c>
      <c r="R36"/>
      <c r="S36" s="257"/>
    </row>
    <row r="37" spans="2:23" s="230" customFormat="1" ht="17.25" x14ac:dyDescent="0.3">
      <c r="G37"/>
      <c r="H37" s="260"/>
      <c r="I37" s="260"/>
      <c r="J37" s="230">
        <v>61690</v>
      </c>
      <c r="K37" s="250"/>
      <c r="L37" s="14"/>
      <c r="M37" s="12"/>
      <c r="N37" s="12">
        <f>N36/O25</f>
        <v>46775.245901639348</v>
      </c>
      <c r="O37" s="45" t="s">
        <v>25</v>
      </c>
      <c r="P37" s="14"/>
      <c r="Q37" s="14"/>
      <c r="R37"/>
      <c r="S37" s="238"/>
      <c r="T37" s="59" t="s">
        <v>159</v>
      </c>
      <c r="U37" s="300">
        <v>43650</v>
      </c>
    </row>
    <row r="38" spans="2:23" s="230" customFormat="1" ht="17.25" x14ac:dyDescent="0.3">
      <c r="G38"/>
      <c r="H38" s="230" t="s">
        <v>165</v>
      </c>
      <c r="J38" s="230">
        <f>J37/1.19</f>
        <v>51840.336134453784</v>
      </c>
      <c r="K38" s="250"/>
      <c r="L38" s="13"/>
      <c r="M38" s="14"/>
      <c r="N38" s="17">
        <f>N36/N35</f>
        <v>2.2000000000000002</v>
      </c>
      <c r="O38" s="15"/>
      <c r="P38"/>
      <c r="Q38"/>
      <c r="R38"/>
      <c r="S38" s="238"/>
      <c r="T38" s="59" t="s">
        <v>161</v>
      </c>
      <c r="U38" s="301" t="s">
        <v>160</v>
      </c>
      <c r="V38" s="59">
        <v>2.4</v>
      </c>
    </row>
    <row r="39" spans="2:23" s="230" customFormat="1" ht="17.25" x14ac:dyDescent="0.3">
      <c r="G39" s="23"/>
      <c r="K39" s="12"/>
      <c r="S39" s="238"/>
      <c r="T39" s="59" t="s">
        <v>162</v>
      </c>
      <c r="U39" s="302">
        <v>395.37</v>
      </c>
    </row>
    <row r="40" spans="2:23" s="230" customFormat="1" ht="17.25" x14ac:dyDescent="0.3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5" customHeight="1" x14ac:dyDescent="0.25">
      <c r="K41" s="12"/>
      <c r="T41" s="59"/>
      <c r="U41" s="59"/>
    </row>
    <row r="42" spans="2:23" x14ac:dyDescent="0.25">
      <c r="K42" s="250"/>
    </row>
    <row r="43" spans="2:23" x14ac:dyDescent="0.25">
      <c r="K43" s="250"/>
      <c r="S43" s="270"/>
    </row>
    <row r="44" spans="2:23" x14ac:dyDescent="0.25">
      <c r="K44" s="250"/>
    </row>
    <row r="45" spans="2:23" ht="15" customHeight="1" x14ac:dyDescent="0.25"/>
    <row r="47" spans="2:23" x14ac:dyDescent="0.25">
      <c r="N47">
        <v>40935</v>
      </c>
      <c r="O47" t="s">
        <v>17</v>
      </c>
      <c r="P47" t="s">
        <v>27</v>
      </c>
    </row>
    <row r="49" spans="14:19" x14ac:dyDescent="0.25">
      <c r="N49" s="54"/>
      <c r="O49" s="54"/>
    </row>
    <row r="50" spans="14:19" x14ac:dyDescent="0.25">
      <c r="R50" s="18"/>
      <c r="S50" s="18"/>
    </row>
    <row r="51" spans="14:19" x14ac:dyDescent="0.25">
      <c r="R51" s="18"/>
      <c r="S51" s="18"/>
    </row>
    <row r="52" spans="14:19" x14ac:dyDescent="0.25">
      <c r="R52" s="18"/>
      <c r="S52" s="18"/>
    </row>
    <row r="53" spans="14:19" x14ac:dyDescent="0.25">
      <c r="R53" s="18"/>
      <c r="S53" s="18"/>
    </row>
    <row r="54" spans="14:19" x14ac:dyDescent="0.25">
      <c r="R54" s="18"/>
      <c r="S54" s="18"/>
    </row>
    <row r="55" spans="14:19" x14ac:dyDescent="0.25">
      <c r="R55" s="18"/>
      <c r="S55" s="18"/>
    </row>
    <row r="56" spans="14:19" x14ac:dyDescent="0.25">
      <c r="R56" s="18"/>
      <c r="S56" s="18"/>
    </row>
    <row r="57" spans="14:19" x14ac:dyDescent="0.25">
      <c r="R57" s="18"/>
      <c r="S57" s="18"/>
    </row>
    <row r="58" spans="14:19" x14ac:dyDescent="0.25">
      <c r="R58" s="18"/>
      <c r="S58" s="18"/>
    </row>
    <row r="61" spans="14:19" x14ac:dyDescent="0.25">
      <c r="N61" s="43"/>
    </row>
    <row r="62" spans="14:19" x14ac:dyDescent="0.25">
      <c r="N62" s="43"/>
    </row>
    <row r="63" spans="14:19" x14ac:dyDescent="0.25">
      <c r="N63" s="6"/>
    </row>
    <row r="64" spans="14:19" x14ac:dyDescent="0.25">
      <c r="N64" s="6"/>
    </row>
    <row r="72" spans="3:3" x14ac:dyDescent="0.25">
      <c r="C72" t="s">
        <v>149</v>
      </c>
    </row>
    <row r="73" spans="3:3" x14ac:dyDescent="0.25">
      <c r="C73" t="s">
        <v>148</v>
      </c>
    </row>
    <row r="76" spans="3:3" x14ac:dyDescent="0.25">
      <c r="C76" t="s">
        <v>148</v>
      </c>
    </row>
    <row r="153" spans="3:3" x14ac:dyDescent="0.25">
      <c r="C153" t="s">
        <v>148</v>
      </c>
    </row>
    <row r="154" spans="3:3" x14ac:dyDescent="0.25">
      <c r="C154" t="s">
        <v>150</v>
      </c>
    </row>
    <row r="155" spans="3:3" x14ac:dyDescent="0.25">
      <c r="C155" t="s">
        <v>151</v>
      </c>
    </row>
    <row r="580" spans="3:3" x14ac:dyDescent="0.25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2578125" defaultRowHeight="15" x14ac:dyDescent="0.25"/>
  <cols>
    <col min="2" max="2" width="15.5703125" customWidth="1"/>
    <col min="3" max="3" width="20.7109375" bestFit="1" customWidth="1"/>
    <col min="5" max="5" width="11.28515625" customWidth="1"/>
    <col min="8" max="8" width="9.140625" customWidth="1"/>
    <col min="9" max="9" width="9.7109375" customWidth="1"/>
    <col min="10" max="10" width="24.85546875" bestFit="1" customWidth="1"/>
    <col min="11" max="11" width="12.7109375" bestFit="1" customWidth="1"/>
    <col min="16" max="16" width="12" bestFit="1" customWidth="1"/>
    <col min="18" max="18" width="17" customWidth="1"/>
    <col min="24" max="25" width="12.7109375" bestFit="1" customWidth="1"/>
  </cols>
  <sheetData>
    <row r="2" spans="2:31" ht="18.75" x14ac:dyDescent="0.3">
      <c r="B2" s="147" t="s">
        <v>106</v>
      </c>
      <c r="C2" s="48"/>
      <c r="D2" s="48"/>
      <c r="E2" s="146"/>
      <c r="F2" s="6"/>
    </row>
    <row r="3" spans="2:31" ht="18.75" x14ac:dyDescent="0.3">
      <c r="E3" s="145"/>
      <c r="F3" s="144"/>
    </row>
    <row r="5" spans="2:31" ht="15.75" x14ac:dyDescent="0.25">
      <c r="B5" s="140" t="s">
        <v>0</v>
      </c>
      <c r="C5" s="143">
        <f>'2229'!G10</f>
        <v>45488</v>
      </c>
    </row>
    <row r="6" spans="2:31" ht="16.5" thickBot="1" x14ac:dyDescent="0.3">
      <c r="B6" s="140" t="s">
        <v>2</v>
      </c>
      <c r="C6" s="139" t="str">
        <f>'2229'!C10</f>
        <v>JUAN ZURA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5" thickBot="1" x14ac:dyDescent="0.3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5" thickBot="1" x14ac:dyDescent="0.3">
      <c r="B8" s="140" t="s">
        <v>101</v>
      </c>
      <c r="C8" s="139" t="str">
        <f>'2229'!D8</f>
        <v>N° 11038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.75" thickBot="1" x14ac:dyDescent="0.3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-2499.3583667874409</v>
      </c>
    </row>
    <row r="10" spans="2:31" ht="16.5" thickBot="1" x14ac:dyDescent="0.3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5" thickBot="1" x14ac:dyDescent="0.3">
      <c r="C11" s="211" t="s">
        <v>94</v>
      </c>
      <c r="D11" s="133">
        <f>'2229'!H23</f>
        <v>114131.6</v>
      </c>
      <c r="E11" s="132">
        <f>D11*0.19</f>
        <v>21685.004000000001</v>
      </c>
      <c r="F11" s="131">
        <f>E11+D11</f>
        <v>135816.60399999999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103490.64163321257</v>
      </c>
      <c r="Y11" s="175">
        <v>108990</v>
      </c>
      <c r="AA11" s="6"/>
      <c r="AB11" s="6"/>
      <c r="AC11" s="225"/>
      <c r="AD11" s="53"/>
      <c r="AE11" s="222"/>
    </row>
    <row r="12" spans="2:31" ht="16.5" thickBot="1" x14ac:dyDescent="0.3">
      <c r="C12" s="137" t="s">
        <v>98</v>
      </c>
      <c r="D12" s="136">
        <f>SUM(M43:M45)</f>
        <v>60082.090787439614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85490.641633212566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5" thickBot="1" x14ac:dyDescent="0.3">
      <c r="C13" s="212" t="s">
        <v>92</v>
      </c>
      <c r="D13" s="217">
        <f>D11-D12</f>
        <v>54049.509212560391</v>
      </c>
      <c r="E13" s="221">
        <f>(D11/D12)-1</f>
        <v>0.89959434673767458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76490.641633212566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.75" thickBot="1" x14ac:dyDescent="0.3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37490.641633212559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.75" thickBot="1" x14ac:dyDescent="0.3">
      <c r="C15" s="213" t="s">
        <v>122</v>
      </c>
      <c r="D15" s="214">
        <v>0.65</v>
      </c>
      <c r="E15" s="215">
        <f>(100%+D15)*D12</f>
        <v>99135.44979927536</v>
      </c>
      <c r="F15" s="216">
        <f>E15-D12</f>
        <v>39053.359011835746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37490.641633212559</v>
      </c>
      <c r="Y15" s="175">
        <v>39990</v>
      </c>
      <c r="Z15" s="101"/>
      <c r="AA15" s="101"/>
      <c r="AB15" s="124"/>
      <c r="AD15" s="40"/>
      <c r="AE15" s="41"/>
    </row>
    <row r="16" spans="2:31" ht="15.75" thickBot="1" x14ac:dyDescent="0.3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77490.641633212566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.75" thickBot="1" x14ac:dyDescent="0.3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25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25">
      <c r="C19" s="79" t="s">
        <v>32</v>
      </c>
      <c r="D19" s="122">
        <f>'2229'!N30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.75" thickBot="1" x14ac:dyDescent="0.3">
      <c r="C20" s="74" t="s">
        <v>22</v>
      </c>
      <c r="D20" s="122">
        <f>'2229'!N29</f>
        <v>10248</v>
      </c>
      <c r="E20" s="121">
        <f>D20*0.19</f>
        <v>1947.1200000000001</v>
      </c>
      <c r="F20" s="120">
        <f>SUM(D20:E20)</f>
        <v>12195.12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.75" thickBot="1" x14ac:dyDescent="0.3">
      <c r="A21" s="80">
        <f>450000*1.2</f>
        <v>540000</v>
      </c>
      <c r="B21" s="119"/>
      <c r="C21" s="118" t="s">
        <v>6</v>
      </c>
      <c r="D21" s="117">
        <f>SUM(D18:D20)</f>
        <v>30248</v>
      </c>
      <c r="E21" s="116">
        <f>SUM(E18:E20)</f>
        <v>5747.12</v>
      </c>
      <c r="F21" s="115">
        <f>SUM(F18:F20)</f>
        <v>35995.120000000003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.75" thickBot="1" x14ac:dyDescent="0.3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.75" thickBot="1" x14ac:dyDescent="0.3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.75" thickBot="1" x14ac:dyDescent="0.3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25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25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25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25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25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25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25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.75" thickBot="1" x14ac:dyDescent="0.3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.75" thickBot="1" x14ac:dyDescent="0.3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.75" thickBot="1" x14ac:dyDescent="0.3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.75" thickBot="1" x14ac:dyDescent="0.3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.75" thickBot="1" x14ac:dyDescent="0.3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.75" thickBot="1" x14ac:dyDescent="0.3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.75" thickBot="1" x14ac:dyDescent="0.3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.75" thickBot="1" x14ac:dyDescent="0.3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.75" thickBot="1" x14ac:dyDescent="0.3">
      <c r="B40" s="68" t="s">
        <v>53</v>
      </c>
      <c r="C40" s="67" t="s">
        <v>52</v>
      </c>
      <c r="D40" s="66">
        <f>E11-E21</f>
        <v>15937.884000000002</v>
      </c>
    </row>
    <row r="41" spans="2:16" ht="15.75" thickBot="1" x14ac:dyDescent="0.3">
      <c r="H41" s="338" t="s">
        <v>61</v>
      </c>
      <c r="I41" s="339"/>
      <c r="J41" s="339"/>
      <c r="K41" s="339"/>
      <c r="L41" s="339"/>
      <c r="M41" s="340"/>
    </row>
    <row r="42" spans="2:16" ht="15.75" thickBot="1" x14ac:dyDescent="0.3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114131.6</v>
      </c>
    </row>
    <row r="43" spans="2:16" ht="15.75" thickBot="1" x14ac:dyDescent="0.3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30248</v>
      </c>
    </row>
    <row r="44" spans="2:16" x14ac:dyDescent="0.25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.75" thickBot="1" x14ac:dyDescent="0.3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.75" thickBot="1" x14ac:dyDescent="0.3">
      <c r="D46" s="60"/>
      <c r="I46" s="171" t="s">
        <v>51</v>
      </c>
      <c r="J46" s="172"/>
      <c r="K46" s="172"/>
      <c r="L46" s="173"/>
      <c r="M46" s="62">
        <f>M42-(SUM(M43:M45))</f>
        <v>54049.509212560391</v>
      </c>
    </row>
    <row r="47" spans="2:16" x14ac:dyDescent="0.25">
      <c r="I47" s="162" t="s">
        <v>50</v>
      </c>
      <c r="J47" s="163"/>
      <c r="K47" s="163"/>
      <c r="L47" s="164"/>
      <c r="M47" s="64"/>
    </row>
    <row r="48" spans="2:16" ht="15.75" thickBot="1" x14ac:dyDescent="0.3">
      <c r="D48" s="60"/>
      <c r="I48" s="168" t="s">
        <v>49</v>
      </c>
      <c r="J48" s="169"/>
      <c r="K48" s="169"/>
      <c r="L48" s="170"/>
      <c r="M48" s="63"/>
    </row>
    <row r="49" spans="3:13" ht="15.75" thickBot="1" x14ac:dyDescent="0.3">
      <c r="C49" s="59"/>
      <c r="D49" s="58"/>
      <c r="I49" s="171" t="s">
        <v>48</v>
      </c>
      <c r="J49" s="172"/>
      <c r="K49" s="172"/>
      <c r="L49" s="173"/>
      <c r="M49" s="62">
        <f>M46-SUM(M47:M48)</f>
        <v>54049.509212560391</v>
      </c>
    </row>
    <row r="52" spans="3:13" x14ac:dyDescent="0.25">
      <c r="D52" s="57"/>
    </row>
    <row r="54" spans="3:13" x14ac:dyDescent="0.25">
      <c r="D54" s="57"/>
    </row>
    <row r="56" spans="3:13" x14ac:dyDescent="0.25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FranCko .-</cp:lastModifiedBy>
  <cp:lastPrinted>2024-07-15T19:36:55Z</cp:lastPrinted>
  <dcterms:created xsi:type="dcterms:W3CDTF">2013-03-18T13:35:42Z</dcterms:created>
  <dcterms:modified xsi:type="dcterms:W3CDTF">2024-07-15T20:32:46Z</dcterms:modified>
</cp:coreProperties>
</file>