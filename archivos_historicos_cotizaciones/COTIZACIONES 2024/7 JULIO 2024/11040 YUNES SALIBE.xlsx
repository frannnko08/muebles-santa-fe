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5DE7548B-4B73-44F0-8079-C0D79A6B00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K22" i="1"/>
  <c r="L22" i="1"/>
  <c r="M22" i="1"/>
  <c r="K23" i="1"/>
  <c r="L23" i="1"/>
  <c r="M23" i="1"/>
  <c r="H22" i="1"/>
  <c r="H23" i="1"/>
  <c r="N22" i="1" l="1"/>
  <c r="O22" i="1" s="1"/>
  <c r="N23" i="1"/>
  <c r="O23" i="1" s="1"/>
  <c r="K21" i="1"/>
  <c r="J40" i="1"/>
  <c r="L21" i="1"/>
  <c r="M21" i="1"/>
  <c r="S21" i="1" l="1"/>
  <c r="S25" i="1" s="1"/>
  <c r="S26" i="1" s="1"/>
  <c r="S27" i="1" s="1"/>
  <c r="R21" i="1"/>
  <c r="R27" i="1" s="1"/>
  <c r="N21" i="1"/>
  <c r="O21" i="1" s="1"/>
  <c r="O26" i="1" s="1"/>
  <c r="U33" i="1"/>
  <c r="U34" i="1" s="1"/>
  <c r="N32" i="1" l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N37" i="1" s="1"/>
  <c r="N38" i="1" s="1"/>
  <c r="Q38" i="1"/>
  <c r="D20" i="3" l="1"/>
  <c r="E20" i="3" s="1"/>
  <c r="E21" i="3" s="1"/>
  <c r="N39" i="1" l="1"/>
  <c r="D21" i="3"/>
  <c r="M43" i="3" s="1"/>
  <c r="D12" i="3" s="1"/>
  <c r="F20" i="3"/>
  <c r="F21" i="3" s="1"/>
  <c r="N40" i="1" l="1"/>
  <c r="P20" i="1"/>
  <c r="E15" i="3"/>
  <c r="P23" i="1" l="1"/>
  <c r="Q23" i="1" s="1"/>
  <c r="P22" i="1"/>
  <c r="Q22" i="1" s="1"/>
  <c r="P21" i="1"/>
  <c r="F15" i="3"/>
  <c r="Q21" i="1" l="1"/>
  <c r="H21" i="1" l="1"/>
  <c r="H25" i="1" s="1"/>
  <c r="H27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<sst xmlns="http://schemas.openxmlformats.org/spreadsheetml/2006/main" count="235" uniqueCount="177">
  <si>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</si>
  <si>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</si>
  <si>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</si>
  <si>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</si>
  <si>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</si>
  <si>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</si>
  <si>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</si>
  <si>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</si>
  <si>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</si>
  <si>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</si>
  <si>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</si>
  <si>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</si>
  <si>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</si>
  <si>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</si>
  <si>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</si>
  <si>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</si>
  <si>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</si>
  <si>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</si>
  <si>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</si>
  <si>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</si>
  <si>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</si>
  <si>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</si>
  <si>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</si>
  <si>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</si>
  <si>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</si>
  <si>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</si>
  <si>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</si>
  <si>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</si>
  <si>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</si>
  <si>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</si>
  <si>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</si>
  <si>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</si>
  <si>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</si>
  <si>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</si>
  <si>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</si>
  <si>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</si>
  <si>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</si>
  <si>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</si>
  <si>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</si>
  <si>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</si>
  <si>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</si>
  <si>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</si>
  <si>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</si>
  <si>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</si>
  <si>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</si>
  <si>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</si>
  <si>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</si>
  <si>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</si>
  <si>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</si>
  <si>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</si>
  <si>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</si>
  <si>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</si>
  <si>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</si>
  <si>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</si>
  <si>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</si>
  <si>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</si>
  <si>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</si>
  <si>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</si>
  <si>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</si>
  <si>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</si>
  <si>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</si>
  <si>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</si>
  <si>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</si>
  <si>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</si>
  <si>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</si>
  <si>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</si>
  <si>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</si>
  <si>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</si>
  <si>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</si>
  <si>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</si>
  <si>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</si>
  <si>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</si>
  <si>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</si>
  <si>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</si>
  <si>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</si>
  <si>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</si>
  <si>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</si>
  <si>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</si>
  <si>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</si>
  <si>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</si>
  <si>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</si>
  <si>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</si>
  <si>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</si>
  <si>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</si>
  <si>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</si>
  <si>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</si>
  <si>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</si>
  <si>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</si>
  <si>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</si>
  <si>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</si>
  <si>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</si>
  <si>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</si>
  <si>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</si>
  <si>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</si>
  <si>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</si>
  <si>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</si>
  <si>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</si>
  <si>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</si>
  <si>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</si>
  <si>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</si>
  <si>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</si>
  <si>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</si>
  <si>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</si>
  <si>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</si>
  <si>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</si>
  <si>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</si>
  <si>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</si>
  <si>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</si>
  <si>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</si>
  <si>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</si>
  <si>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</si>
  <si>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</si>
  <si>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</si>
  <si>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</si>
  <si>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</si>
  <si>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</si>
  <si>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</si>
  <si>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</si>
  <si>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</si>
  <si>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</si>
  <si>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</si>
  <si>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</si>
  <si>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</si>
  <si>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</si>
  <si>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</si>
  <si>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</si>
  <si>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</si>
  <si>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</si>
  <si>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</si>
  <si>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</si>
  <si>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</si>
  <si>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</si>
  <si>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</si>
  <si>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</si>
  <si>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</si>
  <si>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</si>
  <si>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</si>
  <si>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</si>
  <si>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</si>
  <si>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</si>
  <si>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</si>
  <si>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</si>
  <si>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</si>
  <si>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</si>
  <si>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</si>
  <si>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</si>
  <si>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</si>
  <si>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</si>
  <si>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</si>
  <si>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</si>
  <si>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</si>
  <si>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</si>
  <si>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</si>
  <si>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</si>
  <si>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</si>
  <si>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</si>
  <si>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</si>
  <si>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</si>
  <si>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</si>
  <si>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</si>
  <si>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</si>
  <si>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</si>
  <si>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</si>
  <si>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</si>
  <si>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</si>
  <si>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</si>
  <si>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</si>
  <si>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YUNES SALIBE</t>
  </si>
  <si>
    <t>PUERTO MONTT</t>
  </si>
  <si>
    <t xml:space="preserve">+569 </t>
  </si>
  <si>
    <t>SI POR TRANSPORTES</t>
  </si>
  <si>
    <t>lamitech</t>
  </si>
  <si>
    <t>CUB MESA R6 4 LADOS</t>
  </si>
  <si>
    <t>N° 11040</t>
  </si>
  <si>
    <t>7 DIAS HABILES</t>
  </si>
  <si>
    <t>CUB C/R 90° R8</t>
  </si>
  <si>
    <t>HAYA 1750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</si>
</sst>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11" fillId="0" borderId="35" xfId="0" applyFont="1" applyBorder="1" applyAlignment="1">
      <alignment horizontal="center"/>
    </xf>
    <xf numFmtId="42" fontId="33" fillId="0" borderId="14" xfId="8" applyFont="1" applyFill="1" applyBorder="1"/>
    <xf numFmtId="0" fontId="21" fillId="0" borderId="1" xfId="0" applyFont="1" applyBorder="1" applyAlignment="1">
      <alignment horizontal="center" vertical="center"/>
    </xf>
    <xf numFmtId="41" fontId="22" fillId="0" borderId="1" xfId="4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24</xdr:row>
      <xdr:rowOff>9525</xdr:rowOff>
    </xdr:from>
    <xdr:to>
      <xdr:col>5</xdr:col>
      <xdr:colOff>1594096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DESPACHAN CON SOBRE MEDIDA, SALVO LA MESA 4 LADOS, EMBALADAS CON CARTON CORRUGADO POR TRANSPORTES CASEM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 RESPONDEMOS POR EVENTUALES DAÑOS EN EL TRANSPORTE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2" zoomScale="93" zoomScaleNormal="93" workbookViewId="0">
      <selection activeCell="A27" sqref="A2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3" t="s">
        <v>173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6" t="s">
        <v>163</v>
      </c>
      <c r="C10" s="279" t="s">
        <v>167</v>
      </c>
      <c r="D10" s="243"/>
      <c r="E10" s="243"/>
      <c r="F10" s="244" t="s">
        <v>0</v>
      </c>
      <c r="G10" s="277">
        <v>45491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299"/>
      <c r="F11" t="s">
        <v>124</v>
      </c>
      <c r="G11" s="289" t="s">
        <v>174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1"/>
      <c r="H13" s="290"/>
      <c r="P13" s="19"/>
      <c r="Q13" s="25"/>
      <c r="R13" s="19"/>
    </row>
    <row r="14" spans="2:23" x14ac:dyDescent="0.3">
      <c r="B14" s="246" t="s">
        <v>140</v>
      </c>
      <c r="C14" s="318"/>
      <c r="D14" s="247"/>
      <c r="E14" s="247"/>
      <c r="F14" s="319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3" t="s">
        <v>169</v>
      </c>
      <c r="D15" s="314"/>
      <c r="F15" t="s">
        <v>135</v>
      </c>
      <c r="G15" s="312" t="s">
        <v>170</v>
      </c>
      <c r="H15" s="290"/>
    </row>
    <row r="16" spans="2:23" ht="16.8" x14ac:dyDescent="0.4">
      <c r="B16" s="320" t="s">
        <v>3</v>
      </c>
      <c r="C16" s="310"/>
      <c r="D16" s="247"/>
      <c r="E16" s="247"/>
      <c r="F16" s="321" t="s">
        <v>130</v>
      </c>
      <c r="G16" s="322" t="s">
        <v>164</v>
      </c>
      <c r="H16" s="248"/>
    </row>
    <row r="17" spans="2:24" ht="15" thickBot="1" x14ac:dyDescent="0.35">
      <c r="B17" s="315" t="s">
        <v>13</v>
      </c>
      <c r="C17" s="316" t="s">
        <v>168</v>
      </c>
      <c r="D17" s="317"/>
      <c r="E17" s="119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7" t="s">
        <v>7</v>
      </c>
      <c r="C20" s="308" t="s">
        <v>1</v>
      </c>
      <c r="D20" s="308" t="s">
        <v>10</v>
      </c>
      <c r="E20" s="308" t="s">
        <v>11</v>
      </c>
      <c r="F20" s="308" t="s">
        <v>8</v>
      </c>
      <c r="G20" s="308" t="s">
        <v>5</v>
      </c>
      <c r="H20" s="309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88299.638348686465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4">
        <v>1</v>
      </c>
      <c r="C21" s="324" t="s">
        <v>175</v>
      </c>
      <c r="D21" s="325">
        <v>2.87</v>
      </c>
      <c r="E21" s="325">
        <v>0.55000000000000004</v>
      </c>
      <c r="F21" s="324" t="s">
        <v>176</v>
      </c>
      <c r="G21" s="326">
        <v>144809</v>
      </c>
      <c r="H21" s="326">
        <f>G21*B21</f>
        <v>144809</v>
      </c>
      <c r="I21" s="265"/>
      <c r="J21" s="47"/>
      <c r="K21" s="47">
        <f>B21</f>
        <v>1</v>
      </c>
      <c r="L21" s="39">
        <f t="shared" ref="L21" si="1">D21+L$19</f>
        <v>2.92</v>
      </c>
      <c r="M21" s="39">
        <f t="shared" ref="M21" si="2">E21+M$19</f>
        <v>0.55000000000000004</v>
      </c>
      <c r="N21" s="261">
        <f t="shared" ref="N21" si="3">L21*M21</f>
        <v>1.6060000000000001</v>
      </c>
      <c r="O21" s="259">
        <f t="shared" ref="O21" si="4">N21*K21</f>
        <v>1.6060000000000001</v>
      </c>
      <c r="P21" s="252">
        <f t="shared" ref="P21" si="5">P$20*N21</f>
        <v>141809.21918799047</v>
      </c>
      <c r="Q21" s="327">
        <f t="shared" ref="Q21" si="6">P21+Q$20</f>
        <v>144809.21918799047</v>
      </c>
      <c r="R21" s="298">
        <f>L21*K21*2</f>
        <v>5.84</v>
      </c>
      <c r="S21" s="46">
        <f>M21*2*K21</f>
        <v>1.1000000000000001</v>
      </c>
      <c r="T21" s="9"/>
      <c r="W21" s="4"/>
    </row>
    <row r="22" spans="2:24" ht="17.399999999999999" x14ac:dyDescent="0.3">
      <c r="B22" s="324">
        <v>1</v>
      </c>
      <c r="C22" s="324" t="s">
        <v>175</v>
      </c>
      <c r="D22" s="325">
        <v>0.98</v>
      </c>
      <c r="E22" s="325">
        <v>0.5</v>
      </c>
      <c r="F22" s="324" t="s">
        <v>176</v>
      </c>
      <c r="G22" s="326">
        <v>48474</v>
      </c>
      <c r="H22" s="326">
        <f>G22*B22</f>
        <v>48474</v>
      </c>
      <c r="I22" s="265"/>
      <c r="J22" s="47"/>
      <c r="K22" s="47">
        <f t="shared" ref="K22:K23" si="7">B22</f>
        <v>1</v>
      </c>
      <c r="L22" s="39">
        <f t="shared" ref="L22:L23" si="8">D22+L$19</f>
        <v>1.03</v>
      </c>
      <c r="M22" s="39">
        <f t="shared" ref="M22:M23" si="9">E22+M$19</f>
        <v>0.5</v>
      </c>
      <c r="N22" s="261">
        <f t="shared" ref="N22:N23" si="10">L22*M22</f>
        <v>0.51500000000000001</v>
      </c>
      <c r="O22" s="259">
        <f t="shared" ref="O22:O23" si="11">N22*K22</f>
        <v>0.51500000000000001</v>
      </c>
      <c r="P22" s="252">
        <f t="shared" ref="P22:P23" si="12">P$20*N22</f>
        <v>45474.313749573528</v>
      </c>
      <c r="Q22" s="327">
        <f t="shared" ref="Q22:Q23" si="13">P22+Q$20</f>
        <v>48474.313749573528</v>
      </c>
      <c r="R22" s="298"/>
      <c r="S22" s="46"/>
      <c r="T22" s="9"/>
      <c r="W22" s="4"/>
    </row>
    <row r="23" spans="2:24" ht="17.399999999999999" x14ac:dyDescent="0.3">
      <c r="B23" s="324">
        <v>1</v>
      </c>
      <c r="C23" s="324" t="s">
        <v>172</v>
      </c>
      <c r="D23" s="325">
        <v>1.3</v>
      </c>
      <c r="E23" s="325">
        <v>0.6</v>
      </c>
      <c r="F23" s="324" t="s">
        <v>176</v>
      </c>
      <c r="G23" s="326">
        <v>74523</v>
      </c>
      <c r="H23" s="326">
        <f>G23*B23</f>
        <v>74523</v>
      </c>
      <c r="I23" s="265"/>
      <c r="J23" s="47"/>
      <c r="K23" s="47">
        <f t="shared" si="7"/>
        <v>1</v>
      </c>
      <c r="L23" s="39">
        <f t="shared" si="8"/>
        <v>1.35</v>
      </c>
      <c r="M23" s="39">
        <f t="shared" si="9"/>
        <v>0.6</v>
      </c>
      <c r="N23" s="261">
        <f t="shared" si="10"/>
        <v>0.81</v>
      </c>
      <c r="O23" s="259">
        <f t="shared" si="11"/>
        <v>0.81</v>
      </c>
      <c r="P23" s="252">
        <f t="shared" si="12"/>
        <v>71522.707062436035</v>
      </c>
      <c r="Q23" s="327">
        <f t="shared" si="13"/>
        <v>74522.707062436035</v>
      </c>
      <c r="R23" s="298"/>
      <c r="S23" s="46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30"/>
      <c r="H24" s="331"/>
      <c r="I24" s="233"/>
      <c r="J24" s="47"/>
      <c r="K24" s="47"/>
      <c r="L24" s="39"/>
      <c r="M24" s="39"/>
      <c r="N24" s="261"/>
      <c r="O24" s="259"/>
      <c r="P24" s="252"/>
      <c r="Q24" s="258"/>
      <c r="R24" s="29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28" t="s">
        <v>29</v>
      </c>
      <c r="H25" s="329">
        <f>SUM(H21:H24)</f>
        <v>267806</v>
      </c>
      <c r="I25" s="265"/>
      <c r="J25" s="47">
        <v>2600000</v>
      </c>
      <c r="K25" s="47"/>
      <c r="L25" s="39">
        <f>L21+L22</f>
        <v>3.95</v>
      </c>
      <c r="M25" s="39"/>
      <c r="N25" s="261"/>
      <c r="O25" s="259"/>
      <c r="P25" s="252"/>
      <c r="Q25" s="258"/>
      <c r="R25" s="298"/>
      <c r="S25" s="46">
        <f>SUM(S21:S24)</f>
        <v>1.1000000000000001</v>
      </c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297" t="s">
        <v>52</v>
      </c>
      <c r="H26" s="295">
        <v>19000</v>
      </c>
      <c r="I26" s="265"/>
      <c r="J26" s="47"/>
      <c r="K26" s="47"/>
      <c r="L26" s="39"/>
      <c r="M26" s="12"/>
      <c r="N26" s="12"/>
      <c r="O26" s="253">
        <f>SUM(O21:O23)</f>
        <v>2.931</v>
      </c>
      <c r="P26" s="14"/>
      <c r="Q26" s="12"/>
      <c r="R26" s="239"/>
      <c r="S26" s="46">
        <f>S25*20%</f>
        <v>0.22000000000000003</v>
      </c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296">
        <f>H25+H26</f>
        <v>286806</v>
      </c>
      <c r="I27" s="265"/>
      <c r="J27" s="47"/>
      <c r="K27" s="47"/>
      <c r="L27" s="39"/>
      <c r="M27" s="12"/>
      <c r="N27" s="12"/>
      <c r="O27" s="253">
        <f>O26</f>
        <v>2.931</v>
      </c>
      <c r="P27" s="14"/>
      <c r="Q27" s="12"/>
      <c r="R27" s="239">
        <f>SUM(R21:R26)</f>
        <v>5.84</v>
      </c>
      <c r="S27" s="46">
        <f>S25+S26</f>
        <v>1.32</v>
      </c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0.58620000000000005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3.5171999999999999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03" t="s">
        <v>22</v>
      </c>
      <c r="U30" s="300" t="s">
        <v>153</v>
      </c>
      <c r="V30" s="304">
        <v>44971</v>
      </c>
      <c r="W30" s="305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3.5171999999999999</v>
      </c>
      <c r="M31" s="12">
        <v>3500</v>
      </c>
      <c r="N31" s="12">
        <f t="shared" ref="N31:N36" si="14">L31*M31</f>
        <v>12310.199999999999</v>
      </c>
      <c r="O31" s="14" t="s">
        <v>22</v>
      </c>
      <c r="P31" s="14"/>
      <c r="Q31" s="14"/>
      <c r="R31" s="241"/>
      <c r="S31" s="14"/>
      <c r="T31" s="303" t="s">
        <v>154</v>
      </c>
      <c r="U31" s="300">
        <v>3625</v>
      </c>
      <c r="V31" s="59" t="s">
        <v>155</v>
      </c>
      <c r="W31" s="305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 t="s">
        <v>171</v>
      </c>
      <c r="K32" s="47"/>
      <c r="L32" s="249">
        <v>1</v>
      </c>
      <c r="M32" s="12">
        <v>25000</v>
      </c>
      <c r="N32" s="12">
        <f t="shared" si="14"/>
        <v>25000</v>
      </c>
      <c r="O32" s="39" t="s">
        <v>32</v>
      </c>
      <c r="P32" s="42"/>
      <c r="Q32" s="14"/>
      <c r="R32" s="240"/>
      <c r="S32" s="14"/>
      <c r="T32" s="303"/>
      <c r="U32" s="59">
        <v>906.25</v>
      </c>
      <c r="V32" s="59" t="s">
        <v>156</v>
      </c>
      <c r="W32" s="305"/>
    </row>
    <row r="33" spans="2:23" s="230" customFormat="1" ht="17.399999999999999" x14ac:dyDescent="0.35">
      <c r="I33" s="262"/>
      <c r="J33" s="232">
        <v>40754</v>
      </c>
      <c r="K33" s="250">
        <v>34989</v>
      </c>
      <c r="L33" s="14"/>
      <c r="M33" s="250">
        <v>40754</v>
      </c>
      <c r="N33" s="12">
        <f t="shared" si="14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05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>
        <v>26644</v>
      </c>
      <c r="K34" s="250">
        <v>22025</v>
      </c>
      <c r="L34" s="14">
        <v>2</v>
      </c>
      <c r="M34" s="250">
        <v>37202</v>
      </c>
      <c r="N34" s="12">
        <f t="shared" si="14"/>
        <v>74404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05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14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294"/>
      <c r="K36" s="250"/>
      <c r="L36" s="266">
        <v>3.95</v>
      </c>
      <c r="M36" s="12">
        <v>1500</v>
      </c>
      <c r="N36" s="12">
        <f t="shared" si="14"/>
        <v>5925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117639.2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258806.24000000002</v>
      </c>
      <c r="O38" s="14" t="s">
        <v>141</v>
      </c>
      <c r="P38" s="14"/>
      <c r="Q38" s="40">
        <f>O29/Q37</f>
        <v>0.94833908541846412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44270</v>
      </c>
      <c r="K39" s="250"/>
      <c r="L39" s="14"/>
      <c r="M39" s="12"/>
      <c r="N39" s="12">
        <f>N38/O27</f>
        <v>88299.638348686465</v>
      </c>
      <c r="O39" s="45" t="s">
        <v>25</v>
      </c>
      <c r="P39" s="14"/>
      <c r="Q39" s="14"/>
      <c r="R39"/>
      <c r="S39" s="238"/>
      <c r="T39" s="59" t="s">
        <v>159</v>
      </c>
      <c r="U39" s="300">
        <v>43650</v>
      </c>
    </row>
    <row r="40" spans="2:23" s="230" customFormat="1" ht="17.399999999999999" x14ac:dyDescent="0.35">
      <c r="G40"/>
      <c r="H40" s="230" t="s">
        <v>165</v>
      </c>
      <c r="J40" s="230">
        <f>J39/1.19</f>
        <v>37201.680672268907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01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02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45491</v>
      </c>
    </row>
    <row r="6" spans="2:31" ht="16.2" thickBot="1" x14ac:dyDescent="0.35">
      <c r="B6" s="140" t="s">
        <v>2</v>
      </c>
      <c r="C6" s="139" t="str">
        <f>'2229'!C10</f>
        <v>YUNES SALIBE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11040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-26169.653366787436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267806</v>
      </c>
      <c r="E11" s="132">
        <f>D11*0.19</f>
        <v>50883.14</v>
      </c>
      <c r="F11" s="131">
        <f>E11+D11</f>
        <v>318689.14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79820.346633212568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67144.290787439619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61820.346633212568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200661.70921256038</v>
      </c>
      <c r="E13" s="221">
        <f>(D11/D12)-1</f>
        <v>2.9885148366195455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52820.346633212568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13820.346633212564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110788.07979927537</v>
      </c>
      <c r="F15" s="216">
        <f>E15-D12</f>
        <v>43643.789011835746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13820.346633212564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53820.346633212568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12310.199999999999</v>
      </c>
      <c r="E20" s="121">
        <f>D20*0.19</f>
        <v>2338.9379999999996</v>
      </c>
      <c r="F20" s="120">
        <f>SUM(D20:E20)</f>
        <v>14649.137999999999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37310.199999999997</v>
      </c>
      <c r="E21" s="116">
        <f>SUM(E18:E20)</f>
        <v>7088.9380000000001</v>
      </c>
      <c r="F21" s="115">
        <f>SUM(F18:F20)</f>
        <v>44399.137999999999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43794.201999999997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267806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37310.199999999997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200661.70921256038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200661.70921256038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2024-07-18T13:02:06Z</cp:lastPrinted>
  <dcterms:created xsi:type="dcterms:W3CDTF">2013-03-18T13:35:42Z</dcterms:created>
  <dcterms:modified xsi:type="dcterms:W3CDTF">2024-07-18T14:16:19Z</dcterms:modified>
</cp:coreProperties>
</file>