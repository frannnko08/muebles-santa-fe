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1D3466AA-B97D-40F9-A16C-CA8BB3EE66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21" i="1"/>
  <c r="L24" i="1"/>
  <c r="M21" i="1"/>
  <c r="H21" i="1"/>
  <c r="N21" i="1" l="1"/>
  <c r="O21" i="1" s="1"/>
  <c r="O25" i="1" s="1"/>
  <c r="J39" i="1"/>
  <c r="S21" i="1" l="1"/>
  <c r="S24" i="1" s="1"/>
  <c r="S25" i="1" s="1"/>
  <c r="S26" i="1" s="1"/>
  <c r="R26" i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N36" i="1" s="1"/>
  <c r="N37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1" i="1" l="1"/>
  <c r="Q21" i="1" s="1"/>
  <c r="F15" i="3"/>
  <c r="H24" i="1" l="1"/>
  <c r="H25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<sst xmlns="http://schemas.openxmlformats.org/spreadsheetml/2006/main" count="231" uniqueCount="176">
  <si>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</si>
  <si>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</si>
  <si>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</si>
  <si>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</si>
  <si>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</si>
  <si>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</si>
  <si>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</si>
  <si>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</si>
  <si>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</si>
  <si>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</si>
  <si>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</si>
  <si>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</si>
  <si>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</si>
  <si>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</si>
  <si>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</si>
  <si>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</si>
  <si>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</si>
  <si>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</si>
  <si>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</si>
  <si>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</si>
  <si>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</si>
  <si>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</si>
  <si>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</si>
  <si>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</si>
  <si>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</si>
  <si>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</si>
  <si>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</si>
  <si>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</si>
  <si>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</si>
  <si>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</si>
  <si>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</si>
  <si>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</si>
  <si>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</si>
  <si>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</si>
  <si>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</si>
  <si>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</si>
  <si>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</si>
  <si>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</si>
  <si>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</si>
  <si>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</si>
  <si>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</si>
  <si>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</si>
  <si>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</si>
  <si>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</si>
  <si>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</si>
  <si>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</si>
  <si>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</si>
  <si>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</si>
  <si>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</si>
  <si>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</si>
  <si>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</si>
  <si>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</si>
  <si>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</si>
  <si>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</si>
  <si>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</si>
  <si>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</si>
  <si>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</si>
  <si>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</si>
  <si>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</si>
  <si>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</si>
  <si>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</si>
  <si>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</si>
  <si>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</si>
  <si>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</si>
  <si>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</si>
  <si>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</si>
  <si>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</si>
  <si>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</si>
  <si>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</si>
  <si>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</si>
  <si>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</si>
  <si>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</si>
  <si>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</si>
  <si>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</si>
  <si>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</si>
  <si>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</si>
  <si>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</si>
  <si>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</si>
  <si>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</si>
  <si>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</si>
  <si>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</si>
  <si>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</si>
  <si>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</si>
  <si>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</si>
  <si>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</si>
  <si>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</si>
  <si>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</si>
  <si>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</si>
  <si>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</si>
  <si>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</si>
  <si>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</si>
  <si>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</si>
  <si>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</si>
  <si>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</si>
  <si>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</si>
  <si>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</si>
  <si>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</si>
  <si>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</si>
  <si>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</si>
  <si>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</si>
  <si>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</si>
  <si>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</si>
  <si>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</si>
  <si>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</si>
  <si>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</si>
  <si>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</si>
  <si>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</si>
  <si>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</si>
  <si>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</si>
  <si>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</si>
  <si>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</si>
  <si>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</si>
  <si>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</si>
  <si>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</si>
  <si>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</si>
  <si>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</si>
  <si>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</si>
  <si>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</si>
  <si>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</si>
  <si>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</si>
  <si>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</si>
  <si>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</si>
  <si>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</si>
  <si>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</si>
  <si>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</si>
  <si>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</si>
  <si>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</si>
  <si>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</si>
  <si>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</si>
  <si>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</si>
  <si>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</si>
  <si>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</si>
  <si>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</si>
  <si>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</si>
  <si>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</si>
  <si>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</si>
  <si>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</si>
  <si>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</si>
  <si>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</si>
  <si>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</si>
  <si>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</si>
  <si>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</si>
  <si>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</si>
  <si>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</si>
  <si>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</si>
  <si>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</si>
  <si>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</si>
  <si>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</si>
  <si>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</si>
  <si>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</si>
  <si>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</si>
  <si>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</si>
  <si>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</si>
  <si>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</si>
  <si>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</si>
  <si>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</si>
  <si>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</si>
  <si>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</si>
  <si>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</si>
  <si>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</si>
  <si>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</si>
  <si>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</si>
  <si>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</si>
  <si>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</si>
  <si>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</si>
  <si>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</si>
  <si>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</si>
  <si>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lamitech</t>
  </si>
  <si>
    <t>SANTIAGO</t>
  </si>
  <si>
    <t>SI</t>
  </si>
  <si>
    <t>N° 11121</t>
  </si>
  <si>
    <t>5 DIAS HABILES</t>
  </si>
  <si>
    <t>MARCELA GARCIA</t>
  </si>
  <si>
    <t>+569 8345 8070</t>
  </si>
  <si>
    <t>CUB MESA R8 3LADOS</t>
  </si>
  <si>
    <t>BEIGE GRANITO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</si>
</sst>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8" zoomScale="93" zoomScaleNormal="93" workbookViewId="0">
      <selection activeCell="G37" sqref="G3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170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172</v>
      </c>
      <c r="D10" s="243"/>
      <c r="E10" s="243"/>
      <c r="F10" s="244" t="s">
        <v>0</v>
      </c>
      <c r="G10" s="277">
        <v>45573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171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169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173</v>
      </c>
      <c r="D15" s="314"/>
      <c r="F15" t="s">
        <v>135</v>
      </c>
      <c r="G15" s="312" t="s">
        <v>136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" thickBot="1" x14ac:dyDescent="0.35">
      <c r="B17" s="315" t="s">
        <v>13</v>
      </c>
      <c r="C17" s="316" t="s">
        <v>168</v>
      </c>
      <c r="D17" s="317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79697.232952305887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1</v>
      </c>
      <c r="C21" s="324" t="s">
        <v>174</v>
      </c>
      <c r="D21" s="325">
        <v>1.1299999999999999</v>
      </c>
      <c r="E21" s="325">
        <v>0.86</v>
      </c>
      <c r="F21" s="324" t="s">
        <v>175</v>
      </c>
      <c r="G21" s="326">
        <v>83877</v>
      </c>
      <c r="H21" s="326">
        <f>G21*B21</f>
        <v>83877</v>
      </c>
      <c r="I21" s="265"/>
      <c r="J21" s="47"/>
      <c r="K21" s="47">
        <f>B21</f>
        <v>1</v>
      </c>
      <c r="L21" s="39">
        <f>D21+L$19</f>
        <v>1.18</v>
      </c>
      <c r="M21" s="39">
        <f>E21</f>
        <v>0.86</v>
      </c>
      <c r="N21" s="261">
        <f t="shared" ref="N21" si="1">L21*M21</f>
        <v>1.0147999999999999</v>
      </c>
      <c r="O21" s="259">
        <f t="shared" ref="O21" si="2">N21*K21</f>
        <v>1.0147999999999999</v>
      </c>
      <c r="P21" s="252">
        <f t="shared" ref="P21" si="3">P$20*N21</f>
        <v>80876.752000000008</v>
      </c>
      <c r="Q21" s="327">
        <f t="shared" ref="Q21" si="4">P21+Q$20</f>
        <v>83876.752000000008</v>
      </c>
      <c r="R21" s="298"/>
      <c r="S21" s="46">
        <f>M21*2*K21</f>
        <v>1.72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26"/>
      <c r="H22" s="326"/>
      <c r="I22" s="265"/>
      <c r="J22" s="47"/>
      <c r="K22" s="47"/>
      <c r="L22" s="39"/>
      <c r="M22" s="39"/>
      <c r="N22" s="261"/>
      <c r="O22" s="259"/>
      <c r="P22" s="252"/>
      <c r="Q22" s="327"/>
      <c r="R22" s="298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0"/>
      <c r="H23" s="331"/>
      <c r="I23" s="233"/>
      <c r="J23" s="47"/>
      <c r="K23" s="47"/>
      <c r="L23" s="39"/>
      <c r="M23" s="39"/>
      <c r="N23" s="261"/>
      <c r="O23" s="259"/>
      <c r="P23" s="252"/>
      <c r="Q23" s="258"/>
      <c r="R23" s="29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28" t="s">
        <v>29</v>
      </c>
      <c r="H24" s="329">
        <f>SUM(H21:H23)</f>
        <v>83877</v>
      </c>
      <c r="I24" s="265"/>
      <c r="J24" s="47">
        <v>2600000</v>
      </c>
      <c r="K24" s="47"/>
      <c r="L24" s="39">
        <f>SUM(L23:L23)</f>
        <v>0</v>
      </c>
      <c r="M24" s="39"/>
      <c r="N24" s="261"/>
      <c r="O24" s="259"/>
      <c r="P24" s="252"/>
      <c r="Q24" s="258"/>
      <c r="R24" s="298"/>
      <c r="S24" s="46">
        <f>SUM(S21:S23)</f>
        <v>1.72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7" t="s">
        <v>52</v>
      </c>
      <c r="H25" s="295">
        <f>H24*19%</f>
        <v>15936.630000000001</v>
      </c>
      <c r="I25" s="265"/>
      <c r="J25" s="47"/>
      <c r="K25" s="47"/>
      <c r="L25" s="39"/>
      <c r="M25" s="12"/>
      <c r="N25" s="12"/>
      <c r="O25" s="253">
        <f>SUM(O21:O21)</f>
        <v>1.0147999999999999</v>
      </c>
      <c r="P25" s="14"/>
      <c r="Q25" s="12"/>
      <c r="R25" s="239"/>
      <c r="S25" s="46">
        <f>S24*20%</f>
        <v>0.34400000000000003</v>
      </c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99813.63</v>
      </c>
      <c r="I26" s="265"/>
      <c r="J26" s="47"/>
      <c r="K26" s="47"/>
      <c r="L26" s="39"/>
      <c r="M26" s="12"/>
      <c r="N26" s="12"/>
      <c r="O26" s="253">
        <f>O25</f>
        <v>1.0147999999999999</v>
      </c>
      <c r="P26" s="14"/>
      <c r="Q26" s="12"/>
      <c r="R26" s="239">
        <f>SUM(R21:R25)</f>
        <v>0</v>
      </c>
      <c r="S26" s="46">
        <f>S24+S25</f>
        <v>2.0640000000000001</v>
      </c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0.20296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1.21776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3" t="s">
        <v>22</v>
      </c>
      <c r="U29" s="300" t="s">
        <v>153</v>
      </c>
      <c r="V29" s="304">
        <v>44971</v>
      </c>
      <c r="W29" s="305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1.21776</v>
      </c>
      <c r="M30" s="12">
        <v>3500</v>
      </c>
      <c r="N30" s="12">
        <f t="shared" ref="N30:N35" si="5">L30*M30</f>
        <v>4262.16</v>
      </c>
      <c r="O30" s="14" t="s">
        <v>22</v>
      </c>
      <c r="P30" s="14"/>
      <c r="Q30" s="14"/>
      <c r="R30" s="241"/>
      <c r="S30" s="14"/>
      <c r="T30" s="303" t="s">
        <v>154</v>
      </c>
      <c r="U30" s="300">
        <v>3625</v>
      </c>
      <c r="V30" s="59" t="s">
        <v>155</v>
      </c>
      <c r="W30" s="305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 t="s">
        <v>167</v>
      </c>
      <c r="K31" s="47"/>
      <c r="L31" s="249">
        <v>0.4</v>
      </c>
      <c r="M31" s="12">
        <v>25000</v>
      </c>
      <c r="N31" s="12">
        <f t="shared" si="5"/>
        <v>10000</v>
      </c>
      <c r="O31" s="39" t="s">
        <v>32</v>
      </c>
      <c r="P31" s="42"/>
      <c r="Q31" s="14"/>
      <c r="R31" s="240"/>
      <c r="S31" s="14"/>
      <c r="T31" s="303"/>
      <c r="U31" s="59">
        <v>906.25</v>
      </c>
      <c r="V31" s="59" t="s">
        <v>156</v>
      </c>
      <c r="W31" s="305"/>
    </row>
    <row r="32" spans="2:24" s="230" customFormat="1" ht="17.399999999999999" x14ac:dyDescent="0.35">
      <c r="I32" s="262"/>
      <c r="J32" s="232">
        <v>40754</v>
      </c>
      <c r="K32" s="250">
        <v>34989</v>
      </c>
      <c r="L32" s="14"/>
      <c r="M32" s="250">
        <v>61840</v>
      </c>
      <c r="N32" s="12">
        <f t="shared" si="5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5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>
        <v>26644</v>
      </c>
      <c r="K33" s="250">
        <v>22025</v>
      </c>
      <c r="L33" s="14">
        <v>1</v>
      </c>
      <c r="M33" s="250">
        <v>22500</v>
      </c>
      <c r="N33" s="12">
        <f t="shared" si="5"/>
        <v>22500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5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5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K35" s="250"/>
      <c r="L35" s="266"/>
      <c r="M35" s="12">
        <v>1500</v>
      </c>
      <c r="N35" s="12">
        <f t="shared" si="5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36762.160000000003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80876.752000000008</v>
      </c>
      <c r="O37" s="14" t="s">
        <v>141</v>
      </c>
      <c r="P37" s="14"/>
      <c r="Q37" s="40">
        <f>O28/Q36</f>
        <v>0.32834339948231234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55470</v>
      </c>
      <c r="K38" s="250"/>
      <c r="L38" s="14"/>
      <c r="M38" s="12"/>
      <c r="N38" s="12">
        <f>N37/O26</f>
        <v>79697.232952305887</v>
      </c>
      <c r="O38" s="45" t="s">
        <v>25</v>
      </c>
      <c r="P38" s="14"/>
      <c r="Q38" s="14"/>
      <c r="R38"/>
      <c r="S38" s="238"/>
      <c r="T38" s="59" t="s">
        <v>159</v>
      </c>
      <c r="U38" s="300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46613.445378151264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01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2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45573</v>
      </c>
    </row>
    <row r="6" spans="2:31" ht="16.2" thickBot="1" x14ac:dyDescent="0.35">
      <c r="B6" s="140" t="s">
        <v>2</v>
      </c>
      <c r="C6" s="139" t="str">
        <f>'2229'!C10</f>
        <v>MARCELA GARCIA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11121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-1853.0310334541089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83877</v>
      </c>
      <c r="E11" s="132">
        <f>D11*0.19</f>
        <v>15936.630000000001</v>
      </c>
      <c r="F11" s="131">
        <f>E11+D11</f>
        <v>99813.63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104136.96896654589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44096.250787439611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86136.968966545886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39780.749212560389</v>
      </c>
      <c r="E13" s="221">
        <f>(D11/D12)-1</f>
        <v>0.90213450128262496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77136.968966545886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38136.968966545894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72758.813799275347</v>
      </c>
      <c r="F15" s="216">
        <f>E15-D12</f>
        <v>28662.563011835737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38136.968966545894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78136.968966545886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4262.16</v>
      </c>
      <c r="E20" s="121">
        <f>D20*0.19</f>
        <v>809.81039999999996</v>
      </c>
      <c r="F20" s="120">
        <f>SUM(D20:E20)</f>
        <v>5071.9704000000002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14262.16</v>
      </c>
      <c r="E21" s="116">
        <f>SUM(E18:E20)</f>
        <v>2709.8103999999998</v>
      </c>
      <c r="F21" s="115">
        <f>SUM(F18:F20)</f>
        <v>16971.970399999998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13226.819600000001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83877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14262.16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39780.749212560389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39780.749212560389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2024-10-08T13:31:46Z</dcterms:modified>
</cp:coreProperties>
</file>