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2848B1B1-7159-4209-ACF2-C0402585C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9" i="1"/>
  <c r="L21" i="1"/>
  <c r="M21" i="1"/>
  <c r="L24" i="1" l="1"/>
  <c r="S21" i="1"/>
  <c r="R21" i="1"/>
  <c r="R26" i="1" s="1"/>
  <c r="N21" i="1"/>
  <c r="O21" i="1" s="1"/>
  <c r="U32" i="1"/>
  <c r="U33" i="1" s="1"/>
  <c r="O25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<sst xmlns="http://schemas.openxmlformats.org/spreadsheetml/2006/main" count="230" uniqueCount="173">
  <si>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</si>
  <si>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</si>
  <si>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</si>
  <si>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</si>
  <si>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</si>
  <si>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</si>
  <si>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</si>
  <si>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</si>
  <si>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</si>
  <si>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</si>
  <si>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</si>
  <si>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</si>
  <si>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</si>
  <si>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</si>
  <si>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</si>
  <si>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</si>
  <si>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</si>
  <si>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</si>
  <si>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</si>
  <si>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</si>
  <si>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</si>
  <si>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</si>
  <si>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</si>
  <si>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</si>
  <si>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</si>
  <si>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</si>
  <si>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</si>
  <si>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</si>
  <si>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</si>
  <si>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</si>
  <si>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</si>
  <si>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</si>
  <si>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</si>
  <si>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</si>
  <si>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</si>
  <si>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</si>
  <si>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</si>
  <si>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</si>
  <si>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</si>
  <si>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</si>
  <si>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</si>
  <si>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</si>
  <si>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</si>
  <si>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</si>
  <si>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</si>
  <si>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</si>
  <si>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</si>
  <si>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</si>
  <si>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</si>
  <si>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</si>
  <si>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</si>
  <si>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</si>
  <si>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</si>
  <si>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</si>
  <si>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</si>
  <si>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</si>
  <si>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</si>
  <si>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</si>
  <si>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</si>
  <si>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</si>
  <si>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</si>
  <si>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</si>
  <si>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</si>
  <si>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</si>
  <si>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</si>
  <si>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</si>
  <si>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</si>
  <si>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</si>
  <si>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</si>
  <si>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</si>
  <si>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</si>
  <si>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</si>
  <si>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</si>
  <si>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</si>
  <si>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</si>
  <si>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</si>
  <si>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</si>
  <si>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</si>
  <si>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</si>
  <si>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</si>
  <si>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</si>
  <si>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</si>
  <si>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</si>
  <si>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</si>
  <si>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</si>
  <si>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</si>
  <si>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</si>
  <si>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</si>
  <si>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</si>
  <si>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</si>
  <si>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</si>
  <si>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</si>
  <si>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</si>
  <si>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</si>
  <si>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</si>
  <si>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</si>
  <si>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</si>
  <si>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</si>
  <si>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</si>
  <si>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</si>
  <si>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</si>
  <si>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</si>
  <si>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</si>
  <si>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</si>
  <si>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</si>
  <si>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</si>
  <si>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</si>
  <si>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</si>
  <si>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</si>
  <si>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</si>
  <si>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</si>
  <si>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</si>
  <si>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</si>
  <si>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</si>
  <si>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</si>
  <si>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</si>
  <si>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</si>
  <si>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</si>
  <si>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</si>
  <si>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</si>
  <si>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</si>
  <si>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</si>
  <si>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</si>
  <si>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</si>
  <si>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</si>
  <si>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</si>
  <si>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</si>
  <si>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</si>
  <si>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</si>
  <si>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</si>
  <si>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</si>
  <si>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</si>
  <si>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</si>
  <si>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</si>
  <si>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</si>
  <si>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</si>
  <si>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</si>
  <si>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</si>
  <si>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</si>
  <si>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</si>
  <si>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</si>
  <si>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</si>
  <si>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</si>
  <si>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</si>
  <si>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</si>
  <si>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</si>
  <si>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</si>
  <si>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</si>
  <si>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</si>
  <si>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</si>
  <si>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</si>
  <si>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</si>
  <si>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</si>
  <si>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</si>
  <si>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</si>
  <si>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</si>
  <si>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</si>
  <si>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</si>
  <si>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</si>
  <si>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</si>
  <si>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</si>
  <si>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</si>
  <si>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</si>
  <si>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</si>
  <si>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</si>
  <si>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</si>
  <si>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</si>
  <si>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10 DIAS HABILES</t>
  </si>
  <si>
    <t>DANIELA MORENO</t>
  </si>
  <si>
    <t>PUNTO ESCUADRA SPA</t>
  </si>
  <si>
    <t>77.273.391-7</t>
  </si>
  <si>
    <t>569 26179801</t>
  </si>
  <si>
    <t>BLANCO BR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</si>
</sst>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11113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169</v>
      </c>
      <c r="D10" s="243"/>
      <c r="E10" s="243"/>
      <c r="F10" s="244" t="s">
        <v>0</v>
      </c>
      <c r="G10" s="277">
        <v>45568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 t="s">
        <v>170</v>
      </c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168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171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64204.095563139941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1</v>
      </c>
      <c r="C21" s="324" t="s">
        <v>36</v>
      </c>
      <c r="D21" s="325">
        <v>2.88</v>
      </c>
      <c r="E21" s="325">
        <v>0.55000000000000004</v>
      </c>
      <c r="F21" s="324" t="s">
        <v>172</v>
      </c>
      <c r="G21" s="326">
        <v>106465</v>
      </c>
      <c r="H21" s="327">
        <f>G21*B21</f>
        <v>106465</v>
      </c>
      <c r="I21" s="265"/>
      <c r="J21" s="47"/>
      <c r="K21" s="331">
        <f>B21</f>
        <v>1</v>
      </c>
      <c r="L21" s="332">
        <f t="shared" ref="L21" si="1">D21+L$19</f>
        <v>2.9299999999999997</v>
      </c>
      <c r="M21" s="332">
        <f t="shared" ref="M21" si="2">E21+M$19</f>
        <v>0.55000000000000004</v>
      </c>
      <c r="N21" s="261">
        <f t="shared" ref="N21" si="3">L21*M21</f>
        <v>1.6114999999999999</v>
      </c>
      <c r="O21" s="259">
        <f t="shared" ref="O21" si="4">N21*K21</f>
        <v>1.6114999999999999</v>
      </c>
      <c r="P21" s="252">
        <f>P$20*N21</f>
        <v>103464.90000000001</v>
      </c>
      <c r="Q21" s="258">
        <f t="shared" ref="Q21" si="5">P21+Q$20</f>
        <v>106464.90000000001</v>
      </c>
      <c r="R21" s="309">
        <f>L21*K21*2</f>
        <v>5.8599999999999994</v>
      </c>
      <c r="S21" s="46">
        <f>M21*K21*2</f>
        <v>1.1000000000000001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0"/>
      <c r="H22" s="330"/>
      <c r="I22" s="265"/>
      <c r="J22" s="47"/>
      <c r="K22" s="47"/>
      <c r="L22" s="39"/>
      <c r="M22" s="39"/>
      <c r="N22" s="261"/>
      <c r="O22" s="259"/>
      <c r="P22" s="252"/>
      <c r="Q22" s="258"/>
      <c r="R22" s="309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SUM(H21:H21)</f>
        <v>106465</v>
      </c>
      <c r="I24" s="265"/>
      <c r="J24" s="47"/>
      <c r="K24" s="47"/>
      <c r="L24" s="39">
        <f>SUM(L21:L23)</f>
        <v>2.9299999999999997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/>
      <c r="I25" s="265"/>
      <c r="J25" s="47"/>
      <c r="K25" s="47"/>
      <c r="L25" s="39"/>
      <c r="M25" s="12"/>
      <c r="N25" s="12"/>
      <c r="O25" s="253">
        <f>SUM(O21:O21)</f>
        <v>1.6114999999999999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106465</v>
      </c>
      <c r="I26" s="265"/>
      <c r="J26" s="47"/>
      <c r="K26" s="47"/>
      <c r="L26" s="39"/>
      <c r="M26" s="12"/>
      <c r="N26" s="12"/>
      <c r="O26" s="253">
        <f>O25</f>
        <v>1.6114999999999999</v>
      </c>
      <c r="P26" s="14"/>
      <c r="Q26" s="12"/>
      <c r="R26" s="239">
        <f>SUM(R21:R25)</f>
        <v>5.8599999999999994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0.32230000000000003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1.9338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1.9338</v>
      </c>
      <c r="M30" s="12">
        <v>2500</v>
      </c>
      <c r="N30" s="12">
        <f t="shared" ref="N30:N35" si="6">L30*M30</f>
        <v>4834.5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0.6</v>
      </c>
      <c r="M31" s="12">
        <v>23500</v>
      </c>
      <c r="N31" s="12">
        <f t="shared" si="6"/>
        <v>14100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/>
      <c r="M32" s="250">
        <v>34000</v>
      </c>
      <c r="N32" s="12">
        <f t="shared" si="6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23700</v>
      </c>
      <c r="N33" s="12">
        <f t="shared" si="6"/>
        <v>23700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6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>
        <v>2.93</v>
      </c>
      <c r="M35" s="12">
        <v>1500</v>
      </c>
      <c r="N35" s="12">
        <f t="shared" si="6"/>
        <v>4395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47029.5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103464.90000000001</v>
      </c>
      <c r="O37" s="14" t="s">
        <v>141</v>
      </c>
      <c r="P37" s="14"/>
      <c r="Q37" s="40">
        <f>O28/Q36</f>
        <v>0.52140854184641927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83200</v>
      </c>
      <c r="K38" s="250"/>
      <c r="L38" s="14"/>
      <c r="M38" s="12"/>
      <c r="N38" s="12">
        <f>N37/O26</f>
        <v>64204.095563139941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J39" s="230">
        <f>J38/1.19</f>
        <v>69915.966386554632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45568</v>
      </c>
    </row>
    <row r="6" spans="2:31" ht="16.2" thickBot="1" x14ac:dyDescent="0.35">
      <c r="B6" s="140" t="s">
        <v>2</v>
      </c>
      <c r="C6" s="139" t="str">
        <f>'2229'!C10</f>
        <v>PUNTO ESCUADRA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11113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-4332.8042001207723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106465</v>
      </c>
      <c r="E11" s="132">
        <f>D11*0.19</f>
        <v>20228.349999999999</v>
      </c>
      <c r="F11" s="131">
        <f>E11+D11</f>
        <v>126693.35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101657.19579987923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48768.590787439614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83657.195799879235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57696.409212560386</v>
      </c>
      <c r="E13" s="221">
        <f>(D11/D12)-1</f>
        <v>1.1830649252104313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74657.195799879235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35657.195799879228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80468.174799275366</v>
      </c>
      <c r="F15" s="216">
        <f>E15-D12</f>
        <v>31699.584011835752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35657.195799879228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75657.195799879235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4834.5</v>
      </c>
      <c r="E20" s="121">
        <f>D20*0.19</f>
        <v>918.55500000000006</v>
      </c>
      <c r="F20" s="120">
        <f>SUM(D20:E20)</f>
        <v>5753.0550000000003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18934.5</v>
      </c>
      <c r="E21" s="116">
        <f>SUM(E18:E20)</f>
        <v>3597.5550000000003</v>
      </c>
      <c r="F21" s="115">
        <f>SUM(F18:F20)</f>
        <v>22532.055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16630.794999999998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106465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18934.5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57696.409212560386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57696.409212560386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2024-08-28T20:04:14Z</cp:lastPrinted>
  <dcterms:created xsi:type="dcterms:W3CDTF">2013-03-18T13:35:42Z</dcterms:created>
  <dcterms:modified xsi:type="dcterms:W3CDTF">2024-10-03T18:55:29Z</dcterms:modified>
</cp:coreProperties>
</file>