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680DBE92-86FF-46CF-8AD6-67FDBF9F6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L22" i="1"/>
  <c r="M22" i="1"/>
  <c r="N22" i="1"/>
  <c r="O22" i="1" s="1"/>
  <c r="R22" i="1"/>
  <c r="W40" i="1"/>
  <c r="W36" i="1"/>
  <c r="V33" i="1"/>
  <c r="X23" i="1"/>
  <c r="K10" i="1" l="1"/>
  <c r="J39" i="1" l="1"/>
  <c r="L21" i="1" l="1"/>
  <c r="L25" i="1" s="1"/>
  <c r="M21" i="1"/>
  <c r="N21" i="1" l="1"/>
  <c r="R21" i="1"/>
  <c r="U21" i="1" s="1"/>
  <c r="N32" i="1"/>
  <c r="O21" i="1" l="1"/>
  <c r="S44" i="1"/>
  <c r="O25" i="1" l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P22" i="1" s="1"/>
  <c r="Q22" i="1" s="1"/>
  <c r="H22" i="1" s="1"/>
  <c r="F15" i="3"/>
  <c r="P21" i="1" l="1"/>
  <c r="R27" i="1"/>
  <c r="T20" i="1" l="1"/>
  <c r="Q21" i="1"/>
  <c r="H21" i="1" l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<sst xmlns="http://schemas.openxmlformats.org/spreadsheetml/2006/main" count="226" uniqueCount="170">
  <si>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</si>
  <si>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</si>
  <si>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</si>
  <si>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</si>
  <si>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</si>
  <si>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</si>
  <si>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</si>
  <si>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</si>
  <si>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</si>
  <si>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</si>
  <si>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</si>
  <si>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</si>
  <si>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</si>
  <si>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</si>
  <si>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</si>
  <si>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</si>
  <si>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</si>
  <si>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</si>
  <si>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</si>
  <si>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</si>
  <si>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</si>
  <si>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</si>
  <si>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</si>
  <si>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</si>
  <si>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</si>
  <si>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</si>
  <si>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</si>
  <si>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</si>
  <si>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</si>
  <si>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</si>
  <si>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</si>
  <si>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</si>
  <si>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</si>
  <si>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</si>
  <si>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</si>
  <si>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</si>
  <si>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</si>
  <si>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</si>
  <si>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</si>
  <si>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</si>
  <si>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</si>
  <si>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</si>
  <si>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</si>
  <si>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</si>
  <si>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</si>
  <si>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</si>
  <si>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</si>
  <si>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</si>
  <si>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</si>
  <si>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</si>
  <si>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</si>
  <si>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</si>
  <si>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</si>
  <si>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</si>
  <si>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</si>
  <si>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</si>
  <si>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</si>
  <si>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</si>
  <si>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</si>
  <si>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</si>
  <si>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</si>
  <si>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</si>
  <si>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</si>
  <si>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</si>
  <si>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</si>
  <si>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</si>
  <si>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</si>
  <si>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</si>
  <si>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</si>
  <si>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</si>
  <si>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</si>
  <si>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</si>
  <si>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</si>
  <si>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</si>
  <si>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</si>
  <si>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</si>
  <si>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</si>
  <si>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</si>
  <si>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</si>
  <si>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</si>
  <si>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</si>
  <si>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</si>
  <si>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</si>
  <si>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</si>
  <si>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</si>
  <si>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</si>
  <si>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</si>
  <si>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</si>
  <si>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</si>
  <si>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</si>
  <si>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</si>
  <si>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</si>
  <si>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</si>
  <si>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</si>
  <si>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</si>
  <si>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</si>
  <si>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</si>
  <si>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</si>
  <si>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</si>
  <si>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</si>
  <si>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</si>
  <si>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</si>
  <si>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</si>
  <si>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</si>
  <si>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</si>
  <si>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</si>
  <si>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</si>
  <si>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</si>
  <si>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</si>
  <si>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</si>
  <si>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</si>
  <si>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</si>
  <si>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</si>
  <si>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</si>
  <si>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</si>
  <si>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</si>
  <si>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</si>
  <si>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</si>
  <si>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</si>
  <si>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</si>
  <si>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</si>
  <si>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</si>
  <si>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</si>
  <si>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</si>
  <si>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</si>
  <si>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</si>
  <si>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</si>
  <si>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</si>
  <si>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</si>
  <si>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</si>
  <si>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</si>
  <si>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</si>
  <si>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</si>
  <si>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</si>
  <si>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</si>
  <si>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</si>
  <si>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</si>
  <si>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</si>
  <si>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</si>
  <si>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</si>
  <si>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</si>
  <si>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</si>
  <si>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</si>
  <si>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</si>
  <si>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</si>
  <si>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</si>
  <si>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</si>
  <si>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</si>
  <si>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</si>
  <si>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</si>
  <si>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</si>
  <si>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</si>
  <si>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</si>
  <si>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</si>
  <si>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</si>
  <si>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</si>
  <si>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</si>
  <si>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</si>
  <si>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</si>
  <si>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</si>
  <si>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</si>
  <si>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CUBIERTA CON RESPALDO FRENTE 90° R8</t>
  </si>
  <si>
    <t>PABLO VILLALON</t>
  </si>
  <si>
    <t>ROBLE NATURAL 1802 MT F6</t>
  </si>
  <si>
    <t>N° 11128</t>
  </si>
  <si>
    <t>ROBLE NATURAL 1802 MT F7</t>
  </si>
  <si>
    <t>Sociedad de Inversiones y Servicios Odontologicos VIVA Ltda</t>
  </si>
  <si>
    <t>Servicios Odontologicos</t>
  </si>
  <si>
    <t>Onofre Jarpa 10567 Casa U, La Reina</t>
  </si>
  <si>
    <t>76.161.412-6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</si>
</sst>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8" borderId="0" xfId="0" applyFont="1" applyFill="1" applyBorder="1"/>
    <xf numFmtId="0" fontId="0" fillId="0" borderId="0" xfId="0" applyBorder="1"/>
    <xf numFmtId="0" fontId="0" fillId="0" borderId="46" xfId="0" applyBorder="1"/>
    <xf numFmtId="14" fontId="29" fillId="0" borderId="0" xfId="0" applyNumberFormat="1" applyFont="1" applyBorder="1" applyAlignment="1">
      <alignment horizontal="left"/>
    </xf>
    <xf numFmtId="0" fontId="0" fillId="8" borderId="0" xfId="0" applyFill="1" applyBorder="1"/>
    <xf numFmtId="0" fontId="29" fillId="8" borderId="0" xfId="0" applyFont="1" applyFill="1" applyBorder="1" applyAlignment="1">
      <alignment horizontal="left"/>
    </xf>
    <xf numFmtId="0" fontId="9" fillId="0" borderId="0" xfId="3" applyBorder="1"/>
    <xf numFmtId="0" fontId="5" fillId="0" borderId="0" xfId="0" applyFont="1" applyBorder="1"/>
    <xf numFmtId="0" fontId="29" fillId="0" borderId="0" xfId="0" applyFont="1" applyBorder="1"/>
    <xf numFmtId="0" fontId="35" fillId="0" borderId="0" xfId="0" applyFont="1" applyBorder="1" applyAlignment="1">
      <alignment horizontal="left"/>
    </xf>
    <xf numFmtId="0" fontId="25" fillId="8" borderId="0" xfId="0" applyFont="1" applyFill="1" applyBorder="1"/>
    <xf numFmtId="0" fontId="29" fillId="8" borderId="0" xfId="0" applyFont="1" applyFill="1" applyBorder="1"/>
    <xf numFmtId="0" fontId="14" fillId="0" borderId="0" xfId="0" applyFont="1" applyBorder="1"/>
    <xf numFmtId="0" fontId="30" fillId="0" borderId="0" xfId="0" applyFont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  <a:r>
            <a:rPr lang="es-CL" sz="1200" b="1" baseline="0"/>
            <a:t>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DESPACHO GRATIS!! DENTRO DE SANTIAGO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DESPACHAR A ONOFRE JARPA 10524V CASA D, LA REINA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8" zoomScaleNormal="98" workbookViewId="0">
      <selection activeCell="I20" sqref="I20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128</v>
      </c>
      <c r="C8" s="293"/>
      <c r="D8" s="306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31" t="s">
        <v>166</v>
      </c>
      <c r="D10" s="243"/>
      <c r="E10" s="243"/>
      <c r="F10" s="244" t="s">
        <v>0</v>
      </c>
      <c r="G10" s="276">
        <v>45582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x14ac:dyDescent="0.3">
      <c r="B11" s="285" t="s">
        <v>12</v>
      </c>
      <c r="C11" s="330" t="s">
        <v>169</v>
      </c>
      <c r="D11" s="330"/>
      <c r="E11" s="330"/>
      <c r="F11" s="330" t="s">
        <v>125</v>
      </c>
      <c r="G11" s="332" t="s">
        <v>160</v>
      </c>
      <c r="H11" s="286"/>
      <c r="P11" s="19"/>
      <c r="Q11" s="25" t="s">
        <v>19</v>
      </c>
      <c r="R11" s="19"/>
    </row>
    <row r="12" spans="2:23" x14ac:dyDescent="0.3">
      <c r="B12" s="246" t="s">
        <v>147</v>
      </c>
      <c r="C12" s="330" t="s">
        <v>167</v>
      </c>
      <c r="D12" s="333"/>
      <c r="E12" s="333"/>
      <c r="F12" s="333" t="s">
        <v>129</v>
      </c>
      <c r="G12" s="334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C13" s="329" t="s">
        <v>162</v>
      </c>
      <c r="D13" s="333"/>
      <c r="E13" s="333"/>
      <c r="F13" s="333"/>
      <c r="G13" s="334"/>
      <c r="H13" s="247"/>
      <c r="P13" s="19"/>
      <c r="Q13" s="25"/>
      <c r="R13" s="19"/>
    </row>
    <row r="14" spans="2:23" x14ac:dyDescent="0.3">
      <c r="B14" s="285" t="s">
        <v>141</v>
      </c>
      <c r="C14" s="335"/>
      <c r="D14" s="330"/>
      <c r="E14" s="330"/>
      <c r="F14" s="336" t="s">
        <v>138</v>
      </c>
      <c r="G14" s="337" t="s">
        <v>137</v>
      </c>
      <c r="H14" s="286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8"/>
      <c r="D15" s="339"/>
      <c r="E15" s="333"/>
      <c r="F15" s="333" t="s">
        <v>136</v>
      </c>
      <c r="G15" s="340" t="s">
        <v>137</v>
      </c>
      <c r="H15" s="247"/>
    </row>
    <row r="16" spans="2:23" x14ac:dyDescent="0.3">
      <c r="B16" s="287" t="s">
        <v>3</v>
      </c>
      <c r="C16" s="330" t="s">
        <v>168</v>
      </c>
      <c r="D16" s="330"/>
      <c r="E16" s="330"/>
      <c r="F16" s="341" t="s">
        <v>131</v>
      </c>
      <c r="G16" s="342" t="s">
        <v>157</v>
      </c>
      <c r="H16" s="286"/>
    </row>
    <row r="17" spans="2:24" ht="15" thickBot="1" x14ac:dyDescent="0.35">
      <c r="B17" s="288" t="s">
        <v>13</v>
      </c>
      <c r="C17" s="289" t="s">
        <v>154</v>
      </c>
      <c r="D17" s="290"/>
      <c r="E17" s="291"/>
      <c r="F17" s="317" t="s">
        <v>155</v>
      </c>
      <c r="G17" s="317"/>
      <c r="H17" s="318"/>
      <c r="I17" s="262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19" t="s">
        <v>149</v>
      </c>
      <c r="C19" s="320"/>
      <c r="D19" s="320"/>
      <c r="E19" s="320"/>
      <c r="F19" s="320"/>
      <c r="G19" s="320"/>
      <c r="H19" s="321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07" t="s">
        <v>7</v>
      </c>
      <c r="C20" s="302" t="s">
        <v>1</v>
      </c>
      <c r="D20" s="302" t="s">
        <v>10</v>
      </c>
      <c r="E20" s="302" t="s">
        <v>11</v>
      </c>
      <c r="F20" s="302" t="s">
        <v>8</v>
      </c>
      <c r="G20" s="302" t="s">
        <v>5</v>
      </c>
      <c r="H20" s="303" t="s">
        <v>6</v>
      </c>
      <c r="I20" s="264"/>
      <c r="J20" s="47"/>
      <c r="K20" s="267" t="str">
        <f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N39</f>
        <v>56371.203155818548</v>
      </c>
      <c r="Q20" s="257">
        <v>2000</v>
      </c>
      <c r="R20" s="38"/>
      <c r="S20" s="14" t="s">
        <v>130</v>
      </c>
      <c r="T20" s="9">
        <f>P21/3</f>
        <v>29923.713675213676</v>
      </c>
      <c r="W20" s="44">
        <v>2.44</v>
      </c>
      <c r="X20">
        <v>1.52</v>
      </c>
    </row>
    <row r="21" spans="2:24" ht="17.399999999999999" x14ac:dyDescent="0.3">
      <c r="B21" s="312">
        <v>1</v>
      </c>
      <c r="C21" s="299" t="s">
        <v>161</v>
      </c>
      <c r="D21" s="313">
        <v>2.4</v>
      </c>
      <c r="E21" s="313">
        <v>0.65</v>
      </c>
      <c r="F21" s="299" t="s">
        <v>163</v>
      </c>
      <c r="G21" s="300">
        <v>85496</v>
      </c>
      <c r="H21" s="301">
        <f>G21*B21</f>
        <v>85496</v>
      </c>
      <c r="I21" s="264"/>
      <c r="J21" s="47"/>
      <c r="K21" s="310">
        <v>1</v>
      </c>
      <c r="L21" s="308">
        <f>D21+L$19</f>
        <v>2.4499999999999997</v>
      </c>
      <c r="M21" s="308">
        <f>E21+M$19</f>
        <v>0.65</v>
      </c>
      <c r="N21" s="260">
        <f>L21*M21</f>
        <v>1.5924999999999998</v>
      </c>
      <c r="O21" s="258">
        <f>N21*K21</f>
        <v>1.5924999999999998</v>
      </c>
      <c r="P21" s="251">
        <f>P$20*N21</f>
        <v>89771.141025641031</v>
      </c>
      <c r="Q21" s="257">
        <f>P21+Q$20</f>
        <v>91771.141025641031</v>
      </c>
      <c r="R21" s="298">
        <f>K21*L21</f>
        <v>2.4499999999999997</v>
      </c>
      <c r="S21" s="14"/>
      <c r="T21" s="9"/>
      <c r="U21" s="309">
        <f>R21*U19</f>
        <v>36749.999999999993</v>
      </c>
      <c r="W21" s="4"/>
      <c r="X21">
        <v>19.8</v>
      </c>
    </row>
    <row r="22" spans="2:24" ht="17.399999999999999" x14ac:dyDescent="0.3">
      <c r="B22" s="312">
        <v>1</v>
      </c>
      <c r="C22" s="299" t="s">
        <v>161</v>
      </c>
      <c r="D22" s="313">
        <v>1.4</v>
      </c>
      <c r="E22" s="313">
        <v>0.65</v>
      </c>
      <c r="F22" s="299" t="s">
        <v>165</v>
      </c>
      <c r="G22" s="300">
        <v>61405</v>
      </c>
      <c r="H22" s="301">
        <f>G22*B22</f>
        <v>61405</v>
      </c>
      <c r="I22" s="264"/>
      <c r="J22" s="47"/>
      <c r="K22" s="310">
        <v>1</v>
      </c>
      <c r="L22" s="308">
        <f>D22+L$19</f>
        <v>1.45</v>
      </c>
      <c r="M22" s="308">
        <f>E22+M$19</f>
        <v>0.65</v>
      </c>
      <c r="N22" s="260">
        <f>L22*M22</f>
        <v>0.9425</v>
      </c>
      <c r="O22" s="258">
        <f>N22*K22</f>
        <v>0.9425</v>
      </c>
      <c r="P22" s="251">
        <f>P$20*N22</f>
        <v>53129.858974358984</v>
      </c>
      <c r="Q22" s="257">
        <f>P22+Q$20</f>
        <v>55129.858974358984</v>
      </c>
      <c r="R22" s="298">
        <f>K22*L22</f>
        <v>1.45</v>
      </c>
      <c r="S22" s="14"/>
      <c r="T22" s="9"/>
      <c r="U22" s="309"/>
      <c r="W22" s="4"/>
    </row>
    <row r="23" spans="2:24" ht="17.399999999999999" x14ac:dyDescent="0.3">
      <c r="B23" s="283"/>
      <c r="C23" s="283"/>
      <c r="D23" s="284"/>
      <c r="E23" s="284"/>
      <c r="F23" s="283"/>
      <c r="G23" s="52"/>
      <c r="H23" s="314"/>
      <c r="I23" s="264"/>
      <c r="J23" s="47"/>
      <c r="K23" s="47"/>
      <c r="L23" s="39"/>
      <c r="M23" s="39"/>
      <c r="N23" s="260"/>
      <c r="O23" s="258"/>
      <c r="P23" s="251"/>
      <c r="Q23" s="257"/>
      <c r="R23" s="298"/>
      <c r="S23" s="14"/>
      <c r="T23" s="9"/>
      <c r="W23" s="4"/>
      <c r="X23">
        <f>SUM(X21:X21)</f>
        <v>19.8</v>
      </c>
    </row>
    <row r="24" spans="2:24" ht="18" x14ac:dyDescent="0.3">
      <c r="B24" s="283"/>
      <c r="C24" s="283"/>
      <c r="D24" s="284"/>
      <c r="E24" s="284"/>
      <c r="F24" s="283"/>
      <c r="G24" s="264"/>
      <c r="H24" s="315"/>
      <c r="I24" s="232"/>
      <c r="J24" s="47"/>
      <c r="K24" s="47"/>
      <c r="L24" s="39"/>
      <c r="M24" s="39"/>
      <c r="N24" s="260"/>
      <c r="O24" s="252">
        <f>SUM(O21:O22)</f>
        <v>2.5349999999999997</v>
      </c>
      <c r="P24" s="251"/>
      <c r="Q24" s="257"/>
      <c r="R24" s="298"/>
      <c r="S24" s="14"/>
      <c r="T24" s="9"/>
      <c r="W24" s="4"/>
    </row>
    <row r="25" spans="2:24" ht="18" x14ac:dyDescent="0.35">
      <c r="B25" s="283"/>
      <c r="C25" s="283"/>
      <c r="D25" s="284"/>
      <c r="E25" s="284"/>
      <c r="F25" s="283"/>
      <c r="G25" s="316" t="s">
        <v>30</v>
      </c>
      <c r="H25" s="311">
        <f>SUM(H21:H24)</f>
        <v>146901</v>
      </c>
      <c r="I25" s="264"/>
      <c r="J25" s="47">
        <v>8698974</v>
      </c>
      <c r="K25" s="47"/>
      <c r="L25" s="39">
        <f>SUM(L21:L24)</f>
        <v>3.8999999999999995</v>
      </c>
      <c r="M25" s="39"/>
      <c r="N25" s="260"/>
      <c r="O25" s="252">
        <f>O24</f>
        <v>2.5349999999999997</v>
      </c>
      <c r="P25" s="251"/>
      <c r="Q25" s="257"/>
      <c r="R25" s="298"/>
      <c r="S25" s="14"/>
      <c r="T25" s="9"/>
      <c r="W25" s="4"/>
    </row>
    <row r="26" spans="2:24" ht="17.399999999999999" x14ac:dyDescent="0.3">
      <c r="B26" s="277"/>
      <c r="C26" s="280"/>
      <c r="D26" s="281"/>
      <c r="E26" s="281"/>
      <c r="F26" s="282"/>
      <c r="G26" s="297" t="s">
        <v>53</v>
      </c>
      <c r="H26" s="295">
        <f>H25*19%</f>
        <v>27911.19</v>
      </c>
      <c r="I26" s="264"/>
      <c r="J26" s="47"/>
      <c r="K26" s="47"/>
      <c r="L26" s="39"/>
      <c r="M26" s="12"/>
      <c r="N26" s="12"/>
      <c r="O26" s="39">
        <f>O25*20%</f>
        <v>0.50700000000000001</v>
      </c>
      <c r="P26" s="14"/>
      <c r="Q26" s="12"/>
      <c r="R26" s="238"/>
      <c r="S26" s="14"/>
      <c r="T26" s="9"/>
      <c r="W26" s="4"/>
    </row>
    <row r="27" spans="2:24" ht="18" thickBot="1" x14ac:dyDescent="0.35">
      <c r="B27" s="275"/>
      <c r="C27" s="279"/>
      <c r="D27" s="271"/>
      <c r="E27" s="271"/>
      <c r="F27" s="272"/>
      <c r="G27" s="278" t="s">
        <v>6</v>
      </c>
      <c r="H27" s="296">
        <f>H25+H26</f>
        <v>174812.19</v>
      </c>
      <c r="I27" s="264"/>
      <c r="J27" s="47"/>
      <c r="K27" s="47"/>
      <c r="L27" s="39"/>
      <c r="M27" s="12"/>
      <c r="N27" s="12"/>
      <c r="O27" s="46">
        <f>O25+O26</f>
        <v>3.0419999999999998</v>
      </c>
      <c r="P27" s="14"/>
      <c r="Q27" s="12"/>
      <c r="R27" s="238">
        <f>SUM(R21:R26)</f>
        <v>3.8999999999999995</v>
      </c>
      <c r="S27" s="14"/>
      <c r="T27" s="9"/>
      <c r="W27" s="4"/>
    </row>
    <row r="28" spans="2:24" ht="17.399999999999999" x14ac:dyDescent="0.3">
      <c r="B28" s="275"/>
      <c r="C28" s="270"/>
      <c r="D28" s="271"/>
      <c r="E28" s="271"/>
      <c r="F28" s="272"/>
      <c r="H28" s="47"/>
      <c r="I28" s="264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0"/>
      <c r="C29" s="270"/>
      <c r="D29" s="271"/>
      <c r="E29" s="271"/>
      <c r="F29" s="272"/>
      <c r="G29" s="273"/>
      <c r="H29" s="274"/>
      <c r="I29" s="264"/>
      <c r="J29" s="30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8"/>
      <c r="C30" s="230"/>
      <c r="D30" s="230"/>
      <c r="E30" s="232"/>
      <c r="F30" s="233"/>
      <c r="G30" s="230"/>
      <c r="H30" s="274"/>
      <c r="I30" s="264"/>
      <c r="J30" s="30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4"/>
      <c r="J31" s="47"/>
      <c r="K31" s="47"/>
      <c r="L31" s="39">
        <f>O27</f>
        <v>3.0419999999999998</v>
      </c>
      <c r="M31" s="12">
        <v>2500</v>
      </c>
      <c r="N31" s="12">
        <f t="shared" ref="N31:N36" si="0">L31*M31</f>
        <v>7604.9999999999991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4"/>
      <c r="J32" s="47"/>
      <c r="K32" s="47"/>
      <c r="L32" s="248">
        <v>0.7</v>
      </c>
      <c r="M32" s="12">
        <v>25000</v>
      </c>
      <c r="N32" s="12">
        <f t="shared" si="0"/>
        <v>17500</v>
      </c>
      <c r="O32" s="39" t="s">
        <v>156</v>
      </c>
      <c r="P32" s="42"/>
      <c r="Q32" s="14"/>
      <c r="R32" s="239"/>
      <c r="S32" s="14"/>
      <c r="T32" s="9"/>
      <c r="V32">
        <v>1520</v>
      </c>
      <c r="W32" s="9" t="s">
        <v>158</v>
      </c>
    </row>
    <row r="33" spans="2:23" s="230" customFormat="1" ht="17.399999999999999" x14ac:dyDescent="0.35">
      <c r="I33" s="261"/>
      <c r="J33" s="47"/>
      <c r="K33" s="249"/>
      <c r="L33" s="14"/>
      <c r="M33" s="249">
        <v>55000</v>
      </c>
      <c r="N33" s="12">
        <f t="shared" si="0"/>
        <v>0</v>
      </c>
      <c r="O33" s="39" t="s">
        <v>32</v>
      </c>
      <c r="P33" s="42"/>
      <c r="R33" s="239"/>
      <c r="S33" s="255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1"/>
      <c r="J34" s="304"/>
      <c r="K34" s="249"/>
      <c r="L34" s="14">
        <v>2</v>
      </c>
      <c r="M34" s="249">
        <v>17000</v>
      </c>
      <c r="N34" s="12">
        <f t="shared" si="0"/>
        <v>34000</v>
      </c>
      <c r="O34" s="14" t="s">
        <v>143</v>
      </c>
      <c r="P34" s="17"/>
      <c r="R34" s="237"/>
      <c r="S34" s="255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1"/>
      <c r="J35" s="304"/>
      <c r="K35" s="249"/>
      <c r="L35" s="248"/>
      <c r="M35" s="249">
        <v>800</v>
      </c>
      <c r="N35" s="12">
        <f t="shared" si="0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294"/>
      <c r="J36" s="47"/>
      <c r="K36" s="249"/>
      <c r="L36" s="265">
        <v>3.9</v>
      </c>
      <c r="M36" s="12">
        <v>1500</v>
      </c>
      <c r="N36" s="12">
        <f t="shared" si="0"/>
        <v>5850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49"/>
      <c r="L37" s="14"/>
      <c r="M37" s="12"/>
      <c r="N37" s="12">
        <f>SUM(N31:N36)</f>
        <v>64955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49"/>
      <c r="L38" s="253" t="s">
        <v>35</v>
      </c>
      <c r="M38" s="12"/>
      <c r="N38" s="254">
        <f>N37*2.2</f>
        <v>142901</v>
      </c>
      <c r="O38" s="14" t="s">
        <v>142</v>
      </c>
      <c r="P38" s="14"/>
      <c r="Q38" s="46">
        <f>O25/Q37</f>
        <v>0.68350949094046587</v>
      </c>
      <c r="R38"/>
      <c r="S38" s="256" t="e">
        <f>S37/#REF!</f>
        <v>#REF!</v>
      </c>
      <c r="V38" s="230" t="s">
        <v>159</v>
      </c>
      <c r="W38" s="230">
        <v>4</v>
      </c>
    </row>
    <row r="39" spans="2:23" s="230" customFormat="1" ht="17.399999999999999" x14ac:dyDescent="0.35">
      <c r="G39"/>
      <c r="H39" s="259"/>
      <c r="I39" s="259"/>
      <c r="J39" s="47">
        <f>J38/1.19</f>
        <v>36294.117647058825</v>
      </c>
      <c r="K39" s="249"/>
      <c r="L39" s="14"/>
      <c r="M39" s="12"/>
      <c r="N39" s="12">
        <f>N38/O25</f>
        <v>56371.203155818548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49"/>
      <c r="L40" s="13"/>
      <c r="M40" s="14"/>
      <c r="N40" s="17">
        <f>N38/N37</f>
        <v>2.2000000000000002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49"/>
      <c r="S44">
        <f>S42*S43</f>
        <v>4.5750000000000002</v>
      </c>
    </row>
    <row r="45" spans="2:23" x14ac:dyDescent="0.3">
      <c r="K45" s="249"/>
      <c r="S45" s="269">
        <f>O27/S44</f>
        <v>0.66491803278688522</v>
      </c>
    </row>
    <row r="46" spans="2:23" x14ac:dyDescent="0.3">
      <c r="K46" s="249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45582</v>
      </c>
    </row>
    <row r="6" spans="2:31" ht="16.2" thickBot="1" x14ac:dyDescent="0.35">
      <c r="B6" s="140" t="s">
        <v>2</v>
      </c>
      <c r="C6" s="139" t="str">
        <f>'2229'!C10</f>
        <v>Sociedad de Inversiones y Servicios Odontologicos VIVA Ltda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11128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15108.249966545894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121098.24996654589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54939.090787439614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103098.24996654589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-54939.090787439614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94098.249966545889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55098.249966545896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90649.499799275363</v>
      </c>
      <c r="F15" s="216">
        <f>E15-D12</f>
        <v>35710.409011835749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55098.249966545896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95098.249966545889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7604.9999999999991</v>
      </c>
      <c r="E20" s="121">
        <f>D20*0.19</f>
        <v>1444.9499999999998</v>
      </c>
      <c r="F20" s="120">
        <f>SUM(D20:E20)</f>
        <v>9049.9499999999989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25105</v>
      </c>
      <c r="E21" s="116">
        <f>SUM(E18:E20)</f>
        <v>4769.95</v>
      </c>
      <c r="F21" s="115">
        <f>SUM(F18:F20)</f>
        <v>29874.949999999997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-4769.95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25105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-54939.090787439614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-54939.090787439614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2024-10-15T12:44:58Z</cp:lastPrinted>
  <dcterms:created xsi:type="dcterms:W3CDTF">2013-03-18T13:35:42Z</dcterms:created>
  <dcterms:modified xsi:type="dcterms:W3CDTF">2024-10-21T15:40:22Z</dcterms:modified>
</cp:coreProperties>
</file>