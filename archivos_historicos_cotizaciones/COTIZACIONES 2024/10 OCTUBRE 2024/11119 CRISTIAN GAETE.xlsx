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4C47A13D-FFC3-4901-81D9-E89A54007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28" i="1"/>
  <c r="H27" i="1"/>
  <c r="H26" i="1"/>
  <c r="H25" i="1"/>
  <c r="O32" i="1"/>
  <c r="L22" i="1"/>
  <c r="L23" i="1"/>
  <c r="L24" i="1"/>
  <c r="L25" i="1"/>
  <c r="L26" i="1"/>
  <c r="L27" i="1"/>
  <c r="L28" i="1"/>
  <c r="L21" i="1"/>
  <c r="K22" i="1"/>
  <c r="M22" i="1"/>
  <c r="N22" i="1"/>
  <c r="O22" i="1" s="1"/>
  <c r="K23" i="1"/>
  <c r="M23" i="1"/>
  <c r="K24" i="1"/>
  <c r="N24" i="1"/>
  <c r="M24" i="1"/>
  <c r="K25" i="1"/>
  <c r="M25" i="1"/>
  <c r="K26" i="1"/>
  <c r="M26" i="1"/>
  <c r="K27" i="1"/>
  <c r="M27" i="1"/>
  <c r="K28" i="1"/>
  <c r="M28" i="1"/>
  <c r="K21" i="1"/>
  <c r="H22" i="1"/>
  <c r="H23" i="1"/>
  <c r="H24" i="1"/>
  <c r="L31" i="1"/>
  <c r="M21" i="1"/>
  <c r="H21" i="1"/>
  <c r="N23" i="1" l="1"/>
  <c r="O23" i="1" s="1"/>
  <c r="N27" i="1"/>
  <c r="N25" i="1"/>
  <c r="O25" i="1" s="1"/>
  <c r="O27" i="1"/>
  <c r="O24" i="1"/>
  <c r="N21" i="1"/>
  <c r="O21" i="1" s="1"/>
  <c r="J46" i="1"/>
  <c r="N26" i="1" l="1"/>
  <c r="N28" i="1"/>
  <c r="S21" i="1"/>
  <c r="S31" i="1" s="1"/>
  <c r="S32" i="1" s="1"/>
  <c r="S33" i="1" s="1"/>
  <c r="R33" i="1"/>
  <c r="U39" i="1"/>
  <c r="U40" i="1" s="1"/>
  <c r="O28" i="1" l="1"/>
  <c r="O26" i="1"/>
  <c r="N38" i="1"/>
  <c r="O33" i="1" l="1"/>
  <c r="O34" i="1" s="1"/>
  <c r="O35" i="1" s="1"/>
  <c r="L37" i="1" s="1"/>
  <c r="M20" i="1"/>
  <c r="K20" i="1"/>
  <c r="N39" i="1" l="1"/>
  <c r="Q43" i="1"/>
  <c r="N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N37" i="1" l="1"/>
  <c r="N43" i="1" s="1"/>
  <c r="N44" i="1" s="1"/>
  <c r="Q44" i="1"/>
  <c r="D20" i="3" l="1"/>
  <c r="E20" i="3" s="1"/>
  <c r="E21" i="3" s="1"/>
  <c r="N45" i="1" l="1"/>
  <c r="D21" i="3"/>
  <c r="M43" i="3" s="1"/>
  <c r="D12" i="3" s="1"/>
  <c r="F20" i="3"/>
  <c r="F21" i="3" s="1"/>
  <c r="N46" i="1" l="1"/>
  <c r="P20" i="1"/>
  <c r="E15" i="3"/>
  <c r="P25" i="1" l="1"/>
  <c r="Q25" i="1" s="1"/>
  <c r="P22" i="1"/>
  <c r="Q22" i="1" s="1"/>
  <c r="P27" i="1"/>
  <c r="Q27" i="1" s="1"/>
  <c r="P24" i="1"/>
  <c r="Q24" i="1" s="1"/>
  <c r="P23" i="1"/>
  <c r="Q23" i="1" s="1"/>
  <c r="P28" i="1"/>
  <c r="Q28" i="1" s="1"/>
  <c r="P26" i="1"/>
  <c r="Q26" i="1" s="1"/>
  <c r="P21" i="1"/>
  <c r="Q21" i="1" s="1"/>
  <c r="F15" i="3"/>
  <c r="H31" i="1" l="1"/>
  <c r="H33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<sst xmlns="http://schemas.openxmlformats.org/spreadsheetml/2006/main" count="245" uniqueCount="177">
  <si>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</si>
  <si>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</si>
  <si>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</si>
  <si>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</si>
  <si>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</si>
  <si>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</si>
  <si>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</si>
  <si>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</si>
  <si>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</si>
  <si>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</si>
  <si>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</si>
  <si>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</si>
  <si>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</si>
  <si>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</si>
  <si>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</si>
  <si>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</si>
  <si>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</si>
  <si>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</si>
  <si>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</si>
  <si>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</si>
  <si>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</si>
  <si>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</si>
  <si>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</si>
  <si>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</si>
  <si>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</si>
  <si>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</si>
  <si>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</si>
  <si>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</si>
  <si>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</si>
  <si>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</si>
  <si>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</si>
  <si>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</si>
  <si>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</si>
  <si>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</si>
  <si>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</si>
  <si>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</si>
  <si>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</si>
  <si>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</si>
  <si>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</si>
  <si>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</si>
  <si>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</si>
  <si>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</si>
  <si>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</si>
  <si>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</si>
  <si>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</si>
  <si>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</si>
  <si>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</si>
  <si>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</si>
  <si>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</si>
  <si>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</si>
  <si>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</si>
  <si>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</si>
  <si>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</si>
  <si>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</si>
  <si>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</si>
  <si>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</si>
  <si>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</si>
  <si>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</si>
  <si>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</si>
  <si>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</si>
  <si>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</si>
  <si>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</si>
  <si>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</si>
  <si>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</si>
  <si>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</si>
  <si>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</si>
  <si>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</si>
  <si>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</si>
  <si>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</si>
  <si>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</si>
  <si>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</si>
  <si>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</si>
  <si>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</si>
  <si>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</si>
  <si>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</si>
  <si>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</si>
  <si>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</si>
  <si>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</si>
  <si>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</si>
  <si>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</si>
  <si>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</si>
  <si>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</si>
  <si>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</si>
  <si>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</si>
  <si>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</si>
  <si>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</si>
  <si>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</si>
  <si>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</si>
  <si>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</si>
  <si>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</si>
  <si>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</si>
  <si>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</si>
  <si>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</si>
  <si>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</si>
  <si>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</si>
  <si>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</si>
  <si>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</si>
  <si>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</si>
  <si>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</si>
  <si>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</si>
  <si>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</si>
  <si>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</si>
  <si>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</si>
  <si>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</si>
  <si>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</si>
  <si>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</si>
  <si>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</si>
  <si>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</si>
  <si>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</si>
  <si>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</si>
  <si>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</si>
  <si>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</si>
  <si>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</si>
  <si>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</si>
  <si>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</si>
  <si>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</si>
  <si>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</si>
  <si>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</si>
  <si>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</si>
  <si>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</si>
  <si>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</si>
  <si>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</si>
  <si>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</si>
  <si>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</si>
  <si>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</si>
  <si>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</si>
  <si>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</si>
  <si>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</si>
  <si>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</si>
  <si>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</si>
  <si>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</si>
  <si>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</si>
  <si>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</si>
  <si>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</si>
  <si>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</si>
  <si>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</si>
  <si>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</si>
  <si>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</si>
  <si>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</si>
  <si>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</si>
  <si>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</si>
  <si>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</si>
  <si>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</si>
  <si>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</si>
  <si>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</si>
  <si>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</si>
  <si>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</si>
  <si>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</si>
  <si>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</si>
  <si>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</si>
  <si>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</si>
  <si>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</si>
  <si>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</si>
  <si>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</si>
  <si>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</si>
  <si>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</si>
  <si>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</si>
  <si>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</si>
  <si>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</si>
  <si>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</si>
  <si>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</si>
  <si>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</si>
  <si>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</si>
  <si>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</si>
  <si>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</si>
  <si>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</si>
  <si>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</si>
  <si>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</si>
  <si>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</si>
  <si>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URGENTE</t>
  </si>
  <si>
    <t>SI</t>
  </si>
  <si>
    <t>N° 11119</t>
  </si>
  <si>
    <t>CRISTIAN GAETE</t>
  </si>
  <si>
    <t>+569 6624 5356</t>
  </si>
  <si>
    <t xml:space="preserve">CUB S/R R6 </t>
  </si>
  <si>
    <t>SKELETON GL</t>
  </si>
  <si>
    <t>CEN R6 1 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</si>
</sst>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30</xdr:row>
      <xdr:rowOff>9525</xdr:rowOff>
    </xdr:from>
    <xdr:to>
      <xdr:col>5</xdr:col>
      <xdr:colOff>1594096</xdr:colOff>
      <xdr:row>33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3" zoomScale="93" zoomScaleNormal="93" workbookViewId="0">
      <selection activeCell="A33" sqref="A3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172</v>
      </c>
      <c r="D10" s="243"/>
      <c r="E10" s="243"/>
      <c r="F10" s="244" t="s">
        <v>0</v>
      </c>
      <c r="G10" s="277">
        <v>45572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170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173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64055.77982565733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174</v>
      </c>
      <c r="D21" s="325">
        <v>1.613</v>
      </c>
      <c r="E21" s="325">
        <v>0.55000000000000004</v>
      </c>
      <c r="F21" s="324" t="s">
        <v>175</v>
      </c>
      <c r="G21" s="326">
        <v>61589</v>
      </c>
      <c r="H21" s="326">
        <f>G21*B21</f>
        <v>61589</v>
      </c>
      <c r="I21" s="265"/>
      <c r="J21" s="47"/>
      <c r="K21" s="47">
        <f>B21</f>
        <v>1</v>
      </c>
      <c r="L21" s="39">
        <f>D21+L$19</f>
        <v>1.663</v>
      </c>
      <c r="M21" s="39">
        <f>E21</f>
        <v>0.55000000000000004</v>
      </c>
      <c r="N21" s="261">
        <f t="shared" ref="N21" si="1">L21*M21</f>
        <v>0.91465000000000007</v>
      </c>
      <c r="O21" s="259">
        <f t="shared" ref="O21" si="2">N21*K21</f>
        <v>0.91465000000000007</v>
      </c>
      <c r="P21" s="252">
        <f t="shared" ref="P21" si="3">P$20*N21</f>
        <v>58588.61901753748</v>
      </c>
      <c r="Q21" s="327">
        <f t="shared" ref="Q21" si="4">P21+Q$20</f>
        <v>61588.61901753748</v>
      </c>
      <c r="R21" s="298"/>
      <c r="S21" s="46">
        <f>M21*2*K21</f>
        <v>1.1000000000000001</v>
      </c>
      <c r="T21" s="9"/>
      <c r="W21" s="4"/>
    </row>
    <row r="22" spans="2:24" ht="17.399999999999999" x14ac:dyDescent="0.3">
      <c r="B22" s="324">
        <v>1</v>
      </c>
      <c r="C22" s="324" t="s">
        <v>174</v>
      </c>
      <c r="D22" s="325">
        <v>0.95</v>
      </c>
      <c r="E22" s="325">
        <v>0.55000000000000004</v>
      </c>
      <c r="F22" s="324" t="s">
        <v>175</v>
      </c>
      <c r="G22" s="326">
        <v>38231</v>
      </c>
      <c r="H22" s="326">
        <f t="shared" ref="H22:H28" si="5">G22*B22</f>
        <v>38231</v>
      </c>
      <c r="I22" s="265"/>
      <c r="J22" s="47"/>
      <c r="K22" s="47">
        <f t="shared" ref="K22:K28" si="6">B22</f>
        <v>1</v>
      </c>
      <c r="L22" s="39">
        <f t="shared" ref="L22:L28" si="7">D22+L$19</f>
        <v>1</v>
      </c>
      <c r="M22" s="39">
        <f t="shared" ref="M22:M28" si="8">E22</f>
        <v>0.55000000000000004</v>
      </c>
      <c r="N22" s="261">
        <f t="shared" ref="N22:N28" si="9">L22*M22</f>
        <v>0.55000000000000004</v>
      </c>
      <c r="O22" s="259">
        <f t="shared" ref="O22:O28" si="10">N22*K22</f>
        <v>0.55000000000000004</v>
      </c>
      <c r="P22" s="252">
        <f t="shared" ref="P22:P28" si="11">P$20*N22</f>
        <v>35230.678904111533</v>
      </c>
      <c r="Q22" s="327">
        <f t="shared" ref="Q22:Q28" si="12">P22+Q$20</f>
        <v>38230.678904111533</v>
      </c>
      <c r="R22" s="298"/>
      <c r="S22" s="46"/>
      <c r="T22" s="9"/>
      <c r="W22" s="4"/>
    </row>
    <row r="23" spans="2:24" ht="17.399999999999999" x14ac:dyDescent="0.3">
      <c r="B23" s="324">
        <v>1</v>
      </c>
      <c r="C23" s="324" t="s">
        <v>174</v>
      </c>
      <c r="D23" s="325">
        <v>1.25</v>
      </c>
      <c r="E23" s="325">
        <v>0.55000000000000004</v>
      </c>
      <c r="F23" s="324" t="s">
        <v>175</v>
      </c>
      <c r="G23" s="326">
        <v>48800</v>
      </c>
      <c r="H23" s="326">
        <f t="shared" si="5"/>
        <v>48800</v>
      </c>
      <c r="I23" s="265"/>
      <c r="J23" s="47"/>
      <c r="K23" s="47">
        <f t="shared" si="6"/>
        <v>1</v>
      </c>
      <c r="L23" s="39">
        <f t="shared" si="7"/>
        <v>1.3</v>
      </c>
      <c r="M23" s="39">
        <f t="shared" si="8"/>
        <v>0.55000000000000004</v>
      </c>
      <c r="N23" s="261">
        <f t="shared" si="9"/>
        <v>0.71500000000000008</v>
      </c>
      <c r="O23" s="259">
        <f t="shared" si="10"/>
        <v>0.71500000000000008</v>
      </c>
      <c r="P23" s="252">
        <f t="shared" si="11"/>
        <v>45799.882575344993</v>
      </c>
      <c r="Q23" s="327">
        <f t="shared" si="12"/>
        <v>48799.882575344993</v>
      </c>
      <c r="R23" s="298"/>
      <c r="S23" s="46"/>
      <c r="T23" s="9"/>
      <c r="W23" s="4"/>
    </row>
    <row r="24" spans="2:24" ht="17.399999999999999" x14ac:dyDescent="0.3">
      <c r="B24" s="324">
        <v>1</v>
      </c>
      <c r="C24" s="324" t="s">
        <v>174</v>
      </c>
      <c r="D24" s="325">
        <v>0.73299999999999998</v>
      </c>
      <c r="E24" s="325">
        <v>0.38</v>
      </c>
      <c r="F24" s="324" t="s">
        <v>175</v>
      </c>
      <c r="G24" s="326">
        <v>22059</v>
      </c>
      <c r="H24" s="326">
        <f t="shared" si="5"/>
        <v>22059</v>
      </c>
      <c r="I24" s="265"/>
      <c r="J24" s="47"/>
      <c r="K24" s="47">
        <f t="shared" si="6"/>
        <v>1</v>
      </c>
      <c r="L24" s="39">
        <f t="shared" si="7"/>
        <v>0.78300000000000003</v>
      </c>
      <c r="M24" s="39">
        <f t="shared" si="8"/>
        <v>0.38</v>
      </c>
      <c r="N24" s="261">
        <f t="shared" si="9"/>
        <v>0.29754000000000003</v>
      </c>
      <c r="O24" s="259">
        <f t="shared" si="10"/>
        <v>0.29754000000000003</v>
      </c>
      <c r="P24" s="252">
        <f t="shared" si="11"/>
        <v>19059.156729326085</v>
      </c>
      <c r="Q24" s="327">
        <f t="shared" si="12"/>
        <v>22059.156729326085</v>
      </c>
      <c r="R24" s="298"/>
      <c r="S24" s="46"/>
      <c r="T24" s="9"/>
      <c r="W24" s="4"/>
    </row>
    <row r="25" spans="2:24" ht="17.399999999999999" x14ac:dyDescent="0.3">
      <c r="B25" s="324">
        <v>1</v>
      </c>
      <c r="C25" s="324" t="s">
        <v>176</v>
      </c>
      <c r="D25" s="325">
        <v>1.613</v>
      </c>
      <c r="E25" s="325">
        <v>7.0000000000000007E-2</v>
      </c>
      <c r="F25" s="324" t="s">
        <v>175</v>
      </c>
      <c r="G25" s="326">
        <v>10457</v>
      </c>
      <c r="H25" s="326">
        <f t="shared" si="5"/>
        <v>10457</v>
      </c>
      <c r="I25" s="265"/>
      <c r="J25" s="47"/>
      <c r="K25" s="47">
        <f t="shared" si="6"/>
        <v>1</v>
      </c>
      <c r="L25" s="39">
        <f t="shared" si="7"/>
        <v>1.663</v>
      </c>
      <c r="M25" s="39">
        <f t="shared" si="8"/>
        <v>7.0000000000000007E-2</v>
      </c>
      <c r="N25" s="261">
        <f t="shared" si="9"/>
        <v>0.11641000000000001</v>
      </c>
      <c r="O25" s="259">
        <f t="shared" si="10"/>
        <v>0.11641000000000001</v>
      </c>
      <c r="P25" s="252">
        <f t="shared" si="11"/>
        <v>7456.7333295047702</v>
      </c>
      <c r="Q25" s="327">
        <f t="shared" si="12"/>
        <v>10456.73332950477</v>
      </c>
      <c r="R25" s="298"/>
      <c r="S25" s="46"/>
      <c r="T25" s="9"/>
      <c r="W25" s="4"/>
    </row>
    <row r="26" spans="2:24" ht="17.399999999999999" x14ac:dyDescent="0.3">
      <c r="B26" s="324">
        <v>1</v>
      </c>
      <c r="C26" s="324" t="s">
        <v>176</v>
      </c>
      <c r="D26" s="325">
        <v>0.95</v>
      </c>
      <c r="E26" s="325">
        <v>7.0000000000000007E-2</v>
      </c>
      <c r="F26" s="324" t="s">
        <v>175</v>
      </c>
      <c r="G26" s="326">
        <v>7484</v>
      </c>
      <c r="H26" s="326">
        <f t="shared" si="5"/>
        <v>7484</v>
      </c>
      <c r="I26" s="265"/>
      <c r="J26" s="47"/>
      <c r="K26" s="47">
        <f t="shared" si="6"/>
        <v>1</v>
      </c>
      <c r="L26" s="39">
        <f t="shared" si="7"/>
        <v>1</v>
      </c>
      <c r="M26" s="39">
        <f t="shared" si="8"/>
        <v>7.0000000000000007E-2</v>
      </c>
      <c r="N26" s="261">
        <f t="shared" si="9"/>
        <v>7.0000000000000007E-2</v>
      </c>
      <c r="O26" s="259">
        <f t="shared" si="10"/>
        <v>7.0000000000000007E-2</v>
      </c>
      <c r="P26" s="252">
        <f t="shared" si="11"/>
        <v>4483.9045877960134</v>
      </c>
      <c r="Q26" s="327">
        <f t="shared" si="12"/>
        <v>7483.9045877960134</v>
      </c>
      <c r="R26" s="298"/>
      <c r="S26" s="46"/>
      <c r="T26" s="9"/>
      <c r="W26" s="4"/>
    </row>
    <row r="27" spans="2:24" ht="17.399999999999999" x14ac:dyDescent="0.3">
      <c r="B27" s="324">
        <v>1</v>
      </c>
      <c r="C27" s="324" t="s">
        <v>176</v>
      </c>
      <c r="D27" s="325">
        <v>1.25</v>
      </c>
      <c r="E27" s="325">
        <v>7.0000000000000007E-2</v>
      </c>
      <c r="F27" s="324" t="s">
        <v>175</v>
      </c>
      <c r="G27" s="326">
        <v>8829</v>
      </c>
      <c r="H27" s="326">
        <f t="shared" si="5"/>
        <v>8829</v>
      </c>
      <c r="I27" s="265"/>
      <c r="J27" s="47"/>
      <c r="K27" s="47">
        <f t="shared" si="6"/>
        <v>1</v>
      </c>
      <c r="L27" s="39">
        <f t="shared" si="7"/>
        <v>1.3</v>
      </c>
      <c r="M27" s="39">
        <f t="shared" si="8"/>
        <v>7.0000000000000007E-2</v>
      </c>
      <c r="N27" s="261">
        <f t="shared" si="9"/>
        <v>9.1000000000000011E-2</v>
      </c>
      <c r="O27" s="259">
        <f t="shared" si="10"/>
        <v>9.1000000000000011E-2</v>
      </c>
      <c r="P27" s="252">
        <f t="shared" si="11"/>
        <v>5829.0759641348177</v>
      </c>
      <c r="Q27" s="327">
        <f t="shared" si="12"/>
        <v>8829.0759641348177</v>
      </c>
      <c r="R27" s="298"/>
      <c r="S27" s="46"/>
      <c r="T27" s="9"/>
      <c r="W27" s="4"/>
    </row>
    <row r="28" spans="2:24" ht="17.399999999999999" x14ac:dyDescent="0.3">
      <c r="B28" s="324">
        <v>1</v>
      </c>
      <c r="C28" s="324" t="s">
        <v>176</v>
      </c>
      <c r="D28" s="325">
        <v>0.73299999999999998</v>
      </c>
      <c r="E28" s="325">
        <v>7.0000000000000007E-2</v>
      </c>
      <c r="F28" s="324" t="s">
        <v>175</v>
      </c>
      <c r="G28" s="326">
        <v>6511</v>
      </c>
      <c r="H28" s="326">
        <f t="shared" si="5"/>
        <v>6511</v>
      </c>
      <c r="I28" s="265"/>
      <c r="J28" s="47"/>
      <c r="K28" s="47">
        <f t="shared" si="6"/>
        <v>1</v>
      </c>
      <c r="L28" s="39">
        <f t="shared" si="7"/>
        <v>0.78300000000000003</v>
      </c>
      <c r="M28" s="39">
        <f t="shared" si="8"/>
        <v>7.0000000000000007E-2</v>
      </c>
      <c r="N28" s="261">
        <f t="shared" si="9"/>
        <v>5.4810000000000005E-2</v>
      </c>
      <c r="O28" s="259">
        <f t="shared" si="10"/>
        <v>5.4810000000000005E-2</v>
      </c>
      <c r="P28" s="252">
        <f t="shared" si="11"/>
        <v>3510.8972922442786</v>
      </c>
      <c r="Q28" s="327">
        <f t="shared" si="12"/>
        <v>6510.897292244279</v>
      </c>
      <c r="R28" s="298"/>
      <c r="S28" s="46"/>
      <c r="T28" s="9"/>
      <c r="W28" s="4"/>
    </row>
    <row r="29" spans="2:24" ht="17.399999999999999" x14ac:dyDescent="0.3">
      <c r="B29" s="344"/>
      <c r="C29" s="344"/>
      <c r="D29" s="345"/>
      <c r="E29" s="345"/>
      <c r="F29" s="344"/>
      <c r="G29" s="326"/>
      <c r="H29" s="326"/>
      <c r="I29" s="265"/>
      <c r="J29" s="47"/>
      <c r="K29" s="47"/>
      <c r="L29" s="39"/>
      <c r="M29" s="39"/>
      <c r="N29" s="261"/>
      <c r="O29" s="259"/>
      <c r="P29" s="252"/>
      <c r="Q29" s="327"/>
      <c r="R29" s="298"/>
      <c r="S29" s="46"/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330"/>
      <c r="H30" s="331"/>
      <c r="I30" s="233"/>
      <c r="J30" s="47"/>
      <c r="K30" s="47"/>
      <c r="L30" s="39"/>
      <c r="M30" s="39"/>
      <c r="N30" s="261"/>
      <c r="O30" s="259"/>
      <c r="P30" s="252"/>
      <c r="Q30" s="258"/>
      <c r="R30" s="298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28" t="s">
        <v>29</v>
      </c>
      <c r="H31" s="329">
        <f>SUM(H21:H30)</f>
        <v>203960</v>
      </c>
      <c r="I31" s="265"/>
      <c r="J31" s="47">
        <v>2600000</v>
      </c>
      <c r="K31" s="47"/>
      <c r="L31" s="39">
        <f>SUM(L30:L30)</f>
        <v>0</v>
      </c>
      <c r="M31" s="39"/>
      <c r="N31" s="261"/>
      <c r="O31" s="259"/>
      <c r="P31" s="252"/>
      <c r="Q31" s="258"/>
      <c r="R31" s="298"/>
      <c r="S31" s="46">
        <f>SUM(S21:S30)</f>
        <v>1.1000000000000001</v>
      </c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297" t="s">
        <v>52</v>
      </c>
      <c r="H32" s="295">
        <f>H31*19%</f>
        <v>38752.400000000001</v>
      </c>
      <c r="I32" s="265"/>
      <c r="J32" s="47"/>
      <c r="K32" s="47"/>
      <c r="L32" s="39"/>
      <c r="M32" s="12"/>
      <c r="N32" s="12"/>
      <c r="O32" s="253">
        <f>SUM(O21:O28)</f>
        <v>2.8094100000000006</v>
      </c>
      <c r="P32" s="14"/>
      <c r="Q32" s="12"/>
      <c r="R32" s="239"/>
      <c r="S32" s="46">
        <f>S31*20%</f>
        <v>0.22000000000000003</v>
      </c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296">
        <f>H31+H32</f>
        <v>242712.4</v>
      </c>
      <c r="I33" s="265"/>
      <c r="J33" s="47"/>
      <c r="K33" s="47"/>
      <c r="L33" s="39"/>
      <c r="M33" s="12"/>
      <c r="N33" s="12"/>
      <c r="O33" s="253">
        <f>O32</f>
        <v>2.8094100000000006</v>
      </c>
      <c r="P33" s="14"/>
      <c r="Q33" s="12"/>
      <c r="R33" s="239">
        <f>SUM(R21:R32)</f>
        <v>0</v>
      </c>
      <c r="S33" s="46">
        <f>S31+S32</f>
        <v>1.32</v>
      </c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0.5618820000000001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/>
      <c r="K35" s="47"/>
      <c r="L35" s="14"/>
      <c r="M35" s="12"/>
      <c r="N35" s="12"/>
      <c r="O35" s="46">
        <f>O33+O34</f>
        <v>3.3712920000000008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/>
      <c r="K36" s="47"/>
      <c r="L36" s="14"/>
      <c r="M36" s="14"/>
      <c r="N36" s="14"/>
      <c r="O36" s="14"/>
      <c r="P36" s="14"/>
      <c r="Q36" s="14"/>
      <c r="R36" s="238"/>
      <c r="S36" s="14"/>
      <c r="T36" s="303" t="s">
        <v>22</v>
      </c>
      <c r="U36" s="300" t="s">
        <v>153</v>
      </c>
      <c r="V36" s="304">
        <v>44971</v>
      </c>
      <c r="W36" s="305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/>
      <c r="K37" s="47"/>
      <c r="L37" s="39">
        <f>O35</f>
        <v>3.3712920000000008</v>
      </c>
      <c r="M37" s="12">
        <v>3500</v>
      </c>
      <c r="N37" s="12">
        <f t="shared" ref="N37:N42" si="13">L37*M37</f>
        <v>11799.522000000003</v>
      </c>
      <c r="O37" s="14" t="s">
        <v>22</v>
      </c>
      <c r="P37" s="14"/>
      <c r="Q37" s="14"/>
      <c r="R37" s="241"/>
      <c r="S37" s="14"/>
      <c r="T37" s="303" t="s">
        <v>154</v>
      </c>
      <c r="U37" s="300">
        <v>3625</v>
      </c>
      <c r="V37" s="59" t="s">
        <v>155</v>
      </c>
      <c r="W37" s="305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 t="s">
        <v>167</v>
      </c>
      <c r="K38" s="47"/>
      <c r="L38" s="249">
        <v>1</v>
      </c>
      <c r="M38" s="12">
        <v>25000</v>
      </c>
      <c r="N38" s="12">
        <f t="shared" si="13"/>
        <v>25000</v>
      </c>
      <c r="O38" s="39" t="s">
        <v>32</v>
      </c>
      <c r="P38" s="42"/>
      <c r="Q38" s="14"/>
      <c r="R38" s="240"/>
      <c r="S38" s="14"/>
      <c r="T38" s="303"/>
      <c r="U38" s="59">
        <v>906.25</v>
      </c>
      <c r="V38" s="59" t="s">
        <v>156</v>
      </c>
      <c r="W38" s="305"/>
    </row>
    <row r="39" spans="2:23" s="230" customFormat="1" ht="17.399999999999999" x14ac:dyDescent="0.35">
      <c r="I39" s="262"/>
      <c r="J39" s="232">
        <v>40754</v>
      </c>
      <c r="K39" s="250">
        <v>34989</v>
      </c>
      <c r="L39" s="14"/>
      <c r="M39" s="250">
        <v>61840</v>
      </c>
      <c r="N39" s="12">
        <f t="shared" si="13"/>
        <v>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05" t="s">
        <v>157</v>
      </c>
      <c r="W39" s="59"/>
    </row>
    <row r="40" spans="2:23" s="230" customFormat="1" ht="17.399999999999999" x14ac:dyDescent="0.35">
      <c r="B40" s="24" t="s">
        <v>152</v>
      </c>
      <c r="I40" s="262"/>
      <c r="J40" s="232">
        <v>26644</v>
      </c>
      <c r="K40" s="250">
        <v>22025</v>
      </c>
      <c r="L40" s="14">
        <v>2</v>
      </c>
      <c r="M40" s="250">
        <v>22500</v>
      </c>
      <c r="N40" s="12">
        <f t="shared" si="13"/>
        <v>45000</v>
      </c>
      <c r="O40" s="14" t="s">
        <v>142</v>
      </c>
      <c r="P40" s="17"/>
      <c r="R40" s="238"/>
      <c r="S40" s="256"/>
      <c r="T40" s="59"/>
      <c r="U40" s="59">
        <f>U38+U39</f>
        <v>1087.5</v>
      </c>
      <c r="V40" s="305" t="s">
        <v>158</v>
      </c>
      <c r="W40" s="59"/>
    </row>
    <row r="41" spans="2:23" s="230" customFormat="1" ht="17.399999999999999" x14ac:dyDescent="0.35">
      <c r="B41" s="24" t="s">
        <v>145</v>
      </c>
      <c r="C41"/>
      <c r="D41"/>
      <c r="E41"/>
      <c r="F41"/>
      <c r="I41" s="262"/>
      <c r="K41" s="250"/>
      <c r="L41" s="249"/>
      <c r="M41" s="250">
        <v>300</v>
      </c>
      <c r="N41" s="12">
        <f t="shared" si="13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294"/>
      <c r="K42" s="250"/>
      <c r="L42" s="266"/>
      <c r="M42" s="12">
        <v>1500</v>
      </c>
      <c r="N42" s="12">
        <f t="shared" si="13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K43" s="250"/>
      <c r="L43" s="14"/>
      <c r="M43" s="12"/>
      <c r="N43" s="12">
        <f>SUM(N37:N42)</f>
        <v>81799.521999999997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N43*2.2</f>
        <v>179958.94839999999</v>
      </c>
      <c r="O44" s="14" t="s">
        <v>141</v>
      </c>
      <c r="P44" s="14"/>
      <c r="Q44" s="40">
        <f>O35/Q43</f>
        <v>0.90899805867126859</v>
      </c>
      <c r="R44"/>
      <c r="S44" s="257"/>
    </row>
    <row r="45" spans="2:23" s="230" customFormat="1" ht="17.399999999999999" x14ac:dyDescent="0.35">
      <c r="G45"/>
      <c r="H45" s="260"/>
      <c r="I45" s="260"/>
      <c r="J45" s="230">
        <v>55470</v>
      </c>
      <c r="K45" s="250"/>
      <c r="L45" s="14"/>
      <c r="M45" s="12"/>
      <c r="N45" s="12">
        <f>N44/O33</f>
        <v>64055.77982565733</v>
      </c>
      <c r="O45" s="45" t="s">
        <v>25</v>
      </c>
      <c r="P45" s="14"/>
      <c r="Q45" s="14"/>
      <c r="R45"/>
      <c r="S45" s="238"/>
      <c r="T45" s="59" t="s">
        <v>159</v>
      </c>
      <c r="U45" s="300">
        <v>43650</v>
      </c>
    </row>
    <row r="46" spans="2:23" s="230" customFormat="1" ht="17.399999999999999" x14ac:dyDescent="0.35">
      <c r="G46"/>
      <c r="H46" s="230" t="s">
        <v>165</v>
      </c>
      <c r="J46" s="230">
        <f>J45/1.19</f>
        <v>46613.445378151264</v>
      </c>
      <c r="K46" s="250"/>
      <c r="L46" s="13"/>
      <c r="M46" s="14"/>
      <c r="N46" s="17">
        <f>N44/N43</f>
        <v>2.2000000000000002</v>
      </c>
      <c r="O46" s="15"/>
      <c r="P46"/>
      <c r="Q46"/>
      <c r="R46"/>
      <c r="S46" s="238"/>
      <c r="T46" s="59" t="s">
        <v>161</v>
      </c>
      <c r="U46" s="301" t="s">
        <v>160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162</v>
      </c>
      <c r="U47" s="302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K48" s="12"/>
      <c r="S48" s="238"/>
      <c r="T48" s="59" t="s">
        <v>157</v>
      </c>
      <c r="U48" s="59">
        <v>474.45</v>
      </c>
    </row>
    <row r="49" spans="11:21" ht="14.4" customHeight="1" x14ac:dyDescent="0.3">
      <c r="K49" s="12"/>
      <c r="T49" s="59"/>
      <c r="U49" s="59"/>
    </row>
    <row r="50" spans="11:21" x14ac:dyDescent="0.3">
      <c r="K50" s="250"/>
    </row>
    <row r="51" spans="11:21" x14ac:dyDescent="0.3">
      <c r="K51" s="250"/>
      <c r="S51" s="270"/>
    </row>
    <row r="52" spans="11:21" x14ac:dyDescent="0.3">
      <c r="K52" s="250"/>
    </row>
    <row r="53" spans="11:21" ht="15" customHeight="1" x14ac:dyDescent="0.3"/>
    <row r="55" spans="11:21" x14ac:dyDescent="0.3">
      <c r="N55">
        <v>40935</v>
      </c>
      <c r="O55" t="s">
        <v>17</v>
      </c>
      <c r="P55" t="s">
        <v>27</v>
      </c>
    </row>
    <row r="57" spans="11:21" x14ac:dyDescent="0.3">
      <c r="N57" s="54"/>
      <c r="O57" s="54"/>
    </row>
    <row r="58" spans="11:21" x14ac:dyDescent="0.3">
      <c r="R58" s="18"/>
      <c r="S58" s="18"/>
    </row>
    <row r="59" spans="11:21" x14ac:dyDescent="0.3">
      <c r="R59" s="18"/>
      <c r="S59" s="18"/>
    </row>
    <row r="60" spans="11:21" x14ac:dyDescent="0.3">
      <c r="R60" s="18"/>
      <c r="S60" s="18"/>
    </row>
    <row r="61" spans="11:21" x14ac:dyDescent="0.3">
      <c r="R61" s="18"/>
      <c r="S61" s="18"/>
    </row>
    <row r="62" spans="11:21" x14ac:dyDescent="0.3">
      <c r="R62" s="18"/>
      <c r="S62" s="18"/>
    </row>
    <row r="63" spans="11:21" x14ac:dyDescent="0.3">
      <c r="R63" s="18"/>
      <c r="S63" s="18"/>
    </row>
    <row r="64" spans="11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45572</v>
      </c>
    </row>
    <row r="6" spans="2:31" ht="16.2" thickBot="1" x14ac:dyDescent="0.35">
      <c r="B6" s="140" t="s">
        <v>2</v>
      </c>
      <c r="C6" s="139" t="str">
        <f>'2229'!C10</f>
        <v>CRISTIAN GAETE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11119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-15669.08981678744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'2229'!H31</f>
        <v>203960</v>
      </c>
      <c r="E11" s="132">
        <f>D11*0.19</f>
        <v>38752.400000000001</v>
      </c>
      <c r="F11" s="131">
        <f>E11+D11</f>
        <v>242712.4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90320.91018321256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66633.612787439619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72320.91018321256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137326.3872125604</v>
      </c>
      <c r="E13" s="221">
        <f>(D11/D12)-1</f>
        <v>2.0609176280240096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63320.91018321256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24320.91018321256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109945.46109927536</v>
      </c>
      <c r="F15" s="216">
        <f>E15-D12</f>
        <v>43311.84831183574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24320.91018321256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64320.91018321256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11799.522000000003</v>
      </c>
      <c r="E20" s="121">
        <f>D20*0.19</f>
        <v>2241.9091800000006</v>
      </c>
      <c r="F20" s="120">
        <f>SUM(D20:E20)</f>
        <v>14041.431180000003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36799.522000000004</v>
      </c>
      <c r="E21" s="116">
        <f>SUM(E18:E20)</f>
        <v>6991.9091800000006</v>
      </c>
      <c r="F21" s="115">
        <f>SUM(F18:F20)</f>
        <v>43791.43118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31760.490819999999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203960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36799.522000000004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137326.3872125604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137326.3872125604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2024-10-08T11:49:17Z</dcterms:modified>
</cp:coreProperties>
</file>