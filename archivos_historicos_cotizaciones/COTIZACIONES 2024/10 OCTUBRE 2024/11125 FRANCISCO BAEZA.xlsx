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0 OCTUBRE 2024\"/>
    </mc:Choice>
  </mc:AlternateContent>
  <xr:revisionPtr revIDLastSave="0" documentId="13_ncr:1_{58A90F5A-F4FE-4CF6-9BE8-CF6F4D79DA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N24" i="1"/>
  <c r="L22" i="1"/>
  <c r="M22" i="1"/>
  <c r="N22" i="1"/>
  <c r="M23" i="1"/>
  <c r="N23" i="1"/>
  <c r="M21" i="1"/>
  <c r="L21" i="1"/>
  <c r="N21" i="1"/>
  <c r="M26" i="1" l="1"/>
  <c r="O22" i="1"/>
  <c r="P22" i="1" s="1"/>
  <c r="O23" i="1"/>
  <c r="P23" i="1" s="1"/>
  <c r="O21" i="1"/>
  <c r="P21" i="1" s="1"/>
  <c r="K41" i="1"/>
  <c r="P27" i="1" l="1"/>
  <c r="T21" i="1"/>
  <c r="T26" i="1" s="1"/>
  <c r="T27" i="1" s="1"/>
  <c r="T28" i="1" s="1"/>
  <c r="S28" i="1"/>
  <c r="V34" i="1"/>
  <c r="V35" i="1" s="1"/>
  <c r="O33" i="1" l="1"/>
  <c r="P28" i="1" l="1"/>
  <c r="P29" i="1" s="1"/>
  <c r="P30" i="1" s="1"/>
  <c r="N20" i="1"/>
  <c r="L20" i="1"/>
  <c r="M32" i="1" l="1"/>
  <c r="R39" i="1"/>
  <c r="O34" i="1"/>
  <c r="R38" i="1"/>
  <c r="O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O41" i="1" l="1"/>
  <c r="E15" i="3"/>
  <c r="Q23" i="1" l="1"/>
  <c r="Q22" i="1"/>
  <c r="Q21" i="1"/>
  <c r="F15" i="3"/>
  <c r="R21" i="1" l="1"/>
  <c r="H21" i="1"/>
  <c r="R22" i="1"/>
  <c r="H22" i="1"/>
  <c r="R23" i="1"/>
  <c r="H23" i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<sst xmlns="http://schemas.openxmlformats.org/spreadsheetml/2006/main" count="236" uniqueCount="176">
  <si>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</si>
  <si>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</si>
  <si>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</si>
  <si>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</si>
  <si>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</si>
  <si>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</si>
  <si>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</si>
  <si>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</si>
  <si>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</si>
  <si>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</si>
  <si>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</si>
  <si>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</si>
  <si>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</si>
  <si>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</si>
  <si>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</si>
  <si>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</si>
  <si>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</si>
  <si>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</si>
  <si>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</si>
  <si>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</si>
  <si>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</si>
  <si>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</si>
  <si>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</si>
  <si>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</si>
  <si>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</si>
  <si>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</si>
  <si>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</si>
  <si>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</si>
  <si>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</si>
  <si>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</si>
  <si>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</si>
  <si>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</si>
  <si>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</si>
  <si>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</si>
  <si>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</si>
  <si>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</si>
  <si>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</si>
  <si>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</si>
  <si>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</si>
  <si>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</si>
  <si>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</si>
  <si>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</si>
  <si>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</si>
  <si>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</si>
  <si>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</si>
  <si>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</si>
  <si>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</si>
  <si>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</si>
  <si>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</si>
  <si>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</si>
  <si>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</si>
  <si>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</si>
  <si>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</si>
  <si>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</si>
  <si>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</si>
  <si>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</si>
  <si>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</si>
  <si>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</si>
  <si>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</si>
  <si>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</si>
  <si>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</si>
  <si>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</si>
  <si>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</si>
  <si>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</si>
  <si>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</si>
  <si>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</si>
  <si>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</si>
  <si>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</si>
  <si>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</si>
  <si>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</si>
  <si>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</si>
  <si>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</si>
  <si>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</si>
  <si>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</si>
  <si>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</si>
  <si>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</si>
  <si>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</si>
  <si>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</si>
  <si>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</si>
  <si>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</si>
  <si>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</si>
  <si>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</si>
  <si>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</si>
  <si>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</si>
  <si>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</si>
  <si>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</si>
  <si>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</si>
  <si>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</si>
  <si>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</si>
  <si>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</si>
  <si>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</si>
  <si>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</si>
  <si>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</si>
  <si>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</si>
  <si>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</si>
  <si>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</si>
  <si>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</si>
  <si>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</si>
  <si>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</si>
  <si>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</si>
  <si>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</si>
  <si>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</si>
  <si>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</si>
  <si>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</si>
  <si>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</si>
  <si>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</si>
  <si>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</si>
  <si>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</si>
  <si>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</si>
  <si>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</si>
  <si>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</si>
  <si>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</si>
  <si>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</si>
  <si>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</si>
  <si>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</si>
  <si>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</si>
  <si>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</si>
  <si>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</si>
  <si>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</si>
  <si>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</si>
  <si>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</si>
  <si>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</si>
  <si>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</si>
  <si>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</si>
  <si>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</si>
  <si>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</si>
  <si>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</si>
  <si>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</si>
  <si>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</si>
  <si>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</si>
  <si>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</si>
  <si>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</si>
  <si>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</si>
  <si>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</si>
  <si>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</si>
  <si>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</si>
  <si>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</si>
  <si>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</si>
  <si>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</si>
  <si>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</si>
  <si>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</si>
  <si>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</si>
  <si>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</si>
  <si>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</si>
  <si>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</si>
  <si>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</si>
  <si>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</si>
  <si>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</si>
  <si>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</si>
  <si>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</si>
  <si>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</si>
  <si>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</si>
  <si>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</si>
  <si>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</si>
  <si>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</si>
  <si>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</si>
  <si>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</si>
  <si>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</si>
  <si>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</si>
  <si>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</si>
  <si>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</si>
  <si>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</si>
  <si>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</si>
  <si>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</si>
  <si>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</si>
  <si>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lamitech</t>
  </si>
  <si>
    <t>SANTIAGO</t>
  </si>
  <si>
    <t>5 DIAS HABILES</t>
  </si>
  <si>
    <t>FRANCISCO BAEZA</t>
  </si>
  <si>
    <t>N° 11125</t>
  </si>
  <si>
    <t>MINERAL STEEL 3166</t>
  </si>
  <si>
    <t>CUB C/R R2</t>
  </si>
  <si>
    <t>+569 9789 9304</t>
  </si>
  <si>
    <t>CUB MESA 3 LADOS R2</t>
  </si>
  <si>
    <t>ZOCALOS</t>
  </si>
  <si>
    <t>FONO +569 2032 3382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</si>
</sst>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8</xdr:col>
      <xdr:colOff>8193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RESPALDOS A</a:t>
          </a:r>
          <a:r>
            <a:rPr lang="es-CL" sz="1200" b="1" baseline="0"/>
            <a:t> PARTE. CUBIERTA MESA 3 LADOS SON 2 LADOS POSTFORMADOS A 1,500 Y 1 LADO DE 0,750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3"/>
  <sheetViews>
    <sheetView tabSelected="1" topLeftCell="A18" zoomScale="93" zoomScaleNormal="93" workbookViewId="0">
      <selection activeCell="Q21" sqref="Q21:Q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175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168</v>
      </c>
      <c r="D10" s="243"/>
      <c r="E10" s="243"/>
      <c r="F10" s="244" t="s">
        <v>0</v>
      </c>
      <c r="G10" s="277">
        <v>45576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167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172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166</v>
      </c>
      <c r="D17" s="314"/>
      <c r="E17" s="119"/>
      <c r="F17" s="346" t="s">
        <v>164</v>
      </c>
      <c r="G17" s="346"/>
      <c r="H17" s="34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8" t="s">
        <v>147</v>
      </c>
      <c r="C19" s="349"/>
      <c r="D19" s="349"/>
      <c r="E19" s="349"/>
      <c r="F19" s="349"/>
      <c r="G19" s="349"/>
      <c r="H19" s="350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43" t="s">
        <v>7</v>
      </c>
      <c r="C20" s="344" t="s">
        <v>1</v>
      </c>
      <c r="D20" s="344" t="s">
        <v>10</v>
      </c>
      <c r="E20" s="344" t="s">
        <v>11</v>
      </c>
      <c r="F20" s="344" t="s">
        <v>8</v>
      </c>
      <c r="G20" s="344" t="s">
        <v>5</v>
      </c>
      <c r="H20" s="34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90750.582010582031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8">
        <v>1</v>
      </c>
      <c r="C21" s="339" t="s">
        <v>171</v>
      </c>
      <c r="D21" s="340">
        <v>3.06</v>
      </c>
      <c r="E21" s="340">
        <v>0.6</v>
      </c>
      <c r="F21" s="339" t="s">
        <v>170</v>
      </c>
      <c r="G21" s="341">
        <v>153822</v>
      </c>
      <c r="H21" s="342">
        <f>G21*B21</f>
        <v>153822</v>
      </c>
      <c r="I21" s="325"/>
      <c r="J21" s="265"/>
      <c r="K21" s="47"/>
      <c r="L21" s="47">
        <f>B21</f>
        <v>1</v>
      </c>
      <c r="M21" s="39">
        <f>D21+M$19</f>
        <v>3.11</v>
      </c>
      <c r="N21" s="39">
        <f>E21</f>
        <v>0.6</v>
      </c>
      <c r="O21" s="261">
        <f t="shared" ref="O21" si="1">M21*N21</f>
        <v>1.8659999999999999</v>
      </c>
      <c r="P21" s="259">
        <f t="shared" ref="P21" si="2">O21*L21</f>
        <v>1.8659999999999999</v>
      </c>
      <c r="Q21" s="252">
        <f t="shared" ref="Q21" si="3">Q$20*O21</f>
        <v>169340.58603174606</v>
      </c>
      <c r="R21" s="324">
        <f t="shared" ref="R21" si="4">Q21+R$20</f>
        <v>172340.58603174606</v>
      </c>
      <c r="S21" s="298"/>
      <c r="T21" s="46">
        <f>N21*2*L21</f>
        <v>1.2</v>
      </c>
      <c r="U21" s="9"/>
      <c r="X21" s="4"/>
    </row>
    <row r="22" spans="2:25" ht="17.399999999999999" x14ac:dyDescent="0.3">
      <c r="B22" s="331">
        <v>1</v>
      </c>
      <c r="C22" s="321" t="s">
        <v>171</v>
      </c>
      <c r="D22" s="322">
        <v>2</v>
      </c>
      <c r="E22" s="322">
        <v>0.6</v>
      </c>
      <c r="F22" s="321" t="s">
        <v>170</v>
      </c>
      <c r="G22" s="323">
        <v>153822</v>
      </c>
      <c r="H22" s="332">
        <f t="shared" ref="H22:H23" si="5">G22*B22</f>
        <v>153822</v>
      </c>
      <c r="I22" s="325"/>
      <c r="J22" s="265"/>
      <c r="K22" s="47"/>
      <c r="L22" s="47">
        <f t="shared" ref="L22" si="6">B22</f>
        <v>1</v>
      </c>
      <c r="M22" s="39">
        <f t="shared" ref="M22:M23" si="7">D22+M$19</f>
        <v>2.0499999999999998</v>
      </c>
      <c r="N22" s="39">
        <f t="shared" ref="N22:N24" si="8">E22</f>
        <v>0.6</v>
      </c>
      <c r="O22" s="261">
        <f t="shared" ref="O22:O23" si="9">M22*N22</f>
        <v>1.2299999999999998</v>
      </c>
      <c r="P22" s="259">
        <f t="shared" ref="P22:P23" si="10">O22*L22</f>
        <v>1.2299999999999998</v>
      </c>
      <c r="Q22" s="252">
        <f t="shared" ref="Q22:Q23" si="11">Q$20*O22</f>
        <v>111623.21587301587</v>
      </c>
      <c r="R22" s="324">
        <f t="shared" ref="R22:R23" si="12">Q22+R$20</f>
        <v>114623.21587301587</v>
      </c>
      <c r="S22" s="298"/>
      <c r="T22" s="46"/>
      <c r="U22" s="9"/>
      <c r="X22" s="4"/>
    </row>
    <row r="23" spans="2:25" ht="17.399999999999999" x14ac:dyDescent="0.3">
      <c r="B23" s="331">
        <v>1</v>
      </c>
      <c r="C23" s="321" t="s">
        <v>173</v>
      </c>
      <c r="D23" s="322">
        <v>0.75</v>
      </c>
      <c r="E23" s="322">
        <v>1.8</v>
      </c>
      <c r="F23" s="321" t="s">
        <v>170</v>
      </c>
      <c r="G23" s="323">
        <v>99145</v>
      </c>
      <c r="H23" s="332">
        <f t="shared" si="5"/>
        <v>99145</v>
      </c>
      <c r="I23" s="325"/>
      <c r="J23" s="265"/>
      <c r="K23" s="47"/>
      <c r="L23" s="47">
        <v>1</v>
      </c>
      <c r="M23" s="39">
        <f t="shared" si="7"/>
        <v>0.8</v>
      </c>
      <c r="N23" s="39">
        <f t="shared" si="8"/>
        <v>1.8</v>
      </c>
      <c r="O23" s="261">
        <f t="shared" si="9"/>
        <v>1.4400000000000002</v>
      </c>
      <c r="P23" s="259">
        <f t="shared" si="10"/>
        <v>1.4400000000000002</v>
      </c>
      <c r="Q23" s="252">
        <f t="shared" si="11"/>
        <v>130680.83809523814</v>
      </c>
      <c r="R23" s="324">
        <f t="shared" si="12"/>
        <v>133680.83809523814</v>
      </c>
      <c r="S23" s="298"/>
      <c r="T23" s="46"/>
      <c r="U23" s="9"/>
      <c r="X23" s="4"/>
    </row>
    <row r="24" spans="2:25" ht="18" thickBot="1" x14ac:dyDescent="0.35">
      <c r="B24" s="333">
        <v>3</v>
      </c>
      <c r="C24" s="334" t="s">
        <v>174</v>
      </c>
      <c r="D24" s="335">
        <v>3.05</v>
      </c>
      <c r="E24" s="335">
        <v>0.15</v>
      </c>
      <c r="F24" s="334" t="s">
        <v>170</v>
      </c>
      <c r="G24" s="336">
        <v>5000</v>
      </c>
      <c r="H24" s="337">
        <f>G24*B24</f>
        <v>15000</v>
      </c>
      <c r="I24" s="325"/>
      <c r="J24" s="265"/>
      <c r="K24" s="47"/>
      <c r="L24" s="47"/>
      <c r="M24" s="39"/>
      <c r="N24" s="39">
        <f t="shared" si="8"/>
        <v>0.15</v>
      </c>
      <c r="O24" s="261"/>
      <c r="P24" s="259"/>
      <c r="Q24" s="252"/>
      <c r="R24" s="324"/>
      <c r="S24" s="298"/>
      <c r="T24" s="46"/>
      <c r="U24" s="9"/>
      <c r="X24" s="4"/>
    </row>
    <row r="25" spans="2:25" ht="18" thickBot="1" x14ac:dyDescent="0.35">
      <c r="B25" s="286"/>
      <c r="C25" s="286"/>
      <c r="D25" s="287"/>
      <c r="E25" s="287"/>
      <c r="F25" s="286"/>
      <c r="G25" s="265"/>
      <c r="H25" s="326"/>
      <c r="I25" s="328"/>
      <c r="J25" s="233"/>
      <c r="K25" s="47"/>
      <c r="L25" s="47"/>
      <c r="M25" s="39"/>
      <c r="N25" s="39"/>
      <c r="O25" s="261"/>
      <c r="P25" s="259"/>
      <c r="Q25" s="252"/>
      <c r="R25" s="258"/>
      <c r="S25" s="298"/>
      <c r="T25" s="14"/>
      <c r="U25" s="9"/>
      <c r="X25" s="4"/>
    </row>
    <row r="26" spans="2:25" ht="17.399999999999999" x14ac:dyDescent="0.3">
      <c r="B26" s="286"/>
      <c r="C26" s="286"/>
      <c r="D26" s="287"/>
      <c r="E26" s="287"/>
      <c r="F26" s="286"/>
      <c r="G26" s="329" t="s">
        <v>28</v>
      </c>
      <c r="H26" s="330">
        <v>400000</v>
      </c>
      <c r="I26" s="327"/>
      <c r="J26" s="265"/>
      <c r="K26" s="47">
        <v>2600000</v>
      </c>
      <c r="L26" s="47"/>
      <c r="M26" s="39">
        <f>M21+M22</f>
        <v>5.16</v>
      </c>
      <c r="N26" s="39"/>
      <c r="O26" s="261"/>
      <c r="P26" s="259"/>
      <c r="Q26" s="252"/>
      <c r="R26" s="258"/>
      <c r="S26" s="298"/>
      <c r="T26" s="46">
        <f>SUM(T21:T25)</f>
        <v>1.2</v>
      </c>
      <c r="U26" s="9"/>
      <c r="X26" s="4"/>
    </row>
    <row r="27" spans="2:25" ht="17.399999999999999" x14ac:dyDescent="0.3">
      <c r="B27" s="280"/>
      <c r="C27" s="283"/>
      <c r="D27" s="284"/>
      <c r="E27" s="284"/>
      <c r="F27" s="285"/>
      <c r="G27" s="297" t="s">
        <v>51</v>
      </c>
      <c r="H27" s="295"/>
      <c r="I27" s="327"/>
      <c r="J27" s="265"/>
      <c r="K27" s="47"/>
      <c r="L27" s="47"/>
      <c r="M27" s="39"/>
      <c r="N27" s="12"/>
      <c r="O27" s="12"/>
      <c r="P27" s="253">
        <f>SUM(P21:P23)</f>
        <v>4.5359999999999996</v>
      </c>
      <c r="Q27" s="14"/>
      <c r="R27" s="12"/>
      <c r="S27" s="239"/>
      <c r="T27" s="46">
        <f>T26*20%</f>
        <v>0.24</v>
      </c>
      <c r="U27" s="9"/>
      <c r="X27" s="4"/>
    </row>
    <row r="28" spans="2:25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400000</v>
      </c>
      <c r="I28" s="327"/>
      <c r="J28" s="265"/>
      <c r="K28" s="47"/>
      <c r="L28" s="47"/>
      <c r="M28" s="39"/>
      <c r="N28" s="12"/>
      <c r="O28" s="12"/>
      <c r="P28" s="253">
        <f>P27</f>
        <v>4.5359999999999996</v>
      </c>
      <c r="Q28" s="14"/>
      <c r="R28" s="12"/>
      <c r="S28" s="239">
        <f>SUM(S21:S27)</f>
        <v>0</v>
      </c>
      <c r="T28" s="46">
        <f>T26+T27</f>
        <v>1.44</v>
      </c>
      <c r="U28" s="9"/>
      <c r="X28" s="4"/>
    </row>
    <row r="29" spans="2:25" ht="17.399999999999999" x14ac:dyDescent="0.3">
      <c r="B29" s="276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0.90720000000000001</v>
      </c>
      <c r="Q29" s="39" t="s">
        <v>130</v>
      </c>
      <c r="R29" s="42"/>
      <c r="S29" s="240"/>
      <c r="T29" s="14"/>
      <c r="U29" s="9"/>
      <c r="X29" s="4"/>
    </row>
    <row r="30" spans="2:25" ht="17.399999999999999" x14ac:dyDescent="0.3">
      <c r="B30" s="271"/>
      <c r="C30" s="271"/>
      <c r="D30" s="272"/>
      <c r="E30" s="272"/>
      <c r="F30" s="273"/>
      <c r="G30" s="274"/>
      <c r="H30" s="275"/>
      <c r="I30" s="275"/>
      <c r="J30" s="265"/>
      <c r="K30" s="47"/>
      <c r="L30" s="47"/>
      <c r="M30" s="14"/>
      <c r="N30" s="12"/>
      <c r="O30" s="12"/>
      <c r="P30" s="46">
        <f>P28+P29</f>
        <v>5.4431999999999992</v>
      </c>
      <c r="Q30" s="14"/>
      <c r="R30" s="14"/>
      <c r="S30" s="238">
        <v>40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5"/>
      <c r="I31" s="275"/>
      <c r="J31" s="265"/>
      <c r="K31" s="47"/>
      <c r="L31" s="47"/>
      <c r="M31" s="14"/>
      <c r="N31" s="14"/>
      <c r="O31" s="14"/>
      <c r="P31" s="14"/>
      <c r="Q31" s="14"/>
      <c r="R31" s="14"/>
      <c r="S31" s="238"/>
      <c r="T31" s="14"/>
      <c r="U31" s="303" t="s">
        <v>21</v>
      </c>
      <c r="V31" s="300" t="s">
        <v>152</v>
      </c>
      <c r="W31" s="304">
        <v>44971</v>
      </c>
      <c r="X31" s="305"/>
    </row>
    <row r="32" spans="2:25" ht="17.399999999999999" x14ac:dyDescent="0.35">
      <c r="B32" s="235"/>
      <c r="C32" s="236"/>
      <c r="D32" s="237"/>
      <c r="E32" s="235"/>
      <c r="F32" s="230"/>
      <c r="G32" s="230"/>
      <c r="J32" s="265"/>
      <c r="K32" s="47"/>
      <c r="L32" s="47"/>
      <c r="M32" s="39">
        <f>P30</f>
        <v>5.4431999999999992</v>
      </c>
      <c r="N32" s="12">
        <v>3500</v>
      </c>
      <c r="O32" s="12">
        <f t="shared" ref="O32:O37" si="13">M32*N32</f>
        <v>19051.199999999997</v>
      </c>
      <c r="P32" s="14" t="s">
        <v>21</v>
      </c>
      <c r="Q32" s="14"/>
      <c r="R32" s="14"/>
      <c r="S32" s="241"/>
      <c r="T32" s="14"/>
      <c r="U32" s="303" t="s">
        <v>153</v>
      </c>
      <c r="V32" s="300">
        <v>3625</v>
      </c>
      <c r="W32" s="59" t="s">
        <v>154</v>
      </c>
      <c r="X32" s="305"/>
    </row>
    <row r="33" spans="2:24" ht="17.399999999999999" x14ac:dyDescent="0.35">
      <c r="B33" s="230"/>
      <c r="C33" s="230"/>
      <c r="D33" s="230"/>
      <c r="E33" s="230"/>
      <c r="F33" s="230"/>
      <c r="G33" s="230"/>
      <c r="J33" s="265"/>
      <c r="K33" s="47" t="s">
        <v>165</v>
      </c>
      <c r="L33" s="47"/>
      <c r="M33" s="249">
        <v>1.5</v>
      </c>
      <c r="N33" s="12">
        <v>25000</v>
      </c>
      <c r="O33" s="12">
        <f t="shared" si="13"/>
        <v>37500</v>
      </c>
      <c r="P33" s="39" t="s">
        <v>31</v>
      </c>
      <c r="Q33" s="42"/>
      <c r="R33" s="14"/>
      <c r="S33" s="240"/>
      <c r="T33" s="14"/>
      <c r="U33" s="303"/>
      <c r="V33" s="59">
        <v>906.25</v>
      </c>
      <c r="W33" s="59" t="s">
        <v>155</v>
      </c>
      <c r="X33" s="305"/>
    </row>
    <row r="34" spans="2:24" s="230" customFormat="1" ht="17.399999999999999" x14ac:dyDescent="0.35">
      <c r="J34" s="262"/>
      <c r="K34" s="232">
        <v>40754</v>
      </c>
      <c r="L34" s="250">
        <v>34989</v>
      </c>
      <c r="M34" s="14"/>
      <c r="N34" s="250">
        <v>61840</v>
      </c>
      <c r="O34" s="12">
        <f t="shared" si="13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5" t="s">
        <v>156</v>
      </c>
      <c r="X34" s="59"/>
    </row>
    <row r="35" spans="2:24" s="230" customFormat="1" ht="17.399999999999999" x14ac:dyDescent="0.35">
      <c r="B35" s="24" t="s">
        <v>151</v>
      </c>
      <c r="J35" s="262"/>
      <c r="K35" s="232">
        <v>26644</v>
      </c>
      <c r="L35" s="250">
        <v>22025</v>
      </c>
      <c r="M35" s="14">
        <v>3</v>
      </c>
      <c r="N35" s="250">
        <v>41020</v>
      </c>
      <c r="O35" s="12">
        <f t="shared" si="13"/>
        <v>123060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5" t="s">
        <v>157</v>
      </c>
      <c r="X35" s="59"/>
    </row>
    <row r="36" spans="2:24" s="230" customFormat="1" ht="17.399999999999999" x14ac:dyDescent="0.35">
      <c r="B36" s="24" t="s">
        <v>144</v>
      </c>
      <c r="C36"/>
      <c r="D36"/>
      <c r="E36"/>
      <c r="F36"/>
      <c r="J36" s="262"/>
      <c r="L36" s="250"/>
      <c r="M36" s="249"/>
      <c r="N36" s="250">
        <v>300</v>
      </c>
      <c r="O36" s="12">
        <f t="shared" si="13"/>
        <v>0</v>
      </c>
      <c r="P36" s="14" t="s">
        <v>32</v>
      </c>
      <c r="Q36" s="14"/>
      <c r="R36" s="230">
        <v>1.52</v>
      </c>
      <c r="S36" s="238"/>
      <c r="T36" s="238"/>
    </row>
    <row r="37" spans="2:24" s="230" customFormat="1" ht="17.399999999999999" x14ac:dyDescent="0.35">
      <c r="B37" s="29" t="s">
        <v>125</v>
      </c>
      <c r="C37"/>
      <c r="D37"/>
      <c r="E37"/>
      <c r="F37" s="229" t="s">
        <v>15</v>
      </c>
      <c r="J37" s="294"/>
      <c r="L37" s="250"/>
      <c r="M37" s="266">
        <v>5</v>
      </c>
      <c r="N37" s="12">
        <v>1500</v>
      </c>
      <c r="O37" s="12">
        <f t="shared" si="13"/>
        <v>7500</v>
      </c>
      <c r="P37" s="14" t="s">
        <v>22</v>
      </c>
      <c r="Q37" s="14"/>
      <c r="R37">
        <v>2.44</v>
      </c>
      <c r="S37"/>
      <c r="T37" s="238"/>
      <c r="X37" s="231"/>
    </row>
    <row r="38" spans="2:24" s="230" customFormat="1" ht="17.399999999999999" x14ac:dyDescent="0.35">
      <c r="L38" s="250"/>
      <c r="M38" s="14"/>
      <c r="N38" s="12"/>
      <c r="O38" s="12">
        <f>SUM(O32:O37)</f>
        <v>187111.2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2:24" s="230" customFormat="1" ht="17.399999999999999" x14ac:dyDescent="0.35">
      <c r="L39" s="250"/>
      <c r="M39" s="254" t="s">
        <v>33</v>
      </c>
      <c r="N39" s="12"/>
      <c r="O39" s="255">
        <f>O38*2.2</f>
        <v>411644.64000000007</v>
      </c>
      <c r="P39" s="14" t="s">
        <v>140</v>
      </c>
      <c r="Q39" s="14"/>
      <c r="R39" s="40">
        <f>P30/R38</f>
        <v>1.4676445211389126</v>
      </c>
      <c r="S39"/>
      <c r="T39" s="257"/>
    </row>
    <row r="40" spans="2:24" s="230" customFormat="1" ht="17.399999999999999" x14ac:dyDescent="0.35">
      <c r="G40"/>
      <c r="H40" s="260"/>
      <c r="I40" s="260"/>
      <c r="J40" s="260"/>
      <c r="K40" s="230">
        <v>43387</v>
      </c>
      <c r="L40" s="250"/>
      <c r="M40" s="14"/>
      <c r="N40" s="12"/>
      <c r="O40" s="12">
        <f>O39/P28</f>
        <v>90750.582010582031</v>
      </c>
      <c r="P40" s="45" t="s">
        <v>24</v>
      </c>
      <c r="Q40" s="14"/>
      <c r="R40" s="14"/>
      <c r="S40"/>
      <c r="T40" s="238"/>
      <c r="U40" s="59" t="s">
        <v>158</v>
      </c>
      <c r="V40" s="300">
        <v>43650</v>
      </c>
    </row>
    <row r="41" spans="2:24" s="230" customFormat="1" ht="17.399999999999999" x14ac:dyDescent="0.35">
      <c r="G41"/>
      <c r="K41" s="230">
        <f>K40/1.19</f>
        <v>36459.663865546223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1" t="s">
        <v>159</v>
      </c>
      <c r="W41" s="59">
        <v>2.4</v>
      </c>
    </row>
    <row r="42" spans="2:24" s="230" customFormat="1" ht="17.399999999999999" x14ac:dyDescent="0.35">
      <c r="G42" s="23"/>
      <c r="L42" s="12"/>
      <c r="T42" s="238"/>
      <c r="U42" s="59" t="s">
        <v>161</v>
      </c>
      <c r="V42" s="302">
        <v>395.37</v>
      </c>
    </row>
    <row r="43" spans="2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2:24" ht="14.4" customHeight="1" x14ac:dyDescent="0.3">
      <c r="L44" s="12"/>
      <c r="U44" s="59"/>
      <c r="V44" s="59"/>
    </row>
    <row r="45" spans="2:24" x14ac:dyDescent="0.3">
      <c r="L45" s="250"/>
    </row>
    <row r="46" spans="2:24" x14ac:dyDescent="0.3">
      <c r="L46" s="250"/>
      <c r="T46" s="270"/>
    </row>
    <row r="47" spans="2:24" x14ac:dyDescent="0.3">
      <c r="L47" s="250"/>
    </row>
    <row r="48" spans="2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45576</v>
      </c>
    </row>
    <row r="6" spans="2:31" ht="16.2" thickBot="1" x14ac:dyDescent="0.35">
      <c r="B6" s="140" t="s">
        <v>2</v>
      </c>
      <c r="C6" s="139" t="str">
        <f>'2229'!C10</f>
        <v>FRANCISCO BAEZA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52" t="s">
        <v>98</v>
      </c>
      <c r="I7" s="353"/>
      <c r="J7" s="353"/>
      <c r="K7" s="354"/>
      <c r="N7" s="75"/>
      <c r="O7" s="35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11125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5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-42910.711700120773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400000</v>
      </c>
      <c r="E11" s="132">
        <f>D11*0.19</f>
        <v>76000</v>
      </c>
      <c r="F11" s="131">
        <f>E11+D11</f>
        <v>476000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63079.288299879227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86385.290787439619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45079.288299879227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313614.70921256038</v>
      </c>
      <c r="E13" s="221">
        <f>(D11/D12)-1</f>
        <v>3.6304179375195185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36079.288299879227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-2920.7117001207735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142535.72979927537</v>
      </c>
      <c r="F15" s="216">
        <f>E15-D12</f>
        <v>56150.439011835755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-2920.7117001207735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37079.288299879227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19051.199999999997</v>
      </c>
      <c r="E20" s="121">
        <f>D20*0.19</f>
        <v>3619.7279999999996</v>
      </c>
      <c r="F20" s="120">
        <f>SUM(D20:E20)</f>
        <v>22670.927999999996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56551.199999999997</v>
      </c>
      <c r="E21" s="116">
        <f>SUM(E18:E20)</f>
        <v>10744.727999999999</v>
      </c>
      <c r="F21" s="115">
        <f>SUM(F18:F20)</f>
        <v>67295.928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65255.271999999997</v>
      </c>
    </row>
    <row r="41" spans="2:16" ht="15" thickBot="1" x14ac:dyDescent="0.35">
      <c r="H41" s="355" t="s">
        <v>60</v>
      </c>
      <c r="I41" s="356"/>
      <c r="J41" s="356"/>
      <c r="K41" s="356"/>
      <c r="L41" s="356"/>
      <c r="M41" s="35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400000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56551.199999999997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313614.70921256038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313614.70921256038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2024-10-11T12:54:25Z</cp:lastPrinted>
  <dcterms:created xsi:type="dcterms:W3CDTF">2013-03-18T13:35:42Z</dcterms:created>
  <dcterms:modified xsi:type="dcterms:W3CDTF">2024-10-14T12:27:04Z</dcterms:modified>
</cp:coreProperties>
</file>