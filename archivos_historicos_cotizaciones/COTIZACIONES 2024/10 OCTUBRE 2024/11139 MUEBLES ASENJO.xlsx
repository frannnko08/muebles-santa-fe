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9028AB8-84A0-4E6A-8712-3059FB9EF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 s="1"/>
  <c r="O22" i="1" s="1"/>
  <c r="R22" i="1"/>
  <c r="H22" i="1"/>
  <c r="N33" i="1"/>
  <c r="J34" i="1"/>
  <c r="L21" i="1"/>
  <c r="R21" i="1" s="1"/>
  <c r="M21" i="1"/>
  <c r="H21" i="1"/>
  <c r="L26" i="1"/>
  <c r="H24" i="1" l="1"/>
  <c r="H25" i="1" s="1"/>
  <c r="H26" i="1" s="1"/>
  <c r="N21" i="1"/>
  <c r="O21" i="1" s="1"/>
  <c r="O27" i="1" s="1"/>
  <c r="R28" i="1"/>
  <c r="J40" i="1" l="1"/>
  <c r="O28" i="1" l="1"/>
  <c r="O29" i="1" s="1"/>
  <c r="O30" i="1" s="1"/>
  <c r="L32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Q21" i="1" s="1"/>
  <c r="F15" i="3"/>
  <c r="K1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<sst xmlns="http://schemas.openxmlformats.org/spreadsheetml/2006/main" count="225" uniqueCount="169">
  <si>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</si>
  <si>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</si>
  <si>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</si>
  <si>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</si>
  <si>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</si>
  <si>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</si>
  <si>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</si>
  <si>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</si>
  <si>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</si>
  <si>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</si>
  <si>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</si>
  <si>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</si>
  <si>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</si>
  <si>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</si>
  <si>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</si>
  <si>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</si>
  <si>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</si>
  <si>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</si>
  <si>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</si>
  <si>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</si>
  <si>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</si>
  <si>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</si>
  <si>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</si>
  <si>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</si>
  <si>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</si>
  <si>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</si>
  <si>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</si>
  <si>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</si>
  <si>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</si>
  <si>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</si>
  <si>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</si>
  <si>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</si>
  <si>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</si>
  <si>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</si>
  <si>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</si>
  <si>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</si>
  <si>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</si>
  <si>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</si>
  <si>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</si>
  <si>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</si>
  <si>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</si>
  <si>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</si>
  <si>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</si>
  <si>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</si>
  <si>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</si>
  <si>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</si>
  <si>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</si>
  <si>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</si>
  <si>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</si>
  <si>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</si>
  <si>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</si>
  <si>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</si>
  <si>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</si>
  <si>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</si>
  <si>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</si>
  <si>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</si>
  <si>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</si>
  <si>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</si>
  <si>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</si>
  <si>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</si>
  <si>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</si>
  <si>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</si>
  <si>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</si>
  <si>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</si>
  <si>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</si>
  <si>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</si>
  <si>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</si>
  <si>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</si>
  <si>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</si>
  <si>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</si>
  <si>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</si>
  <si>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</si>
  <si>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</si>
  <si>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</si>
  <si>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</si>
  <si>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</si>
  <si>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</si>
  <si>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</si>
  <si>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</si>
  <si>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</si>
  <si>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</si>
  <si>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</si>
  <si>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</si>
  <si>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</si>
  <si>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</si>
  <si>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</si>
  <si>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</si>
  <si>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</si>
  <si>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</si>
  <si>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</si>
  <si>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</si>
  <si>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</si>
  <si>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</si>
  <si>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</si>
  <si>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</si>
  <si>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</si>
  <si>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</si>
  <si>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</si>
  <si>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</si>
  <si>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</si>
  <si>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</si>
  <si>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</si>
  <si>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</si>
  <si>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</si>
  <si>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</si>
  <si>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</si>
  <si>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</si>
  <si>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</si>
  <si>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</si>
  <si>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</si>
  <si>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</si>
  <si>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</si>
  <si>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</si>
  <si>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</si>
  <si>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</si>
  <si>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</si>
  <si>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</si>
  <si>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</si>
  <si>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</si>
  <si>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</si>
  <si>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</si>
  <si>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</si>
  <si>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</si>
  <si>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</si>
  <si>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</si>
  <si>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</si>
  <si>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</si>
  <si>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</si>
  <si>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</si>
  <si>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</si>
  <si>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</si>
  <si>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</si>
  <si>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</si>
  <si>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</si>
  <si>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</si>
  <si>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</si>
  <si>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</si>
  <si>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</si>
  <si>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</si>
  <si>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</si>
  <si>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</si>
  <si>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</si>
  <si>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</si>
  <si>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</si>
  <si>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</si>
  <si>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</si>
  <si>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</si>
  <si>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</si>
  <si>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</si>
  <si>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</si>
  <si>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</si>
  <si>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</si>
  <si>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</si>
  <si>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</si>
  <si>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</si>
  <si>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</si>
  <si>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</si>
  <si>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</si>
  <si>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</si>
  <si>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LORENA QUEZADA</t>
  </si>
  <si>
    <t>N° 11103</t>
  </si>
  <si>
    <t>5 DIAS HABILES</t>
  </si>
  <si>
    <t>HAYA 1750 MT</t>
  </si>
  <si>
    <t>MDF30MM</t>
  </si>
  <si>
    <t>CUB PT 1 LADO MDF 25MM</t>
  </si>
  <si>
    <t>5 MDF 30</t>
  </si>
  <si>
    <t>1 MDF 25</t>
  </si>
  <si>
    <t>9 LAMINAS</t>
  </si>
  <si>
    <t>CUB PT 1 LADO MDF 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</si>
</sst>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0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8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45588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2" t="s">
        <v>157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20770.042449969682</v>
      </c>
    </row>
    <row r="16" spans="2:23" ht="16.8" x14ac:dyDescent="0.4">
      <c r="B16" s="291" t="s">
        <v>3</v>
      </c>
      <c r="C16" s="308"/>
      <c r="F16" s="292" t="s">
        <v>131</v>
      </c>
      <c r="G16" s="293" t="s">
        <v>156</v>
      </c>
      <c r="H16" s="289"/>
    </row>
    <row r="17" spans="1:24" ht="15" thickBot="1" x14ac:dyDescent="0.35">
      <c r="B17" s="296" t="s">
        <v>13</v>
      </c>
      <c r="C17" s="297" t="s">
        <v>152</v>
      </c>
      <c r="D17" s="298"/>
      <c r="E17" s="299"/>
      <c r="F17" s="324" t="s">
        <v>153</v>
      </c>
      <c r="G17" s="324"/>
      <c r="H17" s="325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6" t="s">
        <v>148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3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69265.347985348009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6">
        <v>12</v>
      </c>
      <c r="C21" s="321" t="s">
        <v>168</v>
      </c>
      <c r="D21" s="318">
        <v>0.9</v>
      </c>
      <c r="E21" s="318">
        <v>0.5</v>
      </c>
      <c r="F21" s="317" t="s">
        <v>162</v>
      </c>
      <c r="G21" s="319">
        <v>38325</v>
      </c>
      <c r="H21" s="320">
        <f t="shared" ref="H21" si="1">G21*B21</f>
        <v>459900</v>
      </c>
      <c r="I21" s="265"/>
      <c r="J21" s="47"/>
      <c r="K21" s="47"/>
      <c r="L21" s="39">
        <f t="shared" ref="L21" si="2">D21+L$19</f>
        <v>0.95000000000000007</v>
      </c>
      <c r="M21" s="39">
        <f t="shared" ref="M21" si="3">E21+M$19</f>
        <v>0.5</v>
      </c>
      <c r="N21" s="261">
        <f t="shared" ref="N21" si="4">L21*M21</f>
        <v>0.47500000000000003</v>
      </c>
      <c r="O21" s="259">
        <f t="shared" ref="O21" si="5">N21*K21</f>
        <v>0</v>
      </c>
      <c r="P21" s="252">
        <f t="shared" ref="P21" si="6">P$20*N21</f>
        <v>32901.040293040307</v>
      </c>
      <c r="Q21" s="258">
        <f t="shared" ref="Q21" si="7">P21+Q$20</f>
        <v>35901.040293040307</v>
      </c>
      <c r="R21" s="307">
        <f t="shared" ref="R21" si="8">K21*L21</f>
        <v>0</v>
      </c>
      <c r="S21" s="14"/>
      <c r="T21" s="9"/>
      <c r="W21" s="4"/>
    </row>
    <row r="22" spans="1:24" ht="17.399999999999999" x14ac:dyDescent="0.3">
      <c r="B22" s="316">
        <v>12</v>
      </c>
      <c r="C22" s="321" t="s">
        <v>164</v>
      </c>
      <c r="D22" s="318">
        <v>0.6</v>
      </c>
      <c r="E22" s="318">
        <v>0.35</v>
      </c>
      <c r="F22" s="317" t="s">
        <v>162</v>
      </c>
      <c r="G22" s="319">
        <v>18758</v>
      </c>
      <c r="H22" s="320">
        <f t="shared" ref="H22" si="9">G22*B22</f>
        <v>225096</v>
      </c>
      <c r="I22" s="265"/>
      <c r="J22" s="47"/>
      <c r="K22" s="47">
        <v>12</v>
      </c>
      <c r="L22" s="39">
        <f t="shared" ref="L22" si="10">D22+L$19</f>
        <v>0.65</v>
      </c>
      <c r="M22" s="39">
        <f t="shared" ref="M22" si="11">E22+M$19</f>
        <v>0.35</v>
      </c>
      <c r="N22" s="261">
        <f t="shared" ref="N22" si="12">L22*M22</f>
        <v>0.22749999999999998</v>
      </c>
      <c r="O22" s="259">
        <f t="shared" ref="O22" si="13">N22*K22</f>
        <v>2.7299999999999995</v>
      </c>
      <c r="P22" s="252">
        <f t="shared" ref="P22" si="14">P$20*N22</f>
        <v>15757.86666666667</v>
      </c>
      <c r="Q22" s="258">
        <f t="shared" ref="Q22" si="15">P22+Q$20</f>
        <v>18757.866666666669</v>
      </c>
      <c r="R22" s="307">
        <f t="shared" ref="R22" si="16">K22*L22</f>
        <v>7.8000000000000007</v>
      </c>
      <c r="S22" s="14"/>
      <c r="T22" s="9"/>
      <c r="W22" s="4"/>
    </row>
    <row r="23" spans="1:24" ht="17.399999999999999" x14ac:dyDescent="0.3">
      <c r="B23" s="336"/>
      <c r="C23" s="337"/>
      <c r="D23" s="338"/>
      <c r="E23" s="338"/>
      <c r="F23" s="336"/>
      <c r="G23" s="339"/>
      <c r="H23" s="340"/>
      <c r="I23" s="265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22" t="s">
        <v>30</v>
      </c>
      <c r="H24" s="323">
        <f>SUM(H21:H23)</f>
        <v>684996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H24*19%</f>
        <v>130149.24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815145.24</v>
      </c>
      <c r="I26" s="265"/>
      <c r="J26" s="47"/>
      <c r="K26" s="47"/>
      <c r="L26" s="39" t="e">
        <f>SUM(#REF!)*2</f>
        <v>#REF!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2.7299999999999995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2.7299999999999995</v>
      </c>
      <c r="P28" s="14"/>
      <c r="Q28" s="12"/>
      <c r="R28" s="238">
        <f>SUM(R21:R27)</f>
        <v>7.8000000000000007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0.54599999999999993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0"/>
      <c r="K30" s="47"/>
      <c r="L30" s="14"/>
      <c r="M30" s="12"/>
      <c r="N30" s="12"/>
      <c r="O30" s="46">
        <f>O28+O29</f>
        <v>3.2759999999999994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0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154</v>
      </c>
      <c r="C32" s="230"/>
      <c r="D32" s="230"/>
      <c r="E32" s="230"/>
      <c r="F32" s="230"/>
      <c r="G32" s="230"/>
      <c r="H32" s="230"/>
      <c r="I32" s="265"/>
      <c r="J32" s="47">
        <v>123</v>
      </c>
      <c r="K32" s="47"/>
      <c r="L32" s="39">
        <f>O30</f>
        <v>3.2759999999999994</v>
      </c>
      <c r="M32" s="12">
        <v>2000</v>
      </c>
      <c r="N32" s="12">
        <f t="shared" ref="N32:N37" si="17">L32*M32</f>
        <v>6551.9999999999991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155</v>
      </c>
      <c r="G33" s="230"/>
      <c r="H33" s="230" t="s">
        <v>165</v>
      </c>
      <c r="I33" s="265"/>
      <c r="J33" s="47">
        <v>76</v>
      </c>
      <c r="K33" s="47"/>
      <c r="L33" s="249">
        <v>1</v>
      </c>
      <c r="M33" s="12">
        <v>35000</v>
      </c>
      <c r="N33" s="12">
        <f t="shared" si="17"/>
        <v>35000</v>
      </c>
      <c r="O33" s="39" t="s">
        <v>163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H34" s="230" t="s">
        <v>166</v>
      </c>
      <c r="I34" s="262"/>
      <c r="J34" s="47">
        <f>J32-J33</f>
        <v>47</v>
      </c>
      <c r="K34" s="250"/>
      <c r="L34" s="14"/>
      <c r="M34" s="250">
        <v>35108</v>
      </c>
      <c r="N34" s="12">
        <f t="shared" si="17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H35" s="230" t="s">
        <v>167</v>
      </c>
      <c r="I35" s="262"/>
      <c r="J35" s="309"/>
      <c r="K35" s="250"/>
      <c r="L35" s="14">
        <v>2</v>
      </c>
      <c r="M35" s="250">
        <v>22200</v>
      </c>
      <c r="N35" s="12">
        <f t="shared" si="17"/>
        <v>44400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09"/>
      <c r="K36" s="250"/>
      <c r="L36" s="249"/>
      <c r="M36" s="250">
        <v>800</v>
      </c>
      <c r="N36" s="12">
        <f t="shared" si="17"/>
        <v>0</v>
      </c>
      <c r="O36" s="14" t="s">
        <v>34</v>
      </c>
      <c r="P36" s="14"/>
      <c r="Q36" s="230">
        <v>1.52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/>
      <c r="M37" s="12">
        <v>500</v>
      </c>
      <c r="N37" s="12">
        <f t="shared" si="17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85952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40820</v>
      </c>
      <c r="K39" s="250"/>
      <c r="L39" s="254" t="s">
        <v>35</v>
      </c>
      <c r="M39" s="12"/>
      <c r="N39" s="255">
        <f>N38*2.2</f>
        <v>189094.40000000002</v>
      </c>
      <c r="O39" s="14" t="s">
        <v>142</v>
      </c>
      <c r="P39" s="14"/>
      <c r="Q39" s="46">
        <f>O30/Q38</f>
        <v>0.88330457290767883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34302.521008403361</v>
      </c>
      <c r="K40" s="250"/>
      <c r="L40" s="14"/>
      <c r="M40" s="12"/>
      <c r="N40" s="12">
        <f>N39/O28</f>
        <v>69265.347985348009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0.71606557377049163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-94534.825033454108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684996</v>
      </c>
      <c r="E11" s="132">
        <f>D11*0.19</f>
        <v>130149.24</v>
      </c>
      <c r="F11" s="131">
        <f>E11+D11</f>
        <v>815145.24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11455.174966545892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71386.090787439607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-6544.8250334541081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613609.90921256039</v>
      </c>
      <c r="E13" s="221">
        <f>(D11/D12)-1</f>
        <v>8.5956508115797412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-15544.825033454108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-54544.825033454108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117787.04979927535</v>
      </c>
      <c r="F15" s="216">
        <f>E15-D12</f>
        <v>46400.959011835745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-54544.825033454108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-14544.825033454108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35000</v>
      </c>
      <c r="E19" s="123">
        <f>D19*0.19</f>
        <v>6650</v>
      </c>
      <c r="F19" s="120">
        <f>SUM(D19:E19)</f>
        <v>41650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6551.9999999999991</v>
      </c>
      <c r="E20" s="121">
        <f>D20*0.19</f>
        <v>1244.8799999999999</v>
      </c>
      <c r="F20" s="120">
        <f>SUM(D20:E20)</f>
        <v>7796.8799999999992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41552</v>
      </c>
      <c r="E21" s="116">
        <f>SUM(E18:E20)</f>
        <v>7894.88</v>
      </c>
      <c r="F21" s="115">
        <f>SUM(F18:F20)</f>
        <v>49446.879999999997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122254.36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684996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41552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613609.90921256039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613609.90921256039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2024-09-27T18:52:53Z</cp:lastPrinted>
  <dcterms:created xsi:type="dcterms:W3CDTF">2013-03-18T13:35:42Z</dcterms:created>
  <dcterms:modified xsi:type="dcterms:W3CDTF">2024-10-23T12:45:42Z</dcterms:modified>
</cp:coreProperties>
</file>