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0 OCTUBRE 2024\"/>
    </mc:Choice>
  </mc:AlternateContent>
  <xr:revisionPtr revIDLastSave="0" documentId="13_ncr:1_{5B92B56A-6D36-4A88-BB1D-C077960F2C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28" i="1"/>
  <c r="O29" i="1"/>
  <c r="K22" i="1"/>
  <c r="L22" i="1"/>
  <c r="M22" i="1"/>
  <c r="N22" i="1"/>
  <c r="O22" i="1" s="1"/>
  <c r="R22" i="1"/>
  <c r="K23" i="1"/>
  <c r="L23" i="1"/>
  <c r="M23" i="1"/>
  <c r="N23" i="1"/>
  <c r="O23" i="1" s="1"/>
  <c r="R23" i="1"/>
  <c r="K24" i="1"/>
  <c r="L24" i="1"/>
  <c r="M24" i="1"/>
  <c r="N24" i="1"/>
  <c r="O24" i="1" s="1"/>
  <c r="R24" i="1"/>
  <c r="H22" i="1"/>
  <c r="H23" i="1"/>
  <c r="H24" i="1"/>
  <c r="K21" i="1"/>
  <c r="J43" i="1"/>
  <c r="L21" i="1"/>
  <c r="M21" i="1"/>
  <c r="L28" i="1" l="1"/>
  <c r="S21" i="1"/>
  <c r="R21" i="1"/>
  <c r="R30" i="1" s="1"/>
  <c r="N21" i="1"/>
  <c r="O21" i="1" s="1"/>
  <c r="U36" i="1"/>
  <c r="U37" i="1" s="1"/>
  <c r="N35" i="1" l="1"/>
  <c r="O30" i="1" l="1"/>
  <c r="O31" i="1" s="1"/>
  <c r="O32" i="1" s="1"/>
  <c r="L34" i="1" s="1"/>
  <c r="M20" i="1"/>
  <c r="K20" i="1"/>
  <c r="N36" i="1" l="1"/>
  <c r="Q40" i="1"/>
  <c r="N37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N34" i="1" l="1"/>
  <c r="Q41" i="1"/>
  <c r="N40" i="1" l="1"/>
  <c r="N41" i="1" s="1"/>
  <c r="D20" i="3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4" i="1" l="1"/>
  <c r="Q24" i="1" s="1"/>
  <c r="P22" i="1"/>
  <c r="Q22" i="1" s="1"/>
  <c r="P23" i="1"/>
  <c r="Q23" i="1" s="1"/>
  <c r="P21" i="1"/>
  <c r="F15" i="3"/>
  <c r="Q21" i="1" l="1"/>
  <c r="H21" i="1" s="1"/>
  <c r="D11" i="3" l="1"/>
  <c r="X9" i="3" s="1"/>
  <c r="X15" i="3" s="1"/>
  <c r="H30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<sst xmlns="http://schemas.openxmlformats.org/spreadsheetml/2006/main" count="235" uniqueCount="176">
  <si>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</si>
  <si>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</si>
  <si>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</si>
  <si>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</si>
  <si>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</si>
  <si>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</si>
  <si>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</si>
  <si>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</si>
  <si>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</si>
  <si>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</si>
  <si>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</si>
  <si>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</si>
  <si>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</si>
  <si>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</si>
  <si>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</si>
  <si>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</si>
  <si>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</si>
  <si>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</si>
  <si>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</si>
  <si>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</si>
  <si>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</si>
  <si>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</si>
  <si>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</si>
  <si>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</si>
  <si>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</si>
  <si>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</si>
  <si>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</si>
  <si>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</si>
  <si>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</si>
  <si>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</si>
  <si>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</si>
  <si>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</si>
  <si>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</si>
  <si>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</si>
  <si>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</si>
  <si>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</si>
  <si>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</si>
  <si>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</si>
  <si>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</si>
  <si>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</si>
  <si>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</si>
  <si>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</si>
  <si>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</si>
  <si>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</si>
  <si>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</si>
  <si>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</si>
  <si>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</si>
  <si>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</si>
  <si>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</si>
  <si>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</si>
  <si>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</si>
  <si>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</si>
  <si>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</si>
  <si>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</si>
  <si>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</si>
  <si>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</si>
  <si>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</si>
  <si>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</si>
  <si>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</si>
  <si>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</si>
  <si>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</si>
  <si>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</si>
  <si>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</si>
  <si>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</si>
  <si>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</si>
  <si>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</si>
  <si>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</si>
  <si>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</si>
  <si>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</si>
  <si>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</si>
  <si>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</si>
  <si>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</si>
  <si>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</si>
  <si>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</si>
  <si>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</si>
  <si>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</si>
  <si>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</si>
  <si>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</si>
  <si>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</si>
  <si>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</si>
  <si>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</si>
  <si>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</si>
  <si>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</si>
  <si>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</si>
  <si>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</si>
  <si>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</si>
  <si>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</si>
  <si>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</si>
  <si>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</si>
  <si>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</si>
  <si>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</si>
  <si>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</si>
  <si>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</si>
  <si>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</si>
  <si>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</si>
  <si>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</si>
  <si>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</si>
  <si>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</si>
  <si>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</si>
  <si>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</si>
  <si>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</si>
  <si>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</si>
  <si>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</si>
  <si>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</si>
  <si>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</si>
  <si>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</si>
  <si>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</si>
  <si>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</si>
  <si>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</si>
  <si>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</si>
  <si>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</si>
  <si>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</si>
  <si>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</si>
  <si>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</si>
  <si>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</si>
  <si>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</si>
  <si>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</si>
  <si>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</si>
  <si>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</si>
  <si>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</si>
  <si>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</si>
  <si>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</si>
  <si>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</si>
  <si>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</si>
  <si>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</si>
  <si>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</si>
  <si>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</si>
  <si>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</si>
  <si>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</si>
  <si>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</si>
  <si>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</si>
  <si>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</si>
  <si>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</si>
  <si>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</si>
  <si>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</si>
  <si>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</si>
  <si>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</si>
  <si>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</si>
  <si>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</si>
  <si>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</si>
  <si>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</si>
  <si>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</si>
  <si>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</si>
  <si>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</si>
  <si>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</si>
  <si>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</si>
  <si>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</si>
  <si>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</si>
  <si>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</si>
  <si>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</si>
  <si>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</si>
  <si>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</si>
  <si>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</si>
  <si>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</si>
  <si>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</si>
  <si>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</si>
  <si>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</si>
  <si>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</si>
  <si>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</si>
  <si>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</si>
  <si>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</si>
  <si>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</si>
  <si>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</si>
  <si>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</si>
  <si>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</si>
  <si>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DURACION COTIZACION: 5 DIAS                            FERNANDO DONOSO</t>
  </si>
  <si>
    <t>CUB S/R FRENTE 90° R8</t>
  </si>
  <si>
    <t>CUB S/R FRENTE 90° R9</t>
  </si>
  <si>
    <t>CUB S/R FRENTE 90° R10</t>
  </si>
  <si>
    <t>CUB S/R FRENTE 90° R11</t>
  </si>
  <si>
    <t>COLOR X DEFINIR</t>
  </si>
  <si>
    <t>MUEBLES FEMENIAS</t>
  </si>
  <si>
    <t>CHRISTIAN FEMENIAS</t>
  </si>
  <si>
    <t>569 9727 8419</t>
  </si>
  <si>
    <t>VIÑA DEL MAR</t>
  </si>
  <si>
    <t>5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</si>
</sst>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7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36" fillId="8" borderId="0" xfId="0" quotePrefix="1" applyFont="1" applyFill="1"/>
    <xf numFmtId="167" fontId="11" fillId="0" borderId="0" xfId="2" applyNumberFormat="1" applyFont="1" applyFill="1" applyBorder="1" applyAlignment="1">
      <alignment horizontal="center" vertical="center"/>
    </xf>
    <xf numFmtId="167" fontId="0" fillId="7" borderId="0" xfId="0" applyNumberFormat="1" applyFill="1"/>
    <xf numFmtId="166" fontId="3" fillId="7" borderId="0" xfId="0" applyNumberFormat="1" applyFont="1" applyFill="1"/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166" fontId="32" fillId="0" borderId="0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32</xdr:row>
      <xdr:rowOff>26670</xdr:rowOff>
    </xdr:from>
    <xdr:to>
      <xdr:col>7</xdr:col>
      <xdr:colOff>1034435</xdr:colOff>
      <xdr:row>35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34</xdr:row>
      <xdr:rowOff>154305</xdr:rowOff>
    </xdr:from>
    <xdr:to>
      <xdr:col>7</xdr:col>
      <xdr:colOff>853440</xdr:colOff>
      <xdr:row>34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32</xdr:row>
      <xdr:rowOff>9525</xdr:rowOff>
    </xdr:from>
    <xdr:to>
      <xdr:col>5</xdr:col>
      <xdr:colOff>1714500</xdr:colOff>
      <xdr:row>35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32774</xdr:colOff>
      <xdr:row>26</xdr:row>
      <xdr:rowOff>222558</xdr:rowOff>
    </xdr:from>
    <xdr:to>
      <xdr:col>5</xdr:col>
      <xdr:colOff>1659644</xdr:colOff>
      <xdr:row>30</xdr:row>
      <xdr:rowOff>155063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42451" y="4589719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5"/>
  <sheetViews>
    <sheetView tabSelected="1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39" customWidth="1"/>
    <col min="4" max="4" width="11.109375" customWidth="1"/>
    <col min="5" max="5" width="10.5546875" customWidth="1"/>
    <col min="6" max="6" width="27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1" t="s">
        <v>127</v>
      </c>
      <c r="C8" s="302"/>
      <c r="D8" s="303">
        <v>11114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19" t="s">
        <v>163</v>
      </c>
      <c r="C10" s="279" t="s">
        <v>171</v>
      </c>
      <c r="D10" s="243"/>
      <c r="E10" s="243"/>
      <c r="F10" s="244" t="s">
        <v>0</v>
      </c>
      <c r="G10" s="277">
        <v>45568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12"/>
      <c r="F11" t="s">
        <v>124</v>
      </c>
      <c r="G11" s="289" t="s">
        <v>175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2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46" t="s">
        <v>147</v>
      </c>
      <c r="C13" s="247" t="s">
        <v>172</v>
      </c>
      <c r="D13" s="247"/>
      <c r="E13" s="247"/>
      <c r="F13" s="247"/>
      <c r="G13" s="278"/>
      <c r="H13" s="248"/>
      <c r="P13" s="19"/>
      <c r="Q13" s="25"/>
      <c r="R13" s="19"/>
    </row>
    <row r="14" spans="2:23" x14ac:dyDescent="0.3">
      <c r="B14" s="288" t="s">
        <v>140</v>
      </c>
      <c r="C14" s="307"/>
      <c r="F14" s="29" t="s">
        <v>137</v>
      </c>
      <c r="G14" s="291" t="s">
        <v>136</v>
      </c>
      <c r="H14" s="290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29" t="s">
        <v>173</v>
      </c>
      <c r="D15" s="295"/>
      <c r="E15" s="247"/>
      <c r="F15" s="247" t="s">
        <v>135</v>
      </c>
      <c r="G15" s="296" t="s">
        <v>136</v>
      </c>
      <c r="H15" s="248"/>
    </row>
    <row r="16" spans="2:23" ht="16.8" x14ac:dyDescent="0.4">
      <c r="B16" s="292" t="s">
        <v>3</v>
      </c>
      <c r="C16" s="312"/>
      <c r="F16" s="293" t="s">
        <v>130</v>
      </c>
      <c r="G16" s="294" t="s">
        <v>164</v>
      </c>
      <c r="H16" s="290"/>
    </row>
    <row r="17" spans="2:24" ht="15" thickBot="1" x14ac:dyDescent="0.35">
      <c r="B17" s="297" t="s">
        <v>13</v>
      </c>
      <c r="C17" s="298" t="s">
        <v>174</v>
      </c>
      <c r="D17" s="299"/>
      <c r="E17" s="300"/>
      <c r="F17" s="333" t="s">
        <v>165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148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20" t="s">
        <v>7</v>
      </c>
      <c r="C20" s="321" t="s">
        <v>1</v>
      </c>
      <c r="D20" s="321" t="s">
        <v>10</v>
      </c>
      <c r="E20" s="321" t="s">
        <v>11</v>
      </c>
      <c r="F20" s="321" t="s">
        <v>8</v>
      </c>
      <c r="G20" s="321" t="s">
        <v>5</v>
      </c>
      <c r="H20" s="32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N42</f>
        <v>77590.990990990991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23">
        <v>1</v>
      </c>
      <c r="C21" s="324" t="s">
        <v>166</v>
      </c>
      <c r="D21" s="325">
        <v>1.6</v>
      </c>
      <c r="E21" s="325">
        <v>0.55000000000000004</v>
      </c>
      <c r="F21" s="324" t="s">
        <v>170</v>
      </c>
      <c r="G21" s="326">
        <v>73414</v>
      </c>
      <c r="H21" s="327">
        <f>G21*B21</f>
        <v>73414</v>
      </c>
      <c r="I21" s="265"/>
      <c r="J21" s="47"/>
      <c r="K21" s="331">
        <f>B21</f>
        <v>1</v>
      </c>
      <c r="L21" s="332">
        <f t="shared" ref="L21" si="1">D21+L$19</f>
        <v>1.6500000000000001</v>
      </c>
      <c r="M21" s="332">
        <f t="shared" ref="M21" si="2">E21+M$19</f>
        <v>0.55000000000000004</v>
      </c>
      <c r="N21" s="261">
        <f t="shared" ref="N21" si="3">L21*M21</f>
        <v>0.9075000000000002</v>
      </c>
      <c r="O21" s="259">
        <f t="shared" ref="O21" si="4">N21*K21</f>
        <v>0.9075000000000002</v>
      </c>
      <c r="P21" s="252">
        <f>P$20*N21</f>
        <v>70413.824324324334</v>
      </c>
      <c r="Q21" s="258">
        <f t="shared" ref="Q21" si="5">P21+Q$20</f>
        <v>73413.824324324334</v>
      </c>
      <c r="R21" s="309">
        <f>L21*K21*2</f>
        <v>3.3000000000000003</v>
      </c>
      <c r="S21" s="46">
        <f>M21*K21*2</f>
        <v>1.1000000000000001</v>
      </c>
      <c r="T21" s="9"/>
      <c r="W21" s="4"/>
    </row>
    <row r="22" spans="2:24" ht="18" thickBot="1" x14ac:dyDescent="0.35">
      <c r="B22" s="323">
        <v>1</v>
      </c>
      <c r="C22" s="324" t="s">
        <v>167</v>
      </c>
      <c r="D22" s="325">
        <v>1.1499999999999999</v>
      </c>
      <c r="E22" s="325">
        <v>0.6</v>
      </c>
      <c r="F22" s="324" t="s">
        <v>170</v>
      </c>
      <c r="G22" s="326">
        <v>58866</v>
      </c>
      <c r="H22" s="327">
        <f t="shared" ref="H22:H24" si="6">G22*B22</f>
        <v>58866</v>
      </c>
      <c r="I22" s="265"/>
      <c r="J22" s="47"/>
      <c r="K22" s="331">
        <f t="shared" ref="K22:K24" si="7">B22</f>
        <v>1</v>
      </c>
      <c r="L22" s="332">
        <f t="shared" ref="L22:L24" si="8">D22+L$19</f>
        <v>1.2</v>
      </c>
      <c r="M22" s="332">
        <f t="shared" ref="M22:M24" si="9">E22+M$19</f>
        <v>0.6</v>
      </c>
      <c r="N22" s="261">
        <f t="shared" ref="N22:N24" si="10">L22*M22</f>
        <v>0.72</v>
      </c>
      <c r="O22" s="259">
        <f t="shared" ref="O22:O24" si="11">N22*K22</f>
        <v>0.72</v>
      </c>
      <c r="P22" s="252">
        <f t="shared" ref="P22:P24" si="12">P$20*N22</f>
        <v>55865.513513513513</v>
      </c>
      <c r="Q22" s="258">
        <f t="shared" ref="Q22:Q24" si="13">P22+Q$20</f>
        <v>58865.513513513513</v>
      </c>
      <c r="R22" s="309">
        <f t="shared" ref="R22:R24" si="14">L22*K22*2</f>
        <v>2.4</v>
      </c>
      <c r="S22" s="46"/>
      <c r="T22" s="9"/>
      <c r="W22" s="4"/>
    </row>
    <row r="23" spans="2:24" ht="18" thickBot="1" x14ac:dyDescent="0.35">
      <c r="B23" s="323">
        <v>1</v>
      </c>
      <c r="C23" s="324" t="s">
        <v>168</v>
      </c>
      <c r="D23" s="325">
        <v>2.15</v>
      </c>
      <c r="E23" s="325">
        <v>0.06</v>
      </c>
      <c r="F23" s="324" t="s">
        <v>170</v>
      </c>
      <c r="G23" s="326">
        <v>13242</v>
      </c>
      <c r="H23" s="327">
        <f t="shared" si="6"/>
        <v>13242</v>
      </c>
      <c r="I23" s="265"/>
      <c r="J23" s="47"/>
      <c r="K23" s="331">
        <f t="shared" si="7"/>
        <v>1</v>
      </c>
      <c r="L23" s="332">
        <f t="shared" si="8"/>
        <v>2.1999999999999997</v>
      </c>
      <c r="M23" s="332">
        <f t="shared" si="9"/>
        <v>0.06</v>
      </c>
      <c r="N23" s="261">
        <f t="shared" si="10"/>
        <v>0.13199999999999998</v>
      </c>
      <c r="O23" s="259">
        <f t="shared" si="11"/>
        <v>0.13199999999999998</v>
      </c>
      <c r="P23" s="252">
        <f t="shared" si="12"/>
        <v>10242.010810810809</v>
      </c>
      <c r="Q23" s="258">
        <f t="shared" si="13"/>
        <v>13242.010810810809</v>
      </c>
      <c r="R23" s="309">
        <f t="shared" si="14"/>
        <v>4.3999999999999995</v>
      </c>
      <c r="S23" s="46"/>
      <c r="T23" s="9"/>
      <c r="W23" s="4"/>
    </row>
    <row r="24" spans="2:24" ht="17.399999999999999" x14ac:dyDescent="0.3">
      <c r="B24" s="323">
        <v>1</v>
      </c>
      <c r="C24" s="324" t="s">
        <v>169</v>
      </c>
      <c r="D24" s="325">
        <v>1.1499999999999999</v>
      </c>
      <c r="E24" s="325">
        <v>0.06</v>
      </c>
      <c r="F24" s="324" t="s">
        <v>170</v>
      </c>
      <c r="G24" s="326">
        <v>8587</v>
      </c>
      <c r="H24" s="327">
        <f t="shared" si="6"/>
        <v>8587</v>
      </c>
      <c r="I24" s="265"/>
      <c r="J24" s="47"/>
      <c r="K24" s="331">
        <f t="shared" si="7"/>
        <v>1</v>
      </c>
      <c r="L24" s="332">
        <f t="shared" si="8"/>
        <v>1.2</v>
      </c>
      <c r="M24" s="332">
        <f t="shared" si="9"/>
        <v>0.06</v>
      </c>
      <c r="N24" s="261">
        <f t="shared" si="10"/>
        <v>7.1999999999999995E-2</v>
      </c>
      <c r="O24" s="259">
        <f t="shared" si="11"/>
        <v>7.1999999999999995E-2</v>
      </c>
      <c r="P24" s="252">
        <f t="shared" si="12"/>
        <v>5586.5513513513506</v>
      </c>
      <c r="Q24" s="258">
        <f t="shared" si="13"/>
        <v>8586.5513513513506</v>
      </c>
      <c r="R24" s="309">
        <f t="shared" si="14"/>
        <v>2.4</v>
      </c>
      <c r="S24" s="46"/>
      <c r="T24" s="9"/>
      <c r="W24" s="4"/>
    </row>
    <row r="25" spans="2:24" ht="17.399999999999999" x14ac:dyDescent="0.3">
      <c r="B25" s="345"/>
      <c r="C25" s="345"/>
      <c r="D25" s="346"/>
      <c r="E25" s="346"/>
      <c r="F25" s="345"/>
      <c r="G25" s="330"/>
      <c r="H25" s="330"/>
      <c r="I25" s="265"/>
      <c r="J25" s="47"/>
      <c r="K25" s="331"/>
      <c r="L25" s="332"/>
      <c r="M25" s="332"/>
      <c r="N25" s="261"/>
      <c r="O25" s="259"/>
      <c r="P25" s="252"/>
      <c r="Q25" s="258"/>
      <c r="R25" s="309"/>
      <c r="S25" s="46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330"/>
      <c r="H26" s="330"/>
      <c r="I26" s="265"/>
      <c r="J26" s="47"/>
      <c r="K26" s="47"/>
      <c r="L26" s="39"/>
      <c r="M26" s="39"/>
      <c r="N26" s="261"/>
      <c r="O26" s="259"/>
      <c r="P26" s="252"/>
      <c r="Q26" s="258"/>
      <c r="R26" s="309"/>
      <c r="S26" s="46"/>
      <c r="T26" s="9"/>
      <c r="W26" s="4"/>
    </row>
    <row r="27" spans="2:24" ht="18" thickBot="1" x14ac:dyDescent="0.35">
      <c r="B27" s="286"/>
      <c r="C27" s="286"/>
      <c r="D27" s="287"/>
      <c r="E27" s="287"/>
      <c r="F27" s="286"/>
      <c r="G27" s="265"/>
      <c r="H27" s="233"/>
      <c r="I27" s="233"/>
      <c r="J27" s="47"/>
      <c r="K27" s="47"/>
      <c r="L27" s="39"/>
      <c r="M27" s="39"/>
      <c r="N27" s="261"/>
      <c r="O27" s="259"/>
      <c r="P27" s="252"/>
      <c r="Q27" s="258"/>
      <c r="R27" s="309"/>
      <c r="S27" s="14"/>
      <c r="T27" s="9"/>
      <c r="W27" s="4"/>
    </row>
    <row r="28" spans="2:24" ht="17.399999999999999" x14ac:dyDescent="0.3">
      <c r="B28" s="286"/>
      <c r="C28" s="286"/>
      <c r="D28" s="287"/>
      <c r="E28" s="287"/>
      <c r="F28" s="286"/>
      <c r="G28" s="310" t="s">
        <v>29</v>
      </c>
      <c r="H28" s="311">
        <f>SUM(H21:H27)</f>
        <v>154109</v>
      </c>
      <c r="I28" s="265"/>
      <c r="J28" s="47"/>
      <c r="K28" s="47"/>
      <c r="L28" s="39">
        <f>SUM(L21:L27)</f>
        <v>6.25</v>
      </c>
      <c r="M28" s="39"/>
      <c r="N28" s="261"/>
      <c r="O28" s="259"/>
      <c r="P28" s="252"/>
      <c r="Q28" s="258"/>
      <c r="R28" s="309"/>
      <c r="S28" s="14"/>
      <c r="T28" s="9"/>
      <c r="W28" s="4"/>
    </row>
    <row r="29" spans="2:24" ht="17.399999999999999" x14ac:dyDescent="0.3">
      <c r="B29" s="280"/>
      <c r="C29" s="283"/>
      <c r="D29" s="284"/>
      <c r="E29" s="284"/>
      <c r="F29" s="285"/>
      <c r="G29" s="308" t="s">
        <v>52</v>
      </c>
      <c r="H29" s="305">
        <f>H28*19%</f>
        <v>29280.71</v>
      </c>
      <c r="I29" s="265"/>
      <c r="J29" s="47"/>
      <c r="K29" s="47"/>
      <c r="L29" s="39"/>
      <c r="M29" s="12"/>
      <c r="N29" s="12"/>
      <c r="O29" s="253">
        <f>SUM(O21:O24)</f>
        <v>1.8315000000000001</v>
      </c>
      <c r="P29" s="14"/>
      <c r="Q29" s="12"/>
      <c r="R29" s="239"/>
      <c r="S29" s="14"/>
      <c r="T29" s="9"/>
      <c r="W29" s="4"/>
    </row>
    <row r="30" spans="2:24" ht="18" thickBot="1" x14ac:dyDescent="0.35">
      <c r="B30" s="276"/>
      <c r="C30" s="282"/>
      <c r="D30" s="272"/>
      <c r="E30" s="272"/>
      <c r="F30" s="273"/>
      <c r="G30" s="281" t="s">
        <v>6</v>
      </c>
      <c r="H30" s="306">
        <f>H28+H29</f>
        <v>183389.71</v>
      </c>
      <c r="I30" s="265"/>
      <c r="J30" s="47"/>
      <c r="K30" s="47"/>
      <c r="L30" s="39"/>
      <c r="M30" s="12"/>
      <c r="N30" s="12"/>
      <c r="O30" s="253">
        <f>O29</f>
        <v>1.8315000000000001</v>
      </c>
      <c r="P30" s="14"/>
      <c r="Q30" s="12"/>
      <c r="R30" s="239">
        <f>SUM(R21:R29)</f>
        <v>12.5</v>
      </c>
      <c r="S30" s="14"/>
      <c r="T30" s="9"/>
      <c r="W30" s="4"/>
    </row>
    <row r="31" spans="2:24" ht="17.399999999999999" x14ac:dyDescent="0.3">
      <c r="B31" s="276"/>
      <c r="C31" s="271"/>
      <c r="D31" s="272"/>
      <c r="E31" s="272"/>
      <c r="F31" s="273"/>
      <c r="I31" s="265"/>
      <c r="J31" s="47"/>
      <c r="K31" s="47"/>
      <c r="L31" s="14"/>
      <c r="M31" s="12"/>
      <c r="N31" s="12"/>
      <c r="O31" s="39">
        <f>O30*20%</f>
        <v>0.36630000000000007</v>
      </c>
      <c r="P31" s="39" t="s">
        <v>131</v>
      </c>
      <c r="Q31" s="42"/>
      <c r="R31" s="240"/>
      <c r="S31" s="14"/>
      <c r="T31" s="9"/>
      <c r="W31" s="4"/>
    </row>
    <row r="32" spans="2:24" ht="17.399999999999999" x14ac:dyDescent="0.3">
      <c r="B32" s="271"/>
      <c r="C32" s="271"/>
      <c r="D32" s="272"/>
      <c r="E32" s="272"/>
      <c r="F32" s="273"/>
      <c r="G32" s="274"/>
      <c r="H32" s="275"/>
      <c r="I32" s="265"/>
      <c r="J32" s="47"/>
      <c r="K32" s="47"/>
      <c r="L32" s="14"/>
      <c r="M32" s="12"/>
      <c r="N32" s="12"/>
      <c r="O32" s="46">
        <f>O30+O31</f>
        <v>2.1978</v>
      </c>
      <c r="P32" s="14"/>
      <c r="Q32" s="14"/>
      <c r="R32" s="238">
        <v>40</v>
      </c>
      <c r="S32" s="14"/>
      <c r="T32" s="9"/>
      <c r="W32" s="4"/>
    </row>
    <row r="33" spans="2:23" ht="17.399999999999999" x14ac:dyDescent="0.35">
      <c r="B33" s="269"/>
      <c r="C33" s="230"/>
      <c r="D33" s="230"/>
      <c r="E33" s="233"/>
      <c r="F33" s="234"/>
      <c r="G33" s="230"/>
      <c r="H33" s="275"/>
      <c r="I33" s="265"/>
      <c r="J33" s="47"/>
      <c r="K33" s="47"/>
      <c r="L33" s="14"/>
      <c r="M33" s="14"/>
      <c r="N33" s="14"/>
      <c r="O33" s="14"/>
      <c r="P33" s="14"/>
      <c r="Q33" s="14"/>
      <c r="R33" s="238"/>
      <c r="S33" s="14"/>
      <c r="T33" s="316" t="s">
        <v>22</v>
      </c>
      <c r="U33" s="313" t="s">
        <v>153</v>
      </c>
      <c r="V33" s="317">
        <v>44971</v>
      </c>
      <c r="W33" s="318"/>
    </row>
    <row r="34" spans="2:23" ht="17.399999999999999" x14ac:dyDescent="0.35">
      <c r="B34" s="235"/>
      <c r="C34" s="236"/>
      <c r="D34" s="237"/>
      <c r="E34" s="235"/>
      <c r="F34" s="230"/>
      <c r="G34" s="230"/>
      <c r="I34" s="265"/>
      <c r="J34" s="47"/>
      <c r="K34" s="47"/>
      <c r="L34" s="39">
        <f>O32</f>
        <v>2.1978</v>
      </c>
      <c r="M34" s="12">
        <v>2500</v>
      </c>
      <c r="N34" s="12">
        <f t="shared" ref="N34:N39" si="15">L34*M34</f>
        <v>5494.5</v>
      </c>
      <c r="O34" s="14" t="s">
        <v>22</v>
      </c>
      <c r="P34" s="14"/>
      <c r="Q34" s="14"/>
      <c r="R34" s="241"/>
      <c r="S34" s="14"/>
      <c r="T34" s="316" t="s">
        <v>154</v>
      </c>
      <c r="U34" s="313">
        <v>3625</v>
      </c>
      <c r="V34" s="59" t="s">
        <v>155</v>
      </c>
      <c r="W34" s="318"/>
    </row>
    <row r="35" spans="2:23" ht="17.399999999999999" x14ac:dyDescent="0.35">
      <c r="B35" s="230"/>
      <c r="C35" s="230"/>
      <c r="D35" s="230"/>
      <c r="E35" s="230"/>
      <c r="F35" s="230"/>
      <c r="G35" s="230"/>
      <c r="I35" s="265"/>
      <c r="J35" s="47"/>
      <c r="K35" s="47"/>
      <c r="L35" s="249">
        <v>0.6</v>
      </c>
      <c r="M35" s="12">
        <v>23500</v>
      </c>
      <c r="N35" s="12">
        <f t="shared" si="15"/>
        <v>14100</v>
      </c>
      <c r="O35" s="39" t="s">
        <v>32</v>
      </c>
      <c r="P35" s="42"/>
      <c r="Q35" s="14"/>
      <c r="R35" s="240"/>
      <c r="S35" s="14"/>
      <c r="T35" s="316"/>
      <c r="U35" s="59">
        <v>906.25</v>
      </c>
      <c r="V35" s="59" t="s">
        <v>156</v>
      </c>
      <c r="W35" s="318"/>
    </row>
    <row r="36" spans="2:23" s="230" customFormat="1" ht="17.399999999999999" x14ac:dyDescent="0.35">
      <c r="I36" s="262"/>
      <c r="J36" s="232"/>
      <c r="K36" s="250"/>
      <c r="L36" s="14"/>
      <c r="M36" s="250">
        <v>34000</v>
      </c>
      <c r="N36" s="12">
        <f t="shared" si="15"/>
        <v>0</v>
      </c>
      <c r="O36" s="39" t="s">
        <v>31</v>
      </c>
      <c r="P36" s="42"/>
      <c r="R36" s="240"/>
      <c r="S36" s="256"/>
      <c r="T36" s="59"/>
      <c r="U36" s="59">
        <f>U35*20%</f>
        <v>181.25</v>
      </c>
      <c r="V36" s="318" t="s">
        <v>157</v>
      </c>
      <c r="W36" s="59"/>
    </row>
    <row r="37" spans="2:23" s="230" customFormat="1" ht="17.399999999999999" x14ac:dyDescent="0.35">
      <c r="B37" s="24" t="s">
        <v>152</v>
      </c>
      <c r="I37" s="262"/>
      <c r="J37" s="232"/>
      <c r="K37" s="250"/>
      <c r="L37" s="14">
        <v>1</v>
      </c>
      <c r="M37" s="250">
        <v>45000</v>
      </c>
      <c r="N37" s="12">
        <f t="shared" si="15"/>
        <v>45000</v>
      </c>
      <c r="O37" s="14" t="s">
        <v>142</v>
      </c>
      <c r="P37" s="17"/>
      <c r="R37" s="238"/>
      <c r="S37" s="256"/>
      <c r="T37" s="59"/>
      <c r="U37" s="59">
        <f>U35+U36</f>
        <v>1087.5</v>
      </c>
      <c r="V37" s="318" t="s">
        <v>158</v>
      </c>
      <c r="W37" s="59"/>
    </row>
    <row r="38" spans="2:23" s="230" customFormat="1" ht="17.399999999999999" x14ac:dyDescent="0.35">
      <c r="B38" s="24" t="s">
        <v>145</v>
      </c>
      <c r="C38"/>
      <c r="D38"/>
      <c r="E38"/>
      <c r="F38"/>
      <c r="I38" s="262"/>
      <c r="K38" s="250"/>
      <c r="L38" s="249"/>
      <c r="M38" s="250">
        <v>300</v>
      </c>
      <c r="N38" s="12">
        <f t="shared" si="15"/>
        <v>0</v>
      </c>
      <c r="O38" s="14" t="s">
        <v>33</v>
      </c>
      <c r="P38" s="14"/>
      <c r="Q38" s="230">
        <v>1.52</v>
      </c>
      <c r="R38" s="238"/>
      <c r="S38" s="238"/>
    </row>
    <row r="39" spans="2:23" s="230" customFormat="1" ht="17.399999999999999" x14ac:dyDescent="0.35">
      <c r="B39" s="29" t="s">
        <v>126</v>
      </c>
      <c r="C39"/>
      <c r="D39"/>
      <c r="E39"/>
      <c r="F39" s="229" t="s">
        <v>16</v>
      </c>
      <c r="I39" s="304"/>
      <c r="K39" s="250"/>
      <c r="L39" s="266"/>
      <c r="M39" s="12">
        <v>1500</v>
      </c>
      <c r="N39" s="12">
        <f t="shared" si="15"/>
        <v>0</v>
      </c>
      <c r="O39" s="14" t="s">
        <v>23</v>
      </c>
      <c r="P39" s="14"/>
      <c r="Q39">
        <v>2.44</v>
      </c>
      <c r="R39"/>
      <c r="S39" s="238"/>
      <c r="W39" s="231"/>
    </row>
    <row r="40" spans="2:23" s="230" customFormat="1" ht="17.399999999999999" x14ac:dyDescent="0.35">
      <c r="K40" s="250"/>
      <c r="L40" s="14"/>
      <c r="M40" s="12"/>
      <c r="N40" s="12">
        <f>SUM(N34:N39)</f>
        <v>64594.5</v>
      </c>
      <c r="O40" s="39" t="s">
        <v>24</v>
      </c>
      <c r="P40" s="14"/>
      <c r="Q40">
        <f>Q38*Q39</f>
        <v>3.7088000000000001</v>
      </c>
      <c r="R40"/>
      <c r="S40" s="238"/>
      <c r="W40" s="231"/>
    </row>
    <row r="41" spans="2:23" s="230" customFormat="1" ht="17.399999999999999" x14ac:dyDescent="0.35">
      <c r="K41" s="250"/>
      <c r="L41" s="254" t="s">
        <v>34</v>
      </c>
      <c r="M41" s="12"/>
      <c r="N41" s="255">
        <f>N40*2.2</f>
        <v>142107.90000000002</v>
      </c>
      <c r="O41" s="14" t="s">
        <v>141</v>
      </c>
      <c r="P41" s="14"/>
      <c r="Q41" s="40">
        <f>O32/Q40</f>
        <v>0.59259059534081104</v>
      </c>
      <c r="R41"/>
      <c r="S41" s="257"/>
    </row>
    <row r="42" spans="2:23" s="230" customFormat="1" ht="17.399999999999999" x14ac:dyDescent="0.35">
      <c r="G42"/>
      <c r="H42" s="260"/>
      <c r="I42" s="260"/>
      <c r="J42" s="230">
        <v>83200</v>
      </c>
      <c r="K42" s="250"/>
      <c r="L42" s="14"/>
      <c r="M42" s="12"/>
      <c r="N42" s="12">
        <f>N41/O30</f>
        <v>77590.990990990991</v>
      </c>
      <c r="O42" s="45" t="s">
        <v>25</v>
      </c>
      <c r="P42" s="14"/>
      <c r="Q42" s="14"/>
      <c r="R42"/>
      <c r="S42" s="238"/>
      <c r="T42" s="59" t="s">
        <v>159</v>
      </c>
      <c r="U42" s="313">
        <v>43650</v>
      </c>
    </row>
    <row r="43" spans="2:23" s="230" customFormat="1" ht="17.399999999999999" x14ac:dyDescent="0.35">
      <c r="G43"/>
      <c r="J43" s="230">
        <f>J42/1.19</f>
        <v>69915.966386554632</v>
      </c>
      <c r="K43" s="250"/>
      <c r="L43" s="13"/>
      <c r="M43" s="14"/>
      <c r="N43" s="17">
        <f>N41/N40</f>
        <v>2.2000000000000002</v>
      </c>
      <c r="O43" s="15"/>
      <c r="P43"/>
      <c r="Q43"/>
      <c r="R43"/>
      <c r="S43" s="238"/>
      <c r="T43" s="59" t="s">
        <v>161</v>
      </c>
      <c r="U43" s="314" t="s">
        <v>160</v>
      </c>
      <c r="V43" s="59">
        <v>2.4</v>
      </c>
    </row>
    <row r="44" spans="2:23" s="230" customFormat="1" ht="17.399999999999999" x14ac:dyDescent="0.35">
      <c r="G44" s="23"/>
      <c r="K44" s="12"/>
      <c r="S44" s="238"/>
      <c r="T44" s="59" t="s">
        <v>162</v>
      </c>
      <c r="U44" s="315">
        <v>395.37</v>
      </c>
    </row>
    <row r="45" spans="2:23" s="230" customFormat="1" ht="17.399999999999999" x14ac:dyDescent="0.35">
      <c r="B45"/>
      <c r="C45" s="228"/>
      <c r="D45" s="22"/>
      <c r="E45" s="22"/>
      <c r="F45" s="21"/>
      <c r="G45" s="23"/>
      <c r="K45" s="12"/>
      <c r="S45" s="238"/>
      <c r="T45" s="59" t="s">
        <v>157</v>
      </c>
      <c r="U45" s="59">
        <v>474.45</v>
      </c>
    </row>
    <row r="46" spans="2:23" ht="14.4" customHeight="1" x14ac:dyDescent="0.3">
      <c r="K46" s="12"/>
      <c r="T46" s="59"/>
      <c r="U46" s="59"/>
    </row>
    <row r="47" spans="2:23" x14ac:dyDescent="0.3">
      <c r="K47" s="250"/>
    </row>
    <row r="48" spans="2:23" x14ac:dyDescent="0.3">
      <c r="K48" s="250"/>
      <c r="S48" s="270"/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27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9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45568</v>
      </c>
    </row>
    <row r="6" spans="2:31" ht="16.2" thickBot="1" x14ac:dyDescent="0.35">
      <c r="B6" s="140" t="s">
        <v>2</v>
      </c>
      <c r="C6" s="139" t="str">
        <f>'2229'!C10</f>
        <v>MUEBLES FEMENIAS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11114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-12091.970866787438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'2229'!H28</f>
        <v>154109</v>
      </c>
      <c r="E11" s="132">
        <f>D11*0.19</f>
        <v>29280.71</v>
      </c>
      <c r="F11" s="131">
        <f>E11+D11</f>
        <v>183389.71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93898.029133212563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49428.590787439614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75898.029133212563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104680.40921256039</v>
      </c>
      <c r="E13" s="221">
        <f>(D11/D12)-1</f>
        <v>2.117810917627069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66898.029133212563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27898.029133212563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81557.174799275366</v>
      </c>
      <c r="F15" s="216">
        <f>E15-D12</f>
        <v>32128.584011835752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27898.029133212563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67898.029133212563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'2229'!N35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5494.5</v>
      </c>
      <c r="E20" s="121">
        <f>D20*0.19</f>
        <v>1043.9549999999999</v>
      </c>
      <c r="F20" s="120">
        <f>SUM(D20:E20)</f>
        <v>6538.4549999999999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19594.5</v>
      </c>
      <c r="E21" s="116">
        <f>SUM(E18:E20)</f>
        <v>3722.9549999999999</v>
      </c>
      <c r="F21" s="115">
        <f>SUM(F18:F20)</f>
        <v>23317.455000000002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25557.754999999997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154109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19594.5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104680.40921256039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104680.40921256039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2024-08-28T20:04:14Z</cp:lastPrinted>
  <dcterms:created xsi:type="dcterms:W3CDTF">2013-03-18T13:35:42Z</dcterms:created>
  <dcterms:modified xsi:type="dcterms:W3CDTF">2024-10-03T19:00:52Z</dcterms:modified>
</cp:coreProperties>
</file>