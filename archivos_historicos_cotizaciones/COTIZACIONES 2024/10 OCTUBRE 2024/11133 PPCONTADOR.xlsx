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F7654B56-EEEC-4692-9239-F99C4B7C64B8}" xr6:coauthVersionLast="47" xr6:coauthVersionMax="47" xr10:uidLastSave="{00000000-0000-0000-0000-000000000000}"/>
  <bookViews>
    <workbookView minimized="1" xWindow="17760" yWindow="11484" windowWidth="5976" windowHeight="1452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N22" i="1"/>
  <c r="O22" i="1"/>
  <c r="P22" i="1" s="1"/>
  <c r="P26" i="1" s="1"/>
  <c r="H22" i="1"/>
  <c r="H23" i="1"/>
  <c r="M21" i="1"/>
  <c r="L21" i="1"/>
  <c r="N21" i="1"/>
  <c r="M25" i="1" l="1"/>
  <c r="O21" i="1"/>
  <c r="P21" i="1" s="1"/>
  <c r="K40" i="1"/>
  <c r="T21" i="1" l="1"/>
  <c r="T25" i="1" s="1"/>
  <c r="T26" i="1" s="1"/>
  <c r="T27" i="1" s="1"/>
  <c r="S27" i="1"/>
  <c r="V33" i="1"/>
  <c r="V34" i="1" s="1"/>
  <c r="O32" i="1" l="1"/>
  <c r="P27" i="1" l="1"/>
  <c r="P28" i="1" s="1"/>
  <c r="P29" i="1" s="1"/>
  <c r="N20" i="1"/>
  <c r="L20" i="1"/>
  <c r="M31" i="1" l="1"/>
  <c r="O33" i="1"/>
  <c r="R37" i="1"/>
  <c r="R38" i="1" s="1"/>
  <c r="O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/>
  <c r="H25" i="1" s="1"/>
  <c r="H26" i="1" s="1"/>
  <c r="H27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<sst xmlns="http://schemas.openxmlformats.org/spreadsheetml/2006/main" count="233" uniqueCount="174">
  <si>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</si>
  <si>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</si>
  <si>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</si>
  <si>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</si>
  <si>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</si>
  <si>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</si>
  <si>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</si>
  <si>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</si>
  <si>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</si>
  <si>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</si>
  <si>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</si>
  <si>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</si>
  <si>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</si>
  <si>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</si>
  <si>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</si>
  <si>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</si>
  <si>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</si>
  <si>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</si>
  <si>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</si>
  <si>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</si>
  <si>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</si>
  <si>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</si>
  <si>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</si>
  <si>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</si>
  <si>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</si>
  <si>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</si>
  <si>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</si>
  <si>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</si>
  <si>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</si>
  <si>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</si>
  <si>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</si>
  <si>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</si>
  <si>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</si>
  <si>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</si>
  <si>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</si>
  <si>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</si>
  <si>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</si>
  <si>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</si>
  <si>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</si>
  <si>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</si>
  <si>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</si>
  <si>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</si>
  <si>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</si>
  <si>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</si>
  <si>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</si>
  <si>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</si>
  <si>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</si>
  <si>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</si>
  <si>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</si>
  <si>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</si>
  <si>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</si>
  <si>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</si>
  <si>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</si>
  <si>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</si>
  <si>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</si>
  <si>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</si>
  <si>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</si>
  <si>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</si>
  <si>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</si>
  <si>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</si>
  <si>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</si>
  <si>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</si>
  <si>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</si>
  <si>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</si>
  <si>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</si>
  <si>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</si>
  <si>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</si>
  <si>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</si>
  <si>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</si>
  <si>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</si>
  <si>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</si>
  <si>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</si>
  <si>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</si>
  <si>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</si>
  <si>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</si>
  <si>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</si>
  <si>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</si>
  <si>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</si>
  <si>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</si>
  <si>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</si>
  <si>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</si>
  <si>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</si>
  <si>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</si>
  <si>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</si>
  <si>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</si>
  <si>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</si>
  <si>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</si>
  <si>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</si>
  <si>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</si>
  <si>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</si>
  <si>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</si>
  <si>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</si>
  <si>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</si>
  <si>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</si>
  <si>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</si>
  <si>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</si>
  <si>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</si>
  <si>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</si>
  <si>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</si>
  <si>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</si>
  <si>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</si>
  <si>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</si>
  <si>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</si>
  <si>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</si>
  <si>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</si>
  <si>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</si>
  <si>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</si>
  <si>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</si>
  <si>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</si>
  <si>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</si>
  <si>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</si>
  <si>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</si>
  <si>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</si>
  <si>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</si>
  <si>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</si>
  <si>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</si>
  <si>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</si>
  <si>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</si>
  <si>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</si>
  <si>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</si>
  <si>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</si>
  <si>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</si>
  <si>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</si>
  <si>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</si>
  <si>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</si>
  <si>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</si>
  <si>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</si>
  <si>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</si>
  <si>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</si>
  <si>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</si>
  <si>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</si>
  <si>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</si>
  <si>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</si>
  <si>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</si>
  <si>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</si>
  <si>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</si>
  <si>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</si>
  <si>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</si>
  <si>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</si>
  <si>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</si>
  <si>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</si>
  <si>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</si>
  <si>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</si>
  <si>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</si>
  <si>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</si>
  <si>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</si>
  <si>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</si>
  <si>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</si>
  <si>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</si>
  <si>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</si>
  <si>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</si>
  <si>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</si>
  <si>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</si>
  <si>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</si>
  <si>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</si>
  <si>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</si>
  <si>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</si>
  <si>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</si>
  <si>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</si>
  <si>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</si>
  <si>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</si>
  <si>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</si>
  <si>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</si>
  <si>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</si>
  <si>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</si>
  <si>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lamitech</t>
  </si>
  <si>
    <t>SANTIAGO</t>
  </si>
  <si>
    <t>FONO +569 2032 3382</t>
  </si>
  <si>
    <t>5 DIAS HABILES</t>
  </si>
  <si>
    <t>N° 11133</t>
  </si>
  <si>
    <t>PP CONTADOR</t>
  </si>
  <si>
    <t xml:space="preserve">+569 </t>
  </si>
  <si>
    <t>SERVICIO DESFONDADO LAVAPLATOS</t>
  </si>
  <si>
    <t>CLASSIC 3111 BR PF8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</si>
</sst>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8</xdr:col>
      <xdr:colOff>8193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2"/>
  <sheetViews>
    <sheetView tabSelected="1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167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170</v>
      </c>
      <c r="D10" s="243"/>
      <c r="E10" s="243"/>
      <c r="F10" s="244" t="s">
        <v>0</v>
      </c>
      <c r="G10" s="277">
        <v>45586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168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171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166</v>
      </c>
      <c r="D17" s="314"/>
      <c r="E17" s="119"/>
      <c r="F17" s="336" t="s">
        <v>164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147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128247.53989128528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35</v>
      </c>
      <c r="D21" s="330">
        <v>1.0449999999999999</v>
      </c>
      <c r="E21" s="330">
        <v>0.44</v>
      </c>
      <c r="F21" s="329" t="s">
        <v>173</v>
      </c>
      <c r="G21" s="331">
        <v>65790</v>
      </c>
      <c r="H21" s="332">
        <f>G21*B21</f>
        <v>65790</v>
      </c>
      <c r="I21" s="322"/>
      <c r="J21" s="265"/>
      <c r="K21" s="47"/>
      <c r="L21" s="47">
        <f>B21</f>
        <v>1</v>
      </c>
      <c r="M21" s="39">
        <f>D21+M$19</f>
        <v>1.095</v>
      </c>
      <c r="N21" s="39">
        <f>E21</f>
        <v>0.44</v>
      </c>
      <c r="O21" s="261">
        <f t="shared" ref="O21" si="1">M21*N21</f>
        <v>0.48180000000000001</v>
      </c>
      <c r="P21" s="259">
        <f t="shared" ref="P21" si="2">O21*L21</f>
        <v>0.48180000000000001</v>
      </c>
      <c r="Q21" s="252">
        <f t="shared" ref="Q21" si="3">Q$20*O21</f>
        <v>61789.664719621251</v>
      </c>
      <c r="R21" s="321">
        <f t="shared" ref="R21" si="4">Q21+R$20</f>
        <v>64789.664719621251</v>
      </c>
      <c r="S21" s="298"/>
      <c r="T21" s="46">
        <f>N21*2*L21</f>
        <v>0.88</v>
      </c>
      <c r="U21" s="9"/>
      <c r="X21" s="4"/>
    </row>
    <row r="22" spans="2:25" ht="17.399999999999999" x14ac:dyDescent="0.3">
      <c r="B22" s="328">
        <v>1</v>
      </c>
      <c r="C22" s="329" t="s">
        <v>35</v>
      </c>
      <c r="D22" s="330">
        <v>0.65500000000000003</v>
      </c>
      <c r="E22" s="330">
        <v>0.53</v>
      </c>
      <c r="F22" s="329" t="s">
        <v>173</v>
      </c>
      <c r="G22" s="331">
        <v>51920</v>
      </c>
      <c r="H22" s="332">
        <f t="shared" ref="H22:H23" si="5">G22*B22</f>
        <v>51920</v>
      </c>
      <c r="I22" s="322"/>
      <c r="J22" s="265"/>
      <c r="K22" s="47"/>
      <c r="L22" s="47">
        <v>1</v>
      </c>
      <c r="M22" s="39">
        <f>D22+M$19</f>
        <v>0.70500000000000007</v>
      </c>
      <c r="N22" s="39">
        <f>E22</f>
        <v>0.53</v>
      </c>
      <c r="O22" s="261">
        <f t="shared" ref="O22" si="6">M22*N22</f>
        <v>0.37365000000000004</v>
      </c>
      <c r="P22" s="259">
        <f t="shared" ref="P22" si="7">O22*L22</f>
        <v>0.37365000000000004</v>
      </c>
      <c r="Q22" s="252">
        <f t="shared" ref="Q22" si="8">Q$20*O22</f>
        <v>47919.693280378749</v>
      </c>
      <c r="R22" s="321">
        <f t="shared" ref="R22" si="9">Q22+R$20</f>
        <v>50919.693280378749</v>
      </c>
      <c r="S22" s="298"/>
      <c r="T22" s="46"/>
      <c r="U22" s="9"/>
      <c r="X22" s="4"/>
    </row>
    <row r="23" spans="2:25" ht="17.399999999999999" x14ac:dyDescent="0.3">
      <c r="B23" s="328">
        <v>1</v>
      </c>
      <c r="C23" s="329" t="s">
        <v>172</v>
      </c>
      <c r="D23" s="330"/>
      <c r="E23" s="330"/>
      <c r="F23" s="329"/>
      <c r="G23" s="331">
        <v>20000</v>
      </c>
      <c r="H23" s="332">
        <f t="shared" si="5"/>
        <v>20000</v>
      </c>
      <c r="I23" s="322"/>
      <c r="J23" s="265"/>
      <c r="K23" s="47"/>
      <c r="L23" s="47"/>
      <c r="M23" s="39"/>
      <c r="N23" s="39"/>
      <c r="O23" s="261"/>
      <c r="P23" s="259"/>
      <c r="Q23" s="252"/>
      <c r="R23" s="321"/>
      <c r="S23" s="298"/>
      <c r="T23" s="46"/>
      <c r="U23" s="9"/>
      <c r="X23" s="4"/>
    </row>
    <row r="24" spans="2:25" ht="18" thickBot="1" x14ac:dyDescent="0.35">
      <c r="B24" s="286"/>
      <c r="C24" s="286"/>
      <c r="D24" s="287"/>
      <c r="E24" s="287"/>
      <c r="F24" s="286"/>
      <c r="G24" s="265"/>
      <c r="H24" s="323"/>
      <c r="I24" s="325"/>
      <c r="J24" s="233"/>
      <c r="K24" s="47"/>
      <c r="L24" s="47"/>
      <c r="M24" s="39"/>
      <c r="N24" s="39"/>
      <c r="O24" s="261"/>
      <c r="P24" s="259"/>
      <c r="Q24" s="252"/>
      <c r="R24" s="258"/>
      <c r="S24" s="298"/>
      <c r="T24" s="14"/>
      <c r="U24" s="9"/>
      <c r="X24" s="4"/>
    </row>
    <row r="25" spans="2:25" ht="17.399999999999999" x14ac:dyDescent="0.3">
      <c r="B25" s="286"/>
      <c r="C25" s="286"/>
      <c r="D25" s="287"/>
      <c r="E25" s="287"/>
      <c r="F25" s="286"/>
      <c r="G25" s="326" t="s">
        <v>28</v>
      </c>
      <c r="H25" s="327">
        <f>SUM(H21:H24)</f>
        <v>137710</v>
      </c>
      <c r="I25" s="324"/>
      <c r="J25" s="265"/>
      <c r="K25" s="47">
        <v>2600000</v>
      </c>
      <c r="L25" s="47"/>
      <c r="M25" s="39" t="e">
        <f>M21+#REF!</f>
        <v>#REF!</v>
      </c>
      <c r="N25" s="39"/>
      <c r="O25" s="261"/>
      <c r="P25" s="259"/>
      <c r="Q25" s="252"/>
      <c r="R25" s="258"/>
      <c r="S25" s="298"/>
      <c r="T25" s="46">
        <f>SUM(T21:T24)</f>
        <v>0.88</v>
      </c>
      <c r="U25" s="9"/>
      <c r="X25" s="4"/>
    </row>
    <row r="26" spans="2:25" ht="17.399999999999999" x14ac:dyDescent="0.3">
      <c r="B26" s="280"/>
      <c r="C26" s="283"/>
      <c r="D26" s="284"/>
      <c r="E26" s="284"/>
      <c r="F26" s="285"/>
      <c r="G26" s="297" t="s">
        <v>51</v>
      </c>
      <c r="H26" s="295">
        <f>H25*19%</f>
        <v>26164.9</v>
      </c>
      <c r="I26" s="324"/>
      <c r="J26" s="265"/>
      <c r="K26" s="47"/>
      <c r="L26" s="47"/>
      <c r="M26" s="39"/>
      <c r="N26" s="12"/>
      <c r="O26" s="12"/>
      <c r="P26" s="253">
        <f>SUM(P21:P22)</f>
        <v>0.85545000000000004</v>
      </c>
      <c r="Q26" s="14"/>
      <c r="R26" s="12"/>
      <c r="S26" s="239"/>
      <c r="T26" s="46">
        <f>T25*20%</f>
        <v>0.17600000000000002</v>
      </c>
      <c r="U26" s="9"/>
      <c r="X26" s="4"/>
    </row>
    <row r="27" spans="2:25" ht="18" thickBot="1" x14ac:dyDescent="0.35">
      <c r="B27" s="276"/>
      <c r="C27" s="282"/>
      <c r="D27" s="272"/>
      <c r="E27" s="272"/>
      <c r="F27" s="273"/>
      <c r="G27" s="281" t="s">
        <v>6</v>
      </c>
      <c r="H27" s="296">
        <f>H25+H26</f>
        <v>163874.9</v>
      </c>
      <c r="I27" s="324"/>
      <c r="J27" s="265"/>
      <c r="K27" s="47"/>
      <c r="L27" s="47"/>
      <c r="M27" s="39"/>
      <c r="N27" s="12"/>
      <c r="O27" s="12"/>
      <c r="P27" s="253">
        <f>P26</f>
        <v>0.85545000000000004</v>
      </c>
      <c r="Q27" s="14"/>
      <c r="R27" s="12"/>
      <c r="S27" s="239">
        <f>SUM(S21:S26)</f>
        <v>0</v>
      </c>
      <c r="T27" s="46">
        <f>T25+T26</f>
        <v>1.056</v>
      </c>
      <c r="U27" s="9"/>
      <c r="X27" s="4"/>
    </row>
    <row r="28" spans="2:25" ht="17.399999999999999" x14ac:dyDescent="0.3">
      <c r="B28" s="276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0.17109000000000002</v>
      </c>
      <c r="Q28" s="39" t="s">
        <v>130</v>
      </c>
      <c r="R28" s="42"/>
      <c r="S28" s="240"/>
      <c r="T28" s="14"/>
      <c r="U28" s="9"/>
      <c r="X28" s="4"/>
    </row>
    <row r="29" spans="2:25" ht="17.399999999999999" x14ac:dyDescent="0.3">
      <c r="B29" s="271"/>
      <c r="C29" s="271"/>
      <c r="D29" s="272"/>
      <c r="E29" s="272"/>
      <c r="F29" s="273"/>
      <c r="G29" s="274"/>
      <c r="H29" s="275"/>
      <c r="I29" s="275"/>
      <c r="J29" s="265"/>
      <c r="K29" s="47"/>
      <c r="L29" s="47"/>
      <c r="M29" s="14"/>
      <c r="N29" s="12"/>
      <c r="O29" s="12"/>
      <c r="P29" s="46">
        <f>P27+P28</f>
        <v>1.02654</v>
      </c>
      <c r="Q29" s="14"/>
      <c r="R29" s="14"/>
      <c r="S29" s="238">
        <v>40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5"/>
      <c r="I30" s="275"/>
      <c r="J30" s="265"/>
      <c r="K30" s="47"/>
      <c r="L30" s="47"/>
      <c r="M30" s="14"/>
      <c r="N30" s="14"/>
      <c r="O30" s="14"/>
      <c r="P30" s="14"/>
      <c r="Q30" s="14"/>
      <c r="R30" s="14"/>
      <c r="S30" s="238"/>
      <c r="T30" s="14"/>
      <c r="U30" s="303" t="s">
        <v>21</v>
      </c>
      <c r="V30" s="300" t="s">
        <v>152</v>
      </c>
      <c r="W30" s="304">
        <v>44971</v>
      </c>
      <c r="X30" s="305"/>
    </row>
    <row r="31" spans="2:25" ht="17.399999999999999" x14ac:dyDescent="0.35">
      <c r="B31" s="235"/>
      <c r="C31" s="236"/>
      <c r="D31" s="237"/>
      <c r="E31" s="235"/>
      <c r="F31" s="230"/>
      <c r="G31" s="230"/>
      <c r="J31" s="265"/>
      <c r="K31" s="47"/>
      <c r="L31" s="47"/>
      <c r="M31" s="39">
        <f>P29</f>
        <v>1.02654</v>
      </c>
      <c r="N31" s="12">
        <v>3500</v>
      </c>
      <c r="O31" s="12">
        <f t="shared" ref="O31:O36" si="10">M31*N31</f>
        <v>3592.89</v>
      </c>
      <c r="P31" s="14" t="s">
        <v>21</v>
      </c>
      <c r="Q31" s="14"/>
      <c r="R31" s="14"/>
      <c r="S31" s="241"/>
      <c r="T31" s="14"/>
      <c r="U31" s="303" t="s">
        <v>153</v>
      </c>
      <c r="V31" s="300">
        <v>3625</v>
      </c>
      <c r="W31" s="59" t="s">
        <v>154</v>
      </c>
      <c r="X31" s="305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 t="s">
        <v>165</v>
      </c>
      <c r="L32" s="47"/>
      <c r="M32" s="249">
        <v>0.3</v>
      </c>
      <c r="N32" s="12">
        <v>25000</v>
      </c>
      <c r="O32" s="12">
        <f t="shared" si="10"/>
        <v>7500</v>
      </c>
      <c r="P32" s="39" t="s">
        <v>31</v>
      </c>
      <c r="Q32" s="42"/>
      <c r="R32" s="14"/>
      <c r="S32" s="240"/>
      <c r="T32" s="14"/>
      <c r="U32" s="303"/>
      <c r="V32" s="59">
        <v>906.25</v>
      </c>
      <c r="W32" s="59" t="s">
        <v>155</v>
      </c>
      <c r="X32" s="305"/>
    </row>
    <row r="33" spans="2:24" s="230" customFormat="1" ht="17.399999999999999" x14ac:dyDescent="0.35">
      <c r="J33" s="262"/>
      <c r="K33" s="232">
        <v>40706</v>
      </c>
      <c r="L33" s="250">
        <v>34989</v>
      </c>
      <c r="M33" s="14"/>
      <c r="N33" s="250">
        <v>61840</v>
      </c>
      <c r="O33" s="12">
        <f t="shared" si="10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5" t="s">
        <v>156</v>
      </c>
      <c r="X33" s="59"/>
    </row>
    <row r="34" spans="2:24" s="230" customFormat="1" ht="17.399999999999999" x14ac:dyDescent="0.35">
      <c r="B34" s="24" t="s">
        <v>151</v>
      </c>
      <c r="J34" s="262"/>
      <c r="K34" s="232">
        <v>26644</v>
      </c>
      <c r="L34" s="250">
        <v>22025</v>
      </c>
      <c r="M34" s="14">
        <v>1</v>
      </c>
      <c r="N34" s="250">
        <v>36000</v>
      </c>
      <c r="O34" s="12">
        <f t="shared" si="10"/>
        <v>36000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5" t="s">
        <v>157</v>
      </c>
      <c r="X34" s="59"/>
    </row>
    <row r="35" spans="2:24" s="230" customFormat="1" ht="17.399999999999999" x14ac:dyDescent="0.35">
      <c r="B35" s="24" t="s">
        <v>144</v>
      </c>
      <c r="C35"/>
      <c r="D35"/>
      <c r="E35"/>
      <c r="F35"/>
      <c r="J35" s="262"/>
      <c r="L35" s="250"/>
      <c r="M35" s="249"/>
      <c r="N35" s="250">
        <v>300</v>
      </c>
      <c r="O35" s="12">
        <f t="shared" si="10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B36" s="29" t="s">
        <v>125</v>
      </c>
      <c r="C36"/>
      <c r="D36"/>
      <c r="E36"/>
      <c r="F36" s="229" t="s">
        <v>15</v>
      </c>
      <c r="J36" s="294"/>
      <c r="L36" s="250"/>
      <c r="M36" s="266">
        <v>1.85</v>
      </c>
      <c r="N36" s="12">
        <v>1500</v>
      </c>
      <c r="O36" s="12">
        <f t="shared" si="10"/>
        <v>2775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L37" s="250"/>
      <c r="M37" s="14"/>
      <c r="N37" s="12"/>
      <c r="O37" s="12">
        <f>SUM(O31:O36)</f>
        <v>49867.89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109709.35800000001</v>
      </c>
      <c r="P38" s="14" t="s">
        <v>140</v>
      </c>
      <c r="Q38" s="14"/>
      <c r="R38" s="40">
        <f>P29/R37</f>
        <v>0.27678494391716996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42723</v>
      </c>
      <c r="L39" s="250"/>
      <c r="M39" s="14"/>
      <c r="N39" s="12"/>
      <c r="O39" s="12">
        <f>O38/P27</f>
        <v>128247.53989128528</v>
      </c>
      <c r="P39" s="45" t="s">
        <v>24</v>
      </c>
      <c r="Q39" s="14"/>
      <c r="R39" s="14"/>
      <c r="S39"/>
      <c r="T39" s="238"/>
      <c r="U39" s="59" t="s">
        <v>158</v>
      </c>
      <c r="V39" s="300">
        <v>43650</v>
      </c>
    </row>
    <row r="40" spans="2:24" s="230" customFormat="1" ht="17.399999999999999" x14ac:dyDescent="0.35">
      <c r="G40"/>
      <c r="K40" s="230">
        <f>K39/1.19</f>
        <v>35901.680672268907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1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2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45586</v>
      </c>
    </row>
    <row r="6" spans="2:31" ht="16.2" thickBot="1" x14ac:dyDescent="0.35">
      <c r="B6" s="140" t="s">
        <v>2</v>
      </c>
      <c r="C6" s="139" t="str">
        <f>'2229'!C10</f>
        <v>PP CONTADOR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11133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-11696.746950120774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137710</v>
      </c>
      <c r="E11" s="132">
        <f>D11*0.19</f>
        <v>26164.9</v>
      </c>
      <c r="F11" s="131">
        <f>E11+D11</f>
        <v>163874.9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94293.253049879218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40926.980787439614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76293.253049879218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96783.019212560379</v>
      </c>
      <c r="E13" s="221">
        <f>(D11/D12)-1</f>
        <v>2.3647730018301973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67293.253049879218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28293.253049879226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67529.518299275354</v>
      </c>
      <c r="F15" s="216">
        <f>E15-D12</f>
        <v>26602.537511835741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28293.253049879226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68293.253049879218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3592.89</v>
      </c>
      <c r="E20" s="121">
        <f>D20*0.19</f>
        <v>682.64909999999998</v>
      </c>
      <c r="F20" s="120">
        <f>SUM(D20:E20)</f>
        <v>4275.5391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11092.89</v>
      </c>
      <c r="E21" s="116">
        <f>SUM(E18:E20)</f>
        <v>2107.6491000000001</v>
      </c>
      <c r="F21" s="115">
        <f>SUM(F18:F20)</f>
        <v>13200.5391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24057.250900000003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137710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11092.89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96783.019212560379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96783.019212560379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2024-10-21T18:15:27Z</cp:lastPrinted>
  <dcterms:created xsi:type="dcterms:W3CDTF">2013-03-18T13:35:42Z</dcterms:created>
  <dcterms:modified xsi:type="dcterms:W3CDTF">2024-10-21T21:05:29Z</dcterms:modified>
</cp:coreProperties>
</file>