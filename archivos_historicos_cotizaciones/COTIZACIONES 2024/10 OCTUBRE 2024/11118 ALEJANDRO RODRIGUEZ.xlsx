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FF42BFCF-533D-4DE0-83A3-2788FE2CE7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M21" i="1"/>
  <c r="L21" i="1"/>
  <c r="H21" i="1"/>
  <c r="N21" i="1" l="1"/>
  <c r="O21" i="1" s="1"/>
  <c r="J39" i="1"/>
  <c r="O25" i="1" l="1"/>
  <c r="S21" i="1"/>
  <c r="S24" i="1" s="1"/>
  <c r="S25" i="1" s="1"/>
  <c r="S26" i="1" s="1"/>
  <c r="R26" i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Q21" i="1" s="1"/>
  <c r="F15" i="3"/>
  <c r="H24" i="1" l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<sst xmlns="http://schemas.openxmlformats.org/spreadsheetml/2006/main" count="232" uniqueCount="176">
  <si>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</si>
  <si>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</si>
  <si>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</si>
  <si>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</si>
  <si>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</si>
  <si>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</si>
  <si>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</si>
  <si>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</si>
  <si>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</si>
  <si>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</si>
  <si>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</si>
  <si>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</si>
  <si>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</si>
  <si>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</si>
  <si>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</si>
  <si>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</si>
  <si>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</si>
  <si>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</si>
  <si>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</si>
  <si>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</si>
  <si>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</si>
  <si>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</si>
  <si>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</si>
  <si>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</si>
  <si>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</si>
  <si>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</si>
  <si>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</si>
  <si>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</si>
  <si>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</si>
  <si>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</si>
  <si>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</si>
  <si>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</si>
  <si>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</si>
  <si>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</si>
  <si>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</si>
  <si>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</si>
  <si>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</si>
  <si>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</si>
  <si>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</si>
  <si>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</si>
  <si>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</si>
  <si>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</si>
  <si>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</si>
  <si>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</si>
  <si>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</si>
  <si>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</si>
  <si>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</si>
  <si>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</si>
  <si>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</si>
  <si>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</si>
  <si>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</si>
  <si>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</si>
  <si>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</si>
  <si>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</si>
  <si>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</si>
  <si>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</si>
  <si>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</si>
  <si>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</si>
  <si>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</si>
  <si>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</si>
  <si>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</si>
  <si>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</si>
  <si>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</si>
  <si>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</si>
  <si>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</si>
  <si>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</si>
  <si>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</si>
  <si>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</si>
  <si>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</si>
  <si>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</si>
  <si>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</si>
  <si>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</si>
  <si>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</si>
  <si>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</si>
  <si>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</si>
  <si>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</si>
  <si>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</si>
  <si>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</si>
  <si>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</si>
  <si>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</si>
  <si>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</si>
  <si>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</si>
  <si>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</si>
  <si>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</si>
  <si>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</si>
  <si>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</si>
  <si>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</si>
  <si>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</si>
  <si>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</si>
  <si>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</si>
  <si>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</si>
  <si>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</si>
  <si>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</si>
  <si>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</si>
  <si>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</si>
  <si>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</si>
  <si>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</si>
  <si>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</si>
  <si>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</si>
  <si>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</si>
  <si>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</si>
  <si>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</si>
  <si>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</si>
  <si>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</si>
  <si>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</si>
  <si>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</si>
  <si>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</si>
  <si>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</si>
  <si>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</si>
  <si>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</si>
  <si>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</si>
  <si>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</si>
  <si>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</si>
  <si>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</si>
  <si>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</si>
  <si>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</si>
  <si>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</si>
  <si>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</si>
  <si>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</si>
  <si>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</si>
  <si>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</si>
  <si>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</si>
  <si>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</si>
  <si>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</si>
  <si>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</si>
  <si>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</si>
  <si>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</si>
  <si>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</si>
  <si>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</si>
  <si>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</si>
  <si>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</si>
  <si>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</si>
  <si>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</si>
  <si>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</si>
  <si>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</si>
  <si>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</si>
  <si>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</si>
  <si>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</si>
  <si>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</si>
  <si>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</si>
  <si>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</si>
  <si>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</si>
  <si>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</si>
  <si>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</si>
  <si>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</si>
  <si>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</si>
  <si>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</si>
  <si>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</si>
  <si>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</si>
  <si>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</si>
  <si>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</si>
  <si>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</si>
  <si>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</si>
  <si>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</si>
  <si>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</si>
  <si>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</si>
  <si>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</si>
  <si>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</si>
  <si>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</si>
  <si>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</si>
  <si>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</si>
  <si>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</si>
  <si>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</si>
  <si>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</si>
  <si>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</si>
  <si>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</si>
  <si>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</si>
  <si>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lamitech</t>
  </si>
  <si>
    <t>SANTIAGO</t>
  </si>
  <si>
    <t>ALEJANDRO RODRIGUEZ</t>
  </si>
  <si>
    <t>+569 8222 4604</t>
  </si>
  <si>
    <t>BLANCO MERINO 22191 SF</t>
  </si>
  <si>
    <t>N° 11118</t>
  </si>
  <si>
    <t>URGENTE</t>
  </si>
  <si>
    <t>SI</t>
  </si>
  <si>
    <t>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</si>
</sst>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0" fillId="0" borderId="1" xfId="0" applyBorder="1"/>
    <xf numFmtId="41" fontId="0" fillId="0" borderId="1" xfId="4" applyFont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DESPACHAN CON SOBRE MEDIDA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3" zoomScaleNormal="93" workbookViewId="0">
      <selection activeCell="J17" sqref="J1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169</v>
      </c>
      <c r="D10" s="243"/>
      <c r="E10" s="243"/>
      <c r="F10" s="244" t="s">
        <v>0</v>
      </c>
      <c r="G10" s="277">
        <v>45572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174</v>
      </c>
      <c r="H12" s="248"/>
      <c r="P12" s="19"/>
      <c r="Q12" s="25"/>
      <c r="R12" s="19"/>
    </row>
    <row r="13" spans="2:23" x14ac:dyDescent="0.3">
      <c r="B13" s="288" t="s">
        <v>147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170</v>
      </c>
      <c r="D15" s="314"/>
      <c r="F15" t="s">
        <v>135</v>
      </c>
      <c r="G15" s="312" t="s">
        <v>136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168</v>
      </c>
      <c r="D17" s="317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 t="e">
        <f>N38</f>
        <v>#DIV/0!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4" t="s">
        <v>36</v>
      </c>
      <c r="D21" s="325">
        <v>2.1</v>
      </c>
      <c r="E21" s="325">
        <v>0.6</v>
      </c>
      <c r="F21" s="324" t="s">
        <v>171</v>
      </c>
      <c r="G21" s="326">
        <v>106955</v>
      </c>
      <c r="H21" s="326">
        <f>G21*B21</f>
        <v>106955</v>
      </c>
      <c r="I21" s="265"/>
      <c r="J21" s="47"/>
      <c r="K21" s="47"/>
      <c r="L21" s="39">
        <f>D21+L19</f>
        <v>2.15</v>
      </c>
      <c r="M21" s="39">
        <f>E21</f>
        <v>0.6</v>
      </c>
      <c r="N21" s="261">
        <f t="shared" ref="N21" si="1">L21*M21</f>
        <v>1.2899999999999998</v>
      </c>
      <c r="O21" s="259">
        <f t="shared" ref="O21" si="2">N21*K21</f>
        <v>0</v>
      </c>
      <c r="P21" s="252" t="e">
        <f t="shared" ref="P21" si="3">P$20*N21</f>
        <v>#DIV/0!</v>
      </c>
      <c r="Q21" s="327" t="e">
        <f t="shared" ref="Q21" si="4">P21+Q$20</f>
        <v>#DIV/0!</v>
      </c>
      <c r="R21" s="298"/>
      <c r="S21" s="46">
        <f>M21*2*K21</f>
        <v>0</v>
      </c>
      <c r="T21" s="9"/>
      <c r="W21" s="4"/>
    </row>
    <row r="22" spans="2:24" ht="17.399999999999999" x14ac:dyDescent="0.3">
      <c r="G22" s="344" t="s">
        <v>175</v>
      </c>
      <c r="H22" s="345">
        <v>10696</v>
      </c>
      <c r="I22" s="265"/>
      <c r="J22" s="47"/>
      <c r="K22" s="47"/>
      <c r="L22" s="39"/>
      <c r="M22" s="39"/>
      <c r="N22" s="261"/>
      <c r="O22" s="259"/>
      <c r="P22" s="252"/>
      <c r="Q22" s="327"/>
      <c r="R22" s="298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0"/>
      <c r="H23" s="331"/>
      <c r="I23" s="233"/>
      <c r="J23" s="47"/>
      <c r="K23" s="47"/>
      <c r="L23" s="39"/>
      <c r="M23" s="39"/>
      <c r="N23" s="261"/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28" t="s">
        <v>29</v>
      </c>
      <c r="H24" s="329">
        <f>SUM(H21:H23)</f>
        <v>117651</v>
      </c>
      <c r="I24" s="265"/>
      <c r="J24" s="47">
        <v>2600000</v>
      </c>
      <c r="K24" s="47"/>
      <c r="L24" s="39">
        <f>SUM(L22:L23)</f>
        <v>0</v>
      </c>
      <c r="M24" s="39"/>
      <c r="N24" s="261"/>
      <c r="O24" s="259"/>
      <c r="P24" s="252"/>
      <c r="Q24" s="258"/>
      <c r="R24" s="298"/>
      <c r="S24" s="46">
        <f>SUM(S21:S23)</f>
        <v>0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/>
      <c r="I25" s="265"/>
      <c r="J25" s="47"/>
      <c r="K25" s="47"/>
      <c r="L25" s="39"/>
      <c r="M25" s="12"/>
      <c r="N25" s="12"/>
      <c r="O25" s="253">
        <f>SUM(O21:O21)</f>
        <v>0</v>
      </c>
      <c r="P25" s="14"/>
      <c r="Q25" s="12"/>
      <c r="R25" s="239"/>
      <c r="S25" s="46">
        <f>S24*20%</f>
        <v>0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117651</v>
      </c>
      <c r="I26" s="265"/>
      <c r="J26" s="47"/>
      <c r="K26" s="47"/>
      <c r="L26" s="39"/>
      <c r="M26" s="12"/>
      <c r="N26" s="12"/>
      <c r="O26" s="253">
        <f>O25</f>
        <v>0</v>
      </c>
      <c r="P26" s="14"/>
      <c r="Q26" s="12"/>
      <c r="R26" s="239">
        <f>SUM(R21:R25)</f>
        <v>0</v>
      </c>
      <c r="S26" s="46">
        <f>S24+S25</f>
        <v>0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0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3" t="s">
        <v>22</v>
      </c>
      <c r="U29" s="300" t="s">
        <v>153</v>
      </c>
      <c r="V29" s="304">
        <v>44971</v>
      </c>
      <c r="W29" s="305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0</v>
      </c>
      <c r="M30" s="12">
        <v>3500</v>
      </c>
      <c r="N30" s="12">
        <f t="shared" ref="N30:N35" si="5">L30*M30</f>
        <v>0</v>
      </c>
      <c r="O30" s="14" t="s">
        <v>22</v>
      </c>
      <c r="P30" s="14"/>
      <c r="Q30" s="14"/>
      <c r="R30" s="241"/>
      <c r="S30" s="14"/>
      <c r="T30" s="303" t="s">
        <v>154</v>
      </c>
      <c r="U30" s="300">
        <v>3625</v>
      </c>
      <c r="V30" s="59" t="s">
        <v>155</v>
      </c>
      <c r="W30" s="305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 t="s">
        <v>167</v>
      </c>
      <c r="K31" s="47"/>
      <c r="L31" s="249">
        <v>0.75</v>
      </c>
      <c r="M31" s="12">
        <v>25000</v>
      </c>
      <c r="N31" s="12">
        <f t="shared" si="5"/>
        <v>18750</v>
      </c>
      <c r="O31" s="39" t="s">
        <v>32</v>
      </c>
      <c r="P31" s="42"/>
      <c r="Q31" s="14"/>
      <c r="R31" s="240"/>
      <c r="S31" s="14"/>
      <c r="T31" s="303"/>
      <c r="U31" s="59">
        <v>906.25</v>
      </c>
      <c r="V31" s="59" t="s">
        <v>156</v>
      </c>
      <c r="W31" s="305"/>
    </row>
    <row r="32" spans="2:24" s="230" customFormat="1" ht="17.399999999999999" x14ac:dyDescent="0.35">
      <c r="I32" s="262"/>
      <c r="J32" s="232">
        <v>40754</v>
      </c>
      <c r="K32" s="250">
        <v>34989</v>
      </c>
      <c r="L32" s="14"/>
      <c r="M32" s="250">
        <v>61840</v>
      </c>
      <c r="N32" s="12">
        <f t="shared" si="5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5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>
        <v>26644</v>
      </c>
      <c r="K33" s="250">
        <v>22025</v>
      </c>
      <c r="L33" s="14">
        <v>1</v>
      </c>
      <c r="M33" s="250">
        <v>22500</v>
      </c>
      <c r="N33" s="12">
        <f t="shared" si="5"/>
        <v>22500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5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5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K35" s="250"/>
      <c r="L35" s="266">
        <v>4.3499999999999996</v>
      </c>
      <c r="M35" s="12">
        <v>1500</v>
      </c>
      <c r="N35" s="12">
        <f t="shared" si="5"/>
        <v>6524.9999999999991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47775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105105.00000000001</v>
      </c>
      <c r="O37" s="14" t="s">
        <v>141</v>
      </c>
      <c r="P37" s="14"/>
      <c r="Q37" s="40">
        <f>O28/Q36</f>
        <v>0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55470</v>
      </c>
      <c r="K38" s="250"/>
      <c r="L38" s="14"/>
      <c r="M38" s="12"/>
      <c r="N38" s="12" t="e">
        <f>N37/O26</f>
        <v>#DIV/0!</v>
      </c>
      <c r="O38" s="45" t="s">
        <v>25</v>
      </c>
      <c r="P38" s="14"/>
      <c r="Q38" s="14"/>
      <c r="R38"/>
      <c r="S38" s="238"/>
      <c r="T38" s="59" t="s">
        <v>159</v>
      </c>
      <c r="U38" s="300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46613.445378151264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01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2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45572</v>
      </c>
    </row>
    <row r="6" spans="2:31" ht="16.2" thickBot="1" x14ac:dyDescent="0.35">
      <c r="B6" s="140" t="s">
        <v>2</v>
      </c>
      <c r="C6" s="139" t="str">
        <f>'2229'!C10</f>
        <v>ALEJANDRO RODRIGUEZ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11118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-6247.8750334541064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117651</v>
      </c>
      <c r="E11" s="132">
        <f>D11*0.19</f>
        <v>22353.69</v>
      </c>
      <c r="F11" s="131">
        <f>E11+D11</f>
        <v>140004.69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99742.124966545889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48584.090787439614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81742.124966545889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69066.909212560393</v>
      </c>
      <c r="E13" s="221">
        <f>(D11/D12)-1</f>
        <v>1.4215951784450431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72742.124966545889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33742.124966545896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80163.749799275363</v>
      </c>
      <c r="F15" s="216">
        <f>E15-D12</f>
        <v>31579.659011835749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33742.124966545896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73742.124966545889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18750</v>
      </c>
      <c r="E19" s="123">
        <f>D19*0.19</f>
        <v>3562.5</v>
      </c>
      <c r="F19" s="120">
        <f>SUM(D19:E19)</f>
        <v>22312.5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18750</v>
      </c>
      <c r="E21" s="116">
        <f>SUM(E18:E20)</f>
        <v>3562.5</v>
      </c>
      <c r="F21" s="115">
        <f>SUM(F18:F20)</f>
        <v>22312.5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18791.189999999999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117651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18750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69066.909212560393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69066.909212560393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2024-10-07T19:26:30Z</dcterms:modified>
</cp:coreProperties>
</file>