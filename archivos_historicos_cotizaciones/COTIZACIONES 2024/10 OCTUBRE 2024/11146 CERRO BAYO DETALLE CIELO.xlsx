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B5EF4838-A084-4C58-B5C2-F1537443F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K23" i="1"/>
  <c r="L23" i="1"/>
  <c r="M23" i="1"/>
  <c r="L22" i="1"/>
  <c r="M22" i="1"/>
  <c r="W41" i="1"/>
  <c r="W37" i="1"/>
  <c r="V34" i="1"/>
  <c r="X24" i="1"/>
  <c r="R23" i="1" l="1"/>
  <c r="N23" i="1"/>
  <c r="O23" i="1" s="1"/>
  <c r="N22" i="1"/>
  <c r="R22" i="1"/>
  <c r="O22" i="1"/>
  <c r="K10" i="1"/>
  <c r="J40" i="1" l="1"/>
  <c r="L21" i="1" l="1"/>
  <c r="L26" i="1" s="1"/>
  <c r="M21" i="1"/>
  <c r="N21" i="1" l="1"/>
  <c r="R21" i="1"/>
  <c r="U21" i="1" s="1"/>
  <c r="N33" i="1"/>
  <c r="O21" i="1" l="1"/>
  <c r="O25" i="1" s="1"/>
  <c r="S45" i="1"/>
  <c r="O26" i="1" l="1"/>
  <c r="O27" i="1" s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28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E15" i="3"/>
  <c r="P20" i="1" l="1"/>
  <c r="F15" i="3"/>
  <c r="P22" i="1" l="1"/>
  <c r="Q22" i="1" s="1"/>
  <c r="H22" i="1" s="1"/>
  <c r="P23" i="1"/>
  <c r="Q23" i="1" s="1"/>
  <c r="H23" i="1" s="1"/>
  <c r="P21" i="1"/>
  <c r="R28" i="1"/>
  <c r="T20" i="1" l="1"/>
  <c r="Q21" i="1"/>
  <c r="H21" i="1" l="1"/>
  <c r="H26" i="1" s="1"/>
  <c r="H27" i="1" l="1"/>
  <c r="H28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<sst xmlns="http://schemas.openxmlformats.org/spreadsheetml/2006/main" count="225" uniqueCount="170">
  <si>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</si>
  <si>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</si>
  <si>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</si>
  <si>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</si>
  <si>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</si>
  <si>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</si>
  <si>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</si>
  <si>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</si>
  <si>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</si>
  <si>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</si>
  <si>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</si>
  <si>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</si>
  <si>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</si>
  <si>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</si>
  <si>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</si>
  <si>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</si>
  <si>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</si>
  <si>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</si>
  <si>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</si>
  <si>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</si>
  <si>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</si>
  <si>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</si>
  <si>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</si>
  <si>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</si>
  <si>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</si>
  <si>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</si>
  <si>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</si>
  <si>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</si>
  <si>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</si>
  <si>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</si>
  <si>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</si>
  <si>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</si>
  <si>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</si>
  <si>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</si>
  <si>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</si>
  <si>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</si>
  <si>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</si>
  <si>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</si>
  <si>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</si>
  <si>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</si>
  <si>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</si>
  <si>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</si>
  <si>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</si>
  <si>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</si>
  <si>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</si>
  <si>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</si>
  <si>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</si>
  <si>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</si>
  <si>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</si>
  <si>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</si>
  <si>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</si>
  <si>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</si>
  <si>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</si>
  <si>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</si>
  <si>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</si>
  <si>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</si>
  <si>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</si>
  <si>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</si>
  <si>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</si>
  <si>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</si>
  <si>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</si>
  <si>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</si>
  <si>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</si>
  <si>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</si>
  <si>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</si>
  <si>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</si>
  <si>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</si>
  <si>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</si>
  <si>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</si>
  <si>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</si>
  <si>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</si>
  <si>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</si>
  <si>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</si>
  <si>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</si>
  <si>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</si>
  <si>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</si>
  <si>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</si>
  <si>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</si>
  <si>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</si>
  <si>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</si>
  <si>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</si>
  <si>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</si>
  <si>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</si>
  <si>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</si>
  <si>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</si>
  <si>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</si>
  <si>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</si>
  <si>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</si>
  <si>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</si>
  <si>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</si>
  <si>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</si>
  <si>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</si>
  <si>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</si>
  <si>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</si>
  <si>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</si>
  <si>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</si>
  <si>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</si>
  <si>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</si>
  <si>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</si>
  <si>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</si>
  <si>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</si>
  <si>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</si>
  <si>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</si>
  <si>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</si>
  <si>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</si>
  <si>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</si>
  <si>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</si>
  <si>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</si>
  <si>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</si>
  <si>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</si>
  <si>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</si>
  <si>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</si>
  <si>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</si>
  <si>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</si>
  <si>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</si>
  <si>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</si>
  <si>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</si>
  <si>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</si>
  <si>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</si>
  <si>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</si>
  <si>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</si>
  <si>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</si>
  <si>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</si>
  <si>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</si>
  <si>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</si>
  <si>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</si>
  <si>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</si>
  <si>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</si>
  <si>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</si>
  <si>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</si>
  <si>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</si>
  <si>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</si>
  <si>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</si>
  <si>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</si>
  <si>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</si>
  <si>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</si>
  <si>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</si>
  <si>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</si>
  <si>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</si>
  <si>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</si>
  <si>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</si>
  <si>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</si>
  <si>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</si>
  <si>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</si>
  <si>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</si>
  <si>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</si>
  <si>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</si>
  <si>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</si>
  <si>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</si>
  <si>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</si>
  <si>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</si>
  <si>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</si>
  <si>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</si>
  <si>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</si>
  <si>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</si>
  <si>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</si>
  <si>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</si>
  <si>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MTL</t>
  </si>
  <si>
    <t>MDF30MM</t>
  </si>
  <si>
    <t>SANTIAGO</t>
  </si>
  <si>
    <t>N° 11146</t>
  </si>
  <si>
    <t>CONSTRUCTORA CERRO BAYO</t>
  </si>
  <si>
    <t>IGNACIO INOSTROZA</t>
  </si>
  <si>
    <t>569 9559 0055</t>
  </si>
  <si>
    <t>10 DIAS HABILES</t>
  </si>
  <si>
    <t>SI</t>
  </si>
  <si>
    <t xml:space="preserve">ENCHAPE RECTO </t>
  </si>
  <si>
    <t>GRAFITO 2174 MT</t>
  </si>
  <si>
    <t>ENCHAPE RECTO CURVAS</t>
  </si>
  <si>
    <t>SERVICIO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</si>
</sst>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42" fontId="1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30</xdr:row>
      <xdr:rowOff>13024</xdr:rowOff>
    </xdr:from>
    <xdr:to>
      <xdr:col>8</xdr:col>
      <xdr:colOff>31102</xdr:colOff>
      <xdr:row>33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24</xdr:row>
      <xdr:rowOff>84014</xdr:rowOff>
    </xdr:from>
    <xdr:to>
      <xdr:col>5</xdr:col>
      <xdr:colOff>1849560</xdr:colOff>
      <xdr:row>28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5,5MM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8" zoomScaleNormal="98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45595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/>
      <c r="F11" t="s">
        <v>125</v>
      </c>
      <c r="G11" s="289" t="s">
        <v>164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0" t="s">
        <v>162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165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1" t="s">
        <v>163</v>
      </c>
      <c r="D15" s="295"/>
      <c r="E15" s="247"/>
      <c r="F15" s="247" t="s">
        <v>136</v>
      </c>
      <c r="G15" s="296" t="s">
        <v>165</v>
      </c>
      <c r="H15" s="248"/>
    </row>
    <row r="16" spans="2:23" ht="15.6" x14ac:dyDescent="0.3">
      <c r="B16" s="292" t="s">
        <v>3</v>
      </c>
      <c r="C16" s="322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159</v>
      </c>
      <c r="D17" s="299"/>
      <c r="E17" s="300"/>
      <c r="F17" s="330" t="s">
        <v>154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32" t="s">
        <v>149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>
        <v>0.2</v>
      </c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17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89946.453900709224</v>
      </c>
      <c r="Q20" s="258">
        <v>2000</v>
      </c>
      <c r="R20" s="38"/>
      <c r="S20" s="14" t="s">
        <v>130</v>
      </c>
      <c r="T20" s="9">
        <f>P21/3</f>
        <v>29592.383333333335</v>
      </c>
      <c r="W20" s="44">
        <v>2.44</v>
      </c>
      <c r="X20">
        <v>1.52</v>
      </c>
    </row>
    <row r="21" spans="2:24" ht="17.399999999999999" x14ac:dyDescent="0.3">
      <c r="B21" s="325">
        <v>12</v>
      </c>
      <c r="C21" s="309" t="s">
        <v>166</v>
      </c>
      <c r="D21" s="326">
        <v>2.2999999999999998</v>
      </c>
      <c r="E21" s="326">
        <v>0.22</v>
      </c>
      <c r="F21" s="309" t="s">
        <v>167</v>
      </c>
      <c r="G21" s="310">
        <v>90777</v>
      </c>
      <c r="H21" s="311">
        <f>G21*B21</f>
        <v>1089324</v>
      </c>
      <c r="I21" s="265"/>
      <c r="J21" s="47"/>
      <c r="K21" s="323">
        <f>B21</f>
        <v>12</v>
      </c>
      <c r="L21" s="318">
        <f t="shared" ref="L21:M23" si="0">D21+L$19</f>
        <v>2.3499999999999996</v>
      </c>
      <c r="M21" s="318">
        <f t="shared" si="0"/>
        <v>0.42000000000000004</v>
      </c>
      <c r="N21" s="261">
        <f>L21*M21</f>
        <v>0.98699999999999999</v>
      </c>
      <c r="O21" s="259">
        <f>N21*K21</f>
        <v>11.843999999999999</v>
      </c>
      <c r="P21" s="252">
        <f>P$20*N21</f>
        <v>88777.150000000009</v>
      </c>
      <c r="Q21" s="258">
        <f>P21+Q$20</f>
        <v>90777.150000000009</v>
      </c>
      <c r="R21" s="308">
        <f>K21*L21</f>
        <v>28.199999999999996</v>
      </c>
      <c r="S21" s="14"/>
      <c r="T21" s="9"/>
      <c r="U21" s="319">
        <f>R21*U19</f>
        <v>422999.99999999994</v>
      </c>
      <c r="W21" s="4"/>
      <c r="X21">
        <v>19.8</v>
      </c>
    </row>
    <row r="22" spans="2:24" ht="17.399999999999999" x14ac:dyDescent="0.3">
      <c r="B22" s="325">
        <v>4</v>
      </c>
      <c r="C22" s="309" t="s">
        <v>168</v>
      </c>
      <c r="D22" s="326">
        <v>2.2999999999999998</v>
      </c>
      <c r="E22" s="326">
        <v>0.22</v>
      </c>
      <c r="F22" s="309" t="s">
        <v>167</v>
      </c>
      <c r="G22" s="310">
        <v>145980</v>
      </c>
      <c r="H22" s="311">
        <f t="shared" ref="H22:H23" si="1">G22*B22</f>
        <v>583920</v>
      </c>
      <c r="I22" s="265"/>
      <c r="J22" s="47"/>
      <c r="K22" s="323">
        <f t="shared" ref="K22:K23" si="2">B22</f>
        <v>4</v>
      </c>
      <c r="L22" s="318">
        <f t="shared" si="0"/>
        <v>2.3499999999999996</v>
      </c>
      <c r="M22" s="318">
        <f t="shared" si="0"/>
        <v>0.42000000000000004</v>
      </c>
      <c r="N22" s="261">
        <f>L22*M22</f>
        <v>0.98699999999999999</v>
      </c>
      <c r="O22" s="259">
        <f>N22*K22</f>
        <v>3.948</v>
      </c>
      <c r="P22" s="252">
        <f>P$20*N22</f>
        <v>88777.150000000009</v>
      </c>
      <c r="Q22" s="258">
        <f>P22+Q$20</f>
        <v>90777.150000000009</v>
      </c>
      <c r="R22" s="308">
        <f>K22*L22</f>
        <v>9.3999999999999986</v>
      </c>
      <c r="S22" s="14"/>
      <c r="T22" s="9"/>
      <c r="U22" s="319"/>
      <c r="W22" s="4"/>
    </row>
    <row r="23" spans="2:24" ht="17.399999999999999" x14ac:dyDescent="0.3">
      <c r="B23" s="325">
        <v>1</v>
      </c>
      <c r="C23" s="309" t="s">
        <v>169</v>
      </c>
      <c r="D23" s="326"/>
      <c r="E23" s="326"/>
      <c r="F23" s="309"/>
      <c r="G23" s="310">
        <v>850000</v>
      </c>
      <c r="H23" s="311">
        <f t="shared" si="1"/>
        <v>850000</v>
      </c>
      <c r="I23" s="265"/>
      <c r="J23" s="47"/>
      <c r="K23" s="323">
        <f t="shared" si="2"/>
        <v>1</v>
      </c>
      <c r="L23" s="318">
        <f t="shared" si="0"/>
        <v>0.05</v>
      </c>
      <c r="M23" s="318">
        <f t="shared" si="0"/>
        <v>0.2</v>
      </c>
      <c r="N23" s="261">
        <f>L23*M23</f>
        <v>1.0000000000000002E-2</v>
      </c>
      <c r="O23" s="259">
        <f>N23*K23</f>
        <v>1.0000000000000002E-2</v>
      </c>
      <c r="P23" s="252">
        <f>P$20*N23</f>
        <v>899.46453900709241</v>
      </c>
      <c r="Q23" s="258">
        <f>P23+Q$20</f>
        <v>2899.4645390070923</v>
      </c>
      <c r="R23" s="308">
        <f>K23*L23</f>
        <v>0.05</v>
      </c>
      <c r="S23" s="14"/>
      <c r="T23" s="9"/>
      <c r="U23" s="319"/>
      <c r="W23" s="4"/>
    </row>
    <row r="24" spans="2:24" ht="17.399999999999999" x14ac:dyDescent="0.3">
      <c r="B24" s="286"/>
      <c r="C24" s="286"/>
      <c r="D24" s="287"/>
      <c r="E24" s="287"/>
      <c r="F24" s="286"/>
      <c r="G24" s="52"/>
      <c r="H24" s="327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  <c r="X24">
        <f>SUM(X21:X21)</f>
        <v>19.8</v>
      </c>
    </row>
    <row r="25" spans="2:24" ht="18" x14ac:dyDescent="0.3">
      <c r="B25" s="286"/>
      <c r="C25" s="286"/>
      <c r="D25" s="287"/>
      <c r="E25" s="287"/>
      <c r="F25" s="286"/>
      <c r="G25" s="265"/>
      <c r="H25" s="328"/>
      <c r="I25" s="232"/>
      <c r="J25" s="47"/>
      <c r="K25" s="47"/>
      <c r="L25" s="39"/>
      <c r="M25" s="39"/>
      <c r="N25" s="261"/>
      <c r="O25" s="253">
        <f>SUM(O21:O22)</f>
        <v>15.792</v>
      </c>
      <c r="P25" s="252"/>
      <c r="Q25" s="258"/>
      <c r="R25" s="308"/>
      <c r="S25" s="14"/>
      <c r="T25" s="9"/>
      <c r="W25" s="4"/>
    </row>
    <row r="26" spans="2:24" ht="18" x14ac:dyDescent="0.35">
      <c r="B26" s="286"/>
      <c r="C26" s="286"/>
      <c r="D26" s="287"/>
      <c r="E26" s="287"/>
      <c r="F26" s="286"/>
      <c r="G26" s="329" t="s">
        <v>30</v>
      </c>
      <c r="H26" s="324">
        <f>SUM(H21:H25)</f>
        <v>2523244</v>
      </c>
      <c r="I26" s="265"/>
      <c r="J26" s="47">
        <v>8698974</v>
      </c>
      <c r="K26" s="47"/>
      <c r="L26" s="39">
        <f>SUM(L21:L25)</f>
        <v>4.7499999999999991</v>
      </c>
      <c r="M26" s="39"/>
      <c r="N26" s="261"/>
      <c r="O26" s="253">
        <f>O25</f>
        <v>15.792</v>
      </c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H26*19%</f>
        <v>479416.36</v>
      </c>
      <c r="I27" s="265"/>
      <c r="J27" s="47"/>
      <c r="K27" s="47"/>
      <c r="L27" s="39"/>
      <c r="M27" s="12"/>
      <c r="N27" s="12"/>
      <c r="O27" s="39">
        <f>O26*20%</f>
        <v>3.1584000000000003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3002660.36</v>
      </c>
      <c r="I28" s="265"/>
      <c r="J28" s="47"/>
      <c r="K28" s="47"/>
      <c r="L28" s="39"/>
      <c r="M28" s="12"/>
      <c r="N28" s="12"/>
      <c r="O28" s="46">
        <f>O26+O27</f>
        <v>18.950400000000002</v>
      </c>
      <c r="P28" s="14"/>
      <c r="Q28" s="12"/>
      <c r="R28" s="238">
        <f>SUM(R21:R27)</f>
        <v>37.649999999999991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H29" s="47"/>
      <c r="I29" s="265"/>
      <c r="J29" s="47"/>
      <c r="K29" s="47"/>
      <c r="L29" s="39"/>
      <c r="M29" s="12"/>
      <c r="N29" s="12"/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5"/>
      <c r="K30" s="47"/>
      <c r="L30" s="14"/>
      <c r="M30" s="12"/>
      <c r="N30" s="12"/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5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O28*2</f>
        <v>37.900800000000004</v>
      </c>
      <c r="M32" s="12">
        <v>2500</v>
      </c>
      <c r="N32" s="12">
        <f t="shared" ref="N32:N37" si="3">L32*M32</f>
        <v>94752.000000000015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5</v>
      </c>
      <c r="M33" s="12">
        <v>14100</v>
      </c>
      <c r="N33" s="12">
        <f t="shared" si="3"/>
        <v>70500</v>
      </c>
      <c r="O33" s="39" t="s">
        <v>155</v>
      </c>
      <c r="P33" s="42"/>
      <c r="Q33" s="14"/>
      <c r="R33" s="239"/>
      <c r="S33" s="14"/>
      <c r="T33" s="9"/>
      <c r="V33">
        <v>1520</v>
      </c>
      <c r="W33" s="9" t="s">
        <v>157</v>
      </c>
    </row>
    <row r="34" spans="2:23" s="230" customFormat="1" ht="17.399999999999999" x14ac:dyDescent="0.35">
      <c r="I34" s="262"/>
      <c r="J34" s="47"/>
      <c r="K34" s="250"/>
      <c r="L34" s="14"/>
      <c r="M34" s="250">
        <v>55000</v>
      </c>
      <c r="N34" s="12">
        <f t="shared" si="3"/>
        <v>0</v>
      </c>
      <c r="O34" s="39" t="s">
        <v>32</v>
      </c>
      <c r="P34" s="42"/>
      <c r="R34" s="239"/>
      <c r="S34" s="256"/>
      <c r="V34" s="231">
        <f>V33/33</f>
        <v>46.060606060606062</v>
      </c>
      <c r="W34" s="230">
        <v>112.24</v>
      </c>
    </row>
    <row r="35" spans="2:23" s="230" customFormat="1" ht="17.399999999999999" x14ac:dyDescent="0.35">
      <c r="B35" s="24" t="s">
        <v>153</v>
      </c>
      <c r="I35" s="262"/>
      <c r="J35" s="314"/>
      <c r="K35" s="250"/>
      <c r="L35" s="14">
        <v>10</v>
      </c>
      <c r="M35" s="250">
        <v>48040</v>
      </c>
      <c r="N35" s="12">
        <f t="shared" si="3"/>
        <v>480400</v>
      </c>
      <c r="O35" s="14" t="s">
        <v>143</v>
      </c>
      <c r="P35" s="17"/>
      <c r="R35" s="237"/>
      <c r="S35" s="256"/>
      <c r="V35" s="231"/>
      <c r="W35" s="230">
        <v>112.24</v>
      </c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4"/>
      <c r="K36" s="250"/>
      <c r="L36" s="249"/>
      <c r="M36" s="250">
        <v>800</v>
      </c>
      <c r="N36" s="12">
        <f t="shared" si="3"/>
        <v>0</v>
      </c>
      <c r="O36" s="14" t="s">
        <v>34</v>
      </c>
      <c r="P36" s="14"/>
      <c r="Q36" s="230">
        <v>1.52</v>
      </c>
      <c r="R36" s="237"/>
      <c r="S36" s="237"/>
      <c r="W36" s="230">
        <v>112.24</v>
      </c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/>
      <c r="M37" s="12">
        <v>3500</v>
      </c>
      <c r="N37" s="12">
        <f t="shared" si="3"/>
        <v>0</v>
      </c>
      <c r="O37" s="14" t="s">
        <v>24</v>
      </c>
      <c r="P37" s="14"/>
      <c r="Q37">
        <v>2.44</v>
      </c>
      <c r="R37"/>
      <c r="S37" s="237">
        <v>1500</v>
      </c>
      <c r="W37" s="231">
        <f>SUM(W34:W36)</f>
        <v>336.71999999999997</v>
      </c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645652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48040</v>
      </c>
      <c r="K39" s="250"/>
      <c r="L39" s="254" t="s">
        <v>35</v>
      </c>
      <c r="M39" s="12"/>
      <c r="N39" s="255">
        <f>N38*2.2</f>
        <v>1420434.4000000001</v>
      </c>
      <c r="O39" s="14" t="s">
        <v>142</v>
      </c>
      <c r="P39" s="14"/>
      <c r="Q39" s="46">
        <f>O26/Q38</f>
        <v>4.257981018119068</v>
      </c>
      <c r="R39"/>
      <c r="S39" s="257" t="e">
        <f>S38/#REF!</f>
        <v>#REF!</v>
      </c>
      <c r="V39" s="230" t="s">
        <v>158</v>
      </c>
      <c r="W39" s="230">
        <v>4</v>
      </c>
    </row>
    <row r="40" spans="2:23" s="230" customFormat="1" ht="17.399999999999999" x14ac:dyDescent="0.35">
      <c r="G40"/>
      <c r="H40" s="260"/>
      <c r="I40" s="260"/>
      <c r="J40" s="47">
        <f>J39/1.19</f>
        <v>40369.747899159665</v>
      </c>
      <c r="K40" s="250"/>
      <c r="L40" s="14"/>
      <c r="M40" s="12"/>
      <c r="N40" s="12">
        <f>N39/O26</f>
        <v>89946.453900709224</v>
      </c>
      <c r="O40" s="45" t="s">
        <v>26</v>
      </c>
      <c r="P40" s="14"/>
      <c r="Q40" s="14"/>
      <c r="R40"/>
      <c r="S40" s="237"/>
      <c r="V40" s="230">
        <v>48000</v>
      </c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  <c r="W41" s="230">
        <f>V40*W39</f>
        <v>192000</v>
      </c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O28/S45</f>
        <v>4.1421639344262298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45595</v>
      </c>
    </row>
    <row r="6" spans="2:31" ht="16.2" thickBot="1" x14ac:dyDescent="0.35">
      <c r="B6" s="140" t="s">
        <v>2</v>
      </c>
      <c r="C6" s="139" t="str">
        <f>'2229'!C10</f>
        <v>CONSTRUCTORA CERRO BAYO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100</v>
      </c>
      <c r="I7" s="337"/>
      <c r="J7" s="337"/>
      <c r="K7" s="338"/>
      <c r="N7" s="75"/>
      <c r="O7" s="33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53648.674966545892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159638.67496654589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195086.09078743961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141638.67496654589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-195086.09078743961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132638.67496654589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93638.674966545892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321892.04979927535</v>
      </c>
      <c r="F15" s="216">
        <f>E15-D12</f>
        <v>126805.95901183574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93638.674966545892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133638.67496654589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70500</v>
      </c>
      <c r="E19" s="123">
        <f>D19*0.19</f>
        <v>13395</v>
      </c>
      <c r="F19" s="120">
        <f>SUM(D19:E19)</f>
        <v>83895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94752.000000000015</v>
      </c>
      <c r="E20" s="121">
        <f>D20*0.19</f>
        <v>18002.880000000005</v>
      </c>
      <c r="F20" s="120">
        <f>SUM(D20:E20)</f>
        <v>112754.88000000002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165252</v>
      </c>
      <c r="E21" s="116">
        <f>SUM(E18:E20)</f>
        <v>31397.880000000005</v>
      </c>
      <c r="F21" s="115">
        <f>SUM(F18:F20)</f>
        <v>196649.88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-31397.880000000005</v>
      </c>
    </row>
    <row r="41" spans="2:16" ht="15" thickBot="1" x14ac:dyDescent="0.35">
      <c r="H41" s="339" t="s">
        <v>62</v>
      </c>
      <c r="I41" s="340"/>
      <c r="J41" s="340"/>
      <c r="K41" s="340"/>
      <c r="L41" s="340"/>
      <c r="M41" s="34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165252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-195086.09078743961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-195086.09078743961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2024-10-29T20:35:19Z</cp:lastPrinted>
  <dcterms:created xsi:type="dcterms:W3CDTF">2013-03-18T13:35:42Z</dcterms:created>
  <dcterms:modified xsi:type="dcterms:W3CDTF">2024-10-30T12:53:05Z</dcterms:modified>
</cp:coreProperties>
</file>