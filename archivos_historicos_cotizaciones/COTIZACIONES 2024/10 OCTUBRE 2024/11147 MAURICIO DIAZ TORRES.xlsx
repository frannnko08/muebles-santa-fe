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967693AC-1B36-4733-98D1-ABA3639B72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K21" i="1"/>
  <c r="K22" i="1"/>
  <c r="K23" i="1"/>
  <c r="L23" i="1"/>
  <c r="M23" i="1"/>
  <c r="L22" i="1"/>
  <c r="M22" i="1"/>
  <c r="W41" i="1"/>
  <c r="W37" i="1"/>
  <c r="V34" i="1"/>
  <c r="X24" i="1"/>
  <c r="R23" i="1" l="1"/>
  <c r="N23" i="1"/>
  <c r="O23" i="1" s="1"/>
  <c r="N22" i="1"/>
  <c r="O22" i="1" s="1"/>
  <c r="R22" i="1"/>
  <c r="K10" i="1"/>
  <c r="J40" i="1" l="1"/>
  <c r="L21" i="1" l="1"/>
  <c r="L26" i="1" s="1"/>
  <c r="M21" i="1"/>
  <c r="N21" i="1" l="1"/>
  <c r="O21" i="1" s="1"/>
  <c r="R21" i="1"/>
  <c r="U21" i="1" s="1"/>
  <c r="N33" i="1"/>
  <c r="O25" i="1" l="1"/>
  <c r="S45" i="1"/>
  <c r="O26" i="1" l="1"/>
  <c r="O27" i="1" s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28" i="1" l="1"/>
  <c r="N32" i="1" l="1"/>
  <c r="S46" i="1"/>
  <c r="N38" i="1" l="1"/>
  <c r="N39" i="1" s="1"/>
  <c r="N40" i="1" s="1"/>
  <c r="D20" i="3"/>
  <c r="E20" i="3" s="1"/>
  <c r="E21" i="3" s="1"/>
  <c r="N41" i="1" l="1"/>
  <c r="D21" i="3"/>
  <c r="M43" i="3" s="1"/>
  <c r="D12" i="3" s="1"/>
  <c r="F20" i="3"/>
  <c r="F21" i="3" s="1"/>
  <c r="E15" i="3" l="1"/>
  <c r="P20" i="1" l="1"/>
  <c r="F15" i="3"/>
  <c r="P22" i="1" l="1"/>
  <c r="Q22" i="1" s="1"/>
  <c r="P23" i="1"/>
  <c r="Q23" i="1" s="1"/>
  <c r="P21" i="1"/>
  <c r="R28" i="1"/>
  <c r="G23" i="1" l="1"/>
  <c r="H23" i="1" s="1"/>
  <c r="G22" i="1"/>
  <c r="H22" i="1" s="1"/>
  <c r="T20" i="1"/>
  <c r="Q21" i="1"/>
  <c r="G21" i="1" s="1"/>
  <c r="H21" i="1" l="1"/>
  <c r="H25" i="1" s="1"/>
  <c r="H26" i="1" l="1"/>
  <c r="H27" i="1" s="1"/>
  <c r="D11" i="3"/>
  <c r="M42" i="3" s="1"/>
  <c r="M46" i="3" s="1"/>
  <c r="M49" i="3" s="1"/>
  <c r="E13" i="3" l="1"/>
  <c r="D13" i="3"/>
  <c r="E11" i="3"/>
  <c r="X9" i="3"/>
  <c r="D40" i="3" l="1"/>
  <c r="F11" i="3"/>
  <c r="X12" i="3"/>
  <c r="X13" i="3"/>
  <c r="X11" i="3"/>
  <c r="X15" i="3"/>
  <c r="X14" i="3"/>
  <c r="X16" i="3"/>
</calcChain>
</file>

<file path=xl/sharedStrings.xml><?xml version="1.0" encoding="utf-8"?>
<sst xmlns="http://schemas.openxmlformats.org/spreadsheetml/2006/main" count="225" uniqueCount="166">
  <si>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</si>
  <si>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</si>
  <si>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</si>
  <si>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</si>
  <si>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</si>
  <si>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</si>
  <si>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</si>
  <si>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</si>
  <si>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</si>
  <si>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</si>
  <si>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</si>
  <si>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</si>
  <si>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</si>
  <si>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</si>
  <si>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</si>
  <si>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</si>
  <si>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</si>
  <si>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</si>
  <si>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</si>
  <si>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</si>
  <si>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</si>
  <si>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</si>
  <si>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</si>
  <si>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</si>
  <si>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</si>
  <si>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</si>
  <si>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</si>
  <si>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</si>
  <si>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</si>
  <si>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</si>
  <si>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</si>
  <si>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</si>
  <si>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</si>
  <si>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</si>
  <si>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</si>
  <si>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</si>
  <si>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</si>
  <si>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</si>
  <si>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</si>
  <si>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</si>
  <si>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</si>
  <si>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</si>
  <si>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</si>
  <si>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</si>
  <si>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</si>
  <si>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</si>
  <si>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</si>
  <si>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</si>
  <si>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</si>
  <si>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</si>
  <si>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</si>
  <si>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</si>
  <si>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</si>
  <si>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</si>
  <si>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</si>
  <si>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</si>
  <si>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</si>
  <si>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</si>
  <si>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</si>
  <si>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</si>
  <si>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</si>
  <si>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</si>
  <si>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</si>
  <si>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</si>
  <si>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</si>
  <si>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</si>
  <si>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</si>
  <si>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</si>
  <si>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</si>
  <si>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</si>
  <si>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</si>
  <si>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</si>
  <si>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</si>
  <si>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</si>
  <si>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</si>
  <si>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</si>
  <si>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</si>
  <si>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</si>
  <si>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</si>
  <si>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</si>
  <si>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</si>
  <si>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</si>
  <si>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</si>
  <si>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</si>
  <si>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</si>
  <si>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</si>
  <si>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</si>
  <si>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</si>
  <si>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</si>
  <si>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</si>
  <si>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</si>
  <si>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</si>
  <si>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</si>
  <si>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</si>
  <si>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</si>
  <si>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</si>
  <si>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</si>
  <si>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</si>
  <si>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</si>
  <si>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</si>
  <si>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</si>
  <si>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</si>
  <si>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</si>
  <si>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</si>
  <si>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</si>
  <si>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</si>
  <si>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</si>
  <si>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</si>
  <si>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</si>
  <si>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</si>
  <si>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</si>
  <si>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</si>
  <si>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</si>
  <si>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</si>
  <si>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</si>
  <si>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</si>
  <si>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</si>
  <si>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</si>
  <si>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</si>
  <si>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</si>
  <si>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</si>
  <si>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</si>
  <si>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</si>
  <si>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</si>
  <si>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</si>
  <si>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</si>
  <si>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</si>
  <si>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</si>
  <si>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</si>
  <si>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</si>
  <si>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</si>
  <si>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</si>
  <si>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</si>
  <si>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</si>
  <si>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</si>
  <si>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</si>
  <si>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</si>
  <si>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</si>
  <si>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</si>
  <si>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</si>
  <si>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</si>
  <si>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</si>
  <si>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</si>
  <si>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</si>
  <si>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</si>
  <si>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</si>
  <si>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</si>
  <si>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</si>
  <si>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</si>
  <si>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</si>
  <si>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</si>
  <si>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</si>
  <si>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</si>
  <si>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</si>
  <si>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</si>
  <si>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ABONO 50%, SALDO C/E</t>
  </si>
  <si>
    <t>MTL</t>
  </si>
  <si>
    <t>MDF30MM</t>
  </si>
  <si>
    <t>SANTIAGO</t>
  </si>
  <si>
    <t xml:space="preserve">ENCHAPE RECTO </t>
  </si>
  <si>
    <t>FASHION GREY GL</t>
  </si>
  <si>
    <t>MDF18MM</t>
  </si>
  <si>
    <t>MAURICIO DIAZ TORRES</t>
  </si>
  <si>
    <t>+569 6737 0411</t>
  </si>
  <si>
    <t>5 DIAS HABILES</t>
  </si>
  <si>
    <t>N° 11147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</si>
</sst>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6" fontId="3" fillId="7" borderId="0" xfId="0" applyNumberFormat="1" applyFont="1" applyFill="1"/>
    <xf numFmtId="41" fontId="0" fillId="0" borderId="0" xfId="4" applyFont="1"/>
    <xf numFmtId="0" fontId="35" fillId="0" borderId="0" xfId="0" applyFont="1"/>
    <xf numFmtId="0" fontId="36" fillId="0" borderId="0" xfId="0" applyFont="1"/>
    <xf numFmtId="167" fontId="0" fillId="21" borderId="0" xfId="0" applyNumberFormat="1" applyFill="1"/>
    <xf numFmtId="166" fontId="32" fillId="0" borderId="6" xfId="0" applyNumberFormat="1" applyFont="1" applyBorder="1" applyAlignment="1">
      <alignment horizontal="center" vertical="center"/>
    </xf>
    <xf numFmtId="42" fontId="33" fillId="0" borderId="0" xfId="8" applyFont="1" applyFill="1" applyBorder="1"/>
    <xf numFmtId="0" fontId="11" fillId="0" borderId="28" xfId="0" applyFont="1" applyBorder="1" applyAlignment="1">
      <alignment horizontal="center"/>
    </xf>
    <xf numFmtId="42" fontId="1" fillId="0" borderId="27" xfId="0" applyNumberFormat="1" applyFont="1" applyBorder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 vertical="center"/>
    </xf>
    <xf numFmtId="166" fontId="32" fillId="0" borderId="57" xfId="0" applyNumberFormat="1" applyFont="1" applyBorder="1" applyAlignment="1">
      <alignment horizontal="center" vertical="center"/>
    </xf>
    <xf numFmtId="167" fontId="11" fillId="0" borderId="57" xfId="2" applyNumberFormat="1" applyFont="1" applyFill="1" applyBorder="1" applyAlignment="1">
      <alignment horizontal="center" vertical="center"/>
    </xf>
    <xf numFmtId="167" fontId="11" fillId="0" borderId="45" xfId="2" applyNumberFormat="1" applyFont="1" applyFill="1" applyBorder="1" applyAlignment="1">
      <alignment horizontal="center" vertical="center"/>
    </xf>
    <xf numFmtId="0" fontId="36" fillId="0" borderId="0" xfId="0" quotePrefix="1" applyFont="1" applyAlignment="1">
      <alignment horizontal="left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99FF33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2682</xdr:colOff>
      <xdr:row>29</xdr:row>
      <xdr:rowOff>13024</xdr:rowOff>
    </xdr:from>
    <xdr:to>
      <xdr:col>7</xdr:col>
      <xdr:colOff>1049694</xdr:colOff>
      <xdr:row>32</xdr:row>
      <xdr:rowOff>13025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708213" y="5906861"/>
          <a:ext cx="2003399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1866123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903362"/>
          <a:ext cx="7027312" cy="66266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7776</xdr:colOff>
      <xdr:row>24</xdr:row>
      <xdr:rowOff>1</xdr:rowOff>
    </xdr:from>
    <xdr:to>
      <xdr:col>5</xdr:col>
      <xdr:colOff>1849560</xdr:colOff>
      <xdr:row>27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9878" y="4789715"/>
          <a:ext cx="6981396" cy="68603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ENCHAPADAS POR 1 LADO Y LOS 4 COSTADOS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3,6mm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3"/>
  <sheetViews>
    <sheetView tabSelected="1" topLeftCell="A9" zoomScale="98" zoomScaleNormal="98" workbookViewId="0">
      <selection activeCell="A39" sqref="A3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77734375" customWidth="1"/>
    <col min="4" max="4" width="11.109375" customWidth="1"/>
    <col min="5" max="5" width="10.5546875" customWidth="1"/>
    <col min="6" max="6" width="31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162</v>
      </c>
      <c r="D10" s="243"/>
      <c r="E10" s="243"/>
      <c r="F10" s="244" t="s">
        <v>0</v>
      </c>
      <c r="G10" s="276">
        <v>45600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5.6" x14ac:dyDescent="0.3">
      <c r="B11" s="287" t="s">
        <v>12</v>
      </c>
      <c r="C11" s="138"/>
      <c r="F11" t="s">
        <v>125</v>
      </c>
      <c r="G11" s="288" t="s">
        <v>164</v>
      </c>
      <c r="H11" s="289"/>
      <c r="P11" s="19"/>
      <c r="Q11" s="25" t="s">
        <v>19</v>
      </c>
      <c r="R11" s="19"/>
    </row>
    <row r="12" spans="2:23" x14ac:dyDescent="0.3">
      <c r="B12" s="246" t="s">
        <v>147</v>
      </c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ht="15.6" x14ac:dyDescent="0.3">
      <c r="B13" s="246" t="s">
        <v>148</v>
      </c>
      <c r="C13" s="316"/>
      <c r="D13" s="247"/>
      <c r="E13" s="247"/>
      <c r="F13" s="247"/>
      <c r="G13" s="277"/>
      <c r="H13" s="248"/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37" t="s">
        <v>163</v>
      </c>
      <c r="D15" s="294"/>
      <c r="E15" s="247"/>
      <c r="F15" s="247" t="s">
        <v>136</v>
      </c>
      <c r="G15" s="295" t="s">
        <v>137</v>
      </c>
      <c r="H15" s="248"/>
    </row>
    <row r="16" spans="2:23" ht="15.6" x14ac:dyDescent="0.3">
      <c r="B16" s="291" t="s">
        <v>3</v>
      </c>
      <c r="C16" s="317"/>
      <c r="F16" s="292" t="s">
        <v>131</v>
      </c>
      <c r="G16" s="293" t="s">
        <v>155</v>
      </c>
      <c r="H16" s="289"/>
    </row>
    <row r="17" spans="2:24" ht="15" thickBot="1" x14ac:dyDescent="0.35">
      <c r="B17" s="296" t="s">
        <v>13</v>
      </c>
      <c r="C17" s="297" t="s">
        <v>158</v>
      </c>
      <c r="D17" s="298"/>
      <c r="E17" s="299"/>
      <c r="F17" s="338" t="s">
        <v>154</v>
      </c>
      <c r="G17" s="338"/>
      <c r="H17" s="339"/>
      <c r="I17" s="263"/>
      <c r="S17" s="6"/>
      <c r="T17" s="6"/>
    </row>
    <row r="18" spans="2:24" ht="15.75" customHeight="1" thickBot="1" x14ac:dyDescent="0.35">
      <c r="I18" s="47"/>
      <c r="J18" s="5"/>
      <c r="U18" s="9" t="s">
        <v>130</v>
      </c>
      <c r="W18" s="6"/>
      <c r="X18" s="6"/>
    </row>
    <row r="19" spans="2:24" ht="13.5" customHeight="1" thickBot="1" x14ac:dyDescent="0.35">
      <c r="B19" s="340" t="s">
        <v>149</v>
      </c>
      <c r="C19" s="341"/>
      <c r="D19" s="341"/>
      <c r="E19" s="341"/>
      <c r="F19" s="341"/>
      <c r="G19" s="341"/>
      <c r="H19" s="34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>
        <v>15000</v>
      </c>
      <c r="W19" s="6"/>
      <c r="X19" s="6"/>
    </row>
    <row r="20" spans="2:24" ht="18" thickBot="1" x14ac:dyDescent="0.35">
      <c r="B20" s="323" t="s">
        <v>7</v>
      </c>
      <c r="C20" s="324" t="s">
        <v>1</v>
      </c>
      <c r="D20" s="324" t="s">
        <v>10</v>
      </c>
      <c r="E20" s="324" t="s">
        <v>11</v>
      </c>
      <c r="F20" s="324" t="s">
        <v>8</v>
      </c>
      <c r="G20" s="324" t="s">
        <v>5</v>
      </c>
      <c r="H20" s="325" t="s">
        <v>6</v>
      </c>
      <c r="I20" s="265"/>
      <c r="J20" s="47"/>
      <c r="K20" s="268" t="str">
        <f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89022.772861356949</v>
      </c>
      <c r="Q20" s="258">
        <v>2000</v>
      </c>
      <c r="R20" s="38"/>
      <c r="S20" s="14" t="s">
        <v>130</v>
      </c>
      <c r="T20" s="9">
        <f>P21/3</f>
        <v>36499.336873156346</v>
      </c>
      <c r="W20" s="44">
        <v>2.44</v>
      </c>
      <c r="X20">
        <v>1.52</v>
      </c>
    </row>
    <row r="21" spans="2:24" ht="17.399999999999999" x14ac:dyDescent="0.3">
      <c r="B21" s="326">
        <v>2</v>
      </c>
      <c r="C21" s="327" t="s">
        <v>159</v>
      </c>
      <c r="D21" s="328">
        <v>2</v>
      </c>
      <c r="E21" s="328">
        <v>0.6</v>
      </c>
      <c r="F21" s="327" t="s">
        <v>160</v>
      </c>
      <c r="G21" s="329">
        <f>Q21</f>
        <v>111498.01061946903</v>
      </c>
      <c r="H21" s="330">
        <f>G21*B21</f>
        <v>222996.02123893806</v>
      </c>
      <c r="I21" s="265"/>
      <c r="J21" s="47"/>
      <c r="K21" s="318">
        <f>B21</f>
        <v>2</v>
      </c>
      <c r="L21" s="314">
        <f t="shared" ref="L21:M23" si="0">D21+L$19</f>
        <v>2.0499999999999998</v>
      </c>
      <c r="M21" s="314">
        <f t="shared" si="0"/>
        <v>0.6</v>
      </c>
      <c r="N21" s="261">
        <f>L21*M21</f>
        <v>1.2299999999999998</v>
      </c>
      <c r="O21" s="259">
        <f>N21*K21</f>
        <v>2.4599999999999995</v>
      </c>
      <c r="P21" s="252">
        <f>P$20*N21</f>
        <v>109498.01061946903</v>
      </c>
      <c r="Q21" s="258">
        <f>P21+Q$20</f>
        <v>111498.01061946903</v>
      </c>
      <c r="R21" s="307">
        <f>K21*L21</f>
        <v>4.0999999999999996</v>
      </c>
      <c r="S21" s="14"/>
      <c r="T21" s="9"/>
      <c r="U21" s="315">
        <f>R21*U19</f>
        <v>61499.999999999993</v>
      </c>
      <c r="W21" s="4"/>
      <c r="X21">
        <v>19.8</v>
      </c>
    </row>
    <row r="22" spans="2:24" ht="17.399999999999999" x14ac:dyDescent="0.3">
      <c r="B22" s="331">
        <v>1</v>
      </c>
      <c r="C22" s="308" t="s">
        <v>159</v>
      </c>
      <c r="D22" s="319">
        <v>1.5</v>
      </c>
      <c r="E22" s="319">
        <v>0.6</v>
      </c>
      <c r="F22" s="308" t="s">
        <v>160</v>
      </c>
      <c r="G22" s="309">
        <f>Q22</f>
        <v>84791.17876106195</v>
      </c>
      <c r="H22" s="310">
        <f t="shared" ref="H22:H23" si="1">G22*B22</f>
        <v>84791.17876106195</v>
      </c>
      <c r="I22" s="265"/>
      <c r="J22" s="47"/>
      <c r="K22" s="318">
        <f t="shared" ref="K22:K23" si="2">B22</f>
        <v>1</v>
      </c>
      <c r="L22" s="314">
        <f t="shared" si="0"/>
        <v>1.55</v>
      </c>
      <c r="M22" s="314">
        <f t="shared" si="0"/>
        <v>0.6</v>
      </c>
      <c r="N22" s="261">
        <f>L22*M22</f>
        <v>0.92999999999999994</v>
      </c>
      <c r="O22" s="259">
        <f>N22*K22</f>
        <v>0.92999999999999994</v>
      </c>
      <c r="P22" s="252">
        <f>P$20*N22</f>
        <v>82791.17876106195</v>
      </c>
      <c r="Q22" s="258">
        <f>P22+Q$20</f>
        <v>84791.17876106195</v>
      </c>
      <c r="R22" s="307">
        <f>K22*L22</f>
        <v>1.55</v>
      </c>
      <c r="S22" s="14"/>
      <c r="T22" s="9"/>
      <c r="U22" s="315"/>
      <c r="W22" s="4"/>
    </row>
    <row r="23" spans="2:24" ht="18" thickBot="1" x14ac:dyDescent="0.35">
      <c r="B23" s="332">
        <v>1</v>
      </c>
      <c r="C23" s="333" t="s">
        <v>159</v>
      </c>
      <c r="D23" s="334">
        <v>1.45</v>
      </c>
      <c r="E23" s="334">
        <v>0.6</v>
      </c>
      <c r="F23" s="333" t="s">
        <v>160</v>
      </c>
      <c r="G23" s="335">
        <f>Q23</f>
        <v>82120.495575221241</v>
      </c>
      <c r="H23" s="336">
        <f t="shared" si="1"/>
        <v>82120.495575221241</v>
      </c>
      <c r="I23" s="265"/>
      <c r="J23" s="47"/>
      <c r="K23" s="318">
        <f t="shared" si="2"/>
        <v>1</v>
      </c>
      <c r="L23" s="314">
        <f t="shared" si="0"/>
        <v>1.5</v>
      </c>
      <c r="M23" s="314">
        <f t="shared" si="0"/>
        <v>0.6</v>
      </c>
      <c r="N23" s="261">
        <f>L23*M23</f>
        <v>0.89999999999999991</v>
      </c>
      <c r="O23" s="259">
        <f>N23*K23</f>
        <v>0.89999999999999991</v>
      </c>
      <c r="P23" s="252">
        <f>P$20*N23</f>
        <v>80120.495575221241</v>
      </c>
      <c r="Q23" s="258">
        <f>P23+Q$20</f>
        <v>82120.495575221241</v>
      </c>
      <c r="R23" s="307">
        <f>K23*L23</f>
        <v>1.5</v>
      </c>
      <c r="S23" s="14"/>
      <c r="T23" s="9"/>
      <c r="U23" s="315"/>
      <c r="W23" s="4"/>
    </row>
    <row r="24" spans="2:24" ht="18" thickBot="1" x14ac:dyDescent="0.35">
      <c r="B24" s="285"/>
      <c r="C24" s="285"/>
      <c r="D24" s="286"/>
      <c r="E24" s="286"/>
      <c r="F24" s="285"/>
      <c r="G24" s="52"/>
      <c r="H24" s="320"/>
      <c r="I24" s="265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  <c r="X24">
        <f>SUM(X21:X21)</f>
        <v>19.8</v>
      </c>
    </row>
    <row r="25" spans="2:24" ht="18" x14ac:dyDescent="0.35">
      <c r="B25" s="285"/>
      <c r="C25" s="285"/>
      <c r="D25" s="286"/>
      <c r="E25" s="286"/>
      <c r="F25" s="285"/>
      <c r="G25" s="321" t="s">
        <v>30</v>
      </c>
      <c r="H25" s="322">
        <f>SUM(H21:H24)</f>
        <v>389907.69557522127</v>
      </c>
      <c r="I25" s="232"/>
      <c r="J25" s="47"/>
      <c r="K25" s="47"/>
      <c r="L25" s="39"/>
      <c r="M25" s="39"/>
      <c r="N25" s="261"/>
      <c r="O25" s="253">
        <f>SUM(O21:O22)</f>
        <v>3.3899999999999997</v>
      </c>
      <c r="P25" s="252"/>
      <c r="Q25" s="258"/>
      <c r="R25" s="307"/>
      <c r="S25" s="14"/>
      <c r="T25" s="9"/>
      <c r="W25" s="4"/>
    </row>
    <row r="26" spans="2:24" ht="17.399999999999999" x14ac:dyDescent="0.3">
      <c r="B26" s="279"/>
      <c r="C26" s="282"/>
      <c r="D26" s="283"/>
      <c r="E26" s="283"/>
      <c r="F26" s="284"/>
      <c r="G26" s="306" t="s">
        <v>53</v>
      </c>
      <c r="H26" s="303">
        <f>H25*19%</f>
        <v>74082.462159292045</v>
      </c>
      <c r="I26" s="265"/>
      <c r="J26" s="47">
        <v>8698974</v>
      </c>
      <c r="K26" s="47"/>
      <c r="L26" s="39">
        <f>SUM(L21:L25)</f>
        <v>5.0999999999999996</v>
      </c>
      <c r="M26" s="39"/>
      <c r="N26" s="261"/>
      <c r="O26" s="253">
        <f>O25</f>
        <v>3.3899999999999997</v>
      </c>
      <c r="P26" s="252"/>
      <c r="Q26" s="258"/>
      <c r="R26" s="307"/>
      <c r="S26" s="14"/>
      <c r="T26" s="9"/>
      <c r="W26" s="4"/>
    </row>
    <row r="27" spans="2:24" ht="18" thickBot="1" x14ac:dyDescent="0.35">
      <c r="B27" s="275"/>
      <c r="C27" s="281"/>
      <c r="D27" s="272"/>
      <c r="E27" s="272"/>
      <c r="F27" s="273"/>
      <c r="G27" s="280" t="s">
        <v>6</v>
      </c>
      <c r="H27" s="304">
        <f>H25+H26</f>
        <v>463990.15773451328</v>
      </c>
      <c r="I27" s="265"/>
      <c r="J27" s="47"/>
      <c r="K27" s="47"/>
      <c r="L27" s="39"/>
      <c r="M27" s="12"/>
      <c r="N27" s="12"/>
      <c r="O27" s="39">
        <f>O26*20%</f>
        <v>0.67799999999999994</v>
      </c>
      <c r="P27" s="14"/>
      <c r="Q27" s="12"/>
      <c r="R27" s="238"/>
      <c r="S27" s="14"/>
      <c r="T27" s="9"/>
      <c r="W27" s="4"/>
    </row>
    <row r="28" spans="2:24" ht="17.399999999999999" x14ac:dyDescent="0.3">
      <c r="I28" s="265"/>
      <c r="J28" s="47"/>
      <c r="K28" s="47"/>
      <c r="L28" s="39"/>
      <c r="M28" s="12"/>
      <c r="N28" s="12"/>
      <c r="O28" s="46">
        <f>O26+O27</f>
        <v>4.0679999999999996</v>
      </c>
      <c r="P28" s="14"/>
      <c r="Q28" s="12"/>
      <c r="R28" s="238">
        <f>SUM(R21:R27)</f>
        <v>7.1499999999999995</v>
      </c>
      <c r="S28" s="14"/>
      <c r="T28" s="9"/>
      <c r="W28" s="4"/>
    </row>
    <row r="29" spans="2:24" ht="17.399999999999999" x14ac:dyDescent="0.3">
      <c r="B29" s="275"/>
      <c r="C29" s="271"/>
      <c r="D29" s="272"/>
      <c r="E29" s="272"/>
      <c r="F29" s="273"/>
      <c r="H29" s="47"/>
      <c r="I29" s="265"/>
      <c r="J29" s="47"/>
      <c r="K29" s="47"/>
      <c r="L29" s="39"/>
      <c r="M29" s="12"/>
      <c r="N29" s="12"/>
      <c r="P29" s="39" t="s">
        <v>132</v>
      </c>
      <c r="Q29" s="42"/>
      <c r="R29" s="239"/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4"/>
      <c r="I30" s="265"/>
      <c r="J30" s="312"/>
      <c r="K30" s="47"/>
      <c r="L30" s="14"/>
      <c r="M30" s="12"/>
      <c r="N30" s="12"/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312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39">
        <f>O28*2</f>
        <v>8.1359999999999992</v>
      </c>
      <c r="M32" s="12">
        <v>3500</v>
      </c>
      <c r="N32" s="12">
        <f t="shared" ref="N32:N37" si="3">L32*M32</f>
        <v>28475.999999999996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1:23" ht="17.399999999999999" x14ac:dyDescent="0.35">
      <c r="A33" s="230"/>
      <c r="B33" s="230"/>
      <c r="C33" s="230"/>
      <c r="D33" s="230"/>
      <c r="E33" s="230"/>
      <c r="F33" s="230"/>
      <c r="G33" s="230"/>
      <c r="H33" s="230"/>
      <c r="I33" s="265"/>
      <c r="J33" s="47"/>
      <c r="K33" s="47"/>
      <c r="L33" s="249">
        <v>1.5</v>
      </c>
      <c r="M33" s="12">
        <v>25000</v>
      </c>
      <c r="N33" s="12">
        <f t="shared" si="3"/>
        <v>37500</v>
      </c>
      <c r="O33" s="39" t="s">
        <v>161</v>
      </c>
      <c r="P33" s="42"/>
      <c r="Q33" s="14"/>
      <c r="R33" s="239"/>
      <c r="S33" s="14"/>
      <c r="T33" s="9"/>
      <c r="V33">
        <v>1520</v>
      </c>
      <c r="W33" s="9" t="s">
        <v>156</v>
      </c>
    </row>
    <row r="34" spans="1:23" s="230" customFormat="1" ht="17.399999999999999" x14ac:dyDescent="0.35">
      <c r="B34" s="24" t="s">
        <v>153</v>
      </c>
      <c r="I34" s="262"/>
      <c r="J34" s="47"/>
      <c r="K34" s="250"/>
      <c r="L34" s="14"/>
      <c r="M34" s="250">
        <v>55000</v>
      </c>
      <c r="N34" s="12">
        <f t="shared" si="3"/>
        <v>0</v>
      </c>
      <c r="O34" s="39" t="s">
        <v>32</v>
      </c>
      <c r="P34" s="42"/>
      <c r="R34" s="239"/>
      <c r="S34" s="256"/>
      <c r="V34" s="231">
        <f>V33/33</f>
        <v>46.060606060606062</v>
      </c>
      <c r="W34" s="230">
        <v>112.24</v>
      </c>
    </row>
    <row r="35" spans="1:23" s="230" customFormat="1" ht="17.399999999999999" x14ac:dyDescent="0.35">
      <c r="B35" s="24" t="s">
        <v>146</v>
      </c>
      <c r="C35"/>
      <c r="D35"/>
      <c r="E35"/>
      <c r="F35"/>
      <c r="I35" s="262"/>
      <c r="J35" s="311"/>
      <c r="K35" s="250"/>
      <c r="L35" s="14">
        <v>2</v>
      </c>
      <c r="M35" s="250">
        <v>35600</v>
      </c>
      <c r="N35" s="12">
        <f t="shared" si="3"/>
        <v>71200</v>
      </c>
      <c r="O35" s="14" t="s">
        <v>143</v>
      </c>
      <c r="P35" s="17"/>
      <c r="R35" s="237"/>
      <c r="S35" s="256"/>
      <c r="V35" s="231"/>
      <c r="W35" s="230">
        <v>112.24</v>
      </c>
    </row>
    <row r="36" spans="1:23" s="230" customFormat="1" ht="17.399999999999999" x14ac:dyDescent="0.35">
      <c r="B36" s="29" t="s">
        <v>127</v>
      </c>
      <c r="C36"/>
      <c r="D36"/>
      <c r="E36"/>
      <c r="F36" s="229" t="s">
        <v>16</v>
      </c>
      <c r="I36" s="262"/>
      <c r="J36" s="311"/>
      <c r="K36" s="250"/>
      <c r="L36" s="249"/>
      <c r="M36" s="250">
        <v>800</v>
      </c>
      <c r="N36" s="12">
        <f t="shared" si="3"/>
        <v>0</v>
      </c>
      <c r="O36" s="14" t="s">
        <v>34</v>
      </c>
      <c r="P36" s="14"/>
      <c r="Q36" s="230">
        <v>1.52</v>
      </c>
      <c r="R36" s="237"/>
      <c r="S36" s="237"/>
      <c r="W36" s="230">
        <v>112.24</v>
      </c>
    </row>
    <row r="37" spans="1:23" s="230" customFormat="1" ht="17.399999999999999" x14ac:dyDescent="0.35">
      <c r="I37" s="302"/>
      <c r="J37" s="47"/>
      <c r="K37" s="250"/>
      <c r="L37" s="266"/>
      <c r="M37" s="12">
        <v>3500</v>
      </c>
      <c r="N37" s="12">
        <f t="shared" si="3"/>
        <v>0</v>
      </c>
      <c r="O37" s="14" t="s">
        <v>24</v>
      </c>
      <c r="P37" s="14"/>
      <c r="Q37">
        <v>2.44</v>
      </c>
      <c r="R37"/>
      <c r="S37" s="237">
        <v>1500</v>
      </c>
      <c r="W37" s="231">
        <f>SUM(W34:W36)</f>
        <v>336.71999999999997</v>
      </c>
    </row>
    <row r="38" spans="1:23" s="230" customFormat="1" ht="17.399999999999999" x14ac:dyDescent="0.35">
      <c r="J38" s="47"/>
      <c r="K38" s="250"/>
      <c r="L38" s="14"/>
      <c r="M38" s="12"/>
      <c r="N38" s="12">
        <f>SUM(N32:N37)</f>
        <v>137176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1:23" s="230" customFormat="1" ht="17.399999999999999" x14ac:dyDescent="0.35">
      <c r="J39" s="47">
        <v>48040</v>
      </c>
      <c r="K39" s="250"/>
      <c r="L39" s="254" t="s">
        <v>35</v>
      </c>
      <c r="M39" s="12"/>
      <c r="N39" s="255">
        <f>N38*2.2</f>
        <v>301787.2</v>
      </c>
      <c r="O39" s="14" t="s">
        <v>142</v>
      </c>
      <c r="P39" s="14"/>
      <c r="Q39" s="46">
        <f>O26/Q38</f>
        <v>0.91404227782571168</v>
      </c>
      <c r="R39"/>
      <c r="S39" s="257" t="e">
        <f>S38/#REF!</f>
        <v>#REF!</v>
      </c>
      <c r="V39" s="230" t="s">
        <v>157</v>
      </c>
      <c r="W39" s="230">
        <v>4</v>
      </c>
    </row>
    <row r="40" spans="1:23" s="230" customFormat="1" ht="17.399999999999999" x14ac:dyDescent="0.35">
      <c r="G40"/>
      <c r="H40" s="260"/>
      <c r="I40" s="260"/>
      <c r="J40" s="47">
        <f>J39/1.19</f>
        <v>40369.747899159665</v>
      </c>
      <c r="K40" s="250"/>
      <c r="L40" s="14"/>
      <c r="M40" s="12"/>
      <c r="N40" s="12">
        <f>N39/O26</f>
        <v>89022.772861356949</v>
      </c>
      <c r="O40" s="45" t="s">
        <v>26</v>
      </c>
      <c r="P40" s="14"/>
      <c r="Q40" s="14"/>
      <c r="R40"/>
      <c r="S40" s="237"/>
      <c r="V40" s="230">
        <v>48000</v>
      </c>
    </row>
    <row r="41" spans="1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  <c r="W41" s="230">
        <f>V40*W39</f>
        <v>192000</v>
      </c>
    </row>
    <row r="42" spans="1:23" s="230" customFormat="1" ht="17.399999999999999" x14ac:dyDescent="0.35">
      <c r="G42" s="23"/>
      <c r="J42" s="47"/>
      <c r="K42" s="12"/>
      <c r="S42" s="237"/>
    </row>
    <row r="43" spans="1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1:23" ht="14.4" customHeight="1" x14ac:dyDescent="0.3">
      <c r="J44" s="47"/>
      <c r="K44" s="12"/>
      <c r="S44">
        <v>2.5</v>
      </c>
    </row>
    <row r="45" spans="1:23" x14ac:dyDescent="0.3">
      <c r="J45" s="47"/>
      <c r="K45" s="250"/>
      <c r="S45">
        <f>S43*S44</f>
        <v>4.5750000000000002</v>
      </c>
    </row>
    <row r="46" spans="1:23" x14ac:dyDescent="0.3">
      <c r="K46" s="250"/>
      <c r="S46" s="270">
        <f>O28/S45</f>
        <v>0.88918032786885237</v>
      </c>
    </row>
    <row r="47" spans="1:23" x14ac:dyDescent="0.3">
      <c r="K47" s="250"/>
    </row>
    <row r="48" spans="1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45600</v>
      </c>
    </row>
    <row r="6" spans="2:31" ht="16.2" thickBot="1" x14ac:dyDescent="0.35">
      <c r="B6" s="140" t="s">
        <v>2</v>
      </c>
      <c r="C6" s="139" t="str">
        <f>'2229'!C10</f>
        <v>MAURICIO DIAZ TORRES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4" t="s">
        <v>100</v>
      </c>
      <c r="I7" s="345"/>
      <c r="J7" s="345"/>
      <c r="K7" s="346"/>
      <c r="N7" s="75"/>
      <c r="O7" s="34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11147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4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26347.774966545894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132337.7749665459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95810.090787439607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114337.7749665459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-95810.090787439607</v>
      </c>
      <c r="E13" s="221">
        <f>(D11/D12)-1</f>
        <v>-1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105337.7749665459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66337.774966545898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158086.64979927536</v>
      </c>
      <c r="F15" s="216">
        <f>E15-D12</f>
        <v>62276.55901183575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66337.774966545898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106337.7749665459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28475.999999999996</v>
      </c>
      <c r="E20" s="121">
        <f>D20*0.19</f>
        <v>5410.44</v>
      </c>
      <c r="F20" s="120">
        <f>SUM(D20:E20)</f>
        <v>33886.439999999995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65976</v>
      </c>
      <c r="E21" s="116">
        <f>SUM(E18:E20)</f>
        <v>12535.439999999999</v>
      </c>
      <c r="F21" s="115">
        <f>SUM(F18:F20)</f>
        <v>78511.44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-12535.439999999999</v>
      </c>
    </row>
    <row r="41" spans="2:16" ht="15" thickBot="1" x14ac:dyDescent="0.35">
      <c r="H41" s="347" t="s">
        <v>62</v>
      </c>
      <c r="I41" s="348"/>
      <c r="J41" s="348"/>
      <c r="K41" s="348"/>
      <c r="L41" s="348"/>
      <c r="M41" s="34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65976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-95810.090787439607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-95810.090787439607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2024-10-29T20:35:19Z</cp:lastPrinted>
  <dcterms:created xsi:type="dcterms:W3CDTF">2013-03-18T13:35:42Z</dcterms:created>
  <dcterms:modified xsi:type="dcterms:W3CDTF">2024-11-04T17:41:19Z</dcterms:modified>
</cp:coreProperties>
</file>