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FEBFD430-8280-4558-BF5E-C01B33329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I46" i="1" l="1"/>
  <c r="K21" i="1"/>
  <c r="J30" i="1"/>
  <c r="J35" i="1"/>
  <c r="J36" i="1" s="1"/>
  <c r="N33" i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<sst xmlns="http://schemas.openxmlformats.org/spreadsheetml/2006/main" count="236" uniqueCount="180">
  <si>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</si>
  <si>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</si>
  <si>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</si>
  <si>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</si>
  <si>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</si>
  <si>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</si>
  <si>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</si>
  <si>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</si>
  <si>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</si>
  <si>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</si>
  <si>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</si>
  <si>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</si>
  <si>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</si>
  <si>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</si>
  <si>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</si>
  <si>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</si>
  <si>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</si>
  <si>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</si>
  <si>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</si>
  <si>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</si>
  <si>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</si>
  <si>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</si>
  <si>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</si>
  <si>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</si>
  <si>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</si>
  <si>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</si>
  <si>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</si>
  <si>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</si>
  <si>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</si>
  <si>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</si>
  <si>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</si>
  <si>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</si>
  <si>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</si>
  <si>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</si>
  <si>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</si>
  <si>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</si>
  <si>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</si>
  <si>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</si>
  <si>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</si>
  <si>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</si>
  <si>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</si>
  <si>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</si>
  <si>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</si>
  <si>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</si>
  <si>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</si>
  <si>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</si>
  <si>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</si>
  <si>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</si>
  <si>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</si>
  <si>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</si>
  <si>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</si>
  <si>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</si>
  <si>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</si>
  <si>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</si>
  <si>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</si>
  <si>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</si>
  <si>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</si>
  <si>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</si>
  <si>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</si>
  <si>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</si>
  <si>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</si>
  <si>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</si>
  <si>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</si>
  <si>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</si>
  <si>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</si>
  <si>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</si>
  <si>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</si>
  <si>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</si>
  <si>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</si>
  <si>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</si>
  <si>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</si>
  <si>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</si>
  <si>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</si>
  <si>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</si>
  <si>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</si>
  <si>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</si>
  <si>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</si>
  <si>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</si>
  <si>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</si>
  <si>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</si>
  <si>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</si>
  <si>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</si>
  <si>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</si>
  <si>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</si>
  <si>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</si>
  <si>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</si>
  <si>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</si>
  <si>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</si>
  <si>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</si>
  <si>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</si>
  <si>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</si>
  <si>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</si>
  <si>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</si>
  <si>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</si>
  <si>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</si>
  <si>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</si>
  <si>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</si>
  <si>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</si>
  <si>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</si>
  <si>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</si>
  <si>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</si>
  <si>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</si>
  <si>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</si>
  <si>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</si>
  <si>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</si>
  <si>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</si>
  <si>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</si>
  <si>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</si>
  <si>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</si>
  <si>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</si>
  <si>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</si>
  <si>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</si>
  <si>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</si>
  <si>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</si>
  <si>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</si>
  <si>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</si>
  <si>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</si>
  <si>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</si>
  <si>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</si>
  <si>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</si>
  <si>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</si>
  <si>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</si>
  <si>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</si>
  <si>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</si>
  <si>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</si>
  <si>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</si>
  <si>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</si>
  <si>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</si>
  <si>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</si>
  <si>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</si>
  <si>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</si>
  <si>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</si>
  <si>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</si>
  <si>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</si>
  <si>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</si>
  <si>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</si>
  <si>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</si>
  <si>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</si>
  <si>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</si>
  <si>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</si>
  <si>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</si>
  <si>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</si>
  <si>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</si>
  <si>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</si>
  <si>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</si>
  <si>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</si>
  <si>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</si>
  <si>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</si>
  <si>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</si>
  <si>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</si>
  <si>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</si>
  <si>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</si>
  <si>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</si>
  <si>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</si>
  <si>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</si>
  <si>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</si>
  <si>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</si>
  <si>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</si>
  <si>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</si>
  <si>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</si>
  <si>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</si>
  <si>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</si>
  <si>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</si>
  <si>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</si>
  <si>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</si>
  <si>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</si>
  <si>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</si>
  <si>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</si>
  <si>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</si>
  <si>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CATHERINE SALINAS</t>
  </si>
  <si>
    <t>GRIS NUBE</t>
  </si>
  <si>
    <t>KING</t>
  </si>
  <si>
    <t>MDF 3MM</t>
  </si>
  <si>
    <t>152X244</t>
  </si>
  <si>
    <t>N° 11126</t>
  </si>
  <si>
    <t>14-10-024</t>
  </si>
  <si>
    <t>5 DIAS HABILES</t>
  </si>
  <si>
    <t>CUB MESA 3 LADOS</t>
  </si>
  <si>
    <t>MARINA DI CARRARA 3151 PL</t>
  </si>
  <si>
    <t>QUARZITE 3044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</si>
</sst>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393290</xdr:colOff>
      <xdr:row>22</xdr:row>
      <xdr:rowOff>206170</xdr:rowOff>
    </xdr:from>
    <xdr:to>
      <xdr:col>5</xdr:col>
      <xdr:colOff>1610483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93290" y="4778170"/>
          <a:ext cx="6444677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DE LAS ESQUINA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</a:t>
          </a:r>
        </a:p>
        <a:p>
          <a:pPr algn="l"/>
          <a:r>
            <a:rPr lang="es-CL" sz="1200" b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APORTA PIEZA CURVA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4" zoomScale="93" zoomScaleNormal="93" workbookViewId="0">
      <selection activeCell="B23" sqref="B23"/>
    </sheetView>
  </sheetViews>
  <sheetFormatPr baseColWidth="10" defaultRowHeight="14.4" x14ac:dyDescent="0.3"/>
  <cols>
    <col min="1" max="1" width="6" customWidth="1"/>
    <col min="2" max="2" width="10.5546875" customWidth="1"/>
    <col min="3" max="3" width="38.1093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 t="s">
        <v>175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1" t="s">
        <v>165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125544.09356725146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177</v>
      </c>
      <c r="D21" s="327">
        <v>0.9</v>
      </c>
      <c r="E21" s="327">
        <v>0.9</v>
      </c>
      <c r="F21" s="326" t="s">
        <v>178</v>
      </c>
      <c r="G21" s="328">
        <v>105300</v>
      </c>
      <c r="H21" s="328">
        <f>G21*B21</f>
        <v>105300</v>
      </c>
      <c r="I21" s="265"/>
      <c r="J21" s="47"/>
      <c r="K21" s="330">
        <f t="shared" ref="K21" si="1">B21</f>
        <v>1</v>
      </c>
      <c r="L21" s="39">
        <f t="shared" ref="L21" si="2">D21+L$19</f>
        <v>0.95000000000000007</v>
      </c>
      <c r="M21" s="39">
        <f t="shared" ref="M21" si="3">E21+M$19</f>
        <v>0.9</v>
      </c>
      <c r="N21" s="261">
        <f t="shared" ref="N21" si="4">L21*M21</f>
        <v>0.85500000000000009</v>
      </c>
      <c r="O21" s="259">
        <f t="shared" ref="O21" si="5">N21*K21</f>
        <v>0.85500000000000009</v>
      </c>
      <c r="P21" s="252">
        <f t="shared" ref="P21" si="6">P$20*N21</f>
        <v>107340.20000000001</v>
      </c>
      <c r="Q21" s="329">
        <f t="shared" ref="Q21" si="7">P21+Q$20</f>
        <v>112340.20000000001</v>
      </c>
      <c r="R21" s="298">
        <f>L21*K21*2</f>
        <v>1.9000000000000001</v>
      </c>
      <c r="S21" s="46">
        <f>M21*2*K21</f>
        <v>1.8</v>
      </c>
      <c r="T21" s="9"/>
      <c r="W21" s="4"/>
    </row>
    <row r="22" spans="2:24" ht="17.399999999999999" x14ac:dyDescent="0.3">
      <c r="B22" s="326">
        <v>1</v>
      </c>
      <c r="C22" s="326" t="s">
        <v>177</v>
      </c>
      <c r="D22" s="327">
        <v>0.9</v>
      </c>
      <c r="E22" s="327">
        <v>0.9</v>
      </c>
      <c r="F22" s="326" t="s">
        <v>179</v>
      </c>
      <c r="G22" s="328">
        <v>112340</v>
      </c>
      <c r="H22" s="328">
        <f>G22*B22</f>
        <v>112340</v>
      </c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217640</v>
      </c>
      <c r="I24" s="265"/>
      <c r="J24" s="47"/>
      <c r="K24" s="47"/>
      <c r="L24" s="39">
        <f>SUM(L21:L23)</f>
        <v>0.95000000000000007</v>
      </c>
      <c r="M24" s="39"/>
      <c r="N24" s="261"/>
      <c r="O24" s="259"/>
      <c r="P24" s="252"/>
      <c r="Q24" s="258"/>
      <c r="R24" s="298"/>
      <c r="S24" s="46">
        <f>SUM(S21:S23)</f>
        <v>1.8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SUM(O21:O21)</f>
        <v>0.85500000000000009</v>
      </c>
      <c r="P25" s="14"/>
      <c r="Q25" s="12"/>
      <c r="R25" s="239"/>
      <c r="S25" s="46">
        <f>S24*20%</f>
        <v>0.36000000000000004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217640</v>
      </c>
      <c r="I26" s="265"/>
      <c r="J26" s="47"/>
      <c r="K26" s="47"/>
      <c r="L26" s="39"/>
      <c r="M26" s="12"/>
      <c r="N26" s="12"/>
      <c r="O26" s="253">
        <f>O25</f>
        <v>0.85500000000000009</v>
      </c>
      <c r="P26" s="14"/>
      <c r="Q26" s="12"/>
      <c r="R26" s="239">
        <f>SUM(R21:R25)</f>
        <v>1.9000000000000001</v>
      </c>
      <c r="S26" s="46">
        <f>S24+S25</f>
        <v>2.16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147074</v>
      </c>
      <c r="K27" s="47"/>
      <c r="L27" s="14"/>
      <c r="M27" s="12"/>
      <c r="N27" s="12"/>
      <c r="O27" s="39">
        <f>O26*20%</f>
        <v>0.17100000000000004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>
        <v>33749</v>
      </c>
      <c r="K28" s="47"/>
      <c r="L28" s="14"/>
      <c r="M28" s="12"/>
      <c r="N28" s="12"/>
      <c r="O28" s="46">
        <f>O26+O27</f>
        <v>1.0260000000000002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>
        <v>94650</v>
      </c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153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>
        <f>SUM(J27:J29)</f>
        <v>275473</v>
      </c>
      <c r="K30" s="47"/>
      <c r="L30" s="39">
        <f>O28</f>
        <v>1.0260000000000002</v>
      </c>
      <c r="M30" s="12">
        <v>3500</v>
      </c>
      <c r="N30" s="12">
        <f t="shared" ref="N30:N35" si="8">L30*M30</f>
        <v>3591.0000000000009</v>
      </c>
      <c r="O30" s="14" t="s">
        <v>22</v>
      </c>
      <c r="P30" s="14"/>
      <c r="Q30" s="14"/>
      <c r="R30" s="241"/>
      <c r="S30" s="14"/>
      <c r="T30" s="305" t="s">
        <v>154</v>
      </c>
      <c r="U30" s="302">
        <v>3625</v>
      </c>
      <c r="V30" s="59" t="s">
        <v>155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8"/>
        <v>7500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156</v>
      </c>
      <c r="W31" s="307"/>
    </row>
    <row r="32" spans="2:24" s="230" customFormat="1" ht="17.399999999999999" x14ac:dyDescent="0.35">
      <c r="I32" s="262"/>
      <c r="J32" s="232"/>
      <c r="K32" s="250"/>
      <c r="L32" s="14"/>
      <c r="M32" s="250">
        <v>40340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37700</v>
      </c>
      <c r="N33" s="12">
        <f t="shared" si="8"/>
        <v>37700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J34" s="230">
        <v>27000</v>
      </c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J35" s="230">
        <f>J34*19%</f>
        <v>5130</v>
      </c>
      <c r="K35" s="250"/>
      <c r="L35" s="266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I36" s="230" t="s">
        <v>171</v>
      </c>
      <c r="J36" s="230">
        <f>J34+J35</f>
        <v>32130</v>
      </c>
      <c r="K36" s="250"/>
      <c r="L36" s="14"/>
      <c r="M36" s="12"/>
      <c r="N36" s="12">
        <f>SUM(N30:N35)</f>
        <v>48791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107340.20000000001</v>
      </c>
      <c r="O37" s="14" t="s">
        <v>141</v>
      </c>
      <c r="P37" s="14"/>
      <c r="Q37" s="40">
        <f>O28/Q36</f>
        <v>0.27663934426229514</v>
      </c>
      <c r="R37"/>
      <c r="S37" s="257"/>
    </row>
    <row r="38" spans="2:23" s="230" customFormat="1" ht="17.399999999999999" x14ac:dyDescent="0.35">
      <c r="G38"/>
      <c r="H38" s="260"/>
      <c r="I38" s="230" t="s">
        <v>170</v>
      </c>
      <c r="J38" s="230">
        <v>32216</v>
      </c>
      <c r="K38" s="250">
        <v>0</v>
      </c>
      <c r="L38" s="14"/>
      <c r="M38" s="12"/>
      <c r="N38" s="12">
        <f>N37/O26</f>
        <v>125544.09356725146</v>
      </c>
      <c r="O38" s="45" t="s">
        <v>25</v>
      </c>
      <c r="P38" s="14"/>
      <c r="Q38" s="14"/>
      <c r="R38"/>
      <c r="S38" s="238"/>
      <c r="T38" s="59" t="s">
        <v>159</v>
      </c>
      <c r="U38" s="302">
        <v>43650</v>
      </c>
    </row>
    <row r="39" spans="2:23" s="230" customFormat="1" ht="17.399999999999999" x14ac:dyDescent="0.35">
      <c r="G39"/>
      <c r="J39" s="230">
        <f>J38/1.19</f>
        <v>27072.268907563026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I41" s="230" t="s">
        <v>172</v>
      </c>
      <c r="K41" s="12"/>
      <c r="S41" s="238"/>
      <c r="T41" s="59" t="s">
        <v>157</v>
      </c>
      <c r="U41" s="59">
        <v>474.45</v>
      </c>
    </row>
    <row r="42" spans="2:23" ht="14.4" customHeight="1" x14ac:dyDescent="0.3">
      <c r="I42" t="s">
        <v>173</v>
      </c>
      <c r="J42">
        <v>8990</v>
      </c>
      <c r="K42" s="12"/>
      <c r="T42" s="59"/>
      <c r="U42" s="59"/>
    </row>
    <row r="43" spans="2:23" x14ac:dyDescent="0.3">
      <c r="K43" s="250"/>
    </row>
    <row r="44" spans="2:23" x14ac:dyDescent="0.3">
      <c r="I44">
        <v>46850</v>
      </c>
      <c r="K44" s="250"/>
      <c r="S44" s="270"/>
    </row>
    <row r="45" spans="2:23" x14ac:dyDescent="0.3">
      <c r="K45" s="250"/>
    </row>
    <row r="46" spans="2:23" ht="15" customHeight="1" x14ac:dyDescent="0.3">
      <c r="I46">
        <f>I44/1.19</f>
        <v>39369.747899159665</v>
      </c>
    </row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14-10-024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11126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-25018.933366787442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217640</v>
      </c>
      <c r="E11" s="132">
        <f>D11*0.19</f>
        <v>41351.599999999999</v>
      </c>
      <c r="F11" s="131">
        <f>E11+D11</f>
        <v>258991.6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80971.066633212555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40925.090787439614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62971.066633212555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176714.90921256039</v>
      </c>
      <c r="E13" s="221">
        <f>(D11/D12)-1</f>
        <v>4.3180089723049866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53971.066633212555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14971.066633212558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67526.399799275358</v>
      </c>
      <c r="F15" s="216">
        <f>E15-D12</f>
        <v>26601.309011835743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14971.066633212558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54971.066633212555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3591.0000000000009</v>
      </c>
      <c r="E20" s="121">
        <f>D20*0.19</f>
        <v>682.29000000000019</v>
      </c>
      <c r="F20" s="120">
        <f>SUM(D20:E20)</f>
        <v>4273.2900000000009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11091</v>
      </c>
      <c r="E21" s="116">
        <f>SUM(E18:E20)</f>
        <v>2107.29</v>
      </c>
      <c r="F21" s="115">
        <f>SUM(F18:F20)</f>
        <v>13198.29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39244.31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217640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11091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176714.90921256039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176714.90921256039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2024-10-14T11:15:20Z</dcterms:modified>
</cp:coreProperties>
</file>