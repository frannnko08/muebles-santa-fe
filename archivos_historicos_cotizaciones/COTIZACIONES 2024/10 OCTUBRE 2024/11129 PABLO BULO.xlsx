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4\"/>
    </mc:Choice>
  </mc:AlternateContent>
  <xr:revisionPtr revIDLastSave="0" documentId="13_ncr:1_{B122DF72-9548-426D-B3AB-8A95C7D2F2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8" i="1" l="1"/>
  <c r="H42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21" i="1"/>
  <c r="O41" i="1" l="1"/>
  <c r="K23" i="1"/>
  <c r="L23" i="1"/>
  <c r="M23" i="1"/>
  <c r="N23" i="1"/>
  <c r="O23" i="1" s="1"/>
  <c r="R23" i="1"/>
  <c r="K24" i="1"/>
  <c r="L24" i="1"/>
  <c r="M24" i="1"/>
  <c r="N24" i="1"/>
  <c r="O24" i="1" s="1"/>
  <c r="R24" i="1"/>
  <c r="K25" i="1"/>
  <c r="L25" i="1"/>
  <c r="M25" i="1"/>
  <c r="N25" i="1"/>
  <c r="O25" i="1" s="1"/>
  <c r="R25" i="1"/>
  <c r="K26" i="1"/>
  <c r="L26" i="1"/>
  <c r="M26" i="1"/>
  <c r="N26" i="1"/>
  <c r="O26" i="1" s="1"/>
  <c r="R26" i="1"/>
  <c r="K27" i="1"/>
  <c r="L27" i="1"/>
  <c r="M27" i="1"/>
  <c r="N27" i="1"/>
  <c r="O27" i="1" s="1"/>
  <c r="R27" i="1"/>
  <c r="K28" i="1"/>
  <c r="L28" i="1"/>
  <c r="M28" i="1"/>
  <c r="N28" i="1"/>
  <c r="O28" i="1" s="1"/>
  <c r="R28" i="1"/>
  <c r="K29" i="1"/>
  <c r="L29" i="1"/>
  <c r="M29" i="1"/>
  <c r="N29" i="1"/>
  <c r="O29" i="1" s="1"/>
  <c r="R29" i="1"/>
  <c r="K30" i="1"/>
  <c r="L30" i="1"/>
  <c r="M30" i="1"/>
  <c r="N30" i="1"/>
  <c r="O30" i="1" s="1"/>
  <c r="R30" i="1"/>
  <c r="K31" i="1"/>
  <c r="L31" i="1"/>
  <c r="M31" i="1"/>
  <c r="N31" i="1"/>
  <c r="O31" i="1" s="1"/>
  <c r="R31" i="1"/>
  <c r="K32" i="1"/>
  <c r="L32" i="1"/>
  <c r="M32" i="1"/>
  <c r="N32" i="1"/>
  <c r="O32" i="1" s="1"/>
  <c r="R32" i="1"/>
  <c r="K33" i="1"/>
  <c r="L33" i="1"/>
  <c r="M33" i="1"/>
  <c r="N33" i="1"/>
  <c r="O33" i="1" s="1"/>
  <c r="R33" i="1"/>
  <c r="K34" i="1"/>
  <c r="L34" i="1"/>
  <c r="M34" i="1"/>
  <c r="N34" i="1"/>
  <c r="O34" i="1" s="1"/>
  <c r="R34" i="1"/>
  <c r="K35" i="1"/>
  <c r="L35" i="1"/>
  <c r="M35" i="1"/>
  <c r="N35" i="1"/>
  <c r="O35" i="1" s="1"/>
  <c r="R35" i="1"/>
  <c r="K36" i="1"/>
  <c r="L36" i="1"/>
  <c r="M36" i="1"/>
  <c r="N36" i="1"/>
  <c r="O36" i="1" s="1"/>
  <c r="R36" i="1"/>
  <c r="K37" i="1"/>
  <c r="L37" i="1"/>
  <c r="M37" i="1"/>
  <c r="N37" i="1"/>
  <c r="O37" i="1" s="1"/>
  <c r="R37" i="1"/>
  <c r="K38" i="1"/>
  <c r="L38" i="1"/>
  <c r="M38" i="1"/>
  <c r="N38" i="1"/>
  <c r="O38" i="1" s="1"/>
  <c r="R38" i="1"/>
  <c r="B39" i="1"/>
  <c r="K22" i="1"/>
  <c r="L22" i="1"/>
  <c r="M22" i="1"/>
  <c r="N22" i="1" s="1"/>
  <c r="O22" i="1" s="1"/>
  <c r="W57" i="1"/>
  <c r="W53" i="1"/>
  <c r="V50" i="1"/>
  <c r="X40" i="1"/>
  <c r="R22" i="1" l="1"/>
  <c r="K21" i="1"/>
  <c r="K10" i="1"/>
  <c r="J56" i="1" l="1"/>
  <c r="L21" i="1" l="1"/>
  <c r="L42" i="1" s="1"/>
  <c r="M21" i="1"/>
  <c r="N21" i="1" l="1"/>
  <c r="R21" i="1"/>
  <c r="U21" i="1" s="1"/>
  <c r="N49" i="1"/>
  <c r="O21" i="1" l="1"/>
  <c r="S61" i="1"/>
  <c r="O42" i="1" l="1"/>
  <c r="O43" i="1" s="1"/>
  <c r="M20" i="1"/>
  <c r="K20" i="1"/>
  <c r="N50" i="1" l="1"/>
  <c r="Q54" i="1"/>
  <c r="Q55" i="1" s="1"/>
  <c r="N51" i="1" l="1"/>
  <c r="S54" i="1" l="1"/>
  <c r="S55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53" i="1"/>
  <c r="N52" i="1"/>
  <c r="F18" i="3" l="1"/>
  <c r="O44" i="1" l="1"/>
  <c r="N48" i="1" l="1"/>
  <c r="S62" i="1"/>
  <c r="N54" i="1" l="1"/>
  <c r="N55" i="1" s="1"/>
  <c r="D20" i="3"/>
  <c r="E20" i="3" s="1"/>
  <c r="E21" i="3" s="1"/>
  <c r="N57" i="1" l="1"/>
  <c r="D21" i="3"/>
  <c r="M43" i="3" s="1"/>
  <c r="D12" i="3" s="1"/>
  <c r="F20" i="3"/>
  <c r="F21" i="3" s="1"/>
  <c r="N56" i="1" l="1"/>
  <c r="E15" i="3"/>
  <c r="F15" i="3" l="1"/>
  <c r="P22" i="1" l="1"/>
  <c r="Q22" i="1" s="1"/>
  <c r="H22" i="1" s="1"/>
  <c r="P38" i="1"/>
  <c r="Q38" i="1" s="1"/>
  <c r="H38" i="1" s="1"/>
  <c r="P34" i="1"/>
  <c r="Q34" i="1" s="1"/>
  <c r="H34" i="1" s="1"/>
  <c r="P30" i="1"/>
  <c r="Q30" i="1" s="1"/>
  <c r="H30" i="1" s="1"/>
  <c r="P26" i="1"/>
  <c r="Q26" i="1" s="1"/>
  <c r="H26" i="1" s="1"/>
  <c r="P33" i="1"/>
  <c r="Q33" i="1" s="1"/>
  <c r="H33" i="1" s="1"/>
  <c r="P29" i="1"/>
  <c r="Q29" i="1" s="1"/>
  <c r="H29" i="1" s="1"/>
  <c r="P25" i="1"/>
  <c r="Q25" i="1" s="1"/>
  <c r="H25" i="1" s="1"/>
  <c r="P36" i="1"/>
  <c r="Q36" i="1" s="1"/>
  <c r="H36" i="1" s="1"/>
  <c r="P32" i="1"/>
  <c r="Q32" i="1" s="1"/>
  <c r="H32" i="1" s="1"/>
  <c r="P28" i="1"/>
  <c r="Q28" i="1" s="1"/>
  <c r="H28" i="1" s="1"/>
  <c r="P24" i="1"/>
  <c r="Q24" i="1" s="1"/>
  <c r="H24" i="1" s="1"/>
  <c r="P35" i="1"/>
  <c r="Q35" i="1" s="1"/>
  <c r="H35" i="1" s="1"/>
  <c r="P31" i="1"/>
  <c r="Q31" i="1" s="1"/>
  <c r="H31" i="1" s="1"/>
  <c r="P27" i="1"/>
  <c r="Q27" i="1" s="1"/>
  <c r="H27" i="1" s="1"/>
  <c r="P23" i="1"/>
  <c r="Q23" i="1" s="1"/>
  <c r="H23" i="1" s="1"/>
  <c r="P37" i="1"/>
  <c r="Q37" i="1" s="1"/>
  <c r="H37" i="1" s="1"/>
  <c r="P21" i="1"/>
  <c r="R44" i="1"/>
  <c r="T20" i="1" l="1"/>
  <c r="Q21" i="1"/>
  <c r="H21" i="1" l="1"/>
  <c r="H43" i="1" l="1"/>
  <c r="H44" i="1" s="1"/>
  <c r="D11" i="3"/>
  <c r="M42" i="3" s="1"/>
  <c r="M46" i="3" s="1"/>
  <c r="M49" i="3" s="1"/>
  <c r="E13" i="3" l="1"/>
  <c r="D13" i="3"/>
  <c r="E11" i="3"/>
  <c r="X9" i="3"/>
  <c r="D40" i="3" l="1"/>
  <c r="F11" i="3"/>
  <c r="X12" i="3"/>
  <c r="X13" i="3"/>
  <c r="X11" i="3"/>
  <c r="X15" i="3"/>
  <c r="X14" i="3"/>
  <c r="X16" i="3"/>
</calcChain>
</file>

<file path=xl/sharedStrings.xml><?xml version="1.0" encoding="utf-8"?>
<sst xmlns="http://schemas.openxmlformats.org/spreadsheetml/2006/main" count="256" uniqueCount="167">
  <si>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</si>
  <si>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</si>
  <si>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</si>
  <si>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</si>
  <si>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</si>
  <si>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</si>
  <si>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</si>
  <si>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</si>
  <si>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</si>
  <si>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</si>
  <si>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</si>
  <si>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</si>
  <si>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</si>
  <si>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</si>
  <si>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</si>
  <si>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</si>
  <si>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</si>
  <si>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</si>
  <si>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</si>
  <si>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</si>
  <si>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</si>
  <si>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</si>
  <si>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</si>
  <si>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</si>
  <si>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</si>
  <si>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</si>
  <si>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</si>
  <si>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</si>
  <si>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</si>
  <si>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</si>
  <si>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</si>
  <si>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</si>
  <si>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</si>
  <si>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</si>
  <si>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</si>
  <si>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</si>
  <si>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</si>
  <si>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</si>
  <si>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</si>
  <si>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</si>
  <si>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</si>
  <si>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</si>
  <si>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</si>
  <si>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</si>
  <si>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</si>
  <si>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</si>
  <si>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</si>
  <si>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</si>
  <si>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</si>
  <si>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</si>
  <si>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</si>
  <si>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</si>
  <si>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</si>
  <si>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</si>
  <si>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</si>
  <si>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</si>
  <si>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</si>
  <si>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</si>
  <si>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</si>
  <si>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</si>
  <si>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</si>
  <si>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</si>
  <si>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</si>
  <si>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</si>
  <si>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</si>
  <si>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</si>
  <si>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</si>
  <si>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</si>
  <si>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</si>
  <si>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</si>
  <si>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</si>
  <si>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</si>
  <si>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</si>
  <si>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</si>
  <si>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</si>
  <si>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</si>
  <si>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</si>
  <si>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</si>
  <si>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</si>
  <si>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</si>
  <si>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</si>
  <si>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</si>
  <si>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</si>
  <si>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</si>
  <si>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</si>
  <si>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</si>
  <si>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</si>
  <si>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</si>
  <si>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</si>
  <si>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</si>
  <si>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</si>
  <si>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</si>
  <si>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</si>
  <si>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</si>
  <si>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</si>
  <si>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</si>
  <si>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</si>
  <si>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</si>
  <si>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</si>
  <si>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</si>
  <si>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</si>
  <si>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</si>
  <si>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</si>
  <si>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</si>
  <si>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</si>
  <si>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</si>
  <si>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</si>
  <si>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</si>
  <si>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</si>
  <si>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</si>
  <si>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</si>
  <si>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</si>
  <si>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</si>
  <si>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</si>
  <si>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</si>
  <si>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</si>
  <si>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</si>
  <si>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</si>
  <si>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</si>
  <si>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</si>
  <si>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</si>
  <si>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</si>
  <si>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</si>
  <si>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</si>
  <si>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</si>
  <si>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</si>
  <si>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</si>
  <si>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</si>
  <si>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</si>
  <si>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</si>
  <si>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</si>
  <si>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</si>
  <si>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</si>
  <si>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</si>
  <si>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</si>
  <si>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</si>
  <si>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</si>
  <si>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</si>
  <si>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</si>
  <si>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</si>
  <si>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</si>
  <si>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</si>
  <si>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</si>
  <si>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</si>
  <si>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</si>
  <si>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</si>
  <si>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</si>
  <si>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</si>
  <si>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</si>
  <si>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</si>
  <si>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</si>
  <si>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</si>
  <si>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</si>
  <si>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</si>
  <si>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</si>
  <si>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</si>
  <si>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</si>
  <si>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</si>
  <si>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MTL</t>
  </si>
  <si>
    <t>MDF30MM</t>
  </si>
  <si>
    <t>5 DIAS HABILES</t>
  </si>
  <si>
    <t>16-10-024</t>
  </si>
  <si>
    <t>N° 11129</t>
  </si>
  <si>
    <t>PABLO BULO</t>
  </si>
  <si>
    <t>RODRIGO FERNANDEZ</t>
  </si>
  <si>
    <t>PR2</t>
  </si>
  <si>
    <t>FRESNO 0470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</si>
</sst>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12"/>
      <color rgb="FF333333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2" fillId="0" borderId="6" xfId="0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166" fontId="3" fillId="7" borderId="0" xfId="0" applyNumberFormat="1" applyFont="1" applyFill="1"/>
    <xf numFmtId="41" fontId="0" fillId="0" borderId="0" xfId="4" applyFont="1"/>
    <xf numFmtId="0" fontId="35" fillId="0" borderId="0" xfId="0" applyFont="1"/>
    <xf numFmtId="0" fontId="36" fillId="0" borderId="0" xfId="0" applyFont="1" applyAlignment="1">
      <alignment horizontal="left"/>
    </xf>
    <xf numFmtId="0" fontId="36" fillId="0" borderId="0" xfId="0" applyFont="1"/>
    <xf numFmtId="167" fontId="0" fillId="21" borderId="0" xfId="0" applyNumberFormat="1" applyFill="1"/>
    <xf numFmtId="42" fontId="1" fillId="0" borderId="1" xfId="0" applyNumberFormat="1" applyFont="1" applyBorder="1"/>
    <xf numFmtId="0" fontId="32" fillId="0" borderId="1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42" fontId="33" fillId="0" borderId="0" xfId="8" applyFont="1" applyFill="1" applyBorder="1"/>
    <xf numFmtId="42" fontId="1" fillId="0" borderId="0" xfId="0" applyNumberFormat="1" applyFont="1" applyAlignment="1">
      <alignment horizontal="center" vertical="center"/>
    </xf>
    <xf numFmtId="0" fontId="11" fillId="0" borderId="26" xfId="0" applyFont="1" applyBorder="1" applyAlignment="1">
      <alignment horizont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166" fontId="32" fillId="0" borderId="0" xfId="0" applyNumberFormat="1" applyFont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0" fillId="22" borderId="0" xfId="0" applyNumberFormat="1" applyFill="1"/>
    <xf numFmtId="166" fontId="3" fillId="22" borderId="0" xfId="0" applyNumberFormat="1" applyFont="1" applyFill="1"/>
    <xf numFmtId="167" fontId="0" fillId="4" borderId="0" xfId="0" applyNumberFormat="1" applyFill="1"/>
    <xf numFmtId="166" fontId="3" fillId="4" borderId="0" xfId="0" applyNumberFormat="1" applyFont="1" applyFill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99FF33"/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2583219</xdr:colOff>
      <xdr:row>46</xdr:row>
      <xdr:rowOff>13024</xdr:rowOff>
    </xdr:from>
    <xdr:to>
      <xdr:col>8</xdr:col>
      <xdr:colOff>31102</xdr:colOff>
      <xdr:row>49</xdr:row>
      <xdr:rowOff>13025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8134933" y="7866289"/>
          <a:ext cx="2058761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48</xdr:row>
      <xdr:rowOff>154305</xdr:rowOff>
    </xdr:from>
    <xdr:to>
      <xdr:col>7</xdr:col>
      <xdr:colOff>853440</xdr:colOff>
      <xdr:row>48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46</xdr:row>
      <xdr:rowOff>9525</xdr:rowOff>
    </xdr:from>
    <xdr:to>
      <xdr:col>5</xdr:col>
      <xdr:colOff>1714500</xdr:colOff>
      <xdr:row>49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222690</xdr:colOff>
      <xdr:row>40</xdr:row>
      <xdr:rowOff>84014</xdr:rowOff>
    </xdr:from>
    <xdr:to>
      <xdr:col>5</xdr:col>
      <xdr:colOff>1849560</xdr:colOff>
      <xdr:row>44</xdr:row>
      <xdr:rowOff>17339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634792" y="4702667"/>
          <a:ext cx="6229972" cy="819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OBSERVACIONES:LAS PUERTAS</a:t>
          </a:r>
          <a:r>
            <a:rPr lang="es-CL" sz="1200" b="1" baseline="0"/>
            <a:t> LA TRASCARA ES LA MISMA LAMINA, ENCHAPADAS CON TAPACANTO PVC 0,4MM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99"/>
  <sheetViews>
    <sheetView tabSelected="1" topLeftCell="A6" zoomScale="98" zoomScaleNormal="98" workbookViewId="0">
      <selection activeCell="I44" sqref="I44"/>
    </sheetView>
  </sheetViews>
  <sheetFormatPr baseColWidth="10" defaultRowHeight="14.4" x14ac:dyDescent="0.3"/>
  <cols>
    <col min="1" max="1" width="6" customWidth="1"/>
    <col min="2" max="2" width="10.5546875" customWidth="1"/>
    <col min="3" max="3" width="29.109375" customWidth="1"/>
    <col min="4" max="4" width="11.109375" customWidth="1"/>
    <col min="5" max="5" width="10.5546875" customWidth="1"/>
    <col min="6" max="6" width="31.441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16" t="s">
        <v>162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163</v>
      </c>
      <c r="D10" s="243"/>
      <c r="E10" s="243"/>
      <c r="F10" s="244" t="s">
        <v>0</v>
      </c>
      <c r="G10" s="277" t="s">
        <v>161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5.6" x14ac:dyDescent="0.3">
      <c r="B11" s="288" t="s">
        <v>12</v>
      </c>
      <c r="C11" s="138"/>
      <c r="F11" t="s">
        <v>125</v>
      </c>
      <c r="G11" s="289" t="s">
        <v>160</v>
      </c>
      <c r="H11" s="290"/>
      <c r="P11" s="19"/>
      <c r="Q11" s="25" t="s">
        <v>19</v>
      </c>
      <c r="R11" s="19"/>
    </row>
    <row r="12" spans="2:23" x14ac:dyDescent="0.3">
      <c r="B12" s="246" t="s">
        <v>147</v>
      </c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ht="15.6" x14ac:dyDescent="0.3">
      <c r="B13" s="246" t="s">
        <v>148</v>
      </c>
      <c r="C13" s="320" t="s">
        <v>164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1">
        <v>992200620</v>
      </c>
      <c r="D15" s="295"/>
      <c r="E15" s="247"/>
      <c r="F15" s="247" t="s">
        <v>136</v>
      </c>
      <c r="G15" s="296" t="s">
        <v>137</v>
      </c>
      <c r="H15" s="248"/>
    </row>
    <row r="16" spans="2:23" ht="15.6" x14ac:dyDescent="0.3">
      <c r="B16" s="292" t="s">
        <v>3</v>
      </c>
      <c r="C16" s="322"/>
      <c r="F16" s="293" t="s">
        <v>131</v>
      </c>
      <c r="G16" s="294" t="s">
        <v>157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30" t="s">
        <v>155</v>
      </c>
      <c r="G17" s="330"/>
      <c r="H17" s="331"/>
      <c r="I17" s="263"/>
      <c r="S17" s="6"/>
      <c r="T17" s="6"/>
    </row>
    <row r="18" spans="2:24" ht="15.75" customHeight="1" thickBot="1" x14ac:dyDescent="0.35">
      <c r="I18" s="47"/>
      <c r="J18" s="5"/>
      <c r="U18" s="9" t="s">
        <v>130</v>
      </c>
      <c r="W18" s="6"/>
      <c r="X18" s="6"/>
    </row>
    <row r="19" spans="2:24" ht="13.5" customHeight="1" x14ac:dyDescent="0.3">
      <c r="B19" s="332" t="s">
        <v>149</v>
      </c>
      <c r="C19" s="333"/>
      <c r="D19" s="333"/>
      <c r="E19" s="333"/>
      <c r="F19" s="333"/>
      <c r="G19" s="333"/>
      <c r="H19" s="334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>
        <v>15000</v>
      </c>
      <c r="W19" s="6"/>
      <c r="X19" s="6"/>
    </row>
    <row r="20" spans="2:24" ht="18" thickBot="1" x14ac:dyDescent="0.35">
      <c r="B20" s="317" t="s">
        <v>7</v>
      </c>
      <c r="C20" s="312" t="s">
        <v>1</v>
      </c>
      <c r="D20" s="312" t="s">
        <v>10</v>
      </c>
      <c r="E20" s="312" t="s">
        <v>11</v>
      </c>
      <c r="F20" s="312" t="s">
        <v>8</v>
      </c>
      <c r="G20" s="312" t="s">
        <v>5</v>
      </c>
      <c r="H20" s="313" t="s">
        <v>6</v>
      </c>
      <c r="I20" s="265"/>
      <c r="J20" s="47"/>
      <c r="K20" s="268" t="str">
        <f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v>122000</v>
      </c>
      <c r="Q20" s="258">
        <v>2000</v>
      </c>
      <c r="R20" s="38"/>
      <c r="S20" s="14" t="s">
        <v>130</v>
      </c>
      <c r="T20" s="9">
        <f>P21/3</f>
        <v>11886.866666666667</v>
      </c>
      <c r="W20" s="44">
        <v>2.44</v>
      </c>
      <c r="X20">
        <v>1.52</v>
      </c>
    </row>
    <row r="21" spans="2:24" ht="17.399999999999999" x14ac:dyDescent="0.3">
      <c r="B21" s="325">
        <v>2</v>
      </c>
      <c r="C21" s="309" t="s">
        <v>165</v>
      </c>
      <c r="D21" s="326">
        <v>0.74</v>
      </c>
      <c r="E21" s="326">
        <v>0.37</v>
      </c>
      <c r="F21" s="309" t="s">
        <v>166</v>
      </c>
      <c r="G21" s="310">
        <f>P21</f>
        <v>35660.6</v>
      </c>
      <c r="H21" s="311">
        <f>G21*B21</f>
        <v>71321.2</v>
      </c>
      <c r="I21" s="265"/>
      <c r="J21" s="47"/>
      <c r="K21" s="345">
        <f>B21</f>
        <v>2</v>
      </c>
      <c r="L21" s="346">
        <f>D21+L$19</f>
        <v>0.79</v>
      </c>
      <c r="M21" s="346">
        <f>E21+M$19</f>
        <v>0.37</v>
      </c>
      <c r="N21" s="261">
        <f>L21*M21</f>
        <v>0.2923</v>
      </c>
      <c r="O21" s="259">
        <f>N21*K21</f>
        <v>0.58460000000000001</v>
      </c>
      <c r="P21" s="252">
        <f>P$20*N21</f>
        <v>35660.6</v>
      </c>
      <c r="Q21" s="258">
        <f>P21+Q$20</f>
        <v>37660.6</v>
      </c>
      <c r="R21" s="308">
        <f>K21*L21</f>
        <v>1.58</v>
      </c>
      <c r="S21" s="14"/>
      <c r="T21" s="9"/>
      <c r="U21" s="319">
        <f>R21*U19</f>
        <v>23700</v>
      </c>
      <c r="W21" s="4"/>
      <c r="X21">
        <v>19.8</v>
      </c>
    </row>
    <row r="22" spans="2:24" ht="17.399999999999999" x14ac:dyDescent="0.3">
      <c r="B22" s="325">
        <v>3</v>
      </c>
      <c r="C22" s="309" t="s">
        <v>165</v>
      </c>
      <c r="D22" s="326">
        <v>0.74</v>
      </c>
      <c r="E22" s="326">
        <v>0.36499999999999999</v>
      </c>
      <c r="F22" s="309" t="s">
        <v>166</v>
      </c>
      <c r="G22" s="310">
        <f t="shared" ref="G22:G38" si="0">P22</f>
        <v>35178.699999999997</v>
      </c>
      <c r="H22" s="311">
        <f t="shared" ref="H22:H38" si="1">G22*B22</f>
        <v>105536.09999999999</v>
      </c>
      <c r="I22" s="265"/>
      <c r="J22" s="47"/>
      <c r="K22" s="345">
        <f>B22</f>
        <v>3</v>
      </c>
      <c r="L22" s="346">
        <f>D22+L$19</f>
        <v>0.79</v>
      </c>
      <c r="M22" s="346">
        <f>E22+M$19</f>
        <v>0.36499999999999999</v>
      </c>
      <c r="N22" s="261">
        <f>L22*M22</f>
        <v>0.28835</v>
      </c>
      <c r="O22" s="259">
        <f>N22*K22</f>
        <v>0.86504999999999999</v>
      </c>
      <c r="P22" s="252">
        <f>P$20*N22</f>
        <v>35178.699999999997</v>
      </c>
      <c r="Q22" s="258">
        <f>P22+Q$20</f>
        <v>37178.699999999997</v>
      </c>
      <c r="R22" s="308">
        <f>K22*L22</f>
        <v>2.37</v>
      </c>
      <c r="S22" s="14"/>
      <c r="T22" s="9"/>
      <c r="U22" s="319"/>
      <c r="W22" s="4"/>
    </row>
    <row r="23" spans="2:24" ht="17.399999999999999" x14ac:dyDescent="0.3">
      <c r="B23" s="325">
        <v>1</v>
      </c>
      <c r="C23" s="309" t="s">
        <v>165</v>
      </c>
      <c r="D23" s="326">
        <v>0.74</v>
      </c>
      <c r="E23" s="326">
        <v>0.25</v>
      </c>
      <c r="F23" s="309" t="s">
        <v>166</v>
      </c>
      <c r="G23" s="310">
        <f t="shared" si="0"/>
        <v>24095</v>
      </c>
      <c r="H23" s="311">
        <f t="shared" si="1"/>
        <v>24095</v>
      </c>
      <c r="I23" s="265"/>
      <c r="J23" s="47"/>
      <c r="K23" s="323">
        <f t="shared" ref="K23:K38" si="2">B23</f>
        <v>1</v>
      </c>
      <c r="L23" s="318">
        <f t="shared" ref="L23:L38" si="3">D23+L$19</f>
        <v>0.79</v>
      </c>
      <c r="M23" s="318">
        <f t="shared" ref="M23:M38" si="4">E23+M$19</f>
        <v>0.25</v>
      </c>
      <c r="N23" s="261">
        <f t="shared" ref="N23:N38" si="5">L23*M23</f>
        <v>0.19750000000000001</v>
      </c>
      <c r="O23" s="259">
        <f t="shared" ref="O23:O38" si="6">N23*K23</f>
        <v>0.19750000000000001</v>
      </c>
      <c r="P23" s="252">
        <f t="shared" ref="P23:P38" si="7">P$20*N23</f>
        <v>24095</v>
      </c>
      <c r="Q23" s="258">
        <f t="shared" ref="Q23:Q38" si="8">P23+Q$20</f>
        <v>26095</v>
      </c>
      <c r="R23" s="308">
        <f t="shared" ref="R23:R38" si="9">K23*L23</f>
        <v>0.79</v>
      </c>
      <c r="S23" s="14"/>
      <c r="T23" s="9"/>
      <c r="U23" s="319"/>
      <c r="W23" s="4"/>
    </row>
    <row r="24" spans="2:24" ht="17.399999999999999" x14ac:dyDescent="0.3">
      <c r="B24" s="325">
        <v>1</v>
      </c>
      <c r="C24" s="309" t="s">
        <v>165</v>
      </c>
      <c r="D24" s="326">
        <v>0.88500000000000001</v>
      </c>
      <c r="E24" s="326">
        <v>0.57999999999999996</v>
      </c>
      <c r="F24" s="309" t="s">
        <v>166</v>
      </c>
      <c r="G24" s="310">
        <f t="shared" si="0"/>
        <v>66160.600000000006</v>
      </c>
      <c r="H24" s="311">
        <f t="shared" si="1"/>
        <v>66160.600000000006</v>
      </c>
      <c r="I24" s="265"/>
      <c r="J24" s="47"/>
      <c r="K24" s="323">
        <f t="shared" si="2"/>
        <v>1</v>
      </c>
      <c r="L24" s="318">
        <f t="shared" si="3"/>
        <v>0.93500000000000005</v>
      </c>
      <c r="M24" s="318">
        <f t="shared" si="4"/>
        <v>0.57999999999999996</v>
      </c>
      <c r="N24" s="261">
        <f t="shared" si="5"/>
        <v>0.5423</v>
      </c>
      <c r="O24" s="259">
        <f t="shared" si="6"/>
        <v>0.5423</v>
      </c>
      <c r="P24" s="252">
        <f t="shared" si="7"/>
        <v>66160.600000000006</v>
      </c>
      <c r="Q24" s="258">
        <f t="shared" si="8"/>
        <v>68160.600000000006</v>
      </c>
      <c r="R24" s="308">
        <f t="shared" si="9"/>
        <v>0.93500000000000005</v>
      </c>
      <c r="S24" s="14"/>
      <c r="T24" s="9"/>
      <c r="U24" s="319"/>
      <c r="W24" s="4"/>
    </row>
    <row r="25" spans="2:24" ht="17.399999999999999" x14ac:dyDescent="0.3">
      <c r="B25" s="325">
        <v>4</v>
      </c>
      <c r="C25" s="309" t="s">
        <v>165</v>
      </c>
      <c r="D25" s="326">
        <v>0.88500000000000001</v>
      </c>
      <c r="E25" s="326">
        <v>0.12</v>
      </c>
      <c r="F25" s="309" t="s">
        <v>166</v>
      </c>
      <c r="G25" s="310">
        <f t="shared" si="0"/>
        <v>13688.400000000001</v>
      </c>
      <c r="H25" s="311">
        <f t="shared" si="1"/>
        <v>54753.600000000006</v>
      </c>
      <c r="I25" s="265"/>
      <c r="J25" s="47"/>
      <c r="K25" s="323">
        <f t="shared" si="2"/>
        <v>4</v>
      </c>
      <c r="L25" s="318">
        <f t="shared" si="3"/>
        <v>0.93500000000000005</v>
      </c>
      <c r="M25" s="318">
        <f t="shared" si="4"/>
        <v>0.12</v>
      </c>
      <c r="N25" s="261">
        <f t="shared" si="5"/>
        <v>0.11220000000000001</v>
      </c>
      <c r="O25" s="259">
        <f t="shared" si="6"/>
        <v>0.44880000000000003</v>
      </c>
      <c r="P25" s="252">
        <f t="shared" si="7"/>
        <v>13688.400000000001</v>
      </c>
      <c r="Q25" s="258">
        <f t="shared" si="8"/>
        <v>15688.400000000001</v>
      </c>
      <c r="R25" s="308">
        <f t="shared" si="9"/>
        <v>3.74</v>
      </c>
      <c r="S25" s="14"/>
      <c r="T25" s="9"/>
      <c r="U25" s="319"/>
      <c r="W25" s="4"/>
    </row>
    <row r="26" spans="2:24" ht="17.399999999999999" x14ac:dyDescent="0.3">
      <c r="B26" s="325">
        <v>1</v>
      </c>
      <c r="C26" s="309" t="s">
        <v>165</v>
      </c>
      <c r="D26" s="326">
        <v>0.74</v>
      </c>
      <c r="E26" s="326">
        <v>0.45</v>
      </c>
      <c r="F26" s="309" t="s">
        <v>166</v>
      </c>
      <c r="G26" s="310">
        <f t="shared" si="0"/>
        <v>43371.000000000007</v>
      </c>
      <c r="H26" s="311">
        <f t="shared" si="1"/>
        <v>43371.000000000007</v>
      </c>
      <c r="I26" s="265"/>
      <c r="J26" s="47"/>
      <c r="K26" s="323">
        <f t="shared" si="2"/>
        <v>1</v>
      </c>
      <c r="L26" s="318">
        <f t="shared" si="3"/>
        <v>0.79</v>
      </c>
      <c r="M26" s="318">
        <f t="shared" si="4"/>
        <v>0.45</v>
      </c>
      <c r="N26" s="261">
        <f t="shared" si="5"/>
        <v>0.35550000000000004</v>
      </c>
      <c r="O26" s="259">
        <f t="shared" si="6"/>
        <v>0.35550000000000004</v>
      </c>
      <c r="P26" s="252">
        <f t="shared" si="7"/>
        <v>43371.000000000007</v>
      </c>
      <c r="Q26" s="258">
        <f t="shared" si="8"/>
        <v>45371.000000000007</v>
      </c>
      <c r="R26" s="308">
        <f t="shared" si="9"/>
        <v>0.79</v>
      </c>
      <c r="S26" s="14"/>
      <c r="T26" s="9"/>
      <c r="U26" s="319"/>
      <c r="W26" s="4"/>
    </row>
    <row r="27" spans="2:24" ht="17.399999999999999" x14ac:dyDescent="0.3">
      <c r="B27" s="325">
        <v>2</v>
      </c>
      <c r="C27" s="309" t="s">
        <v>165</v>
      </c>
      <c r="D27" s="326">
        <v>0.74</v>
      </c>
      <c r="E27" s="326">
        <v>0.44500000000000001</v>
      </c>
      <c r="F27" s="309" t="s">
        <v>166</v>
      </c>
      <c r="G27" s="310">
        <f t="shared" si="0"/>
        <v>42889.100000000006</v>
      </c>
      <c r="H27" s="311">
        <f t="shared" si="1"/>
        <v>85778.200000000012</v>
      </c>
      <c r="I27" s="265"/>
      <c r="J27" s="47"/>
      <c r="K27" s="323">
        <f t="shared" si="2"/>
        <v>2</v>
      </c>
      <c r="L27" s="318">
        <f t="shared" si="3"/>
        <v>0.79</v>
      </c>
      <c r="M27" s="318">
        <f t="shared" si="4"/>
        <v>0.44500000000000001</v>
      </c>
      <c r="N27" s="261">
        <f t="shared" si="5"/>
        <v>0.35155000000000003</v>
      </c>
      <c r="O27" s="259">
        <f t="shared" si="6"/>
        <v>0.70310000000000006</v>
      </c>
      <c r="P27" s="252">
        <f t="shared" si="7"/>
        <v>42889.100000000006</v>
      </c>
      <c r="Q27" s="258">
        <f t="shared" si="8"/>
        <v>44889.100000000006</v>
      </c>
      <c r="R27" s="308">
        <f t="shared" si="9"/>
        <v>1.58</v>
      </c>
      <c r="S27" s="14"/>
      <c r="T27" s="9"/>
      <c r="U27" s="319"/>
      <c r="W27" s="4"/>
    </row>
    <row r="28" spans="2:24" ht="17.399999999999999" x14ac:dyDescent="0.3">
      <c r="B28" s="325">
        <v>4</v>
      </c>
      <c r="C28" s="309" t="s">
        <v>165</v>
      </c>
      <c r="D28" s="326">
        <v>0.182</v>
      </c>
      <c r="E28" s="326">
        <v>0.45</v>
      </c>
      <c r="F28" s="309" t="s">
        <v>166</v>
      </c>
      <c r="G28" s="310">
        <f t="shared" si="0"/>
        <v>12736.8</v>
      </c>
      <c r="H28" s="311">
        <f t="shared" si="1"/>
        <v>50947.199999999997</v>
      </c>
      <c r="I28" s="265"/>
      <c r="J28" s="47"/>
      <c r="K28" s="323">
        <f t="shared" si="2"/>
        <v>4</v>
      </c>
      <c r="L28" s="318">
        <f t="shared" si="3"/>
        <v>0.23199999999999998</v>
      </c>
      <c r="M28" s="318">
        <f t="shared" si="4"/>
        <v>0.45</v>
      </c>
      <c r="N28" s="261">
        <f t="shared" si="5"/>
        <v>0.10439999999999999</v>
      </c>
      <c r="O28" s="259">
        <f t="shared" si="6"/>
        <v>0.41759999999999997</v>
      </c>
      <c r="P28" s="252">
        <f t="shared" si="7"/>
        <v>12736.8</v>
      </c>
      <c r="Q28" s="258">
        <f t="shared" si="8"/>
        <v>14736.8</v>
      </c>
      <c r="R28" s="308">
        <f t="shared" si="9"/>
        <v>0.92799999999999994</v>
      </c>
      <c r="S28" s="14"/>
      <c r="T28" s="9"/>
      <c r="U28" s="319"/>
      <c r="W28" s="4"/>
    </row>
    <row r="29" spans="2:24" ht="17.399999999999999" x14ac:dyDescent="0.3">
      <c r="B29" s="325">
        <v>2</v>
      </c>
      <c r="C29" s="309" t="s">
        <v>165</v>
      </c>
      <c r="D29" s="326">
        <v>0.68</v>
      </c>
      <c r="E29" s="326">
        <v>0.36499999999999999</v>
      </c>
      <c r="F29" s="309" t="s">
        <v>166</v>
      </c>
      <c r="G29" s="310">
        <f t="shared" si="0"/>
        <v>32506.9</v>
      </c>
      <c r="H29" s="311">
        <f t="shared" si="1"/>
        <v>65013.8</v>
      </c>
      <c r="I29" s="265"/>
      <c r="J29" s="47"/>
      <c r="K29" s="323">
        <f t="shared" si="2"/>
        <v>2</v>
      </c>
      <c r="L29" s="318">
        <f t="shared" si="3"/>
        <v>0.73000000000000009</v>
      </c>
      <c r="M29" s="318">
        <f t="shared" si="4"/>
        <v>0.36499999999999999</v>
      </c>
      <c r="N29" s="261">
        <f t="shared" si="5"/>
        <v>0.26645000000000002</v>
      </c>
      <c r="O29" s="259">
        <f t="shared" si="6"/>
        <v>0.53290000000000004</v>
      </c>
      <c r="P29" s="252">
        <f t="shared" si="7"/>
        <v>32506.9</v>
      </c>
      <c r="Q29" s="258">
        <f t="shared" si="8"/>
        <v>34506.9</v>
      </c>
      <c r="R29" s="308">
        <f t="shared" si="9"/>
        <v>1.4600000000000002</v>
      </c>
      <c r="S29" s="14"/>
      <c r="T29" s="9"/>
      <c r="U29" s="319"/>
      <c r="W29" s="4"/>
    </row>
    <row r="30" spans="2:24" ht="17.399999999999999" x14ac:dyDescent="0.3">
      <c r="B30" s="325">
        <v>1</v>
      </c>
      <c r="C30" s="309" t="s">
        <v>165</v>
      </c>
      <c r="D30" s="326">
        <v>0.82</v>
      </c>
      <c r="E30" s="326">
        <v>0.3</v>
      </c>
      <c r="F30" s="309" t="s">
        <v>166</v>
      </c>
      <c r="G30" s="310">
        <f t="shared" si="0"/>
        <v>31842</v>
      </c>
      <c r="H30" s="311">
        <f t="shared" si="1"/>
        <v>31842</v>
      </c>
      <c r="I30" s="265"/>
      <c r="J30" s="47"/>
      <c r="K30" s="323">
        <f t="shared" si="2"/>
        <v>1</v>
      </c>
      <c r="L30" s="318">
        <f t="shared" si="3"/>
        <v>0.87</v>
      </c>
      <c r="M30" s="318">
        <f t="shared" si="4"/>
        <v>0.3</v>
      </c>
      <c r="N30" s="261">
        <f t="shared" si="5"/>
        <v>0.26100000000000001</v>
      </c>
      <c r="O30" s="259">
        <f t="shared" si="6"/>
        <v>0.26100000000000001</v>
      </c>
      <c r="P30" s="252">
        <f t="shared" si="7"/>
        <v>31842</v>
      </c>
      <c r="Q30" s="258">
        <f t="shared" si="8"/>
        <v>33842</v>
      </c>
      <c r="R30" s="308">
        <f t="shared" si="9"/>
        <v>0.87</v>
      </c>
      <c r="S30" s="14"/>
      <c r="T30" s="9"/>
      <c r="U30" s="319"/>
      <c r="W30" s="4"/>
    </row>
    <row r="31" spans="2:24" ht="17.399999999999999" x14ac:dyDescent="0.3">
      <c r="B31" s="325">
        <v>1</v>
      </c>
      <c r="C31" s="309" t="s">
        <v>165</v>
      </c>
      <c r="D31" s="326">
        <v>0.82</v>
      </c>
      <c r="E31" s="326">
        <v>0.12</v>
      </c>
      <c r="F31" s="309" t="s">
        <v>166</v>
      </c>
      <c r="G31" s="310">
        <f t="shared" si="0"/>
        <v>12736.8</v>
      </c>
      <c r="H31" s="311">
        <f t="shared" si="1"/>
        <v>12736.8</v>
      </c>
      <c r="I31" s="265"/>
      <c r="J31" s="47"/>
      <c r="K31" s="323">
        <f t="shared" si="2"/>
        <v>1</v>
      </c>
      <c r="L31" s="318">
        <f t="shared" si="3"/>
        <v>0.87</v>
      </c>
      <c r="M31" s="318">
        <f t="shared" si="4"/>
        <v>0.12</v>
      </c>
      <c r="N31" s="261">
        <f t="shared" si="5"/>
        <v>0.10439999999999999</v>
      </c>
      <c r="O31" s="259">
        <f t="shared" si="6"/>
        <v>0.10439999999999999</v>
      </c>
      <c r="P31" s="252">
        <f t="shared" si="7"/>
        <v>12736.8</v>
      </c>
      <c r="Q31" s="258">
        <f t="shared" si="8"/>
        <v>14736.8</v>
      </c>
      <c r="R31" s="308">
        <f t="shared" si="9"/>
        <v>0.87</v>
      </c>
      <c r="S31" s="14"/>
      <c r="T31" s="9"/>
      <c r="U31" s="319"/>
      <c r="W31" s="4"/>
    </row>
    <row r="32" spans="2:24" ht="17.399999999999999" x14ac:dyDescent="0.3">
      <c r="B32" s="325">
        <v>1</v>
      </c>
      <c r="C32" s="309" t="s">
        <v>165</v>
      </c>
      <c r="D32" s="326">
        <v>0.74</v>
      </c>
      <c r="E32" s="326">
        <v>0.14699999999999999</v>
      </c>
      <c r="F32" s="309" t="s">
        <v>166</v>
      </c>
      <c r="G32" s="310">
        <f t="shared" si="0"/>
        <v>14167.859999999999</v>
      </c>
      <c r="H32" s="311">
        <f t="shared" si="1"/>
        <v>14167.859999999999</v>
      </c>
      <c r="I32" s="265"/>
      <c r="J32" s="47"/>
      <c r="K32" s="323">
        <f t="shared" si="2"/>
        <v>1</v>
      </c>
      <c r="L32" s="318">
        <f t="shared" si="3"/>
        <v>0.79</v>
      </c>
      <c r="M32" s="318">
        <f t="shared" si="4"/>
        <v>0.14699999999999999</v>
      </c>
      <c r="N32" s="261">
        <f t="shared" si="5"/>
        <v>0.11613</v>
      </c>
      <c r="O32" s="259">
        <f t="shared" si="6"/>
        <v>0.11613</v>
      </c>
      <c r="P32" s="252">
        <f t="shared" si="7"/>
        <v>14167.859999999999</v>
      </c>
      <c r="Q32" s="258">
        <f t="shared" si="8"/>
        <v>16167.859999999999</v>
      </c>
      <c r="R32" s="308">
        <f t="shared" si="9"/>
        <v>0.79</v>
      </c>
      <c r="S32" s="14"/>
      <c r="T32" s="9"/>
      <c r="U32" s="319"/>
      <c r="W32" s="4"/>
    </row>
    <row r="33" spans="2:24" ht="17.399999999999999" x14ac:dyDescent="0.3">
      <c r="B33" s="325">
        <v>1</v>
      </c>
      <c r="C33" s="309" t="s">
        <v>165</v>
      </c>
      <c r="D33" s="326">
        <v>0.14000000000000001</v>
      </c>
      <c r="E33" s="326">
        <v>0.59499999999999997</v>
      </c>
      <c r="F33" s="309" t="s">
        <v>166</v>
      </c>
      <c r="G33" s="310">
        <f t="shared" si="0"/>
        <v>13792.1</v>
      </c>
      <c r="H33" s="311">
        <f t="shared" si="1"/>
        <v>13792.1</v>
      </c>
      <c r="I33" s="265"/>
      <c r="J33" s="47"/>
      <c r="K33" s="323">
        <f t="shared" si="2"/>
        <v>1</v>
      </c>
      <c r="L33" s="318">
        <f t="shared" si="3"/>
        <v>0.19</v>
      </c>
      <c r="M33" s="318">
        <f t="shared" si="4"/>
        <v>0.59499999999999997</v>
      </c>
      <c r="N33" s="261">
        <f t="shared" si="5"/>
        <v>0.11305</v>
      </c>
      <c r="O33" s="259">
        <f t="shared" si="6"/>
        <v>0.11305</v>
      </c>
      <c r="P33" s="252">
        <f t="shared" si="7"/>
        <v>13792.1</v>
      </c>
      <c r="Q33" s="258">
        <f t="shared" si="8"/>
        <v>15792.1</v>
      </c>
      <c r="R33" s="308">
        <f t="shared" si="9"/>
        <v>0.19</v>
      </c>
      <c r="S33" s="14"/>
      <c r="T33" s="9"/>
      <c r="U33" s="319"/>
      <c r="W33" s="4"/>
    </row>
    <row r="34" spans="2:24" ht="17.399999999999999" x14ac:dyDescent="0.3">
      <c r="B34" s="325">
        <v>1</v>
      </c>
      <c r="C34" s="309" t="s">
        <v>165</v>
      </c>
      <c r="D34" s="326">
        <v>0.74</v>
      </c>
      <c r="E34" s="326">
        <v>0.38</v>
      </c>
      <c r="F34" s="309" t="s">
        <v>166</v>
      </c>
      <c r="G34" s="310">
        <f t="shared" si="0"/>
        <v>36624.400000000001</v>
      </c>
      <c r="H34" s="311">
        <f t="shared" si="1"/>
        <v>36624.400000000001</v>
      </c>
      <c r="I34" s="265"/>
      <c r="J34" s="47"/>
      <c r="K34" s="323">
        <f t="shared" si="2"/>
        <v>1</v>
      </c>
      <c r="L34" s="318">
        <f t="shared" si="3"/>
        <v>0.79</v>
      </c>
      <c r="M34" s="318">
        <f t="shared" si="4"/>
        <v>0.38</v>
      </c>
      <c r="N34" s="261">
        <f t="shared" si="5"/>
        <v>0.30020000000000002</v>
      </c>
      <c r="O34" s="259">
        <f t="shared" si="6"/>
        <v>0.30020000000000002</v>
      </c>
      <c r="P34" s="252">
        <f t="shared" si="7"/>
        <v>36624.400000000001</v>
      </c>
      <c r="Q34" s="258">
        <f t="shared" si="8"/>
        <v>38624.400000000001</v>
      </c>
      <c r="R34" s="308">
        <f t="shared" si="9"/>
        <v>0.79</v>
      </c>
      <c r="S34" s="14"/>
      <c r="T34" s="9"/>
      <c r="U34" s="319"/>
      <c r="W34" s="4"/>
    </row>
    <row r="35" spans="2:24" ht="17.399999999999999" x14ac:dyDescent="0.3">
      <c r="B35" s="325">
        <v>1</v>
      </c>
      <c r="C35" s="309" t="s">
        <v>165</v>
      </c>
      <c r="D35" s="326">
        <v>0.74</v>
      </c>
      <c r="E35" s="326">
        <v>0.375</v>
      </c>
      <c r="F35" s="309" t="s">
        <v>166</v>
      </c>
      <c r="G35" s="310">
        <f t="shared" si="0"/>
        <v>36142.5</v>
      </c>
      <c r="H35" s="311">
        <f t="shared" si="1"/>
        <v>36142.5</v>
      </c>
      <c r="I35" s="265"/>
      <c r="J35" s="47"/>
      <c r="K35" s="323">
        <f t="shared" si="2"/>
        <v>1</v>
      </c>
      <c r="L35" s="318">
        <f t="shared" si="3"/>
        <v>0.79</v>
      </c>
      <c r="M35" s="318">
        <f t="shared" si="4"/>
        <v>0.375</v>
      </c>
      <c r="N35" s="261">
        <f t="shared" si="5"/>
        <v>0.29625000000000001</v>
      </c>
      <c r="O35" s="259">
        <f t="shared" si="6"/>
        <v>0.29625000000000001</v>
      </c>
      <c r="P35" s="252">
        <f t="shared" si="7"/>
        <v>36142.5</v>
      </c>
      <c r="Q35" s="258">
        <f t="shared" si="8"/>
        <v>38142.5</v>
      </c>
      <c r="R35" s="308">
        <f t="shared" si="9"/>
        <v>0.79</v>
      </c>
      <c r="S35" s="14"/>
      <c r="T35" s="9"/>
      <c r="U35" s="319"/>
      <c r="W35" s="4"/>
    </row>
    <row r="36" spans="2:24" ht="17.399999999999999" x14ac:dyDescent="0.3">
      <c r="B36" s="325">
        <v>2</v>
      </c>
      <c r="C36" s="309" t="s">
        <v>165</v>
      </c>
      <c r="D36" s="326">
        <v>0.78</v>
      </c>
      <c r="E36" s="326">
        <v>0.37</v>
      </c>
      <c r="F36" s="309" t="s">
        <v>166</v>
      </c>
      <c r="G36" s="310">
        <f t="shared" si="0"/>
        <v>37466.200000000004</v>
      </c>
      <c r="H36" s="311">
        <f t="shared" si="1"/>
        <v>74932.400000000009</v>
      </c>
      <c r="I36" s="265"/>
      <c r="J36" s="47"/>
      <c r="K36" s="347">
        <f t="shared" si="2"/>
        <v>2</v>
      </c>
      <c r="L36" s="348">
        <f t="shared" si="3"/>
        <v>0.83000000000000007</v>
      </c>
      <c r="M36" s="348">
        <f t="shared" si="4"/>
        <v>0.37</v>
      </c>
      <c r="N36" s="261">
        <f t="shared" si="5"/>
        <v>0.30710000000000004</v>
      </c>
      <c r="O36" s="259">
        <f t="shared" si="6"/>
        <v>0.61420000000000008</v>
      </c>
      <c r="P36" s="252">
        <f t="shared" si="7"/>
        <v>37466.200000000004</v>
      </c>
      <c r="Q36" s="258">
        <f t="shared" si="8"/>
        <v>39466.200000000004</v>
      </c>
      <c r="R36" s="308">
        <f t="shared" si="9"/>
        <v>1.6600000000000001</v>
      </c>
      <c r="S36" s="14"/>
      <c r="T36" s="9"/>
      <c r="U36" s="319"/>
      <c r="W36" s="4"/>
    </row>
    <row r="37" spans="2:24" ht="17.399999999999999" x14ac:dyDescent="0.3">
      <c r="B37" s="325">
        <v>2</v>
      </c>
      <c r="C37" s="309" t="s">
        <v>165</v>
      </c>
      <c r="D37" s="326">
        <v>0.78</v>
      </c>
      <c r="E37" s="326">
        <v>0.36499999999999999</v>
      </c>
      <c r="F37" s="309" t="s">
        <v>166</v>
      </c>
      <c r="G37" s="310">
        <f t="shared" si="0"/>
        <v>36959.9</v>
      </c>
      <c r="H37" s="311">
        <f t="shared" si="1"/>
        <v>73919.8</v>
      </c>
      <c r="I37" s="265"/>
      <c r="J37" s="47"/>
      <c r="K37" s="347">
        <f t="shared" si="2"/>
        <v>2</v>
      </c>
      <c r="L37" s="348">
        <f t="shared" si="3"/>
        <v>0.83000000000000007</v>
      </c>
      <c r="M37" s="348">
        <f t="shared" si="4"/>
        <v>0.36499999999999999</v>
      </c>
      <c r="N37" s="261">
        <f t="shared" si="5"/>
        <v>0.30295</v>
      </c>
      <c r="O37" s="259">
        <f t="shared" si="6"/>
        <v>0.60589999999999999</v>
      </c>
      <c r="P37" s="252">
        <f t="shared" si="7"/>
        <v>36959.9</v>
      </c>
      <c r="Q37" s="258">
        <f t="shared" si="8"/>
        <v>38959.9</v>
      </c>
      <c r="R37" s="308">
        <f t="shared" si="9"/>
        <v>1.6600000000000001</v>
      </c>
      <c r="S37" s="14"/>
      <c r="T37" s="9"/>
      <c r="U37" s="319"/>
      <c r="W37" s="4"/>
    </row>
    <row r="38" spans="2:24" ht="17.399999999999999" x14ac:dyDescent="0.3">
      <c r="B38" s="325">
        <v>2</v>
      </c>
      <c r="C38" s="309" t="s">
        <v>165</v>
      </c>
      <c r="D38" s="326">
        <v>0.78</v>
      </c>
      <c r="E38" s="326">
        <v>0.34499999999999997</v>
      </c>
      <c r="F38" s="309" t="s">
        <v>166</v>
      </c>
      <c r="G38" s="310">
        <f t="shared" si="0"/>
        <v>34934.699999999997</v>
      </c>
      <c r="H38" s="311">
        <f t="shared" si="1"/>
        <v>69869.399999999994</v>
      </c>
      <c r="I38" s="265"/>
      <c r="J38" s="47"/>
      <c r="K38" s="347">
        <f t="shared" si="2"/>
        <v>2</v>
      </c>
      <c r="L38" s="348">
        <f t="shared" si="3"/>
        <v>0.83000000000000007</v>
      </c>
      <c r="M38" s="348">
        <f t="shared" si="4"/>
        <v>0.34499999999999997</v>
      </c>
      <c r="N38" s="261">
        <f t="shared" si="5"/>
        <v>0.28634999999999999</v>
      </c>
      <c r="O38" s="259">
        <f t="shared" si="6"/>
        <v>0.57269999999999999</v>
      </c>
      <c r="P38" s="252">
        <f t="shared" si="7"/>
        <v>34934.699999999997</v>
      </c>
      <c r="Q38" s="258">
        <f t="shared" si="8"/>
        <v>36934.699999999997</v>
      </c>
      <c r="R38" s="308">
        <f t="shared" si="9"/>
        <v>1.6600000000000001</v>
      </c>
      <c r="S38" s="14"/>
      <c r="T38" s="9"/>
      <c r="U38" s="319"/>
      <c r="W38" s="4"/>
    </row>
    <row r="39" spans="2:24" ht="17.399999999999999" x14ac:dyDescent="0.3">
      <c r="B39" s="342">
        <f>SUM(B21:B38)</f>
        <v>32</v>
      </c>
      <c r="C39" s="342"/>
      <c r="D39" s="343"/>
      <c r="E39" s="343"/>
      <c r="F39" s="342"/>
      <c r="G39" s="344"/>
      <c r="H39" s="344"/>
      <c r="I39" s="265"/>
      <c r="J39" s="47"/>
      <c r="K39" s="323"/>
      <c r="L39" s="318"/>
      <c r="M39" s="318"/>
      <c r="N39" s="261"/>
      <c r="O39" s="259"/>
      <c r="P39" s="252"/>
      <c r="Q39" s="258"/>
      <c r="R39" s="308"/>
      <c r="S39" s="14"/>
      <c r="T39" s="9"/>
      <c r="U39" s="319"/>
      <c r="W39" s="4"/>
    </row>
    <row r="40" spans="2:24" ht="17.399999999999999" x14ac:dyDescent="0.3">
      <c r="B40" s="286"/>
      <c r="C40" s="286"/>
      <c r="D40" s="287"/>
      <c r="E40" s="287"/>
      <c r="F40" s="286"/>
      <c r="G40" s="52"/>
      <c r="H40" s="327"/>
      <c r="I40" s="265"/>
      <c r="J40" s="47"/>
      <c r="K40" s="47"/>
      <c r="L40" s="39"/>
      <c r="M40" s="39"/>
      <c r="N40" s="261"/>
      <c r="O40" s="259"/>
      <c r="P40" s="252"/>
      <c r="Q40" s="258"/>
      <c r="R40" s="308"/>
      <c r="S40" s="14"/>
      <c r="T40" s="9"/>
      <c r="W40" s="4"/>
      <c r="X40">
        <f>SUM(X21:X21)</f>
        <v>19.8</v>
      </c>
    </row>
    <row r="41" spans="2:24" ht="18" x14ac:dyDescent="0.3">
      <c r="B41" s="286"/>
      <c r="C41" s="286"/>
      <c r="D41" s="287"/>
      <c r="E41" s="287"/>
      <c r="F41" s="286"/>
      <c r="G41" s="265"/>
      <c r="H41" s="328"/>
      <c r="I41" s="232"/>
      <c r="J41" s="47"/>
      <c r="K41" s="47"/>
      <c r="L41" s="39"/>
      <c r="M41" s="39"/>
      <c r="N41" s="261"/>
      <c r="O41" s="253">
        <f>SUM(O21:O39)</f>
        <v>7.6311800000000005</v>
      </c>
      <c r="P41" s="252"/>
      <c r="Q41" s="258"/>
      <c r="R41" s="308"/>
      <c r="S41" s="14"/>
      <c r="T41" s="9"/>
      <c r="W41" s="4"/>
    </row>
    <row r="42" spans="2:24" ht="18" x14ac:dyDescent="0.35">
      <c r="B42" s="286"/>
      <c r="C42" s="286"/>
      <c r="D42" s="287"/>
      <c r="E42" s="287"/>
      <c r="F42" s="286"/>
      <c r="G42" s="329" t="s">
        <v>30</v>
      </c>
      <c r="H42" s="324">
        <f>SUM(H21:H41)</f>
        <v>931003.9600000002</v>
      </c>
      <c r="I42" s="265">
        <v>880000</v>
      </c>
      <c r="J42" s="47">
        <v>8698974</v>
      </c>
      <c r="K42" s="47"/>
      <c r="L42" s="39">
        <f>SUM(L21:L41)</f>
        <v>13.572000000000001</v>
      </c>
      <c r="M42" s="39"/>
      <c r="N42" s="261"/>
      <c r="O42" s="253">
        <f>O41</f>
        <v>7.6311800000000005</v>
      </c>
      <c r="P42" s="252"/>
      <c r="Q42" s="258"/>
      <c r="R42" s="308"/>
      <c r="S42" s="14"/>
      <c r="T42" s="9"/>
      <c r="W42" s="4"/>
    </row>
    <row r="43" spans="2:24" ht="17.399999999999999" x14ac:dyDescent="0.3">
      <c r="B43" s="280"/>
      <c r="C43" s="283"/>
      <c r="D43" s="284"/>
      <c r="E43" s="284"/>
      <c r="F43" s="285"/>
      <c r="G43" s="307" t="s">
        <v>53</v>
      </c>
      <c r="H43" s="304">
        <f>H42*19%</f>
        <v>176890.75240000003</v>
      </c>
      <c r="I43" s="265"/>
      <c r="J43" s="47"/>
      <c r="K43" s="47"/>
      <c r="L43" s="39"/>
      <c r="M43" s="12"/>
      <c r="N43" s="12"/>
      <c r="O43" s="39">
        <f>O42*20%</f>
        <v>1.5262360000000001</v>
      </c>
      <c r="P43" s="14"/>
      <c r="Q43" s="12"/>
      <c r="R43" s="238"/>
      <c r="S43" s="14"/>
      <c r="T43" s="9"/>
      <c r="W43" s="4"/>
    </row>
    <row r="44" spans="2:24" ht="18" thickBot="1" x14ac:dyDescent="0.35">
      <c r="B44" s="276"/>
      <c r="C44" s="282"/>
      <c r="D44" s="272"/>
      <c r="E44" s="272"/>
      <c r="F44" s="273"/>
      <c r="G44" s="281" t="s">
        <v>6</v>
      </c>
      <c r="H44" s="305">
        <f>H42+H43</f>
        <v>1107894.7124000003</v>
      </c>
      <c r="I44" s="265"/>
      <c r="J44" s="47"/>
      <c r="K44" s="47"/>
      <c r="L44" s="39"/>
      <c r="M44" s="12"/>
      <c r="N44" s="12"/>
      <c r="O44" s="46">
        <f>O42+O43</f>
        <v>9.1574160000000013</v>
      </c>
      <c r="P44" s="14"/>
      <c r="Q44" s="12"/>
      <c r="R44" s="238">
        <f>SUM(R21:R43)</f>
        <v>23.452999999999999</v>
      </c>
      <c r="S44" s="14"/>
      <c r="T44" s="9"/>
      <c r="W44" s="4"/>
    </row>
    <row r="45" spans="2:24" ht="17.399999999999999" x14ac:dyDescent="0.3">
      <c r="B45" s="276"/>
      <c r="C45" s="271"/>
      <c r="D45" s="272"/>
      <c r="E45" s="272"/>
      <c r="F45" s="273"/>
      <c r="H45" s="47"/>
      <c r="I45" s="265"/>
      <c r="J45" s="47"/>
      <c r="K45" s="47"/>
      <c r="L45" s="39"/>
      <c r="M45" s="12"/>
      <c r="N45" s="12"/>
      <c r="P45" s="39" t="s">
        <v>132</v>
      </c>
      <c r="Q45" s="42"/>
      <c r="R45" s="239"/>
      <c r="S45" s="14"/>
      <c r="T45" s="9"/>
      <c r="W45" s="4"/>
    </row>
    <row r="46" spans="2:24" ht="17.399999999999999" x14ac:dyDescent="0.3">
      <c r="B46" s="271"/>
      <c r="C46" s="271"/>
      <c r="D46" s="272"/>
      <c r="E46" s="272"/>
      <c r="F46" s="273"/>
      <c r="G46" s="274"/>
      <c r="H46" s="275"/>
      <c r="I46" s="265"/>
      <c r="J46" s="315"/>
      <c r="K46" s="47"/>
      <c r="L46" s="14"/>
      <c r="M46" s="12"/>
      <c r="N46" s="12"/>
      <c r="P46" s="14"/>
      <c r="Q46" s="14"/>
      <c r="R46" s="237">
        <v>40</v>
      </c>
      <c r="S46" s="14"/>
      <c r="T46" s="9"/>
      <c r="W46" s="4"/>
    </row>
    <row r="47" spans="2:24" ht="17.399999999999999" x14ac:dyDescent="0.35">
      <c r="B47" s="269"/>
      <c r="C47" s="230"/>
      <c r="D47" s="230"/>
      <c r="E47" s="232"/>
      <c r="F47" s="233"/>
      <c r="G47" s="230"/>
      <c r="H47" s="275"/>
      <c r="I47" s="265"/>
      <c r="J47" s="315"/>
      <c r="K47" s="47"/>
      <c r="L47" s="14"/>
      <c r="M47" s="14"/>
      <c r="N47" s="14"/>
      <c r="O47" s="14"/>
      <c r="P47" s="14"/>
      <c r="Q47" s="14"/>
      <c r="R47" s="237"/>
      <c r="S47" s="14"/>
      <c r="T47" s="9"/>
      <c r="W47" s="4"/>
    </row>
    <row r="48" spans="2:24" ht="17.399999999999999" x14ac:dyDescent="0.35">
      <c r="B48" s="234"/>
      <c r="C48" s="235"/>
      <c r="D48" s="236"/>
      <c r="E48" s="234"/>
      <c r="F48" s="230"/>
      <c r="G48" s="230"/>
      <c r="I48" s="265"/>
      <c r="J48" s="47"/>
      <c r="K48" s="47"/>
      <c r="L48" s="39">
        <f>O44*2</f>
        <v>18.314832000000003</v>
      </c>
      <c r="M48" s="12">
        <v>3500</v>
      </c>
      <c r="N48" s="12">
        <f t="shared" ref="N48:N53" si="10">L48*M48</f>
        <v>64101.912000000011</v>
      </c>
      <c r="O48" s="14" t="s">
        <v>22</v>
      </c>
      <c r="P48" s="14" t="s">
        <v>23</v>
      </c>
      <c r="Q48" s="14"/>
      <c r="R48" s="240"/>
      <c r="S48" s="14"/>
      <c r="T48" s="9"/>
      <c r="W48" s="4"/>
    </row>
    <row r="49" spans="2:23" ht="17.399999999999999" x14ac:dyDescent="0.35">
      <c r="B49" s="230"/>
      <c r="C49" s="230"/>
      <c r="D49" s="230"/>
      <c r="E49" s="230"/>
      <c r="F49" s="230"/>
      <c r="G49" s="230"/>
      <c r="I49" s="265"/>
      <c r="J49" s="47"/>
      <c r="K49" s="47"/>
      <c r="L49" s="249">
        <v>2</v>
      </c>
      <c r="M49" s="12">
        <v>25000</v>
      </c>
      <c r="N49" s="12">
        <f t="shared" si="10"/>
        <v>50000</v>
      </c>
      <c r="O49" s="39" t="s">
        <v>156</v>
      </c>
      <c r="P49" s="42"/>
      <c r="Q49" s="14"/>
      <c r="R49" s="239"/>
      <c r="S49" s="14"/>
      <c r="T49" s="9"/>
      <c r="V49">
        <v>1520</v>
      </c>
      <c r="W49" s="9" t="s">
        <v>158</v>
      </c>
    </row>
    <row r="50" spans="2:23" s="230" customFormat="1" ht="17.399999999999999" x14ac:dyDescent="0.35">
      <c r="I50" s="262"/>
      <c r="J50" s="47"/>
      <c r="K50" s="250"/>
      <c r="L50" s="14"/>
      <c r="M50" s="250">
        <v>55000</v>
      </c>
      <c r="N50" s="12">
        <f t="shared" si="10"/>
        <v>0</v>
      </c>
      <c r="O50" s="39" t="s">
        <v>32</v>
      </c>
      <c r="P50" s="42"/>
      <c r="R50" s="239"/>
      <c r="S50" s="256"/>
      <c r="V50" s="231">
        <f>V49/33</f>
        <v>46.060606060606062</v>
      </c>
      <c r="W50" s="230">
        <v>112.24</v>
      </c>
    </row>
    <row r="51" spans="2:23" s="230" customFormat="1" ht="17.399999999999999" x14ac:dyDescent="0.35">
      <c r="B51" s="24" t="s">
        <v>153</v>
      </c>
      <c r="I51" s="262"/>
      <c r="J51" s="314"/>
      <c r="K51" s="250"/>
      <c r="L51" s="14">
        <v>6</v>
      </c>
      <c r="M51" s="250">
        <v>42600</v>
      </c>
      <c r="N51" s="12">
        <f t="shared" si="10"/>
        <v>255600</v>
      </c>
      <c r="O51" s="14" t="s">
        <v>143</v>
      </c>
      <c r="P51" s="17"/>
      <c r="R51" s="237"/>
      <c r="S51" s="256"/>
      <c r="V51" s="231"/>
      <c r="W51" s="230">
        <v>112.24</v>
      </c>
    </row>
    <row r="52" spans="2:23" s="230" customFormat="1" ht="17.399999999999999" x14ac:dyDescent="0.35">
      <c r="B52" s="24" t="s">
        <v>146</v>
      </c>
      <c r="C52"/>
      <c r="D52"/>
      <c r="E52"/>
      <c r="F52"/>
      <c r="I52" s="262"/>
      <c r="J52" s="314"/>
      <c r="K52" s="250"/>
      <c r="L52" s="249"/>
      <c r="M52" s="250">
        <v>800</v>
      </c>
      <c r="N52" s="12">
        <f t="shared" si="10"/>
        <v>0</v>
      </c>
      <c r="O52" s="14" t="s">
        <v>34</v>
      </c>
      <c r="P52" s="14"/>
      <c r="Q52" s="230">
        <v>1.52</v>
      </c>
      <c r="R52" s="237"/>
      <c r="S52" s="237"/>
      <c r="W52" s="230">
        <v>112.24</v>
      </c>
    </row>
    <row r="53" spans="2:23" s="230" customFormat="1" ht="17.399999999999999" x14ac:dyDescent="0.35">
      <c r="B53" s="29" t="s">
        <v>127</v>
      </c>
      <c r="C53"/>
      <c r="D53"/>
      <c r="E53"/>
      <c r="F53" s="229" t="s">
        <v>16</v>
      </c>
      <c r="I53" s="303"/>
      <c r="J53" s="47"/>
      <c r="K53" s="250"/>
      <c r="L53" s="266"/>
      <c r="M53" s="12">
        <v>1500</v>
      </c>
      <c r="N53" s="12">
        <f t="shared" si="10"/>
        <v>0</v>
      </c>
      <c r="O53" s="14" t="s">
        <v>24</v>
      </c>
      <c r="P53" s="14"/>
      <c r="Q53">
        <v>2.44</v>
      </c>
      <c r="R53"/>
      <c r="S53" s="237">
        <v>1500</v>
      </c>
      <c r="W53" s="231">
        <f>SUM(W50:W52)</f>
        <v>336.71999999999997</v>
      </c>
    </row>
    <row r="54" spans="2:23" s="230" customFormat="1" ht="17.399999999999999" x14ac:dyDescent="0.35">
      <c r="J54" s="47"/>
      <c r="K54" s="250"/>
      <c r="L54" s="14"/>
      <c r="M54" s="12"/>
      <c r="N54" s="12">
        <f>SUM(N48:N53)</f>
        <v>369701.91200000001</v>
      </c>
      <c r="O54" s="39" t="s">
        <v>25</v>
      </c>
      <c r="P54" s="14"/>
      <c r="Q54">
        <f>Q52*Q53</f>
        <v>3.7088000000000001</v>
      </c>
      <c r="R54"/>
      <c r="S54" s="237">
        <f>R46*S53</f>
        <v>60000</v>
      </c>
      <c r="W54" s="231"/>
    </row>
    <row r="55" spans="2:23" s="230" customFormat="1" ht="17.399999999999999" x14ac:dyDescent="0.35">
      <c r="J55" s="47">
        <v>43190</v>
      </c>
      <c r="K55" s="250"/>
      <c r="L55" s="254" t="s">
        <v>35</v>
      </c>
      <c r="M55" s="12"/>
      <c r="N55" s="255">
        <f>N54*2.2</f>
        <v>813344.20640000014</v>
      </c>
      <c r="O55" s="14" t="s">
        <v>142</v>
      </c>
      <c r="P55" s="14"/>
      <c r="Q55" s="46">
        <f>O42/Q54</f>
        <v>2.0575873597929251</v>
      </c>
      <c r="R55"/>
      <c r="S55" s="257" t="e">
        <f>S54/#REF!</f>
        <v>#REF!</v>
      </c>
      <c r="V55" s="230" t="s">
        <v>159</v>
      </c>
      <c r="W55" s="230">
        <v>4</v>
      </c>
    </row>
    <row r="56" spans="2:23" s="230" customFormat="1" ht="17.399999999999999" x14ac:dyDescent="0.35">
      <c r="G56"/>
      <c r="H56" s="260"/>
      <c r="I56" s="260"/>
      <c r="J56" s="47">
        <f>J55/1.19</f>
        <v>36294.117647058825</v>
      </c>
      <c r="K56" s="250"/>
      <c r="L56" s="14"/>
      <c r="M56" s="12"/>
      <c r="N56" s="12">
        <f>N55/O42</f>
        <v>106581.70904106574</v>
      </c>
      <c r="O56" s="45" t="s">
        <v>26</v>
      </c>
      <c r="P56" s="14"/>
      <c r="Q56" s="14"/>
      <c r="R56"/>
      <c r="S56" s="237"/>
      <c r="V56" s="230">
        <v>48000</v>
      </c>
    </row>
    <row r="57" spans="2:23" s="230" customFormat="1" ht="17.399999999999999" x14ac:dyDescent="0.35">
      <c r="G57"/>
      <c r="J57" s="47"/>
      <c r="K57" s="250"/>
      <c r="L57" s="13"/>
      <c r="M57" s="14"/>
      <c r="N57" s="17">
        <f>N55/N54</f>
        <v>2.2000000000000002</v>
      </c>
      <c r="O57" s="15"/>
      <c r="P57"/>
      <c r="Q57"/>
      <c r="R57"/>
      <c r="S57" s="237"/>
      <c r="W57" s="230">
        <f>V56*W55</f>
        <v>192000</v>
      </c>
    </row>
    <row r="58" spans="2:23" s="230" customFormat="1" ht="17.399999999999999" x14ac:dyDescent="0.35">
      <c r="G58" s="23"/>
      <c r="J58" s="47"/>
      <c r="K58" s="12"/>
      <c r="S58" s="237"/>
    </row>
    <row r="59" spans="2:23" s="230" customFormat="1" ht="17.399999999999999" x14ac:dyDescent="0.35">
      <c r="B59"/>
      <c r="C59" s="228"/>
      <c r="D59" s="22"/>
      <c r="E59" s="22"/>
      <c r="F59" s="21"/>
      <c r="G59" s="23"/>
      <c r="J59" s="47"/>
      <c r="K59" s="12"/>
      <c r="S59" s="237">
        <v>1.83</v>
      </c>
    </row>
    <row r="60" spans="2:23" ht="14.4" customHeight="1" x14ac:dyDescent="0.3">
      <c r="J60" s="47"/>
      <c r="K60" s="12"/>
      <c r="S60">
        <v>2.5</v>
      </c>
    </row>
    <row r="61" spans="2:23" x14ac:dyDescent="0.3">
      <c r="J61" s="47"/>
      <c r="K61" s="250"/>
      <c r="S61">
        <f>S59*S60</f>
        <v>4.5750000000000002</v>
      </c>
    </row>
    <row r="62" spans="2:23" x14ac:dyDescent="0.3">
      <c r="K62" s="250"/>
      <c r="S62" s="270">
        <f>O44/S61</f>
        <v>2.0016209836065575</v>
      </c>
    </row>
    <row r="63" spans="2:23" x14ac:dyDescent="0.3">
      <c r="K63" s="250"/>
    </row>
    <row r="64" spans="2:23" ht="15" customHeight="1" x14ac:dyDescent="0.3"/>
    <row r="66" spans="14:19" x14ac:dyDescent="0.3">
      <c r="N66">
        <v>40935</v>
      </c>
      <c r="O66" t="s">
        <v>17</v>
      </c>
      <c r="P66" t="s">
        <v>28</v>
      </c>
    </row>
    <row r="68" spans="14:19" x14ac:dyDescent="0.3">
      <c r="N68" s="54"/>
      <c r="O68" s="54"/>
    </row>
    <row r="69" spans="14:19" x14ac:dyDescent="0.3">
      <c r="R69" s="18"/>
      <c r="S69" s="18"/>
    </row>
    <row r="70" spans="14:19" x14ac:dyDescent="0.3">
      <c r="R70" s="18"/>
      <c r="S70" s="18"/>
    </row>
    <row r="71" spans="14:19" x14ac:dyDescent="0.3">
      <c r="R71" s="18"/>
      <c r="S71" s="18"/>
    </row>
    <row r="72" spans="14:19" x14ac:dyDescent="0.3">
      <c r="R72" s="18"/>
      <c r="S72" s="18"/>
    </row>
    <row r="73" spans="14:19" x14ac:dyDescent="0.3">
      <c r="R73" s="18"/>
      <c r="S73" s="18"/>
    </row>
    <row r="74" spans="14:19" x14ac:dyDescent="0.3">
      <c r="R74" s="18"/>
      <c r="S74" s="18"/>
    </row>
    <row r="75" spans="14:19" x14ac:dyDescent="0.3">
      <c r="R75" s="18"/>
      <c r="S75" s="18"/>
    </row>
    <row r="76" spans="14:19" x14ac:dyDescent="0.3">
      <c r="R76" s="18"/>
      <c r="S76" s="18"/>
    </row>
    <row r="77" spans="14:19" x14ac:dyDescent="0.3">
      <c r="R77" s="18"/>
      <c r="S77" s="18"/>
    </row>
    <row r="80" spans="14:19" x14ac:dyDescent="0.3">
      <c r="N80" s="43"/>
    </row>
    <row r="81" spans="3:14" x14ac:dyDescent="0.3">
      <c r="N81" s="43"/>
    </row>
    <row r="82" spans="3:14" x14ac:dyDescent="0.3">
      <c r="N82" s="6"/>
    </row>
    <row r="83" spans="3:14" x14ac:dyDescent="0.3">
      <c r="N83" s="6"/>
    </row>
    <row r="91" spans="3:14" x14ac:dyDescent="0.3">
      <c r="C91" t="s">
        <v>150</v>
      </c>
    </row>
    <row r="92" spans="3:14" x14ac:dyDescent="0.3">
      <c r="C92" t="s">
        <v>149</v>
      </c>
    </row>
    <row r="95" spans="3:14" x14ac:dyDescent="0.3">
      <c r="C95" t="s">
        <v>149</v>
      </c>
    </row>
    <row r="172" spans="3:3" x14ac:dyDescent="0.3">
      <c r="C172" t="s">
        <v>149</v>
      </c>
    </row>
    <row r="173" spans="3:3" x14ac:dyDescent="0.3">
      <c r="C173" t="s">
        <v>151</v>
      </c>
    </row>
    <row r="174" spans="3:3" x14ac:dyDescent="0.3">
      <c r="C174" t="s">
        <v>152</v>
      </c>
    </row>
    <row r="599" spans="3:3" x14ac:dyDescent="0.3">
      <c r="C599" t="s">
        <v>149</v>
      </c>
    </row>
  </sheetData>
  <mergeCells count="2">
    <mergeCell ref="F17:H17"/>
    <mergeCell ref="B19:H19"/>
  </mergeCells>
  <phoneticPr fontId="34" type="noConversion"/>
  <hyperlinks>
    <hyperlink ref="F5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 t="str">
        <f>'2229'!G10</f>
        <v>16-10-024</v>
      </c>
    </row>
    <row r="6" spans="2:31" ht="16.2" thickBot="1" x14ac:dyDescent="0.35">
      <c r="B6" s="140" t="s">
        <v>2</v>
      </c>
      <c r="C6" s="139" t="str">
        <f>'2229'!C10</f>
        <v>PABLO BULO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6" t="s">
        <v>100</v>
      </c>
      <c r="I7" s="337"/>
      <c r="J7" s="337"/>
      <c r="K7" s="338"/>
      <c r="N7" s="75"/>
      <c r="O7" s="335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11129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5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39582.400766545892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'2229'!H40</f>
        <v>0</v>
      </c>
      <c r="E11" s="132">
        <f>D11*0.19</f>
        <v>0</v>
      </c>
      <c r="F11" s="131">
        <f>E11+D11</f>
        <v>0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145572.40076654591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143936.00278743962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127572.40076654589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-143936.00278743962</v>
      </c>
      <c r="E13" s="221">
        <f>(D11/D12)-1</f>
        <v>-1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118572.40076654589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79572.400766545892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237494.40459927535</v>
      </c>
      <c r="F15" s="216">
        <f>E15-D12</f>
        <v>93558.401811835734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79572.400766545892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119572.40076654589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'2229'!N50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'2229'!N49</f>
        <v>50000</v>
      </c>
      <c r="E19" s="123">
        <f>D19*0.19</f>
        <v>9500</v>
      </c>
      <c r="F19" s="120">
        <f>SUM(D19:E19)</f>
        <v>59500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'2229'!N48</f>
        <v>64101.912000000011</v>
      </c>
      <c r="E20" s="121">
        <f>D20*0.19</f>
        <v>12179.363280000001</v>
      </c>
      <c r="F20" s="120">
        <f>SUM(D20:E20)</f>
        <v>76281.275280000016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114101.91200000001</v>
      </c>
      <c r="E21" s="116">
        <f>SUM(E18:E20)</f>
        <v>21679.363280000001</v>
      </c>
      <c r="F21" s="115">
        <f>SUM(F18:F20)</f>
        <v>135781.27528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-21679.363280000001</v>
      </c>
    </row>
    <row r="41" spans="2:16" ht="15" thickBot="1" x14ac:dyDescent="0.35">
      <c r="H41" s="339" t="s">
        <v>62</v>
      </c>
      <c r="I41" s="340"/>
      <c r="J41" s="340"/>
      <c r="K41" s="340"/>
      <c r="L41" s="340"/>
      <c r="M41" s="341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0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114101.91200000001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-143936.00278743962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-143936.00278743962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2024-10-16T14:13:20Z</cp:lastPrinted>
  <dcterms:created xsi:type="dcterms:W3CDTF">2013-03-18T13:35:42Z</dcterms:created>
  <dcterms:modified xsi:type="dcterms:W3CDTF">2024-10-16T14:57:28Z</dcterms:modified>
</cp:coreProperties>
</file>