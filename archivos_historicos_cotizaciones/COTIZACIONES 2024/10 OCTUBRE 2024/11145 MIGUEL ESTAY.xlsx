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41A7E3B-7668-4AEC-9A53-EC67FA92F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M24" i="1"/>
  <c r="N24" i="1" s="1"/>
  <c r="O24" i="1" s="1"/>
  <c r="K22" i="1"/>
  <c r="K23" i="1"/>
  <c r="L23" i="1"/>
  <c r="R23" i="1" s="1"/>
  <c r="M23" i="1"/>
  <c r="H24" i="1"/>
  <c r="L22" i="1"/>
  <c r="M22" i="1"/>
  <c r="W42" i="1"/>
  <c r="W38" i="1"/>
  <c r="V35" i="1"/>
  <c r="X25" i="1"/>
  <c r="N23" i="1" l="1"/>
  <c r="O23" i="1" s="1"/>
  <c r="N22" i="1"/>
  <c r="R22" i="1"/>
  <c r="O22" i="1"/>
  <c r="K10" i="1"/>
  <c r="J41" i="1" l="1"/>
  <c r="L21" i="1" l="1"/>
  <c r="L27" i="1" s="1"/>
  <c r="M21" i="1"/>
  <c r="N21" i="1" l="1"/>
  <c r="R21" i="1"/>
  <c r="U21" i="1" s="1"/>
  <c r="N34" i="1"/>
  <c r="O21" i="1" l="1"/>
  <c r="O26" i="1" s="1"/>
  <c r="S46" i="1"/>
  <c r="O27" i="1" l="1"/>
  <c r="O28" i="1" s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29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E15" i="3"/>
  <c r="P20" i="1" l="1"/>
  <c r="P24" i="1" s="1"/>
  <c r="Q24" i="1" s="1"/>
  <c r="F15" i="3"/>
  <c r="P22" i="1" l="1"/>
  <c r="Q22" i="1" s="1"/>
  <c r="H22" i="1" s="1"/>
  <c r="P23" i="1"/>
  <c r="Q23" i="1" s="1"/>
  <c r="H23" i="1" s="1"/>
  <c r="P21" i="1"/>
  <c r="R29" i="1"/>
  <c r="T20" i="1" l="1"/>
  <c r="Q21" i="1"/>
  <c r="H21" i="1" l="1"/>
  <c r="H27" i="1" s="1"/>
  <c r="H28" i="1" l="1"/>
  <c r="H29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<sst xmlns="http://schemas.openxmlformats.org/spreadsheetml/2006/main" count="227" uniqueCount="168">
  <si>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</si>
  <si>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</si>
  <si>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</si>
  <si>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</si>
  <si>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</si>
  <si>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</si>
  <si>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</si>
  <si>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</si>
  <si>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</si>
  <si>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</si>
  <si>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</si>
  <si>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</si>
  <si>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</si>
  <si>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</si>
  <si>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</si>
  <si>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</si>
  <si>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</si>
  <si>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</si>
  <si>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</si>
  <si>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</si>
  <si>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</si>
  <si>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</si>
  <si>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</si>
  <si>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</si>
  <si>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</si>
  <si>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</si>
  <si>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</si>
  <si>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</si>
  <si>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</si>
  <si>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</si>
  <si>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</si>
  <si>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</si>
  <si>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</si>
  <si>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</si>
  <si>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</si>
  <si>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</si>
  <si>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</si>
  <si>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</si>
  <si>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</si>
  <si>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</si>
  <si>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</si>
  <si>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</si>
  <si>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</si>
  <si>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</si>
  <si>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</si>
  <si>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</si>
  <si>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</si>
  <si>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</si>
  <si>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</si>
  <si>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</si>
  <si>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</si>
  <si>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</si>
  <si>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</si>
  <si>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</si>
  <si>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</si>
  <si>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</si>
  <si>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</si>
  <si>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</si>
  <si>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</si>
  <si>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</si>
  <si>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</si>
  <si>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</si>
  <si>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</si>
  <si>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</si>
  <si>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</si>
  <si>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</si>
  <si>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</si>
  <si>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</si>
  <si>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</si>
  <si>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</si>
  <si>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</si>
  <si>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</si>
  <si>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</si>
  <si>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</si>
  <si>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</si>
  <si>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</si>
  <si>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</si>
  <si>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</si>
  <si>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</si>
  <si>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</si>
  <si>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</si>
  <si>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</si>
  <si>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</si>
  <si>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</si>
  <si>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</si>
  <si>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</si>
  <si>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</si>
  <si>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</si>
  <si>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</si>
  <si>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</si>
  <si>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</si>
  <si>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</si>
  <si>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</si>
  <si>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</si>
  <si>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</si>
  <si>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</si>
  <si>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</si>
  <si>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</si>
  <si>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</si>
  <si>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</si>
  <si>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</si>
  <si>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</si>
  <si>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</si>
  <si>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</si>
  <si>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</si>
  <si>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</si>
  <si>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</si>
  <si>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</si>
  <si>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</si>
  <si>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</si>
  <si>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</si>
  <si>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</si>
  <si>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</si>
  <si>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</si>
  <si>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</si>
  <si>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</si>
  <si>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</si>
  <si>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</si>
  <si>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</si>
  <si>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</si>
  <si>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</si>
  <si>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</si>
  <si>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</si>
  <si>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</si>
  <si>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</si>
  <si>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</si>
  <si>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</si>
  <si>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</si>
  <si>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</si>
  <si>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</si>
  <si>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</si>
  <si>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</si>
  <si>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</si>
  <si>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</si>
  <si>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</si>
  <si>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</si>
  <si>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</si>
  <si>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</si>
  <si>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</si>
  <si>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</si>
  <si>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</si>
  <si>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</si>
  <si>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</si>
  <si>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</si>
  <si>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</si>
  <si>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</si>
  <si>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</si>
  <si>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</si>
  <si>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</si>
  <si>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</si>
  <si>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</si>
  <si>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</si>
  <si>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</si>
  <si>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</si>
  <si>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</si>
  <si>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</si>
  <si>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</si>
  <si>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</si>
  <si>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</si>
  <si>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</si>
  <si>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SANTIAGO</t>
  </si>
  <si>
    <t>MIGUEL ESTAY</t>
  </si>
  <si>
    <t>569 9219 6008</t>
  </si>
  <si>
    <t xml:space="preserve">CUB C/R R8 </t>
  </si>
  <si>
    <t>WHITE OAK MT</t>
  </si>
  <si>
    <t>PR6</t>
  </si>
  <si>
    <t>BLANCO BRILLO MERINO</t>
  </si>
  <si>
    <t>N° 11145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</si>
</sst>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31</xdr:row>
      <xdr:rowOff>13024</xdr:rowOff>
    </xdr:from>
    <xdr:to>
      <xdr:col>8</xdr:col>
      <xdr:colOff>31102</xdr:colOff>
      <xdr:row>34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25</xdr:row>
      <xdr:rowOff>84014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45594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160</v>
      </c>
      <c r="D17" s="299"/>
      <c r="E17" s="300"/>
      <c r="F17" s="332" t="s">
        <v>154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4" t="s">
        <v>149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72076.190476190473</v>
      </c>
      <c r="Q20" s="258">
        <v>2000</v>
      </c>
      <c r="R20" s="38"/>
      <c r="S20" s="14" t="s">
        <v>130</v>
      </c>
      <c r="T20" s="9">
        <f>P21/3</f>
        <v>20217.37142857143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163</v>
      </c>
      <c r="D21" s="326">
        <v>1.48</v>
      </c>
      <c r="E21" s="326">
        <v>0.55000000000000004</v>
      </c>
      <c r="F21" s="309" t="s">
        <v>164</v>
      </c>
      <c r="G21" s="310">
        <v>139554</v>
      </c>
      <c r="H21" s="311">
        <f>G21*B21</f>
        <v>139554</v>
      </c>
      <c r="I21" s="265"/>
      <c r="J21" s="47"/>
      <c r="K21" s="323"/>
      <c r="L21" s="318">
        <f t="shared" ref="L21:M23" si="0">D21+L$19</f>
        <v>1.53</v>
      </c>
      <c r="M21" s="318">
        <f t="shared" si="0"/>
        <v>0.55000000000000004</v>
      </c>
      <c r="N21" s="261">
        <f>L21*M21</f>
        <v>0.84150000000000014</v>
      </c>
      <c r="O21" s="259">
        <f>N21*K21</f>
        <v>0</v>
      </c>
      <c r="P21" s="252">
        <f>P$20*N21</f>
        <v>60652.114285714291</v>
      </c>
      <c r="Q21" s="258">
        <f>P21+Q$20</f>
        <v>62652.114285714291</v>
      </c>
      <c r="R21" s="308">
        <f>K21*L21</f>
        <v>0</v>
      </c>
      <c r="S21" s="14"/>
      <c r="T21" s="9"/>
      <c r="U21" s="319">
        <f>R21*U19</f>
        <v>0</v>
      </c>
      <c r="W21" s="4"/>
      <c r="X21">
        <v>19.8</v>
      </c>
    </row>
    <row r="22" spans="2:24" ht="17.399999999999999" x14ac:dyDescent="0.3">
      <c r="B22" s="325">
        <v>2</v>
      </c>
      <c r="C22" s="309" t="s">
        <v>165</v>
      </c>
      <c r="D22" s="326">
        <v>0.65</v>
      </c>
      <c r="E22" s="326">
        <v>0.25800000000000001</v>
      </c>
      <c r="F22" s="309" t="s">
        <v>166</v>
      </c>
      <c r="G22" s="310">
        <v>16017</v>
      </c>
      <c r="H22" s="311">
        <f t="shared" ref="H22:H24" si="1">G22*B22</f>
        <v>32034</v>
      </c>
      <c r="I22" s="265"/>
      <c r="J22" s="47"/>
      <c r="K22" s="323">
        <f t="shared" ref="K22:K23" si="2">B22</f>
        <v>2</v>
      </c>
      <c r="L22" s="318">
        <f t="shared" si="0"/>
        <v>0.70000000000000007</v>
      </c>
      <c r="M22" s="318">
        <f t="shared" si="0"/>
        <v>0.25800000000000001</v>
      </c>
      <c r="N22" s="261">
        <f>L22*M22</f>
        <v>0.18060000000000001</v>
      </c>
      <c r="O22" s="259">
        <f>N22*K22</f>
        <v>0.36120000000000002</v>
      </c>
      <c r="P22" s="252">
        <f>P$20*N22</f>
        <v>13016.960000000001</v>
      </c>
      <c r="Q22" s="258">
        <f>P22+Q$20</f>
        <v>15016.960000000001</v>
      </c>
      <c r="R22" s="308">
        <f>K22*L22</f>
        <v>1.4000000000000001</v>
      </c>
      <c r="S22" s="14"/>
      <c r="T22" s="9"/>
      <c r="U22" s="319"/>
      <c r="W22" s="4"/>
    </row>
    <row r="23" spans="2:24" ht="17.399999999999999" x14ac:dyDescent="0.3">
      <c r="B23" s="325">
        <v>1</v>
      </c>
      <c r="C23" s="309" t="s">
        <v>87</v>
      </c>
      <c r="D23" s="326">
        <v>0.72</v>
      </c>
      <c r="E23" s="326">
        <v>0.53</v>
      </c>
      <c r="F23" s="309" t="s">
        <v>166</v>
      </c>
      <c r="G23" s="310">
        <v>10000</v>
      </c>
      <c r="H23" s="311">
        <f t="shared" si="1"/>
        <v>10000</v>
      </c>
      <c r="I23" s="265"/>
      <c r="J23" s="47"/>
      <c r="K23" s="323">
        <f t="shared" si="2"/>
        <v>1</v>
      </c>
      <c r="L23" s="318">
        <f t="shared" si="0"/>
        <v>0.77</v>
      </c>
      <c r="M23" s="318">
        <f t="shared" si="0"/>
        <v>0.53</v>
      </c>
      <c r="N23" s="261">
        <f>L23*M23</f>
        <v>0.40810000000000002</v>
      </c>
      <c r="O23" s="259">
        <f>N23*K23</f>
        <v>0.40810000000000002</v>
      </c>
      <c r="P23" s="252">
        <f>P$20*N23</f>
        <v>29414.293333333335</v>
      </c>
      <c r="Q23" s="258">
        <f>P23+Q$20</f>
        <v>31414.293333333335</v>
      </c>
      <c r="R23" s="308">
        <f>K23*L23</f>
        <v>0.77</v>
      </c>
      <c r="S23" s="14"/>
      <c r="T23" s="9"/>
      <c r="U23" s="319"/>
      <c r="W23" s="4"/>
    </row>
    <row r="24" spans="2:24" ht="17.399999999999999" x14ac:dyDescent="0.3">
      <c r="B24" s="325">
        <v>1</v>
      </c>
      <c r="C24" s="325" t="s">
        <v>87</v>
      </c>
      <c r="D24" s="330">
        <v>1.3</v>
      </c>
      <c r="E24" s="330">
        <v>0.54</v>
      </c>
      <c r="F24" s="309" t="s">
        <v>166</v>
      </c>
      <c r="G24" s="331">
        <v>15000</v>
      </c>
      <c r="H24" s="311">
        <f t="shared" si="1"/>
        <v>15000</v>
      </c>
      <c r="I24" s="265"/>
      <c r="J24" s="47"/>
      <c r="K24" s="323">
        <f t="shared" ref="K24" si="3">B24</f>
        <v>1</v>
      </c>
      <c r="L24" s="318">
        <f t="shared" ref="L24" si="4">D24+L$19</f>
        <v>1.35</v>
      </c>
      <c r="M24" s="318">
        <f t="shared" ref="M24" si="5">E24+M$19</f>
        <v>0.54</v>
      </c>
      <c r="N24" s="261">
        <f>L24*M24</f>
        <v>0.72900000000000009</v>
      </c>
      <c r="O24" s="259">
        <f>N24*K24</f>
        <v>0.72900000000000009</v>
      </c>
      <c r="P24" s="252">
        <f>P$20*N24</f>
        <v>52543.542857142864</v>
      </c>
      <c r="Q24" s="258">
        <f>P24+Q$20</f>
        <v>54543.542857142864</v>
      </c>
      <c r="R24" s="308"/>
      <c r="S24" s="14"/>
      <c r="T24" s="9"/>
      <c r="U24" s="319"/>
      <c r="W24" s="4"/>
    </row>
    <row r="25" spans="2:24" ht="17.399999999999999" x14ac:dyDescent="0.3">
      <c r="B25" s="286"/>
      <c r="C25" s="286"/>
      <c r="D25" s="287"/>
      <c r="E25" s="287"/>
      <c r="F25" s="286"/>
      <c r="G25" s="52"/>
      <c r="H25" s="327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  <c r="X25">
        <f>SUM(X21:X21)</f>
        <v>19.8</v>
      </c>
    </row>
    <row r="26" spans="2:24" ht="18" x14ac:dyDescent="0.3">
      <c r="B26" s="286"/>
      <c r="C26" s="286"/>
      <c r="D26" s="287"/>
      <c r="E26" s="287"/>
      <c r="F26" s="286"/>
      <c r="G26" s="265"/>
      <c r="H26" s="328"/>
      <c r="I26" s="232"/>
      <c r="J26" s="47"/>
      <c r="K26" s="47"/>
      <c r="L26" s="39"/>
      <c r="M26" s="39"/>
      <c r="N26" s="261"/>
      <c r="O26" s="253">
        <f>SUM(O21:O22)</f>
        <v>0.36120000000000002</v>
      </c>
      <c r="P26" s="252"/>
      <c r="Q26" s="258"/>
      <c r="R26" s="308"/>
      <c r="S26" s="14"/>
      <c r="T26" s="9"/>
      <c r="W26" s="4"/>
    </row>
    <row r="27" spans="2:24" ht="18" x14ac:dyDescent="0.35">
      <c r="B27" s="286"/>
      <c r="C27" s="286"/>
      <c r="D27" s="287"/>
      <c r="E27" s="287"/>
      <c r="F27" s="286"/>
      <c r="G27" s="329" t="s">
        <v>30</v>
      </c>
      <c r="H27" s="324">
        <f>SUM(H21:H26)</f>
        <v>196588</v>
      </c>
      <c r="I27" s="265"/>
      <c r="J27" s="47">
        <v>8698974</v>
      </c>
      <c r="K27" s="47"/>
      <c r="L27" s="39">
        <f>SUM(L21:L26)</f>
        <v>4.3499999999999996</v>
      </c>
      <c r="M27" s="39"/>
      <c r="N27" s="261"/>
      <c r="O27" s="253">
        <f>O26</f>
        <v>0.36120000000000002</v>
      </c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>
        <f>H27*19%</f>
        <v>37351.72</v>
      </c>
      <c r="I28" s="265"/>
      <c r="J28" s="47"/>
      <c r="K28" s="47"/>
      <c r="L28" s="39"/>
      <c r="M28" s="12"/>
      <c r="N28" s="12"/>
      <c r="O28" s="39">
        <f>O27*20%</f>
        <v>7.2240000000000013E-2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233939.72</v>
      </c>
      <c r="I29" s="265"/>
      <c r="J29" s="47"/>
      <c r="K29" s="47"/>
      <c r="L29" s="39"/>
      <c r="M29" s="12"/>
      <c r="N29" s="12"/>
      <c r="O29" s="46">
        <f>O27+O28</f>
        <v>0.43344000000000005</v>
      </c>
      <c r="P29" s="14"/>
      <c r="Q29" s="12"/>
      <c r="R29" s="238">
        <f>SUM(R21:R28)</f>
        <v>2.17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H30" s="47"/>
      <c r="I30" s="265"/>
      <c r="J30" s="47"/>
      <c r="K30" s="47"/>
      <c r="L30" s="39"/>
      <c r="M30" s="12"/>
      <c r="N30" s="12"/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15"/>
      <c r="K31" s="47"/>
      <c r="L31" s="14"/>
      <c r="M31" s="12"/>
      <c r="N31" s="12"/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15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/>
      <c r="K33" s="47"/>
      <c r="L33" s="39">
        <f>O29</f>
        <v>0.43344000000000005</v>
      </c>
      <c r="M33" s="12">
        <v>2500</v>
      </c>
      <c r="N33" s="12">
        <f t="shared" ref="N33:N38" si="6">L33*M33</f>
        <v>1083.6000000000001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0.1</v>
      </c>
      <c r="M34" s="12">
        <v>45000</v>
      </c>
      <c r="N34" s="12">
        <f t="shared" si="6"/>
        <v>4500</v>
      </c>
      <c r="O34" s="39" t="s">
        <v>155</v>
      </c>
      <c r="P34" s="42"/>
      <c r="Q34" s="14"/>
      <c r="R34" s="239"/>
      <c r="S34" s="14"/>
      <c r="T34" s="9"/>
      <c r="V34">
        <v>1520</v>
      </c>
      <c r="W34" s="9" t="s">
        <v>157</v>
      </c>
    </row>
    <row r="35" spans="2:23" s="230" customFormat="1" ht="17.399999999999999" x14ac:dyDescent="0.35">
      <c r="I35" s="262"/>
      <c r="J35" s="47"/>
      <c r="K35" s="250"/>
      <c r="L35" s="14"/>
      <c r="M35" s="250">
        <v>55000</v>
      </c>
      <c r="N35" s="12">
        <f t="shared" si="6"/>
        <v>0</v>
      </c>
      <c r="O35" s="39" t="s">
        <v>32</v>
      </c>
      <c r="P35" s="42"/>
      <c r="R35" s="239"/>
      <c r="S35" s="256"/>
      <c r="V35" s="231">
        <f>V34/33</f>
        <v>46.060606060606062</v>
      </c>
      <c r="W35" s="230">
        <v>112.24</v>
      </c>
    </row>
    <row r="36" spans="2:23" s="230" customFormat="1" ht="17.399999999999999" x14ac:dyDescent="0.35">
      <c r="B36" s="24" t="s">
        <v>153</v>
      </c>
      <c r="I36" s="262"/>
      <c r="J36" s="314"/>
      <c r="K36" s="250"/>
      <c r="L36" s="14">
        <v>0.25</v>
      </c>
      <c r="M36" s="250">
        <v>25000</v>
      </c>
      <c r="N36" s="12">
        <f t="shared" si="6"/>
        <v>6250</v>
      </c>
      <c r="O36" s="14" t="s">
        <v>143</v>
      </c>
      <c r="P36" s="17"/>
      <c r="R36" s="237"/>
      <c r="S36" s="256"/>
      <c r="V36" s="231"/>
      <c r="W36" s="230">
        <v>112.24</v>
      </c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4"/>
      <c r="K37" s="250"/>
      <c r="L37" s="249"/>
      <c r="M37" s="250">
        <v>800</v>
      </c>
      <c r="N37" s="12">
        <f t="shared" si="6"/>
        <v>0</v>
      </c>
      <c r="O37" s="14" t="s">
        <v>34</v>
      </c>
      <c r="P37" s="14"/>
      <c r="Q37" s="230">
        <v>1.52</v>
      </c>
      <c r="R37" s="237"/>
      <c r="S37" s="237"/>
      <c r="W37" s="230">
        <v>112.24</v>
      </c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/>
      <c r="M38" s="12">
        <v>3500</v>
      </c>
      <c r="N38" s="12">
        <f t="shared" si="6"/>
        <v>0</v>
      </c>
      <c r="O38" s="14" t="s">
        <v>24</v>
      </c>
      <c r="P38" s="14"/>
      <c r="Q38">
        <v>2.44</v>
      </c>
      <c r="R38"/>
      <c r="S38" s="237">
        <v>1500</v>
      </c>
      <c r="W38" s="231">
        <f>SUM(W35:W37)</f>
        <v>336.71999999999997</v>
      </c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11833.6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57140</v>
      </c>
      <c r="K40" s="250"/>
      <c r="L40" s="254" t="s">
        <v>35</v>
      </c>
      <c r="M40" s="12"/>
      <c r="N40" s="255">
        <f>N39*2.2</f>
        <v>26033.920000000002</v>
      </c>
      <c r="O40" s="14" t="s">
        <v>142</v>
      </c>
      <c r="P40" s="14"/>
      <c r="Q40" s="46">
        <f>O27/Q39</f>
        <v>9.7389991371872306E-2</v>
      </c>
      <c r="R40"/>
      <c r="S40" s="257" t="e">
        <f>S39/#REF!</f>
        <v>#REF!</v>
      </c>
      <c r="V40" s="230" t="s">
        <v>158</v>
      </c>
      <c r="W40" s="230">
        <v>4</v>
      </c>
    </row>
    <row r="41" spans="2:23" s="230" customFormat="1" ht="17.399999999999999" x14ac:dyDescent="0.35">
      <c r="G41"/>
      <c r="H41" s="260"/>
      <c r="I41" s="260"/>
      <c r="J41" s="47">
        <f>J40/1.19</f>
        <v>48016.806722689078</v>
      </c>
      <c r="K41" s="250"/>
      <c r="L41" s="14"/>
      <c r="M41" s="12"/>
      <c r="N41" s="12">
        <f>N40/O27</f>
        <v>72076.190476190473</v>
      </c>
      <c r="O41" s="45" t="s">
        <v>26</v>
      </c>
      <c r="P41" s="14"/>
      <c r="Q41" s="14"/>
      <c r="R41"/>
      <c r="S41" s="237"/>
      <c r="V41" s="230">
        <v>48000</v>
      </c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  <c r="W42" s="230">
        <f>V41*W40</f>
        <v>192000</v>
      </c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O29/S46</f>
        <v>9.4740983606557388E-2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45594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100</v>
      </c>
      <c r="I7" s="339"/>
      <c r="J7" s="339"/>
      <c r="K7" s="340"/>
      <c r="N7" s="75"/>
      <c r="O7" s="337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7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9739.8649665458925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115729.86496654589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35417.690787439613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97729.864966545894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-35417.690787439613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88729.864966545894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49729.864966545894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58439.189799275358</v>
      </c>
      <c r="F15" s="216">
        <f>E15-D12</f>
        <v>23021.499011835745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49729.864966545894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89729.864966545894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4500</v>
      </c>
      <c r="E19" s="123">
        <f>D19*0.19</f>
        <v>855</v>
      </c>
      <c r="F19" s="120">
        <f>SUM(D19:E19)</f>
        <v>5355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1083.6000000000001</v>
      </c>
      <c r="E20" s="121">
        <f>D20*0.19</f>
        <v>205.88400000000001</v>
      </c>
      <c r="F20" s="120">
        <f>SUM(D20:E20)</f>
        <v>1289.4840000000002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5583.6</v>
      </c>
      <c r="E21" s="116">
        <f>SUM(E18:E20)</f>
        <v>1060.884</v>
      </c>
      <c r="F21" s="115">
        <f>SUM(F18:F20)</f>
        <v>6644.4840000000004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-1060.884</v>
      </c>
    </row>
    <row r="41" spans="2:16" ht="15" thickBot="1" x14ac:dyDescent="0.35">
      <c r="H41" s="341" t="s">
        <v>62</v>
      </c>
      <c r="I41" s="342"/>
      <c r="J41" s="342"/>
      <c r="K41" s="342"/>
      <c r="L41" s="342"/>
      <c r="M41" s="343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5583.6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-35417.690787439613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-35417.690787439613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2024-10-29T20:35:40Z</dcterms:modified>
</cp:coreProperties>
</file>