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2B8FCDB6-3E71-4D91-8DD0-6F33D5C57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K21" i="1"/>
  <c r="L21" i="1"/>
  <c r="M21" i="1"/>
  <c r="R21" i="1" l="1"/>
  <c r="R27" i="1" s="1"/>
  <c r="N21" i="1"/>
  <c r="O21" i="1" s="1"/>
  <c r="O26" i="1" l="1"/>
  <c r="J39" i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<sst xmlns="http://schemas.openxmlformats.org/spreadsheetml/2006/main" count="220" uniqueCount="164">
  <si>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</si>
  <si>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</si>
  <si>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</si>
  <si>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</si>
  <si>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</si>
  <si>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</si>
  <si>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</si>
  <si>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</si>
  <si>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</si>
  <si>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</si>
  <si>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</si>
  <si>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</si>
  <si>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</si>
  <si>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</si>
  <si>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</si>
  <si>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</si>
  <si>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</si>
  <si>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</si>
  <si>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</si>
  <si>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</si>
  <si>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</si>
  <si>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</si>
  <si>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</si>
  <si>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</si>
  <si>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</si>
  <si>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</si>
  <si>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</si>
  <si>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</si>
  <si>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</si>
  <si>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</si>
  <si>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</si>
  <si>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</si>
  <si>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</si>
  <si>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</si>
  <si>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</si>
  <si>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</si>
  <si>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</si>
  <si>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</si>
  <si>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</si>
  <si>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</si>
  <si>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</si>
  <si>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</si>
  <si>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</si>
  <si>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</si>
  <si>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</si>
  <si>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</si>
  <si>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</si>
  <si>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</si>
  <si>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</si>
  <si>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</si>
  <si>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</si>
  <si>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</si>
  <si>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</si>
  <si>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</si>
  <si>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</si>
  <si>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</si>
  <si>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</si>
  <si>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</si>
  <si>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</si>
  <si>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</si>
  <si>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</si>
  <si>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</si>
  <si>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</si>
  <si>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</si>
  <si>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</si>
  <si>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</si>
  <si>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</si>
  <si>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</si>
  <si>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</si>
  <si>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</si>
  <si>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</si>
  <si>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</si>
  <si>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</si>
  <si>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</si>
  <si>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</si>
  <si>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</si>
  <si>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</si>
  <si>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</si>
  <si>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</si>
  <si>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</si>
  <si>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</si>
  <si>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</si>
  <si>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</si>
  <si>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</si>
  <si>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</si>
  <si>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</si>
  <si>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</si>
  <si>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</si>
  <si>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</si>
  <si>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</si>
  <si>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</si>
  <si>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</si>
  <si>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</si>
  <si>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</si>
  <si>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</si>
  <si>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</si>
  <si>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</si>
  <si>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</si>
  <si>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</si>
  <si>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</si>
  <si>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</si>
  <si>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</si>
  <si>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</si>
  <si>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</si>
  <si>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</si>
  <si>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</si>
  <si>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</si>
  <si>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</si>
  <si>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</si>
  <si>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</si>
  <si>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</si>
  <si>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</si>
  <si>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</si>
  <si>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</si>
  <si>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</si>
  <si>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</si>
  <si>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</si>
  <si>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</si>
  <si>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</si>
  <si>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</si>
  <si>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</si>
  <si>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</si>
  <si>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</si>
  <si>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</si>
  <si>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</si>
  <si>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</si>
  <si>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</si>
  <si>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</si>
  <si>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</si>
  <si>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</si>
  <si>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</si>
  <si>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</si>
  <si>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</si>
  <si>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</si>
  <si>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</si>
  <si>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</si>
  <si>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</si>
  <si>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</si>
  <si>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</si>
  <si>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</si>
  <si>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</si>
  <si>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</si>
  <si>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</si>
  <si>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</si>
  <si>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</si>
  <si>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</si>
  <si>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</si>
  <si>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</si>
  <si>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</si>
  <si>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</si>
  <si>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</si>
  <si>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</si>
  <si>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</si>
  <si>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</si>
  <si>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</si>
  <si>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</si>
  <si>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</si>
  <si>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</si>
  <si>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</si>
  <si>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 xml:space="preserve">+569 </t>
  </si>
  <si>
    <t>MUEBLES ASENJO</t>
  </si>
  <si>
    <t>LORENA QUEZADA</t>
  </si>
  <si>
    <t>N° 11120</t>
  </si>
  <si>
    <t>SEA WHITE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</si>
</sst>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88671875" customWidth="1"/>
    <col min="4" max="4" width="11.109375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160</v>
      </c>
      <c r="D10" s="243"/>
      <c r="E10" s="243"/>
      <c r="F10" s="244" t="s">
        <v>0</v>
      </c>
      <c r="G10" s="276">
        <v>45573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161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4618.7992722862346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75119.622641509428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3</v>
      </c>
      <c r="C21" s="324" t="s">
        <v>37</v>
      </c>
      <c r="D21" s="320">
        <v>1.01</v>
      </c>
      <c r="E21" s="320">
        <v>0.6</v>
      </c>
      <c r="F21" s="319" t="s">
        <v>163</v>
      </c>
      <c r="G21" s="321">
        <v>50776</v>
      </c>
      <c r="H21" s="322">
        <f t="shared" ref="H21" si="1">G21*B21</f>
        <v>152328</v>
      </c>
      <c r="I21" s="265"/>
      <c r="J21" s="47"/>
      <c r="K21" s="47">
        <f t="shared" ref="K21" si="2">B21</f>
        <v>3</v>
      </c>
      <c r="L21" s="39">
        <f t="shared" ref="L21" si="3">D21+L$19</f>
        <v>1.06</v>
      </c>
      <c r="M21" s="39">
        <f t="shared" ref="M21" si="4">E21+M$19</f>
        <v>0.6</v>
      </c>
      <c r="N21" s="261">
        <f t="shared" ref="N21" si="5">L21*M21</f>
        <v>0.63600000000000001</v>
      </c>
      <c r="O21" s="259">
        <f t="shared" ref="O21" si="6">N21*K21</f>
        <v>1.9079999999999999</v>
      </c>
      <c r="P21" s="252">
        <f t="shared" ref="P21" si="7">P$20*N21</f>
        <v>47776.079999999994</v>
      </c>
      <c r="Q21" s="258">
        <f t="shared" ref="Q21" si="8">P21+Q$20</f>
        <v>50776.079999999994</v>
      </c>
      <c r="R21" s="307">
        <f t="shared" ref="R21" si="9">K21*L21</f>
        <v>3.18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SUM(H21:H22)</f>
        <v>152328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28942.32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181270.32</v>
      </c>
      <c r="I25" s="265"/>
      <c r="J25" s="47"/>
      <c r="K25" s="47"/>
      <c r="L25" s="39">
        <f>SUM(L21:L21)*3</f>
        <v>3.18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1.9079999999999999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1.9079999999999999</v>
      </c>
      <c r="P27" s="14"/>
      <c r="Q27" s="12"/>
      <c r="R27" s="238">
        <f>SUM(R21:R26)</f>
        <v>3.18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0.38159999999999999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2.2896000000000001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2.2896000000000001</v>
      </c>
      <c r="M31" s="12">
        <v>2000</v>
      </c>
      <c r="N31" s="12">
        <f t="shared" ref="N31:N36" si="10">L31*M31</f>
        <v>4579.2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1</v>
      </c>
      <c r="M32" s="12">
        <v>23500</v>
      </c>
      <c r="N32" s="12">
        <f t="shared" si="10"/>
        <v>23500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1</v>
      </c>
      <c r="M34" s="250">
        <v>35480</v>
      </c>
      <c r="N34" s="12">
        <f t="shared" si="10"/>
        <v>35480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3.18</v>
      </c>
      <c r="M36" s="12">
        <v>500</v>
      </c>
      <c r="N36" s="12">
        <f t="shared" si="10"/>
        <v>1590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65149.2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143328.24</v>
      </c>
      <c r="O38" s="14" t="s">
        <v>142</v>
      </c>
      <c r="P38" s="14"/>
      <c r="Q38" s="46">
        <f>O29/Q37</f>
        <v>0.61734253666954275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75119.622641509428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2.1999999999999997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0.50045901639344259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11120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-9461.8450334541049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152328</v>
      </c>
      <c r="E11" s="132">
        <f>D11*0.19</f>
        <v>28942.32</v>
      </c>
      <c r="F11" s="131">
        <f>E11+D11</f>
        <v>181270.32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96528.154966545902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57913.290787439619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78528.154966545902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94414.709212560381</v>
      </c>
      <c r="E13" s="221">
        <f>(D11/D12)-1</f>
        <v>1.6302770560749638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69528.154966545902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30528.154966545895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95556.929799275371</v>
      </c>
      <c r="F15" s="216">
        <f>E15-D12</f>
        <v>37643.639011835752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30528.154966545895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70528.154966545902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4579.2</v>
      </c>
      <c r="E20" s="121">
        <f>D20*0.19</f>
        <v>870.048</v>
      </c>
      <c r="F20" s="120">
        <f>SUM(D20:E20)</f>
        <v>5449.2479999999996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28079.200000000001</v>
      </c>
      <c r="E21" s="116">
        <f>SUM(E18:E20)</f>
        <v>5335.0479999999998</v>
      </c>
      <c r="F21" s="115">
        <f>SUM(F18:F20)</f>
        <v>33414.248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23607.272000000001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152328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28079.200000000001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94414.709212560381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94414.709212560381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2024-09-04T16:06:24Z</cp:lastPrinted>
  <dcterms:created xsi:type="dcterms:W3CDTF">2013-03-18T13:35:42Z</dcterms:created>
  <dcterms:modified xsi:type="dcterms:W3CDTF">2024-10-08T13:23:54Z</dcterms:modified>
</cp:coreProperties>
</file>