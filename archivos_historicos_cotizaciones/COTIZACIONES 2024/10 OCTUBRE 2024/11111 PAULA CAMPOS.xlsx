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31DB6BA1-B0BB-4604-A73B-23CC8FAA0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K21" i="1"/>
  <c r="H24" i="1"/>
  <c r="L23" i="1"/>
  <c r="M23" i="1"/>
  <c r="H23" i="1"/>
  <c r="L22" i="1"/>
  <c r="M22" i="1"/>
  <c r="H22" i="1"/>
  <c r="K10" i="1"/>
  <c r="N23" i="1" l="1"/>
  <c r="O23" i="1" s="1"/>
  <c r="R23" i="1"/>
  <c r="N22" i="1"/>
  <c r="O22" i="1" s="1"/>
  <c r="R22" i="1"/>
  <c r="J42" i="1"/>
  <c r="L21" i="1" l="1"/>
  <c r="L28" i="1" s="1"/>
  <c r="M21" i="1"/>
  <c r="N21" i="1" l="1"/>
  <c r="O21" i="1" s="1"/>
  <c r="O29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Q23" i="1" s="1"/>
  <c r="P22" i="1"/>
  <c r="Q22" i="1" s="1"/>
  <c r="P21" i="1"/>
  <c r="F15" i="3"/>
  <c r="Q21" i="1" l="1"/>
  <c r="H21" i="1" s="1"/>
  <c r="H28" i="1" s="1"/>
  <c r="R30" i="1"/>
  <c r="H29" i="1" l="1"/>
  <c r="H30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<sst xmlns="http://schemas.openxmlformats.org/spreadsheetml/2006/main" count="224" uniqueCount="167">
  <si>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</si>
  <si>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</si>
  <si>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</si>
  <si>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</si>
  <si>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</si>
  <si>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</si>
  <si>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</si>
  <si>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</si>
  <si>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</si>
  <si>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</si>
  <si>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</si>
  <si>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</si>
  <si>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</si>
  <si>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</si>
  <si>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</si>
  <si>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</si>
  <si>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</si>
  <si>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</si>
  <si>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</si>
  <si>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</si>
  <si>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</si>
  <si>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</si>
  <si>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</si>
  <si>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</si>
  <si>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</si>
  <si>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</si>
  <si>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</si>
  <si>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</si>
  <si>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</si>
  <si>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</si>
  <si>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</si>
  <si>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</si>
  <si>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</si>
  <si>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</si>
  <si>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</si>
  <si>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</si>
  <si>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</si>
  <si>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</si>
  <si>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</si>
  <si>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</si>
  <si>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</si>
  <si>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</si>
  <si>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</si>
  <si>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</si>
  <si>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</si>
  <si>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</si>
  <si>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</si>
  <si>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</si>
  <si>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</si>
  <si>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</si>
  <si>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</si>
  <si>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</si>
  <si>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</si>
  <si>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</si>
  <si>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</si>
  <si>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</si>
  <si>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</si>
  <si>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</si>
  <si>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</si>
  <si>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</si>
  <si>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</si>
  <si>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</si>
  <si>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</si>
  <si>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</si>
  <si>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</si>
  <si>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</si>
  <si>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</si>
  <si>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</si>
  <si>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</si>
  <si>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</si>
  <si>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</si>
  <si>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</si>
  <si>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</si>
  <si>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</si>
  <si>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</si>
  <si>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</si>
  <si>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</si>
  <si>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</si>
  <si>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</si>
  <si>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</si>
  <si>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</si>
  <si>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</si>
  <si>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</si>
  <si>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</si>
  <si>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</si>
  <si>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</si>
  <si>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</si>
  <si>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</si>
  <si>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</si>
  <si>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</si>
  <si>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</si>
  <si>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</si>
  <si>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</si>
  <si>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</si>
  <si>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</si>
  <si>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</si>
  <si>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</si>
  <si>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</si>
  <si>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</si>
  <si>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</si>
  <si>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</si>
  <si>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</si>
  <si>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</si>
  <si>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</si>
  <si>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</si>
  <si>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</si>
  <si>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</si>
  <si>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</si>
  <si>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</si>
  <si>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</si>
  <si>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</si>
  <si>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</si>
  <si>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</si>
  <si>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</si>
  <si>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</si>
  <si>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</si>
  <si>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</si>
  <si>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</si>
  <si>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</si>
  <si>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</si>
  <si>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</si>
  <si>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</si>
  <si>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</si>
  <si>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</si>
  <si>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</si>
  <si>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</si>
  <si>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</si>
  <si>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</si>
  <si>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</si>
  <si>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</si>
  <si>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</si>
  <si>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</si>
  <si>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</si>
  <si>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</si>
  <si>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</si>
  <si>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</si>
  <si>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</si>
  <si>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</si>
  <si>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</si>
  <si>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</si>
  <si>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</si>
  <si>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</si>
  <si>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</si>
  <si>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</si>
  <si>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</si>
  <si>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</si>
  <si>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</si>
  <si>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</si>
  <si>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</si>
  <si>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</si>
  <si>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</si>
  <si>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</si>
  <si>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</si>
  <si>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</si>
  <si>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</si>
  <si>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</si>
  <si>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</si>
  <si>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</si>
  <si>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MUEBLES</t>
  </si>
  <si>
    <t>N° 11111</t>
  </si>
  <si>
    <t>PAULA CAMPOS</t>
  </si>
  <si>
    <t>CORTE Z</t>
  </si>
  <si>
    <t>CUB SIN RESPALDO</t>
  </si>
  <si>
    <t>+569 9678 7442</t>
  </si>
  <si>
    <t>5 DIAS HABILES</t>
  </si>
  <si>
    <t>FASHION WHITE 2125 MT</t>
  </si>
  <si>
    <t>CUB CON 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</si>
</sst>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45573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158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279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103504.5661811273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166</v>
      </c>
      <c r="D21" s="325">
        <v>1.5</v>
      </c>
      <c r="E21" s="325">
        <v>0.56000000000000005</v>
      </c>
      <c r="F21" s="312" t="s">
        <v>165</v>
      </c>
      <c r="G21" s="313">
        <v>97263</v>
      </c>
      <c r="H21" s="314">
        <f t="shared" ref="H21" si="1">G21*B21</f>
        <v>97263</v>
      </c>
      <c r="I21" s="265"/>
      <c r="J21" s="47"/>
      <c r="K21" s="322">
        <f>B21</f>
        <v>1</v>
      </c>
      <c r="L21" s="323">
        <f t="shared" ref="L21:M21" si="2">D21+L$19</f>
        <v>1.55</v>
      </c>
      <c r="M21" s="323">
        <f t="shared" si="2"/>
        <v>0.56000000000000005</v>
      </c>
      <c r="N21" s="261">
        <f>L21*M21</f>
        <v>0.8680000000000001</v>
      </c>
      <c r="O21" s="259">
        <f>N21*K21</f>
        <v>0.8680000000000001</v>
      </c>
      <c r="P21" s="252">
        <f>P$20*N21</f>
        <v>89841.963445218513</v>
      </c>
      <c r="Q21" s="258">
        <f>P21+Q$20</f>
        <v>92841.963445218513</v>
      </c>
      <c r="R21" s="308">
        <f>K21*L21</f>
        <v>1.55</v>
      </c>
      <c r="S21" s="14"/>
      <c r="T21" s="9"/>
      <c r="W21" s="4"/>
    </row>
    <row r="22" spans="2:24" ht="17.399999999999999" x14ac:dyDescent="0.3">
      <c r="B22" s="321">
        <v>1</v>
      </c>
      <c r="C22" s="312" t="s">
        <v>162</v>
      </c>
      <c r="D22" s="325">
        <v>0.71</v>
      </c>
      <c r="E22" s="325">
        <v>0.45</v>
      </c>
      <c r="F22" s="312" t="s">
        <v>165</v>
      </c>
      <c r="G22" s="313">
        <v>34573</v>
      </c>
      <c r="H22" s="314">
        <f t="shared" ref="H22" si="3">G22*B22</f>
        <v>34573</v>
      </c>
      <c r="I22" s="265"/>
      <c r="J22" s="47"/>
      <c r="K22" s="322">
        <f t="shared" ref="K22:K23" si="4">B22</f>
        <v>1</v>
      </c>
      <c r="L22" s="323">
        <f t="shared" ref="L22" si="5">D22+L$19</f>
        <v>0.76</v>
      </c>
      <c r="M22" s="323">
        <f t="shared" ref="M22" si="6">E22+M$19</f>
        <v>0.45</v>
      </c>
      <c r="N22" s="261">
        <f t="shared" ref="N22" si="7">L22*M22</f>
        <v>0.34200000000000003</v>
      </c>
      <c r="O22" s="259">
        <f t="shared" ref="O22" si="8">N22*K22</f>
        <v>0.34200000000000003</v>
      </c>
      <c r="P22" s="252">
        <f t="shared" ref="P22" si="9">P$20*N22</f>
        <v>35398.561633945537</v>
      </c>
      <c r="Q22" s="258">
        <f t="shared" ref="Q22" si="10">P22+Q$20</f>
        <v>38398.561633945537</v>
      </c>
      <c r="R22" s="308">
        <f t="shared" ref="R22" si="11">K22*L22</f>
        <v>0.76</v>
      </c>
      <c r="S22" s="14"/>
      <c r="T22" s="9"/>
      <c r="W22" s="4"/>
    </row>
    <row r="23" spans="2:24" ht="17.399999999999999" x14ac:dyDescent="0.3">
      <c r="B23" s="321">
        <v>1</v>
      </c>
      <c r="C23" s="312" t="s">
        <v>34</v>
      </c>
      <c r="D23" s="325">
        <v>0.71</v>
      </c>
      <c r="E23" s="325">
        <v>7.0000000000000007E-2</v>
      </c>
      <c r="F23" s="312" t="s">
        <v>165</v>
      </c>
      <c r="G23" s="313">
        <v>7911</v>
      </c>
      <c r="H23" s="314">
        <f t="shared" ref="H23" si="12">G23*B23</f>
        <v>7911</v>
      </c>
      <c r="I23" s="265"/>
      <c r="J23" s="47"/>
      <c r="K23" s="322">
        <f t="shared" si="4"/>
        <v>1</v>
      </c>
      <c r="L23" s="323">
        <f t="shared" ref="L23" si="13">D23+L$19</f>
        <v>0.76</v>
      </c>
      <c r="M23" s="323">
        <f t="shared" ref="M23" si="14">E23+M$19</f>
        <v>7.0000000000000007E-2</v>
      </c>
      <c r="N23" s="261">
        <f t="shared" ref="N23" si="15">L23*M23</f>
        <v>5.3200000000000004E-2</v>
      </c>
      <c r="O23" s="259">
        <f t="shared" ref="O23" si="16">N23*K23</f>
        <v>5.3200000000000004E-2</v>
      </c>
      <c r="P23" s="252">
        <f t="shared" ref="P23" si="17">P$20*N23</f>
        <v>5506.4429208359725</v>
      </c>
      <c r="Q23" s="258">
        <f t="shared" ref="Q23" si="18">P23+Q$20</f>
        <v>8506.4429208359725</v>
      </c>
      <c r="R23" s="308">
        <f t="shared" ref="R23" si="19">K23*L23</f>
        <v>0.76</v>
      </c>
      <c r="S23" s="14"/>
      <c r="T23" s="9"/>
      <c r="W23" s="4"/>
    </row>
    <row r="24" spans="2:24" ht="17.399999999999999" x14ac:dyDescent="0.3">
      <c r="B24" s="321">
        <v>1</v>
      </c>
      <c r="C24" s="312" t="s">
        <v>161</v>
      </c>
      <c r="D24" s="325"/>
      <c r="E24" s="325"/>
      <c r="F24" s="312"/>
      <c r="G24" s="313">
        <v>20000</v>
      </c>
      <c r="H24" s="314">
        <f t="shared" ref="H24" si="20">G24*B24</f>
        <v>20000</v>
      </c>
      <c r="I24" s="265"/>
      <c r="J24" s="47"/>
      <c r="K24" s="322"/>
      <c r="L24" s="323"/>
      <c r="M24" s="323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6"/>
      <c r="H25" s="326"/>
      <c r="I25" s="265"/>
      <c r="J25" s="47"/>
      <c r="K25" s="322"/>
      <c r="L25" s="323"/>
      <c r="M25" s="323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6"/>
      <c r="H26" s="326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159747</v>
      </c>
      <c r="I28" s="265"/>
      <c r="J28" s="47"/>
      <c r="K28" s="47"/>
      <c r="L28" s="39">
        <f>SUM(L21:L27)</f>
        <v>3.0700000000000003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H28*19%</f>
        <v>30351.93</v>
      </c>
      <c r="I29" s="265"/>
      <c r="J29" s="47"/>
      <c r="K29" s="47"/>
      <c r="L29" s="39"/>
      <c r="M29" s="12"/>
      <c r="N29" s="12"/>
      <c r="O29" s="253">
        <f>SUM(O21:O23)</f>
        <v>1.2632000000000001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190098.93</v>
      </c>
      <c r="I30" s="265"/>
      <c r="J30" s="47"/>
      <c r="K30" s="47"/>
      <c r="L30" s="39"/>
      <c r="M30" s="12"/>
      <c r="N30" s="12"/>
      <c r="O30" s="253">
        <f>O29</f>
        <v>1.2632000000000001</v>
      </c>
      <c r="P30" s="14"/>
      <c r="Q30" s="12"/>
      <c r="R30" s="238">
        <f>SUM(R21:R29)</f>
        <v>3.0700000000000003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0.25264000000000003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8"/>
      <c r="K32" s="47"/>
      <c r="L32" s="14"/>
      <c r="M32" s="12"/>
      <c r="N32" s="12"/>
      <c r="O32" s="46">
        <f>O30+O31</f>
        <v>1.5158400000000001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8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>
        <v>15.12</v>
      </c>
      <c r="L34" s="39">
        <f>O32</f>
        <v>1.5158400000000001</v>
      </c>
      <c r="M34" s="12">
        <v>3500</v>
      </c>
      <c r="N34" s="12">
        <f t="shared" ref="N34:N39" si="21">L34*M34</f>
        <v>5305.4400000000005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0.5</v>
      </c>
      <c r="M35" s="12">
        <v>25000</v>
      </c>
      <c r="N35" s="12">
        <f t="shared" si="21"/>
        <v>12500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57500</v>
      </c>
      <c r="N36" s="12">
        <f t="shared" si="21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7"/>
      <c r="K37" s="250"/>
      <c r="L37" s="14">
        <v>1</v>
      </c>
      <c r="M37" s="250">
        <v>39300</v>
      </c>
      <c r="N37" s="12">
        <f t="shared" si="21"/>
        <v>39300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7"/>
      <c r="K38" s="250"/>
      <c r="L38" s="249"/>
      <c r="M38" s="250">
        <v>800</v>
      </c>
      <c r="N38" s="12">
        <f t="shared" si="21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>
        <v>1.55</v>
      </c>
      <c r="M39" s="12">
        <v>1500</v>
      </c>
      <c r="N39" s="12">
        <f t="shared" si="21"/>
        <v>2325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59430.44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46730</v>
      </c>
      <c r="K41" s="250"/>
      <c r="L41" s="254" t="s">
        <v>35</v>
      </c>
      <c r="M41" s="12"/>
      <c r="N41" s="255">
        <f>N40*2.2</f>
        <v>130746.96800000002</v>
      </c>
      <c r="O41" s="14" t="s">
        <v>142</v>
      </c>
      <c r="P41" s="14"/>
      <c r="Q41" s="46">
        <f>O30/Q40</f>
        <v>0.34059534081104403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39268.907563025212</v>
      </c>
      <c r="K42" s="250"/>
      <c r="L42" s="14"/>
      <c r="M42" s="12"/>
      <c r="N42" s="12">
        <f>N41/O30</f>
        <v>103504.5661811273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0.33133114754098358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11111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-13523.629033454106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159747</v>
      </c>
      <c r="E11" s="132">
        <f>D11*0.19</f>
        <v>30351.93</v>
      </c>
      <c r="F11" s="131">
        <f>E11+D11</f>
        <v>190098.93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92466.370966545888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47639.530787439617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74466.370966545888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112107.46921256039</v>
      </c>
      <c r="E13" s="221">
        <f>(D11/D12)-1</f>
        <v>2.3532446134443883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65466.370966545895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26466.370966545895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78605.225799275358</v>
      </c>
      <c r="F15" s="216">
        <f>E15-D12</f>
        <v>30965.695011835742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26466.370966545895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66466.370966545888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5305.4400000000005</v>
      </c>
      <c r="E20" s="121">
        <f>D20*0.19</f>
        <v>1008.0336000000001</v>
      </c>
      <c r="F20" s="120">
        <f>SUM(D20:E20)</f>
        <v>6313.4736000000003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17805.440000000002</v>
      </c>
      <c r="E21" s="116">
        <f>SUM(E18:E20)</f>
        <v>3383.0336000000002</v>
      </c>
      <c r="F21" s="115">
        <f>SUM(F18:F20)</f>
        <v>21188.473600000001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26968.896400000001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159747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17805.440000000002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112107.46921256039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112107.46921256039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2024-10-08T14:29:28Z</dcterms:modified>
</cp:coreProperties>
</file>