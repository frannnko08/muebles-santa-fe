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1A916B48-D136-4B12-8D0B-620E978D8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L21" i="1"/>
  <c r="K21" i="1"/>
  <c r="L24" i="1"/>
  <c r="M21" i="1"/>
  <c r="H21" i="1"/>
  <c r="N21" i="1" l="1"/>
  <c r="O21" i="1" s="1"/>
  <c r="O25" i="1" s="1"/>
  <c r="J39" i="1"/>
  <c r="S21" i="1" l="1"/>
  <c r="S24" i="1" s="1"/>
  <c r="S25" i="1" s="1"/>
  <c r="S26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Q21" i="1" s="1"/>
  <c r="F15" i="3"/>
  <c r="H24" i="1" l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<sst xmlns="http://schemas.openxmlformats.org/spreadsheetml/2006/main" count="231" uniqueCount="175">
  <si>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</si>
  <si>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</si>
  <si>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</si>
  <si>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</si>
  <si>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</si>
  <si>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</si>
  <si>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</si>
  <si>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</si>
  <si>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</si>
  <si>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</si>
  <si>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</si>
  <si>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</si>
  <si>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</si>
  <si>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</si>
  <si>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</si>
  <si>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</si>
  <si>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</si>
  <si>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</si>
  <si>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</si>
  <si>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</si>
  <si>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</si>
  <si>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</si>
  <si>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</si>
  <si>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</si>
  <si>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</si>
  <si>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</si>
  <si>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</si>
  <si>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</si>
  <si>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</si>
  <si>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</si>
  <si>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</si>
  <si>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</si>
  <si>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</si>
  <si>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</si>
  <si>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</si>
  <si>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</si>
  <si>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</si>
  <si>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</si>
  <si>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</si>
  <si>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</si>
  <si>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</si>
  <si>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</si>
  <si>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</si>
  <si>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</si>
  <si>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</si>
  <si>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</si>
  <si>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</si>
  <si>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</si>
  <si>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</si>
  <si>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</si>
  <si>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</si>
  <si>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</si>
  <si>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</si>
  <si>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</si>
  <si>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</si>
  <si>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</si>
  <si>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</si>
  <si>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</si>
  <si>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</si>
  <si>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</si>
  <si>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</si>
  <si>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</si>
  <si>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</si>
  <si>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</si>
  <si>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</si>
  <si>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</si>
  <si>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</si>
  <si>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</si>
  <si>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</si>
  <si>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</si>
  <si>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</si>
  <si>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</si>
  <si>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</si>
  <si>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</si>
  <si>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</si>
  <si>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</si>
  <si>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</si>
  <si>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</si>
  <si>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</si>
  <si>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</si>
  <si>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</si>
  <si>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</si>
  <si>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</si>
  <si>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</si>
  <si>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</si>
  <si>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</si>
  <si>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</si>
  <si>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</si>
  <si>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</si>
  <si>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</si>
  <si>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</si>
  <si>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</si>
  <si>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</si>
  <si>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</si>
  <si>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</si>
  <si>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</si>
  <si>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</si>
  <si>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</si>
  <si>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</si>
  <si>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</si>
  <si>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</si>
  <si>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</si>
  <si>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</si>
  <si>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</si>
  <si>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</si>
  <si>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</si>
  <si>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</si>
  <si>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</si>
  <si>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</si>
  <si>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</si>
  <si>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</si>
  <si>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</si>
  <si>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</si>
  <si>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</si>
  <si>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</si>
  <si>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</si>
  <si>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</si>
  <si>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</si>
  <si>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</si>
  <si>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</si>
  <si>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</si>
  <si>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</si>
  <si>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</si>
  <si>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</si>
  <si>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</si>
  <si>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</si>
  <si>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</si>
  <si>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</si>
  <si>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</si>
  <si>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</si>
  <si>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</si>
  <si>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</si>
  <si>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</si>
  <si>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</si>
  <si>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</si>
  <si>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</si>
  <si>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</si>
  <si>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</si>
  <si>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</si>
  <si>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</si>
  <si>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</si>
  <si>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</si>
  <si>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</si>
  <si>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</si>
  <si>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</si>
  <si>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</si>
  <si>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</si>
  <si>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</si>
  <si>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</si>
  <si>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</si>
  <si>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</si>
  <si>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</si>
  <si>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</si>
  <si>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</si>
  <si>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</si>
  <si>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</si>
  <si>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</si>
  <si>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</si>
  <si>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</si>
  <si>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</si>
  <si>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</si>
  <si>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</si>
  <si>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</si>
  <si>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</si>
  <si>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</si>
  <si>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</si>
  <si>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</si>
  <si>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</si>
  <si>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</si>
  <si>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SI</t>
  </si>
  <si>
    <t>5 DIAS HABILES</t>
  </si>
  <si>
    <t>MARINA DE CARRARA 3151 PL</t>
  </si>
  <si>
    <t>N° 11123</t>
  </si>
  <si>
    <t>CRISTIAN</t>
  </si>
  <si>
    <t>+569 9992 9437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</si>
</sst>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7" zoomScale="93" zoomScaleNormal="93" workbookViewId="0">
      <selection activeCell="H26" sqref="H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173</v>
      </c>
      <c r="D10" s="243"/>
      <c r="E10" s="243"/>
      <c r="F10" s="244" t="s">
        <v>0</v>
      </c>
      <c r="G10" s="277">
        <v>45573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169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174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73999.344262295097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36</v>
      </c>
      <c r="D21" s="325">
        <v>3</v>
      </c>
      <c r="E21" s="325">
        <v>0.6</v>
      </c>
      <c r="F21" s="324" t="s">
        <v>171</v>
      </c>
      <c r="G21" s="326">
        <v>135308</v>
      </c>
      <c r="H21" s="326">
        <f>G21*B21</f>
        <v>135308</v>
      </c>
      <c r="I21" s="265"/>
      <c r="J21" s="47"/>
      <c r="K21" s="47">
        <f>B21</f>
        <v>1</v>
      </c>
      <c r="L21" s="39">
        <f>D21+L$19</f>
        <v>3.05</v>
      </c>
      <c r="M21" s="39">
        <f>E21</f>
        <v>0.6</v>
      </c>
      <c r="N21" s="261">
        <f t="shared" ref="N21" si="1">L21*M21</f>
        <v>1.8299999999999998</v>
      </c>
      <c r="O21" s="259">
        <f t="shared" ref="O21" si="2">N21*K21</f>
        <v>1.8299999999999998</v>
      </c>
      <c r="P21" s="252">
        <f t="shared" ref="P21" si="3">P$20*N21</f>
        <v>135418.80000000002</v>
      </c>
      <c r="Q21" s="327">
        <f t="shared" ref="Q21" si="4">P21+Q$20</f>
        <v>138418.80000000002</v>
      </c>
      <c r="R21" s="298"/>
      <c r="S21" s="46">
        <f>M21*2*K21</f>
        <v>1.2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26"/>
      <c r="H22" s="326"/>
      <c r="I22" s="265"/>
      <c r="J22" s="47"/>
      <c r="K22" s="47"/>
      <c r="L22" s="39"/>
      <c r="M22" s="39"/>
      <c r="N22" s="261"/>
      <c r="O22" s="259"/>
      <c r="P22" s="252"/>
      <c r="Q22" s="327"/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1"/>
      <c r="I23" s="233"/>
      <c r="J23" s="47"/>
      <c r="K23" s="47"/>
      <c r="L23" s="39"/>
      <c r="M23" s="39"/>
      <c r="N23" s="261"/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8" t="s">
        <v>29</v>
      </c>
      <c r="H24" s="329">
        <f>SUM(H21:H23)</f>
        <v>135308</v>
      </c>
      <c r="I24" s="265"/>
      <c r="J24" s="47">
        <v>2600000</v>
      </c>
      <c r="K24" s="47"/>
      <c r="L24" s="39">
        <f>SUM(L23:L23)</f>
        <v>0</v>
      </c>
      <c r="M24" s="39"/>
      <c r="N24" s="261"/>
      <c r="O24" s="259"/>
      <c r="P24" s="252"/>
      <c r="Q24" s="258"/>
      <c r="R24" s="298"/>
      <c r="S24" s="46">
        <f>SUM(S21:S23)</f>
        <v>1.2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H24*19%</f>
        <v>25708.52</v>
      </c>
      <c r="I25" s="265"/>
      <c r="J25" s="47"/>
      <c r="K25" s="47"/>
      <c r="L25" s="39"/>
      <c r="M25" s="12"/>
      <c r="N25" s="12"/>
      <c r="O25" s="253">
        <f>SUM(O21:O21)</f>
        <v>1.8299999999999998</v>
      </c>
      <c r="P25" s="14"/>
      <c r="Q25" s="12"/>
      <c r="R25" s="239"/>
      <c r="S25" s="46">
        <f>S24*20%</f>
        <v>0.24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161016.51999999999</v>
      </c>
      <c r="I26" s="265"/>
      <c r="J26" s="47"/>
      <c r="K26" s="47"/>
      <c r="L26" s="39"/>
      <c r="M26" s="12"/>
      <c r="N26" s="12"/>
      <c r="O26" s="253">
        <f>O25</f>
        <v>1.8299999999999998</v>
      </c>
      <c r="P26" s="14"/>
      <c r="Q26" s="12"/>
      <c r="R26" s="239">
        <f>SUM(R21:R25)</f>
        <v>0</v>
      </c>
      <c r="S26" s="46">
        <f>S24+S25</f>
        <v>1.44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0.36599999999999999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2.1959999999999997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3" t="s">
        <v>22</v>
      </c>
      <c r="U29" s="300" t="s">
        <v>153</v>
      </c>
      <c r="V29" s="304">
        <v>44971</v>
      </c>
      <c r="W29" s="305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2.1959999999999997</v>
      </c>
      <c r="M30" s="12">
        <v>3500</v>
      </c>
      <c r="N30" s="12">
        <f t="shared" ref="N30:N35" si="5">L30*M30</f>
        <v>7685.9999999999991</v>
      </c>
      <c r="O30" s="14" t="s">
        <v>22</v>
      </c>
      <c r="P30" s="14"/>
      <c r="Q30" s="14"/>
      <c r="R30" s="241"/>
      <c r="S30" s="14"/>
      <c r="T30" s="303" t="s">
        <v>154</v>
      </c>
      <c r="U30" s="300">
        <v>3625</v>
      </c>
      <c r="V30" s="59" t="s">
        <v>155</v>
      </c>
      <c r="W30" s="305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 t="s">
        <v>167</v>
      </c>
      <c r="K31" s="47"/>
      <c r="L31" s="249">
        <v>0.6</v>
      </c>
      <c r="M31" s="12">
        <v>25000</v>
      </c>
      <c r="N31" s="12">
        <f t="shared" si="5"/>
        <v>15000</v>
      </c>
      <c r="O31" s="39" t="s">
        <v>32</v>
      </c>
      <c r="P31" s="42"/>
      <c r="Q31" s="14"/>
      <c r="R31" s="240"/>
      <c r="S31" s="14"/>
      <c r="T31" s="303"/>
      <c r="U31" s="59">
        <v>906.25</v>
      </c>
      <c r="V31" s="59" t="s">
        <v>156</v>
      </c>
      <c r="W31" s="305"/>
    </row>
    <row r="32" spans="2:24" s="230" customFormat="1" ht="17.399999999999999" x14ac:dyDescent="0.35">
      <c r="I32" s="262"/>
      <c r="J32" s="232">
        <v>40754</v>
      </c>
      <c r="K32" s="250">
        <v>34989</v>
      </c>
      <c r="L32" s="14"/>
      <c r="M32" s="250">
        <v>61840</v>
      </c>
      <c r="N32" s="12">
        <f t="shared" si="5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5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>
        <v>26644</v>
      </c>
      <c r="K33" s="250">
        <v>22025</v>
      </c>
      <c r="L33" s="14">
        <v>0.5</v>
      </c>
      <c r="M33" s="250">
        <v>68736</v>
      </c>
      <c r="N33" s="12">
        <f t="shared" si="5"/>
        <v>34368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5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5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>
        <v>3</v>
      </c>
      <c r="M35" s="12">
        <v>1500</v>
      </c>
      <c r="N35" s="12">
        <f t="shared" si="5"/>
        <v>4500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>
        <v>1</v>
      </c>
      <c r="M36" s="12"/>
      <c r="N36" s="12">
        <f>SUM(N30:N35)</f>
        <v>61554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135418.80000000002</v>
      </c>
      <c r="O37" s="14" t="s">
        <v>141</v>
      </c>
      <c r="P37" s="14"/>
      <c r="Q37" s="40">
        <f>O28/Q36</f>
        <v>0.59210526315789469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55470</v>
      </c>
      <c r="K38" s="250"/>
      <c r="L38" s="14"/>
      <c r="M38" s="12"/>
      <c r="N38" s="12">
        <f>N37/O26</f>
        <v>73999.344262295097</v>
      </c>
      <c r="O38" s="45" t="s">
        <v>25</v>
      </c>
      <c r="P38" s="14"/>
      <c r="Q38" s="14"/>
      <c r="R38"/>
      <c r="S38" s="238"/>
      <c r="T38" s="59" t="s">
        <v>159</v>
      </c>
      <c r="U38" s="300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46613.445378151264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1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2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45573</v>
      </c>
    </row>
    <row r="6" spans="2:31" ht="16.2" thickBot="1" x14ac:dyDescent="0.35">
      <c r="B6" s="140" t="s">
        <v>2</v>
      </c>
      <c r="C6" s="139" t="str">
        <f>'2229'!C10</f>
        <v>CRISTIAN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11123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-8108.3083667874407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135308</v>
      </c>
      <c r="E11" s="132">
        <f>D11*0.19</f>
        <v>25708.52</v>
      </c>
      <c r="F11" s="131">
        <f>E11+D11</f>
        <v>161016.51999999999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97881.691633212555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52520.090787439614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79881.691633212555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82787.909212560393</v>
      </c>
      <c r="E13" s="221">
        <f>(D11/D12)-1</f>
        <v>1.5763093317492785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70881.691633212555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31881.691633212558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86658.149799275358</v>
      </c>
      <c r="F15" s="216">
        <f>E15-D12</f>
        <v>34138.059011835743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31881.691633212558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71881.691633212555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7685.9999999999991</v>
      </c>
      <c r="E20" s="121">
        <f>D20*0.19</f>
        <v>1460.34</v>
      </c>
      <c r="F20" s="120">
        <f>SUM(D20:E20)</f>
        <v>9146.3399999999983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22686</v>
      </c>
      <c r="E21" s="116">
        <f>SUM(E18:E20)</f>
        <v>4310.34</v>
      </c>
      <c r="F21" s="115">
        <f>SUM(F18:F20)</f>
        <v>26996.339999999997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21398.18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135308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22686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82787.909212560393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82787.909212560393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2024-10-08T13:57:27Z</dcterms:modified>
</cp:coreProperties>
</file>