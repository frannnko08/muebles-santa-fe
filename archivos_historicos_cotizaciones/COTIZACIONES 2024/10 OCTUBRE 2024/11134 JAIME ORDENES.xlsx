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0 OCTUBRE 2024\"/>
    </mc:Choice>
  </mc:AlternateContent>
  <xr:revisionPtr revIDLastSave="0" documentId="13_ncr:1_{5E021B1E-F467-40DC-9706-0067A77519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/>
  <c r="N21" i="1"/>
  <c r="M23" i="1" l="1"/>
  <c r="O21" i="1"/>
  <c r="P21" i="1" s="1"/>
  <c r="P24" i="1" s="1"/>
  <c r="K38" i="1"/>
  <c r="T21" i="1" l="1"/>
  <c r="T23" i="1" s="1"/>
  <c r="T24" i="1" s="1"/>
  <c r="T25" i="1" s="1"/>
  <c r="S25" i="1"/>
  <c r="V31" i="1"/>
  <c r="V32" i="1" s="1"/>
  <c r="O30" i="1" l="1"/>
  <c r="P25" i="1" l="1"/>
  <c r="P26" i="1" s="1"/>
  <c r="P27" i="1" s="1"/>
  <c r="N20" i="1"/>
  <c r="L20" i="1"/>
  <c r="M29" i="1" l="1"/>
  <c r="O31" i="1"/>
  <c r="R35" i="1"/>
  <c r="R36" i="1" s="1"/>
  <c r="O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/>
  <c r="H23" i="1" s="1"/>
  <c r="H24" i="1" s="1"/>
  <c r="H25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<sst xmlns="http://schemas.openxmlformats.org/spreadsheetml/2006/main" count="230" uniqueCount="173">
  <si>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</si>
  <si>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</si>
  <si>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</si>
  <si>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</si>
  <si>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</si>
  <si>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</si>
  <si>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</si>
  <si>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</si>
  <si>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</si>
  <si>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</si>
  <si>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</si>
  <si>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</si>
  <si>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</si>
  <si>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</si>
  <si>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</si>
  <si>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</si>
  <si>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</si>
  <si>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</si>
  <si>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</si>
  <si>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</si>
  <si>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</si>
  <si>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</si>
  <si>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</si>
  <si>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</si>
  <si>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</si>
  <si>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</si>
  <si>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</si>
  <si>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</si>
  <si>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</si>
  <si>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</si>
  <si>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</si>
  <si>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</si>
  <si>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</si>
  <si>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</si>
  <si>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</si>
  <si>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</si>
  <si>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</si>
  <si>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</si>
  <si>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</si>
  <si>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</si>
  <si>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</si>
  <si>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</si>
  <si>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</si>
  <si>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</si>
  <si>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</si>
  <si>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</si>
  <si>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</si>
  <si>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</si>
  <si>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</si>
  <si>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</si>
  <si>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</si>
  <si>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</si>
  <si>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</si>
  <si>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</si>
  <si>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</si>
  <si>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</si>
  <si>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</si>
  <si>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</si>
  <si>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</si>
  <si>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</si>
  <si>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</si>
  <si>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</si>
  <si>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</si>
  <si>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</si>
  <si>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</si>
  <si>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</si>
  <si>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</si>
  <si>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</si>
  <si>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</si>
  <si>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</si>
  <si>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</si>
  <si>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</si>
  <si>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</si>
  <si>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</si>
  <si>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</si>
  <si>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</si>
  <si>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</si>
  <si>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</si>
  <si>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</si>
  <si>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</si>
  <si>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</si>
  <si>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</si>
  <si>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</si>
  <si>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</si>
  <si>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</si>
  <si>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</si>
  <si>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</si>
  <si>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</si>
  <si>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</si>
  <si>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</si>
  <si>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</si>
  <si>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</si>
  <si>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</si>
  <si>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</si>
  <si>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</si>
  <si>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</si>
  <si>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</si>
  <si>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</si>
  <si>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</si>
  <si>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</si>
  <si>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</si>
  <si>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</si>
  <si>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</si>
  <si>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</si>
  <si>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</si>
  <si>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</si>
  <si>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</si>
  <si>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</si>
  <si>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</si>
  <si>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</si>
  <si>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</si>
  <si>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</si>
  <si>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</si>
  <si>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</si>
  <si>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</si>
  <si>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</si>
  <si>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</si>
  <si>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</si>
  <si>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</si>
  <si>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</si>
  <si>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</si>
  <si>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</si>
  <si>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</si>
  <si>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</si>
  <si>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</si>
  <si>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</si>
  <si>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</si>
  <si>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</si>
  <si>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</si>
  <si>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</si>
  <si>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</si>
  <si>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</si>
  <si>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</si>
  <si>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</si>
  <si>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</si>
  <si>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</si>
  <si>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</si>
  <si>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</si>
  <si>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</si>
  <si>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</si>
  <si>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</si>
  <si>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</si>
  <si>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</si>
  <si>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</si>
  <si>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</si>
  <si>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</si>
  <si>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</si>
  <si>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</si>
  <si>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</si>
  <si>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</si>
  <si>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</si>
  <si>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</si>
  <si>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</si>
  <si>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</si>
  <si>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</si>
  <si>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</si>
  <si>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</si>
  <si>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</si>
  <si>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</si>
  <si>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</si>
  <si>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</si>
  <si>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</si>
  <si>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</si>
  <si>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</si>
  <si>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</si>
  <si>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lamitech</t>
  </si>
  <si>
    <t>SANTIAGO</t>
  </si>
  <si>
    <t>FONO +569 2032 3382</t>
  </si>
  <si>
    <t>5 DIAS HABILES</t>
  </si>
  <si>
    <t xml:space="preserve">+569 </t>
  </si>
  <si>
    <t>JAIME ORDENES</t>
  </si>
  <si>
    <t>N° 11134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</si>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</sst>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8</xdr:col>
      <xdr:colOff>8193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0"/>
  <sheetViews>
    <sheetView tabSelected="1" topLeftCell="D17" zoomScale="93" zoomScaleNormal="93" workbookViewId="0">
      <selection activeCell="O36" sqref="O36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167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170</v>
      </c>
      <c r="D10" s="243"/>
      <c r="E10" s="243"/>
      <c r="F10" s="244" t="s">
        <v>0</v>
      </c>
      <c r="G10" s="277">
        <v>45587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168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169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166</v>
      </c>
      <c r="D17" s="314"/>
      <c r="E17" s="119"/>
      <c r="F17" s="336" t="s">
        <v>164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147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61684.444444444453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1</v>
      </c>
      <c r="C21" s="329" t="s">
        <v>35</v>
      </c>
      <c r="D21" s="330">
        <v>1.6</v>
      </c>
      <c r="E21" s="330">
        <v>0.6</v>
      </c>
      <c r="F21" s="329" t="s">
        <v>172</v>
      </c>
      <c r="G21" s="331">
        <v>65790</v>
      </c>
      <c r="H21" s="332">
        <f>G21*B21</f>
        <v>65790</v>
      </c>
      <c r="I21" s="322"/>
      <c r="J21" s="265"/>
      <c r="K21" s="47"/>
      <c r="L21" s="47">
        <f>B21</f>
        <v>1</v>
      </c>
      <c r="M21" s="39">
        <f>D21+M$19</f>
        <v>1.6500000000000001</v>
      </c>
      <c r="N21" s="39">
        <f>E21</f>
        <v>0.6</v>
      </c>
      <c r="O21" s="261">
        <f t="shared" ref="O21" si="1">M21*N21</f>
        <v>0.99</v>
      </c>
      <c r="P21" s="259">
        <f t="shared" ref="P21" si="2">O21*L21</f>
        <v>0.99</v>
      </c>
      <c r="Q21" s="252">
        <f t="shared" ref="Q21" si="3">Q$20*O21</f>
        <v>61067.600000000006</v>
      </c>
      <c r="R21" s="321">
        <f t="shared" ref="R21" si="4">Q21+R$20</f>
        <v>64067.600000000006</v>
      </c>
      <c r="S21" s="298"/>
      <c r="T21" s="46">
        <f>N21*2*L21</f>
        <v>1.2</v>
      </c>
      <c r="U21" s="9"/>
      <c r="X21" s="4"/>
    </row>
    <row r="22" spans="2:25" ht="18" thickBot="1" x14ac:dyDescent="0.35">
      <c r="B22" s="286"/>
      <c r="C22" s="286"/>
      <c r="D22" s="287"/>
      <c r="E22" s="287"/>
      <c r="F22" s="286"/>
      <c r="G22" s="265"/>
      <c r="H22" s="323"/>
      <c r="I22" s="325"/>
      <c r="J22" s="233"/>
      <c r="K22" s="47"/>
      <c r="L22" s="47"/>
      <c r="M22" s="39"/>
      <c r="N22" s="39"/>
      <c r="O22" s="261"/>
      <c r="P22" s="259"/>
      <c r="Q22" s="252"/>
      <c r="R22" s="258"/>
      <c r="S22" s="298"/>
      <c r="T22" s="14"/>
      <c r="U22" s="9"/>
      <c r="X22" s="4"/>
    </row>
    <row r="23" spans="2:25" ht="17.399999999999999" x14ac:dyDescent="0.3">
      <c r="B23" s="286"/>
      <c r="C23" s="286"/>
      <c r="D23" s="287"/>
      <c r="E23" s="287"/>
      <c r="F23" s="286"/>
      <c r="G23" s="326" t="s">
        <v>28</v>
      </c>
      <c r="H23" s="327">
        <f>SUM(H21:H22)</f>
        <v>65790</v>
      </c>
      <c r="I23" s="324"/>
      <c r="J23" s="265"/>
      <c r="K23" s="47">
        <v>2600000</v>
      </c>
      <c r="L23" s="47"/>
      <c r="M23" s="39" t="e">
        <f>M21+#REF!</f>
        <v>#REF!</v>
      </c>
      <c r="N23" s="39"/>
      <c r="O23" s="261"/>
      <c r="P23" s="259"/>
      <c r="Q23" s="252"/>
      <c r="R23" s="258"/>
      <c r="S23" s="298"/>
      <c r="T23" s="46">
        <f>SUM(T21:T22)</f>
        <v>1.2</v>
      </c>
      <c r="U23" s="9"/>
      <c r="X23" s="4"/>
    </row>
    <row r="24" spans="2:25" ht="17.399999999999999" x14ac:dyDescent="0.3">
      <c r="B24" s="280"/>
      <c r="C24" s="283"/>
      <c r="D24" s="284"/>
      <c r="E24" s="284"/>
      <c r="F24" s="285"/>
      <c r="G24" s="297" t="s">
        <v>51</v>
      </c>
      <c r="H24" s="295">
        <f>H23*19%</f>
        <v>12500.1</v>
      </c>
      <c r="I24" s="324"/>
      <c r="J24" s="265"/>
      <c r="K24" s="47"/>
      <c r="L24" s="47"/>
      <c r="M24" s="39"/>
      <c r="N24" s="12"/>
      <c r="O24" s="12"/>
      <c r="P24" s="253">
        <f>SUM(P21:P21)</f>
        <v>0.99</v>
      </c>
      <c r="Q24" s="14"/>
      <c r="R24" s="12"/>
      <c r="S24" s="239"/>
      <c r="T24" s="46">
        <f>T23*20%</f>
        <v>0.24</v>
      </c>
      <c r="U24" s="9"/>
      <c r="X24" s="4"/>
    </row>
    <row r="25" spans="2:25" ht="18" thickBot="1" x14ac:dyDescent="0.35">
      <c r="B25" s="276"/>
      <c r="C25" s="282"/>
      <c r="D25" s="272"/>
      <c r="E25" s="272"/>
      <c r="F25" s="273"/>
      <c r="G25" s="281" t="s">
        <v>6</v>
      </c>
      <c r="H25" s="296">
        <f>H23+H24</f>
        <v>78290.100000000006</v>
      </c>
      <c r="I25" s="324"/>
      <c r="J25" s="265"/>
      <c r="K25" s="47"/>
      <c r="L25" s="47"/>
      <c r="M25" s="39"/>
      <c r="N25" s="12"/>
      <c r="O25" s="12"/>
      <c r="P25" s="253">
        <f>P24</f>
        <v>0.99</v>
      </c>
      <c r="Q25" s="14"/>
      <c r="R25" s="12"/>
      <c r="S25" s="239">
        <f>SUM(S21:S24)</f>
        <v>0</v>
      </c>
      <c r="T25" s="46">
        <f>T23+T24</f>
        <v>1.44</v>
      </c>
      <c r="U25" s="9"/>
      <c r="X25" s="4"/>
    </row>
    <row r="26" spans="2:25" ht="17.399999999999999" x14ac:dyDescent="0.3">
      <c r="B26" s="276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0.19800000000000001</v>
      </c>
      <c r="Q26" s="39" t="s">
        <v>130</v>
      </c>
      <c r="R26" s="42"/>
      <c r="S26" s="240"/>
      <c r="T26" s="14"/>
      <c r="U26" s="9"/>
      <c r="X26" s="4"/>
    </row>
    <row r="27" spans="2:25" ht="17.399999999999999" x14ac:dyDescent="0.3">
      <c r="B27" s="271"/>
      <c r="C27" s="271"/>
      <c r="D27" s="272"/>
      <c r="E27" s="272"/>
      <c r="F27" s="273"/>
      <c r="G27" s="274"/>
      <c r="H27" s="275"/>
      <c r="I27" s="275"/>
      <c r="J27" s="265"/>
      <c r="K27" s="47"/>
      <c r="L27" s="47"/>
      <c r="M27" s="14"/>
      <c r="N27" s="12"/>
      <c r="O27" s="12"/>
      <c r="P27" s="46">
        <f>P25+P26</f>
        <v>1.1879999999999999</v>
      </c>
      <c r="Q27" s="14"/>
      <c r="R27" s="14"/>
      <c r="S27" s="238">
        <v>40</v>
      </c>
      <c r="T27" s="14"/>
      <c r="U27" s="9"/>
      <c r="X27" s="4"/>
    </row>
    <row r="28" spans="2:25" ht="17.399999999999999" x14ac:dyDescent="0.35">
      <c r="B28" s="269"/>
      <c r="C28" s="230"/>
      <c r="D28" s="230"/>
      <c r="E28" s="233"/>
      <c r="F28" s="234"/>
      <c r="G28" s="230"/>
      <c r="H28" s="275"/>
      <c r="I28" s="275"/>
      <c r="J28" s="265"/>
      <c r="K28" s="47"/>
      <c r="L28" s="47"/>
      <c r="M28" s="14"/>
      <c r="N28" s="14"/>
      <c r="O28" s="14"/>
      <c r="P28" s="14"/>
      <c r="Q28" s="14"/>
      <c r="R28" s="14"/>
      <c r="S28" s="238"/>
      <c r="T28" s="14"/>
      <c r="U28" s="303" t="s">
        <v>21</v>
      </c>
      <c r="V28" s="300" t="s">
        <v>152</v>
      </c>
      <c r="W28" s="304">
        <v>44971</v>
      </c>
      <c r="X28" s="305"/>
    </row>
    <row r="29" spans="2:25" ht="17.399999999999999" x14ac:dyDescent="0.35">
      <c r="B29" s="235"/>
      <c r="C29" s="236"/>
      <c r="D29" s="237"/>
      <c r="E29" s="235"/>
      <c r="F29" s="230"/>
      <c r="G29" s="230"/>
      <c r="J29" s="265"/>
      <c r="K29" s="47"/>
      <c r="L29" s="47"/>
      <c r="M29" s="39">
        <f>P27</f>
        <v>1.1879999999999999</v>
      </c>
      <c r="N29" s="12">
        <v>3500</v>
      </c>
      <c r="O29" s="12">
        <f t="shared" ref="O29:O34" si="5">M29*N29</f>
        <v>4158</v>
      </c>
      <c r="P29" s="14" t="s">
        <v>21</v>
      </c>
      <c r="Q29" s="14"/>
      <c r="R29" s="14"/>
      <c r="S29" s="241"/>
      <c r="T29" s="14"/>
      <c r="U29" s="303" t="s">
        <v>153</v>
      </c>
      <c r="V29" s="300">
        <v>3625</v>
      </c>
      <c r="W29" s="59" t="s">
        <v>154</v>
      </c>
      <c r="X29" s="305"/>
    </row>
    <row r="30" spans="2:25" ht="17.399999999999999" x14ac:dyDescent="0.35">
      <c r="B30" s="230"/>
      <c r="C30" s="230"/>
      <c r="D30" s="230"/>
      <c r="E30" s="230"/>
      <c r="F30" s="230"/>
      <c r="G30" s="230"/>
      <c r="J30" s="265"/>
      <c r="K30" s="47" t="s">
        <v>165</v>
      </c>
      <c r="L30" s="47"/>
      <c r="M30" s="249">
        <v>0.32</v>
      </c>
      <c r="N30" s="12">
        <v>25000</v>
      </c>
      <c r="O30" s="12">
        <f t="shared" si="5"/>
        <v>8000</v>
      </c>
      <c r="P30" s="39" t="s">
        <v>31</v>
      </c>
      <c r="Q30" s="42"/>
      <c r="R30" s="14"/>
      <c r="S30" s="240"/>
      <c r="T30" s="14"/>
      <c r="U30" s="303"/>
      <c r="V30" s="59">
        <v>906.25</v>
      </c>
      <c r="W30" s="59" t="s">
        <v>155</v>
      </c>
      <c r="X30" s="305"/>
    </row>
    <row r="31" spans="2:25" s="230" customFormat="1" ht="17.399999999999999" x14ac:dyDescent="0.35">
      <c r="J31" s="262"/>
      <c r="K31" s="232">
        <v>40706</v>
      </c>
      <c r="L31" s="250">
        <v>34989</v>
      </c>
      <c r="M31" s="14"/>
      <c r="N31" s="250">
        <v>61840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5" t="s">
        <v>156</v>
      </c>
      <c r="X31" s="59"/>
    </row>
    <row r="32" spans="2:25" s="230" customFormat="1" ht="17.399999999999999" x14ac:dyDescent="0.35">
      <c r="B32" s="24" t="s">
        <v>151</v>
      </c>
      <c r="J32" s="262"/>
      <c r="K32" s="232">
        <v>26644</v>
      </c>
      <c r="L32" s="250">
        <v>22025</v>
      </c>
      <c r="M32" s="14">
        <v>0.6</v>
      </c>
      <c r="N32" s="250">
        <v>22000</v>
      </c>
      <c r="O32" s="12">
        <f t="shared" si="5"/>
        <v>13200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5" t="s">
        <v>157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L33" s="250"/>
      <c r="M33" s="249"/>
      <c r="N33" s="250">
        <v>300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94"/>
      <c r="L34" s="250"/>
      <c r="M34" s="266">
        <v>1.6</v>
      </c>
      <c r="N34" s="12">
        <v>1500</v>
      </c>
      <c r="O34" s="12">
        <f t="shared" si="5"/>
        <v>2400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L35" s="250"/>
      <c r="M35" s="14"/>
      <c r="N35" s="12"/>
      <c r="O35" s="12">
        <f>SUM(O29:O34)</f>
        <v>27758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33</v>
      </c>
      <c r="N36" s="12"/>
      <c r="O36" s="255">
        <f>O35*2.2</f>
        <v>61067.600000000006</v>
      </c>
      <c r="P36" s="14" t="s">
        <v>140</v>
      </c>
      <c r="Q36" s="14"/>
      <c r="R36" s="40">
        <f>P27/R35</f>
        <v>0.3203192407247627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42723</v>
      </c>
      <c r="L37" s="250"/>
      <c r="M37" s="14"/>
      <c r="N37" s="12"/>
      <c r="O37" s="12">
        <f>O36/P25</f>
        <v>61684.444444444453</v>
      </c>
      <c r="P37" s="45" t="s">
        <v>24</v>
      </c>
      <c r="Q37" s="14"/>
      <c r="R37" s="14"/>
      <c r="S37"/>
      <c r="T37" s="238"/>
      <c r="U37" s="59" t="s">
        <v>158</v>
      </c>
      <c r="V37" s="300">
        <v>43650</v>
      </c>
    </row>
    <row r="38" spans="2:24" s="230" customFormat="1" ht="17.399999999999999" x14ac:dyDescent="0.35">
      <c r="G38"/>
      <c r="K38" s="230">
        <f>K37/1.19</f>
        <v>35901.680672268907</v>
      </c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160</v>
      </c>
      <c r="V38" s="301" t="s">
        <v>159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161</v>
      </c>
      <c r="V39" s="302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156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148</v>
      </c>
    </row>
    <row r="73" spans="3:3" x14ac:dyDescent="0.3">
      <c r="C73" t="s">
        <v>147</v>
      </c>
    </row>
    <row r="76" spans="3:3" x14ac:dyDescent="0.3">
      <c r="C76" t="s">
        <v>147</v>
      </c>
    </row>
    <row r="153" spans="3:3" x14ac:dyDescent="0.3">
      <c r="C153" t="s">
        <v>147</v>
      </c>
    </row>
    <row r="154" spans="3:3" x14ac:dyDescent="0.3">
      <c r="C154" t="s">
        <v>149</v>
      </c>
    </row>
    <row r="155" spans="3:3" x14ac:dyDescent="0.3">
      <c r="C155" t="s">
        <v>150</v>
      </c>
    </row>
    <row r="580" spans="3:3" x14ac:dyDescent="0.3">
      <c r="C580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45587</v>
      </c>
    </row>
    <row r="6" spans="2:31" ht="16.2" thickBot="1" x14ac:dyDescent="0.35">
      <c r="B6" s="140" t="s">
        <v>2</v>
      </c>
      <c r="C6" s="139" t="str">
        <f>'2229'!C10</f>
        <v>JAIME ORDENES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11134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582.8249665458934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65790</v>
      </c>
      <c r="E11" s="132">
        <f>D11*0.19</f>
        <v>12500.1</v>
      </c>
      <c r="F11" s="131">
        <f>E11+D11</f>
        <v>78290.100000000006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106572.82496654589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41992.090787439614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88572.824966545886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23797.909212560386</v>
      </c>
      <c r="E13" s="221">
        <f>(D11/D12)-1</f>
        <v>0.56672360833432589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79572.824966545886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40572.824966545893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69286.94979927536</v>
      </c>
      <c r="F15" s="216">
        <f>E15-D12</f>
        <v>27294.859011835746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40572.824966545893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80572.824966545886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8000</v>
      </c>
      <c r="E19" s="123">
        <f>D19*0.19</f>
        <v>1520</v>
      </c>
      <c r="F19" s="120">
        <f>SUM(D19:E19)</f>
        <v>9520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4158</v>
      </c>
      <c r="E20" s="121">
        <f>D20*0.19</f>
        <v>790.02</v>
      </c>
      <c r="F20" s="120">
        <f>SUM(D20:E20)</f>
        <v>4948.0200000000004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12158</v>
      </c>
      <c r="E21" s="116">
        <f>SUM(E18:E20)</f>
        <v>2310.02</v>
      </c>
      <c r="F21" s="115">
        <f>SUM(F18:F20)</f>
        <v>14468.02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10190.08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65790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12158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23797.909212560386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23797.909212560386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2024-10-21T18:15:27Z</cp:lastPrinted>
  <dcterms:created xsi:type="dcterms:W3CDTF">2013-03-18T13:35:42Z</dcterms:created>
  <dcterms:modified xsi:type="dcterms:W3CDTF">2024-10-22T13:54:07Z</dcterms:modified>
</cp:coreProperties>
</file>