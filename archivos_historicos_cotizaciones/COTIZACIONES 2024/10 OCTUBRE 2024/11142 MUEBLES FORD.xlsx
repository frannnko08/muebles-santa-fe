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3EB9183C-DDF3-492F-A43E-E7C211BBE5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1" l="1"/>
  <c r="K22" i="1"/>
  <c r="L22" i="1"/>
  <c r="M22" i="1"/>
  <c r="N22" i="1"/>
  <c r="O22" i="1" s="1"/>
  <c r="R22" i="1"/>
  <c r="W40" i="1"/>
  <c r="W36" i="1"/>
  <c r="V33" i="1"/>
  <c r="X23" i="1"/>
  <c r="K21" i="1" l="1"/>
  <c r="K10" i="1"/>
  <c r="J39" i="1" l="1"/>
  <c r="L21" i="1" l="1"/>
  <c r="L25" i="1" s="1"/>
  <c r="M21" i="1"/>
  <c r="N21" i="1" l="1"/>
  <c r="R21" i="1"/>
  <c r="U21" i="1" s="1"/>
  <c r="N32" i="1"/>
  <c r="O21" i="1" l="1"/>
  <c r="S44" i="1"/>
  <c r="O25" i="1" l="1"/>
  <c r="O26" i="1" s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7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E15" i="3"/>
  <c r="P20" i="1" l="1"/>
  <c r="P22" i="1" s="1"/>
  <c r="Q22" i="1" s="1"/>
  <c r="G22" i="1" s="1"/>
  <c r="H22" i="1" s="1"/>
  <c r="F15" i="3"/>
  <c r="P21" i="1" l="1"/>
  <c r="R27" i="1"/>
  <c r="T20" i="1" l="1"/>
  <c r="Q21" i="1"/>
  <c r="G21" i="1" l="1"/>
  <c r="H21" i="1" s="1"/>
  <c r="H25" i="1" s="1"/>
  <c r="H26" i="1" l="1"/>
  <c r="H27" i="1" s="1"/>
  <c r="D11" i="3"/>
  <c r="M42" i="3" s="1"/>
  <c r="M46" i="3" s="1"/>
  <c r="M49" i="3" s="1"/>
  <c r="E13" i="3" l="1"/>
  <c r="D13" i="3"/>
  <c r="E11" i="3"/>
  <c r="X9" i="3"/>
  <c r="D40" i="3" l="1"/>
  <c r="F11" i="3"/>
  <c r="X12" i="3"/>
  <c r="X13" i="3"/>
  <c r="X11" i="3"/>
  <c r="X15" i="3"/>
  <c r="X14" i="3"/>
  <c r="X16" i="3"/>
</calcChain>
</file>

<file path=xl/sharedStrings.xml><?xml version="1.0" encoding="utf-8"?>
<sst xmlns="http://schemas.openxmlformats.org/spreadsheetml/2006/main" count="224" uniqueCount="168">
  <si>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</si>
  <si>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</si>
  <si>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</si>
  <si>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</si>
  <si>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</si>
  <si>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</si>
  <si>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</si>
  <si>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</si>
  <si>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</si>
  <si>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</si>
  <si>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</si>
  <si>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</si>
  <si>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</si>
  <si>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</si>
  <si>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</si>
  <si>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</si>
  <si>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</si>
  <si>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</si>
  <si>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</si>
  <si>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</si>
  <si>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</si>
  <si>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</si>
  <si>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</si>
  <si>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</si>
  <si>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</si>
  <si>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</si>
  <si>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</si>
  <si>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</si>
  <si>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</si>
  <si>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</si>
  <si>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</si>
  <si>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</si>
  <si>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</si>
  <si>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</si>
  <si>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</si>
  <si>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</si>
  <si>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</si>
  <si>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</si>
  <si>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</si>
  <si>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</si>
  <si>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</si>
  <si>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</si>
  <si>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</si>
  <si>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</si>
  <si>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</si>
  <si>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</si>
  <si>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</si>
  <si>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</si>
  <si>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</si>
  <si>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</si>
  <si>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</si>
  <si>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</si>
  <si>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</si>
  <si>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</si>
  <si>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</si>
  <si>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</si>
  <si>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</si>
  <si>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</si>
  <si>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</si>
  <si>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</si>
  <si>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</si>
  <si>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</si>
  <si>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</si>
  <si>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</si>
  <si>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</si>
  <si>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</si>
  <si>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</si>
  <si>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</si>
  <si>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</si>
  <si>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</si>
  <si>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</si>
  <si>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</si>
  <si>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</si>
  <si>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</si>
  <si>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</si>
  <si>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</si>
  <si>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</si>
  <si>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</si>
  <si>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</si>
  <si>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</si>
  <si>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</si>
  <si>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</si>
  <si>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</si>
  <si>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</si>
  <si>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</si>
  <si>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</si>
  <si>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</si>
  <si>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</si>
  <si>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</si>
  <si>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</si>
  <si>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</si>
  <si>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</si>
  <si>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</si>
  <si>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</si>
  <si>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</si>
  <si>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</si>
  <si>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</si>
  <si>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</si>
  <si>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</si>
  <si>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</si>
  <si>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</si>
  <si>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</si>
  <si>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</si>
  <si>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</si>
  <si>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</si>
  <si>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</si>
  <si>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</si>
  <si>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</si>
  <si>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</si>
  <si>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</si>
  <si>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</si>
  <si>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</si>
  <si>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</si>
  <si>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</si>
  <si>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</si>
  <si>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</si>
  <si>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</si>
  <si>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</si>
  <si>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</si>
  <si>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</si>
  <si>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</si>
  <si>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</si>
  <si>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</si>
  <si>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</si>
  <si>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</si>
  <si>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</si>
  <si>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</si>
  <si>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</si>
  <si>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</si>
  <si>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</si>
  <si>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</si>
  <si>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</si>
  <si>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</si>
  <si>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</si>
  <si>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</si>
  <si>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</si>
  <si>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</si>
  <si>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</si>
  <si>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</si>
  <si>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</si>
  <si>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</si>
  <si>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</si>
  <si>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</si>
  <si>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</si>
  <si>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</si>
  <si>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</si>
  <si>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</si>
  <si>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</si>
  <si>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</si>
  <si>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</si>
  <si>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</si>
  <si>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</si>
  <si>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</si>
  <si>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</si>
  <si>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</si>
  <si>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</si>
  <si>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</si>
  <si>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MTL</t>
  </si>
  <si>
    <t>MDF30MM</t>
  </si>
  <si>
    <t>5 DIAS HABILES</t>
  </si>
  <si>
    <t>POR TRANSPORTES</t>
  </si>
  <si>
    <t>MUEBLES FORD</t>
  </si>
  <si>
    <t>ENRIQUE FORD</t>
  </si>
  <si>
    <t>SANTIAGO</t>
  </si>
  <si>
    <t>569 8293 1990</t>
  </si>
  <si>
    <t>CUBIERTA CON RESPALDO R6</t>
  </si>
  <si>
    <t>ASTRAL 3020 MT</t>
  </si>
  <si>
    <t>N° 11142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</si>
</sst>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166" fontId="3" fillId="7" borderId="0" xfId="0" applyNumberFormat="1" applyFont="1" applyFill="1"/>
    <xf numFmtId="41" fontId="0" fillId="0" borderId="0" xfId="4" applyFont="1"/>
    <xf numFmtId="0" fontId="35" fillId="0" borderId="0" xfId="0" applyFont="1"/>
    <xf numFmtId="0" fontId="36" fillId="0" borderId="0" xfId="0" applyFont="1" applyAlignment="1">
      <alignment horizontal="left"/>
    </xf>
    <xf numFmtId="0" fontId="36" fillId="0" borderId="0" xfId="0" applyFont="1"/>
    <xf numFmtId="167" fontId="0" fillId="21" borderId="0" xfId="0" applyNumberFormat="1" applyFill="1"/>
    <xf numFmtId="42" fontId="1" fillId="0" borderId="1" xfId="0" applyNumberFormat="1" applyFont="1" applyBorder="1"/>
    <xf numFmtId="0" fontId="32" fillId="0" borderId="1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42" fontId="33" fillId="0" borderId="0" xfId="8" applyFont="1" applyFill="1" applyBorder="1"/>
    <xf numFmtId="42" fontId="1" fillId="0" borderId="0" xfId="0" applyNumberFormat="1" applyFont="1" applyAlignment="1">
      <alignment horizontal="center" vertical="center"/>
    </xf>
    <xf numFmtId="0" fontId="11" fillId="0" borderId="26" xfId="0" applyFont="1" applyBorder="1" applyAlignment="1">
      <alignment horizont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99FF33"/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2583219</xdr:colOff>
      <xdr:row>29</xdr:row>
      <xdr:rowOff>13024</xdr:rowOff>
    </xdr:from>
    <xdr:to>
      <xdr:col>8</xdr:col>
      <xdr:colOff>31102</xdr:colOff>
      <xdr:row>32</xdr:row>
      <xdr:rowOff>13025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134933" y="7866289"/>
          <a:ext cx="2058761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23</xdr:row>
      <xdr:rowOff>84014</xdr:rowOff>
    </xdr:from>
    <xdr:to>
      <xdr:col>5</xdr:col>
      <xdr:colOff>1849560</xdr:colOff>
      <xdr:row>27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zoomScale="98" zoomScaleNormal="98" workbookViewId="0">
      <selection activeCell="I21" sqref="I21"/>
    </sheetView>
  </sheetViews>
  <sheetFormatPr baseColWidth="10" defaultRowHeight="14.4" x14ac:dyDescent="0.3"/>
  <cols>
    <col min="1" max="1" width="6" customWidth="1"/>
    <col min="2" max="2" width="10.5546875" customWidth="1"/>
    <col min="3" max="3" width="42.77734375" customWidth="1"/>
    <col min="4" max="4" width="11.109375" customWidth="1"/>
    <col min="5" max="5" width="10.5546875" customWidth="1"/>
    <col min="6" max="6" width="31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167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45590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5.6" x14ac:dyDescent="0.3">
      <c r="B11" s="288" t="s">
        <v>12</v>
      </c>
      <c r="C11" s="138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x14ac:dyDescent="0.3">
      <c r="B12" s="246" t="s">
        <v>147</v>
      </c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ht="15.6" x14ac:dyDescent="0.3">
      <c r="B13" s="246" t="s">
        <v>148</v>
      </c>
      <c r="C13" s="320" t="s">
        <v>162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1" t="s">
        <v>164</v>
      </c>
      <c r="D15" s="295"/>
      <c r="E15" s="247"/>
      <c r="F15" s="247" t="s">
        <v>136</v>
      </c>
      <c r="G15" s="296" t="s">
        <v>160</v>
      </c>
      <c r="H15" s="248"/>
    </row>
    <row r="16" spans="2:23" ht="15.6" x14ac:dyDescent="0.3">
      <c r="B16" s="292" t="s">
        <v>3</v>
      </c>
      <c r="C16" s="322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163</v>
      </c>
      <c r="D17" s="299"/>
      <c r="E17" s="300"/>
      <c r="F17" s="330" t="s">
        <v>154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 t="s">
        <v>130</v>
      </c>
      <c r="W18" s="6"/>
      <c r="X18" s="6"/>
    </row>
    <row r="19" spans="2:24" ht="13.5" customHeight="1" x14ac:dyDescent="0.3">
      <c r="B19" s="332" t="s">
        <v>149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>
        <v>15000</v>
      </c>
      <c r="W19" s="6"/>
      <c r="X19" s="6"/>
    </row>
    <row r="20" spans="2:24" ht="18" thickBot="1" x14ac:dyDescent="0.35">
      <c r="B20" s="317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65"/>
      <c r="J20" s="47"/>
      <c r="K20" s="268" t="str">
        <f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133478.53658536583</v>
      </c>
      <c r="Q20" s="258">
        <v>2000</v>
      </c>
      <c r="R20" s="38"/>
      <c r="S20" s="14" t="s">
        <v>130</v>
      </c>
      <c r="T20" s="9">
        <f>P21/3</f>
        <v>65404.482926829245</v>
      </c>
      <c r="W20" s="44">
        <v>2.44</v>
      </c>
      <c r="X20">
        <v>1.52</v>
      </c>
    </row>
    <row r="21" spans="2:24" ht="17.399999999999999" x14ac:dyDescent="0.3">
      <c r="B21" s="325">
        <v>1</v>
      </c>
      <c r="C21" s="309" t="s">
        <v>165</v>
      </c>
      <c r="D21" s="326">
        <v>2.4</v>
      </c>
      <c r="E21" s="326">
        <v>0.6</v>
      </c>
      <c r="F21" s="309" t="s">
        <v>166</v>
      </c>
      <c r="G21" s="310">
        <f>Q21</f>
        <v>198213.44878048773</v>
      </c>
      <c r="H21" s="311">
        <f>G21*B21</f>
        <v>198213.44878048773</v>
      </c>
      <c r="I21" s="265"/>
      <c r="J21" s="47"/>
      <c r="K21" s="323">
        <f>B21</f>
        <v>1</v>
      </c>
      <c r="L21" s="318">
        <f>D21+L$19</f>
        <v>2.4499999999999997</v>
      </c>
      <c r="M21" s="318">
        <f>E21+M$19</f>
        <v>0.6</v>
      </c>
      <c r="N21" s="261">
        <f>L21*M21</f>
        <v>1.4699999999999998</v>
      </c>
      <c r="O21" s="259">
        <f>N21*K21</f>
        <v>1.4699999999999998</v>
      </c>
      <c r="P21" s="252">
        <f>P$20*N21</f>
        <v>196213.44878048773</v>
      </c>
      <c r="Q21" s="258">
        <f>P21+Q$20</f>
        <v>198213.44878048773</v>
      </c>
      <c r="R21" s="308">
        <f>K21*L21</f>
        <v>2.4499999999999997</v>
      </c>
      <c r="S21" s="14"/>
      <c r="T21" s="9"/>
      <c r="U21" s="319">
        <f>R21*U19</f>
        <v>36749.999999999993</v>
      </c>
      <c r="W21" s="4"/>
      <c r="X21">
        <v>19.8</v>
      </c>
    </row>
    <row r="22" spans="2:24" ht="17.399999999999999" x14ac:dyDescent="0.3">
      <c r="B22" s="325">
        <v>1</v>
      </c>
      <c r="C22" s="309" t="s">
        <v>165</v>
      </c>
      <c r="D22" s="326">
        <v>1.6</v>
      </c>
      <c r="E22" s="326">
        <v>0.6</v>
      </c>
      <c r="F22" s="309" t="s">
        <v>166</v>
      </c>
      <c r="G22" s="310">
        <f>Q22</f>
        <v>134143.75121951217</v>
      </c>
      <c r="H22" s="311">
        <f>G22*B22</f>
        <v>134143.75121951217</v>
      </c>
      <c r="I22" s="265"/>
      <c r="J22" s="47"/>
      <c r="K22" s="323">
        <f>B22</f>
        <v>1</v>
      </c>
      <c r="L22" s="318">
        <f>D22+L$19</f>
        <v>1.6500000000000001</v>
      </c>
      <c r="M22" s="318">
        <f>E22+M$19</f>
        <v>0.6</v>
      </c>
      <c r="N22" s="261">
        <f>L22*M22</f>
        <v>0.99</v>
      </c>
      <c r="O22" s="259">
        <f>N22*K22</f>
        <v>0.99</v>
      </c>
      <c r="P22" s="252">
        <f>P$20*N22</f>
        <v>132143.75121951217</v>
      </c>
      <c r="Q22" s="258">
        <f>P22+Q$20</f>
        <v>134143.75121951217</v>
      </c>
      <c r="R22" s="308">
        <f>K22*L22</f>
        <v>1.6500000000000001</v>
      </c>
      <c r="S22" s="14"/>
      <c r="T22" s="9"/>
      <c r="U22" s="319"/>
      <c r="W22" s="4"/>
    </row>
    <row r="23" spans="2:24" ht="17.399999999999999" x14ac:dyDescent="0.3">
      <c r="B23" s="286"/>
      <c r="C23" s="286"/>
      <c r="D23" s="287"/>
      <c r="E23" s="287"/>
      <c r="F23" s="286"/>
      <c r="G23" s="52"/>
      <c r="H23" s="327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  <c r="X23">
        <f>SUM(X21:X21)</f>
        <v>19.8</v>
      </c>
    </row>
    <row r="24" spans="2:24" ht="18" x14ac:dyDescent="0.3">
      <c r="B24" s="286"/>
      <c r="C24" s="286"/>
      <c r="D24" s="287"/>
      <c r="E24" s="287"/>
      <c r="F24" s="286"/>
      <c r="G24" s="265"/>
      <c r="H24" s="328"/>
      <c r="I24" s="232"/>
      <c r="J24" s="47"/>
      <c r="K24" s="47"/>
      <c r="L24" s="39"/>
      <c r="M24" s="39"/>
      <c r="N24" s="261"/>
      <c r="O24" s="253">
        <f>SUM(O21:O22)</f>
        <v>2.46</v>
      </c>
      <c r="P24" s="252"/>
      <c r="Q24" s="258"/>
      <c r="R24" s="308"/>
      <c r="S24" s="14"/>
      <c r="T24" s="9"/>
      <c r="W24" s="4"/>
    </row>
    <row r="25" spans="2:24" ht="18" x14ac:dyDescent="0.35">
      <c r="B25" s="286"/>
      <c r="C25" s="286"/>
      <c r="D25" s="287"/>
      <c r="E25" s="287"/>
      <c r="F25" s="286"/>
      <c r="G25" s="329" t="s">
        <v>30</v>
      </c>
      <c r="H25" s="324">
        <f>SUM(H21:H24)</f>
        <v>332357.1999999999</v>
      </c>
      <c r="I25" s="265"/>
      <c r="J25" s="47">
        <v>8698974</v>
      </c>
      <c r="K25" s="47"/>
      <c r="L25" s="39">
        <f>SUM(L21:L24)</f>
        <v>4.0999999999999996</v>
      </c>
      <c r="M25" s="39"/>
      <c r="N25" s="261"/>
      <c r="O25" s="253">
        <f>O24</f>
        <v>2.46</v>
      </c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>
        <f>H25*19%</f>
        <v>63147.86799999998</v>
      </c>
      <c r="I26" s="265"/>
      <c r="J26" s="47"/>
      <c r="K26" s="47"/>
      <c r="L26" s="39"/>
      <c r="M26" s="12"/>
      <c r="N26" s="12"/>
      <c r="O26" s="39">
        <f>O25*20%</f>
        <v>0.49199999999999999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395505.06799999985</v>
      </c>
      <c r="I27" s="265"/>
      <c r="J27" s="47"/>
      <c r="K27" s="47"/>
      <c r="L27" s="39"/>
      <c r="M27" s="12"/>
      <c r="N27" s="12"/>
      <c r="O27" s="46">
        <f>O25+O26</f>
        <v>2.952</v>
      </c>
      <c r="P27" s="14"/>
      <c r="Q27" s="12"/>
      <c r="R27" s="238">
        <f>SUM(R21:R26)</f>
        <v>4.0999999999999996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H28" s="47"/>
      <c r="I28" s="265"/>
      <c r="J28" s="47"/>
      <c r="K28" s="47"/>
      <c r="L28" s="39"/>
      <c r="M28" s="12"/>
      <c r="N28" s="12"/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15"/>
      <c r="K29" s="47"/>
      <c r="L29" s="14"/>
      <c r="M29" s="12"/>
      <c r="N29" s="12"/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15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39">
        <f>O27</f>
        <v>2.952</v>
      </c>
      <c r="M31" s="12">
        <v>2500</v>
      </c>
      <c r="N31" s="12">
        <f t="shared" ref="N31:N36" si="0">L31*M31</f>
        <v>7380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1</v>
      </c>
      <c r="M32" s="12">
        <v>25000</v>
      </c>
      <c r="N32" s="12">
        <f t="shared" si="0"/>
        <v>25000</v>
      </c>
      <c r="O32" s="39" t="s">
        <v>155</v>
      </c>
      <c r="P32" s="42"/>
      <c r="Q32" s="14"/>
      <c r="R32" s="239"/>
      <c r="S32" s="14"/>
      <c r="T32" s="9"/>
      <c r="V32">
        <v>1520</v>
      </c>
      <c r="W32" s="9" t="s">
        <v>157</v>
      </c>
    </row>
    <row r="33" spans="2:23" s="230" customFormat="1" ht="17.399999999999999" x14ac:dyDescent="0.35">
      <c r="I33" s="262"/>
      <c r="J33" s="47"/>
      <c r="K33" s="250"/>
      <c r="L33" s="14"/>
      <c r="M33" s="250">
        <v>55000</v>
      </c>
      <c r="N33" s="12">
        <f t="shared" si="0"/>
        <v>0</v>
      </c>
      <c r="O33" s="39" t="s">
        <v>32</v>
      </c>
      <c r="P33" s="42"/>
      <c r="R33" s="239"/>
      <c r="S33" s="256"/>
      <c r="V33" s="231">
        <f>V32/33</f>
        <v>46.060606060606062</v>
      </c>
      <c r="W33" s="230">
        <v>112.24</v>
      </c>
    </row>
    <row r="34" spans="2:23" s="230" customFormat="1" ht="17.399999999999999" x14ac:dyDescent="0.35">
      <c r="B34" s="24" t="s">
        <v>153</v>
      </c>
      <c r="I34" s="262"/>
      <c r="J34" s="314"/>
      <c r="K34" s="250"/>
      <c r="L34" s="14">
        <v>2</v>
      </c>
      <c r="M34" s="250">
        <v>48017</v>
      </c>
      <c r="N34" s="12">
        <f t="shared" si="0"/>
        <v>96034</v>
      </c>
      <c r="O34" s="14" t="s">
        <v>143</v>
      </c>
      <c r="P34" s="17"/>
      <c r="R34" s="237"/>
      <c r="S34" s="256"/>
      <c r="V34" s="231"/>
      <c r="W34" s="230">
        <v>112.24</v>
      </c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4"/>
      <c r="K35" s="250"/>
      <c r="L35" s="249"/>
      <c r="M35" s="250">
        <v>800</v>
      </c>
      <c r="N35" s="12">
        <f t="shared" si="0"/>
        <v>0</v>
      </c>
      <c r="O35" s="14" t="s">
        <v>34</v>
      </c>
      <c r="P35" s="14"/>
      <c r="Q35" s="230">
        <v>1.52</v>
      </c>
      <c r="R35" s="237"/>
      <c r="S35" s="237"/>
      <c r="W35" s="230">
        <v>112.24</v>
      </c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>
        <v>4.0999999999999996</v>
      </c>
      <c r="M36" s="12">
        <v>3500</v>
      </c>
      <c r="N36" s="12">
        <f t="shared" si="0"/>
        <v>14349.999999999998</v>
      </c>
      <c r="O36" s="14" t="s">
        <v>24</v>
      </c>
      <c r="P36" s="14"/>
      <c r="Q36">
        <v>2.44</v>
      </c>
      <c r="R36"/>
      <c r="S36" s="237">
        <v>1500</v>
      </c>
      <c r="W36" s="231">
        <f>SUM(W33:W35)</f>
        <v>336.71999999999997</v>
      </c>
    </row>
    <row r="37" spans="2:23" s="230" customFormat="1" ht="17.399999999999999" x14ac:dyDescent="0.35">
      <c r="J37" s="47"/>
      <c r="K37" s="250"/>
      <c r="L37" s="14"/>
      <c r="M37" s="12"/>
      <c r="N37" s="12">
        <f>SUM(N31:N36)</f>
        <v>142764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57140</v>
      </c>
      <c r="K38" s="250"/>
      <c r="L38" s="254" t="s">
        <v>35</v>
      </c>
      <c r="M38" s="12"/>
      <c r="N38" s="255">
        <f>N37*2.3</f>
        <v>328357.19999999995</v>
      </c>
      <c r="O38" s="14" t="s">
        <v>142</v>
      </c>
      <c r="P38" s="14"/>
      <c r="Q38" s="46">
        <f>O25/Q37</f>
        <v>0.66328731665228646</v>
      </c>
      <c r="R38"/>
      <c r="S38" s="257" t="e">
        <f>S37/#REF!</f>
        <v>#REF!</v>
      </c>
      <c r="V38" s="230" t="s">
        <v>158</v>
      </c>
      <c r="W38" s="230">
        <v>4</v>
      </c>
    </row>
    <row r="39" spans="2:23" s="230" customFormat="1" ht="17.399999999999999" x14ac:dyDescent="0.35">
      <c r="G39"/>
      <c r="H39" s="260"/>
      <c r="I39" s="260"/>
      <c r="J39" s="47">
        <f>J38/1.19</f>
        <v>48016.806722689078</v>
      </c>
      <c r="K39" s="250"/>
      <c r="L39" s="14"/>
      <c r="M39" s="12"/>
      <c r="N39" s="12">
        <f>N38/O25</f>
        <v>133478.53658536583</v>
      </c>
      <c r="O39" s="45" t="s">
        <v>26</v>
      </c>
      <c r="P39" s="14"/>
      <c r="Q39" s="14"/>
      <c r="R39"/>
      <c r="S39" s="237"/>
      <c r="V39" s="230">
        <v>48000</v>
      </c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2.2999999999999998</v>
      </c>
      <c r="O40" s="15"/>
      <c r="P40"/>
      <c r="Q40"/>
      <c r="R40"/>
      <c r="S40" s="237"/>
      <c r="W40" s="230">
        <f>V39*W38</f>
        <v>192000</v>
      </c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O27/S44</f>
        <v>0.64524590163934425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45590</v>
      </c>
    </row>
    <row r="6" spans="2:31" ht="16.2" thickBot="1" x14ac:dyDescent="0.35">
      <c r="B6" s="140" t="s">
        <v>2</v>
      </c>
      <c r="C6" s="139" t="str">
        <f>'2229'!C10</f>
        <v>MUEBLES FORD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100</v>
      </c>
      <c r="I7" s="337"/>
      <c r="J7" s="337"/>
      <c r="K7" s="338"/>
      <c r="N7" s="75"/>
      <c r="O7" s="335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11142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5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17108.874966545893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0</v>
      </c>
      <c r="E11" s="132">
        <f>D11*0.19</f>
        <v>0</v>
      </c>
      <c r="F11" s="131">
        <f>E11+D11</f>
        <v>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123098.87496654589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62214.090787439614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105098.87496654589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-62214.090787439614</v>
      </c>
      <c r="E13" s="221">
        <f>(D11/D12)-1</f>
        <v>-1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96098.874966545889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57098.874966545889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102653.24979927536</v>
      </c>
      <c r="F15" s="216">
        <f>E15-D12</f>
        <v>40439.159011835749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57098.874966545889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97098.874966545889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7380</v>
      </c>
      <c r="E20" s="121">
        <f>D20*0.19</f>
        <v>1402.2</v>
      </c>
      <c r="F20" s="120">
        <f>SUM(D20:E20)</f>
        <v>8782.2000000000007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32380</v>
      </c>
      <c r="E21" s="116">
        <f>SUM(E18:E20)</f>
        <v>6152.2</v>
      </c>
      <c r="F21" s="115">
        <f>SUM(F18:F20)</f>
        <v>38532.199999999997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-6152.2</v>
      </c>
    </row>
    <row r="41" spans="2:16" ht="15" thickBot="1" x14ac:dyDescent="0.35">
      <c r="H41" s="339" t="s">
        <v>62</v>
      </c>
      <c r="I41" s="340"/>
      <c r="J41" s="340"/>
      <c r="K41" s="340"/>
      <c r="L41" s="340"/>
      <c r="M41" s="341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32380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-62214.090787439614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-62214.090787439614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2024-10-23T15:47:15Z</cp:lastPrinted>
  <dcterms:created xsi:type="dcterms:W3CDTF">2013-03-18T13:35:42Z</dcterms:created>
  <dcterms:modified xsi:type="dcterms:W3CDTF">2024-10-25T19:51:41Z</dcterms:modified>
</cp:coreProperties>
</file>