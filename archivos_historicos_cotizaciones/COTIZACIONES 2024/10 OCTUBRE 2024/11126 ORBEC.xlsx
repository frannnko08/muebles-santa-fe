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5947B8F1-65E4-4C05-B86D-3BC13B2C7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K22" i="1"/>
  <c r="L22" i="1"/>
  <c r="M22" i="1"/>
  <c r="N22" i="1" l="1"/>
  <c r="O22" i="1"/>
  <c r="R22" i="1"/>
  <c r="W40" i="1" l="1"/>
  <c r="W36" i="1"/>
  <c r="V33" i="1"/>
  <c r="X23" i="1"/>
  <c r="K21" i="1" l="1"/>
  <c r="K10" i="1"/>
  <c r="J39" i="1" l="1"/>
  <c r="L21" i="1" l="1"/>
  <c r="L25" i="1" s="1"/>
  <c r="M21" i="1"/>
  <c r="N21" i="1" l="1"/>
  <c r="R21" i="1"/>
  <c r="U21" i="1" s="1"/>
  <c r="N32" i="1"/>
  <c r="O21" i="1" l="1"/>
  <c r="S44" i="1"/>
  <c r="O24" i="1" l="1"/>
  <c r="O25" i="1" s="1"/>
  <c r="O26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7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E15" i="3"/>
  <c r="P20" i="1" l="1"/>
  <c r="F15" i="3"/>
  <c r="P22" i="1" l="1"/>
  <c r="Q22" i="1" s="1"/>
  <c r="H22" i="1" s="1"/>
  <c r="P21" i="1"/>
  <c r="R27" i="1"/>
  <c r="T20" i="1" l="1"/>
  <c r="Q21" i="1"/>
  <c r="G21" i="1" l="1"/>
  <c r="H21" i="1" s="1"/>
  <c r="D11" i="3" l="1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<sst xmlns="http://schemas.openxmlformats.org/spreadsheetml/2006/main" count="224" uniqueCount="170">
  <si>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</si>
  <si>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</si>
  <si>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</si>
  <si>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</si>
  <si>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</si>
  <si>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</si>
  <si>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</si>
  <si>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</si>
  <si>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</si>
  <si>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</si>
  <si>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</si>
  <si>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</si>
  <si>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</si>
  <si>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</si>
  <si>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</si>
  <si>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</si>
  <si>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</si>
  <si>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</si>
  <si>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</si>
  <si>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</si>
  <si>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</si>
  <si>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</si>
  <si>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</si>
  <si>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</si>
  <si>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</si>
  <si>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</si>
  <si>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</si>
  <si>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</si>
  <si>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</si>
  <si>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</si>
  <si>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</si>
  <si>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</si>
  <si>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</si>
  <si>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</si>
  <si>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</si>
  <si>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</si>
  <si>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</si>
  <si>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</si>
  <si>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</si>
  <si>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</si>
  <si>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</si>
  <si>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</si>
  <si>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</si>
  <si>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</si>
  <si>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</si>
  <si>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</si>
  <si>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</si>
  <si>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</si>
  <si>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</si>
  <si>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</si>
  <si>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</si>
  <si>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</si>
  <si>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</si>
  <si>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</si>
  <si>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</si>
  <si>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</si>
  <si>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</si>
  <si>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</si>
  <si>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</si>
  <si>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</si>
  <si>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</si>
  <si>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</si>
  <si>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</si>
  <si>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</si>
  <si>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</si>
  <si>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</si>
  <si>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</si>
  <si>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</si>
  <si>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</si>
  <si>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</si>
  <si>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</si>
  <si>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</si>
  <si>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</si>
  <si>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</si>
  <si>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</si>
  <si>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</si>
  <si>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</si>
  <si>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</si>
  <si>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</si>
  <si>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</si>
  <si>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</si>
  <si>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</si>
  <si>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</si>
  <si>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</si>
  <si>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</si>
  <si>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</si>
  <si>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</si>
  <si>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</si>
  <si>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</si>
  <si>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</si>
  <si>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</si>
  <si>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</si>
  <si>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</si>
  <si>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</si>
  <si>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</si>
  <si>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</si>
  <si>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</si>
  <si>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</si>
  <si>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</si>
  <si>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</si>
  <si>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</si>
  <si>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</si>
  <si>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</si>
  <si>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</si>
  <si>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</si>
  <si>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</si>
  <si>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</si>
  <si>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</si>
  <si>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</si>
  <si>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</si>
  <si>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</si>
  <si>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</si>
  <si>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</si>
  <si>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</si>
  <si>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</si>
  <si>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</si>
  <si>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</si>
  <si>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</si>
  <si>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</si>
  <si>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</si>
  <si>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</si>
  <si>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</si>
  <si>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</si>
  <si>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</si>
  <si>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</si>
  <si>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</si>
  <si>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</si>
  <si>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</si>
  <si>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</si>
  <si>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</si>
  <si>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</si>
  <si>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</si>
  <si>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</si>
  <si>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</si>
  <si>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</si>
  <si>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</si>
  <si>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</si>
  <si>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</si>
  <si>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</si>
  <si>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</si>
  <si>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</si>
  <si>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</si>
  <si>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</si>
  <si>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</si>
  <si>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</si>
  <si>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</si>
  <si>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</si>
  <si>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</si>
  <si>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</si>
  <si>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</si>
  <si>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</si>
  <si>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</si>
  <si>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</si>
  <si>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</si>
  <si>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</si>
  <si>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</si>
  <si>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</si>
  <si>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</si>
  <si>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ANGELO SARTORI</t>
  </si>
  <si>
    <t>569 9783 3240</t>
  </si>
  <si>
    <t>BLANCO 2114 OPACO</t>
  </si>
  <si>
    <t>MTL</t>
  </si>
  <si>
    <t>MDF30MM</t>
  </si>
  <si>
    <t>ORBEC SPA</t>
  </si>
  <si>
    <t>77.340.004-0</t>
  </si>
  <si>
    <t>CUBIERTA SIN RESPALDO FRENTE 90° R6</t>
  </si>
  <si>
    <t>N° 11126</t>
  </si>
  <si>
    <t>5 DIAS HABILES</t>
  </si>
  <si>
    <t>SI</t>
  </si>
  <si>
    <t>CORTE A MEDIDA Y DESPUNTADO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</si>
</sst>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42" fontId="33" fillId="0" borderId="0" xfId="8" applyFont="1" applyFill="1" applyBorder="1"/>
    <xf numFmtId="0" fontId="21" fillId="0" borderId="0" xfId="0" applyFont="1" applyBorder="1" applyAlignment="1">
      <alignment horizontal="center" vertical="center"/>
    </xf>
    <xf numFmtId="42" fontId="1" fillId="0" borderId="0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29</xdr:row>
      <xdr:rowOff>13024</xdr:rowOff>
    </xdr:from>
    <xdr:to>
      <xdr:col>8</xdr:col>
      <xdr:colOff>31102</xdr:colOff>
      <xdr:row>32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163</v>
      </c>
      <c r="D10" s="243"/>
      <c r="E10" s="243"/>
      <c r="F10" s="244" t="s">
        <v>0</v>
      </c>
      <c r="G10" s="277">
        <v>45576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 t="s">
        <v>164</v>
      </c>
      <c r="F11" t="s">
        <v>125</v>
      </c>
      <c r="G11" s="289" t="s">
        <v>167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 t="s">
        <v>158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51811.86440677967</v>
      </c>
      <c r="Q20" s="258">
        <v>2000</v>
      </c>
      <c r="R20" s="38"/>
      <c r="S20" s="14" t="s">
        <v>130</v>
      </c>
      <c r="T20" s="9">
        <f>P21/3</f>
        <v>40758.666666666672</v>
      </c>
      <c r="W20" s="44">
        <v>2.44</v>
      </c>
      <c r="X20">
        <v>1.52</v>
      </c>
    </row>
    <row r="21" spans="2:24" ht="17.399999999999999" x14ac:dyDescent="0.3">
      <c r="B21" s="325">
        <v>2</v>
      </c>
      <c r="C21" s="309" t="s">
        <v>165</v>
      </c>
      <c r="D21" s="326">
        <v>2.9</v>
      </c>
      <c r="E21" s="326">
        <v>0.8</v>
      </c>
      <c r="F21" s="309" t="s">
        <v>160</v>
      </c>
      <c r="G21" s="310">
        <f>Q21</f>
        <v>124276.00000000001</v>
      </c>
      <c r="H21" s="311">
        <f>G21*B21</f>
        <v>248552.00000000003</v>
      </c>
      <c r="I21" s="265"/>
      <c r="J21" s="47"/>
      <c r="K21" s="323">
        <f>B21</f>
        <v>2</v>
      </c>
      <c r="L21" s="318">
        <f>D21+L$19</f>
        <v>2.9499999999999997</v>
      </c>
      <c r="M21" s="318">
        <f>E21+M$19</f>
        <v>0.8</v>
      </c>
      <c r="N21" s="261">
        <f>L21*M21</f>
        <v>2.36</v>
      </c>
      <c r="O21" s="259">
        <f>N21*K21</f>
        <v>4.72</v>
      </c>
      <c r="P21" s="252">
        <f>P$20*N21</f>
        <v>122276.00000000001</v>
      </c>
      <c r="Q21" s="258">
        <f>P21+Q$20</f>
        <v>124276.00000000001</v>
      </c>
      <c r="R21" s="308">
        <f>K21*L21</f>
        <v>5.8999999999999995</v>
      </c>
      <c r="S21" s="14"/>
      <c r="T21" s="9"/>
      <c r="U21" s="319">
        <f>R21*U19</f>
        <v>88499.999999999985</v>
      </c>
      <c r="W21" s="4"/>
      <c r="X21">
        <v>19.8</v>
      </c>
    </row>
    <row r="22" spans="2:24" ht="17.399999999999999" x14ac:dyDescent="0.3">
      <c r="B22" s="325">
        <v>2</v>
      </c>
      <c r="C22" s="309" t="s">
        <v>169</v>
      </c>
      <c r="D22" s="326"/>
      <c r="E22" s="326"/>
      <c r="F22" s="309"/>
      <c r="G22" s="343">
        <v>10000</v>
      </c>
      <c r="H22" s="344">
        <f>G22*B22</f>
        <v>20000</v>
      </c>
      <c r="I22" s="265"/>
      <c r="J22" s="47"/>
      <c r="K22" s="323">
        <f>B22</f>
        <v>2</v>
      </c>
      <c r="L22" s="318">
        <f>D22+L$19</f>
        <v>0.05</v>
      </c>
      <c r="M22" s="318">
        <f>E22+M$19</f>
        <v>0</v>
      </c>
      <c r="N22" s="261">
        <f t="shared" ref="N22" si="0">L22*M22</f>
        <v>0</v>
      </c>
      <c r="O22" s="259">
        <f t="shared" ref="O22" si="1">N22*K22</f>
        <v>0</v>
      </c>
      <c r="P22" s="252">
        <f t="shared" ref="P22" si="2">P$20*N22</f>
        <v>0</v>
      </c>
      <c r="Q22" s="258">
        <f t="shared" ref="Q22" si="3">P22+Q$20</f>
        <v>2000</v>
      </c>
      <c r="R22" s="308">
        <f t="shared" ref="R22" si="4">K22*L22</f>
        <v>0.1</v>
      </c>
      <c r="S22" s="14"/>
      <c r="T22" s="9"/>
      <c r="U22" s="319"/>
      <c r="W22" s="4"/>
    </row>
    <row r="23" spans="2:24" ht="17.399999999999999" x14ac:dyDescent="0.3">
      <c r="B23" s="286"/>
      <c r="C23" s="286"/>
      <c r="D23" s="287"/>
      <c r="E23" s="287"/>
      <c r="F23" s="286"/>
      <c r="G23" s="339"/>
      <c r="H23" s="340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  <c r="X23">
        <f>SUM(X21:X22)</f>
        <v>19.8</v>
      </c>
    </row>
    <row r="24" spans="2:24" ht="18" x14ac:dyDescent="0.3">
      <c r="B24" s="286"/>
      <c r="C24" s="286"/>
      <c r="D24" s="287"/>
      <c r="E24" s="287"/>
      <c r="F24" s="286"/>
      <c r="G24" s="341"/>
      <c r="H24" s="342"/>
      <c r="I24" s="232"/>
      <c r="J24" s="47"/>
      <c r="K24" s="47"/>
      <c r="L24" s="39"/>
      <c r="M24" s="39"/>
      <c r="N24" s="261"/>
      <c r="O24" s="253">
        <f>SUM(O21:O22)</f>
        <v>4.72</v>
      </c>
      <c r="P24" s="252"/>
      <c r="Q24" s="258"/>
      <c r="R24" s="308"/>
      <c r="S24" s="14"/>
      <c r="T24" s="9"/>
      <c r="W24" s="4"/>
    </row>
    <row r="25" spans="2:24" ht="18" x14ac:dyDescent="0.35">
      <c r="B25" s="286"/>
      <c r="C25" s="286"/>
      <c r="D25" s="287"/>
      <c r="E25" s="287"/>
      <c r="F25" s="286"/>
      <c r="G25" s="345" t="s">
        <v>30</v>
      </c>
      <c r="H25" s="324">
        <f>SUM(H21:H24)</f>
        <v>268552</v>
      </c>
      <c r="I25" s="265"/>
      <c r="J25" s="47">
        <v>8698974</v>
      </c>
      <c r="K25" s="47"/>
      <c r="L25" s="39">
        <f>SUM(L21:L24)</f>
        <v>2.9999999999999996</v>
      </c>
      <c r="M25" s="39"/>
      <c r="N25" s="261"/>
      <c r="O25" s="253">
        <f>O24</f>
        <v>4.72</v>
      </c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51024.88</v>
      </c>
      <c r="I26" s="265"/>
      <c r="J26" s="47"/>
      <c r="K26" s="47"/>
      <c r="L26" s="39"/>
      <c r="M26" s="12"/>
      <c r="N26" s="12"/>
      <c r="O26" s="39">
        <f>O25*20%</f>
        <v>0.94399999999999995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319576.88</v>
      </c>
      <c r="I27" s="265"/>
      <c r="J27" s="47"/>
      <c r="K27" s="47"/>
      <c r="L27" s="39"/>
      <c r="M27" s="12"/>
      <c r="N27" s="12"/>
      <c r="O27" s="46">
        <f>O25+O26</f>
        <v>5.6639999999999997</v>
      </c>
      <c r="P27" s="14"/>
      <c r="Q27" s="12"/>
      <c r="R27" s="238">
        <f>SUM(R21:R26)</f>
        <v>5.9999999999999991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H28" s="47"/>
      <c r="I28" s="265"/>
      <c r="J28" s="47"/>
      <c r="K28" s="47"/>
      <c r="L28" s="39"/>
      <c r="M28" s="12"/>
      <c r="N28" s="12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O27</f>
        <v>5.6639999999999997</v>
      </c>
      <c r="M31" s="12">
        <v>2500</v>
      </c>
      <c r="N31" s="12">
        <f t="shared" ref="N31:N36" si="5">L31*M31</f>
        <v>14160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2</v>
      </c>
      <c r="M32" s="12">
        <v>25000</v>
      </c>
      <c r="N32" s="12">
        <f t="shared" si="5"/>
        <v>50000</v>
      </c>
      <c r="O32" s="39" t="s">
        <v>156</v>
      </c>
      <c r="P32" s="42"/>
      <c r="Q32" s="14"/>
      <c r="R32" s="239"/>
      <c r="S32" s="14"/>
      <c r="T32" s="9"/>
      <c r="V32">
        <v>1520</v>
      </c>
      <c r="W32" s="9" t="s">
        <v>161</v>
      </c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5"/>
        <v>0</v>
      </c>
      <c r="O33" s="39" t="s">
        <v>32</v>
      </c>
      <c r="P33" s="42"/>
      <c r="R33" s="239"/>
      <c r="S33" s="256"/>
      <c r="V33" s="231">
        <f>V32/33</f>
        <v>46.060606060606062</v>
      </c>
      <c r="W33" s="230">
        <v>112.24</v>
      </c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2</v>
      </c>
      <c r="M34" s="250">
        <v>23500</v>
      </c>
      <c r="N34" s="12">
        <f t="shared" si="5"/>
        <v>47000</v>
      </c>
      <c r="O34" s="14" t="s">
        <v>143</v>
      </c>
      <c r="P34" s="17"/>
      <c r="R34" s="237"/>
      <c r="S34" s="256"/>
      <c r="V34" s="231"/>
      <c r="W34" s="230">
        <v>112.24</v>
      </c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5"/>
        <v>0</v>
      </c>
      <c r="O35" s="14" t="s">
        <v>34</v>
      </c>
      <c r="P35" s="14"/>
      <c r="Q35" s="230">
        <v>1.52</v>
      </c>
      <c r="R35" s="237"/>
      <c r="S35" s="237"/>
      <c r="W35" s="230">
        <v>112.24</v>
      </c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48000</v>
      </c>
      <c r="N36" s="12">
        <f t="shared" si="5"/>
        <v>0</v>
      </c>
      <c r="O36" s="14" t="s">
        <v>24</v>
      </c>
      <c r="P36" s="14"/>
      <c r="Q36">
        <v>2.44</v>
      </c>
      <c r="R36"/>
      <c r="S36" s="237">
        <v>1500</v>
      </c>
      <c r="W36" s="231">
        <f>SUM(W33:W35)</f>
        <v>336.71999999999997</v>
      </c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111160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43190</v>
      </c>
      <c r="K38" s="250"/>
      <c r="L38" s="254" t="s">
        <v>35</v>
      </c>
      <c r="M38" s="12"/>
      <c r="N38" s="255">
        <f>N37*2.2</f>
        <v>244552.00000000003</v>
      </c>
      <c r="O38" s="14" t="s">
        <v>142</v>
      </c>
      <c r="P38" s="14"/>
      <c r="Q38" s="46">
        <f>O25/Q37</f>
        <v>1.272648835202761</v>
      </c>
      <c r="R38"/>
      <c r="S38" s="257" t="e">
        <f>S37/#REF!</f>
        <v>#REF!</v>
      </c>
      <c r="V38" s="230" t="s">
        <v>162</v>
      </c>
      <c r="W38" s="230">
        <v>4</v>
      </c>
    </row>
    <row r="39" spans="2:23" s="230" customFormat="1" ht="17.399999999999999" x14ac:dyDescent="0.35">
      <c r="G39"/>
      <c r="H39" s="260"/>
      <c r="I39" s="260"/>
      <c r="J39" s="47">
        <f>J38/1.19</f>
        <v>36294.117647058825</v>
      </c>
      <c r="K39" s="250"/>
      <c r="L39" s="14"/>
      <c r="M39" s="12"/>
      <c r="N39" s="12">
        <f>N38/O25</f>
        <v>51811.86440677967</v>
      </c>
      <c r="O39" s="45" t="s">
        <v>26</v>
      </c>
      <c r="P39" s="14"/>
      <c r="Q39" s="14"/>
      <c r="R39"/>
      <c r="S39" s="237"/>
      <c r="V39" s="230">
        <v>48000</v>
      </c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  <c r="W40" s="230">
        <f>V39*W38</f>
        <v>192000</v>
      </c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O27/S44</f>
        <v>1.2380327868852459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45576</v>
      </c>
    </row>
    <row r="6" spans="2:31" ht="16.2" thickBot="1" x14ac:dyDescent="0.35">
      <c r="B6" s="140" t="s">
        <v>2</v>
      </c>
      <c r="C6" s="139" t="str">
        <f>'2229'!C10</f>
        <v>ORBEC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11126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25848.374966545889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131838.3749665459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93994.090787439607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113838.37496654589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-93994.090787439607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104838.37496654589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65838.374966545889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155090.24979927533</v>
      </c>
      <c r="F15" s="216">
        <f>E15-D12</f>
        <v>61096.159011835727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65838.374966545889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105838.37496654589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14160</v>
      </c>
      <c r="E20" s="121">
        <f>D20*0.19</f>
        <v>2690.4</v>
      </c>
      <c r="F20" s="120">
        <f>SUM(D20:E20)</f>
        <v>16850.400000000001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64160</v>
      </c>
      <c r="E21" s="116">
        <f>SUM(E18:E20)</f>
        <v>12190.4</v>
      </c>
      <c r="F21" s="115">
        <f>SUM(F18:F20)</f>
        <v>76350.399999999994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-12190.4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64160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-93994.090787439607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-93994.090787439607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2024-05-13T19:12:23Z</cp:lastPrinted>
  <dcterms:created xsi:type="dcterms:W3CDTF">2013-03-18T13:35:42Z</dcterms:created>
  <dcterms:modified xsi:type="dcterms:W3CDTF">2024-10-11T12:57:11Z</dcterms:modified>
</cp:coreProperties>
</file>