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36A5676A-8626-4A19-B894-35A468E64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3" i="1"/>
  <c r="H34" i="1"/>
  <c r="H25" i="1" l="1"/>
  <c r="H32" i="1"/>
  <c r="H31" i="1"/>
  <c r="H30" i="1"/>
  <c r="H29" i="1"/>
  <c r="H28" i="1"/>
  <c r="H27" i="1"/>
  <c r="H26" i="1"/>
  <c r="H24" i="1"/>
  <c r="H23" i="1"/>
  <c r="H22" i="1"/>
  <c r="H21" i="1"/>
  <c r="K21" i="1"/>
  <c r="J68" i="1" l="1"/>
  <c r="L21" i="1" l="1"/>
  <c r="L54" i="1" s="1"/>
  <c r="L65" i="1" s="1"/>
  <c r="M21" i="1"/>
  <c r="N21" i="1" l="1"/>
  <c r="O21" i="1" s="1"/>
  <c r="O55" i="1" s="1"/>
  <c r="O56" i="1" s="1"/>
  <c r="O57" i="1" s="1"/>
  <c r="O58" i="1" s="1"/>
  <c r="R21" i="1"/>
  <c r="N61" i="1"/>
  <c r="S73" i="1" l="1"/>
  <c r="M20" i="1" l="1"/>
  <c r="K20" i="1"/>
  <c r="N62" i="1" l="1"/>
  <c r="Q66" i="1"/>
  <c r="Q67" i="1" s="1"/>
  <c r="N63" i="1" l="1"/>
  <c r="S66" i="1" l="1"/>
  <c r="S6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65" i="1"/>
  <c r="N64" i="1"/>
  <c r="F18" i="3" l="1"/>
  <c r="L60" i="1" l="1"/>
  <c r="N60" i="1" l="1"/>
  <c r="N66" i="1" s="1"/>
  <c r="N67" i="1" s="1"/>
  <c r="S74" i="1"/>
  <c r="D20" i="3" l="1"/>
  <c r="E20" i="3" s="1"/>
  <c r="E21" i="3" s="1"/>
  <c r="N69" i="1" l="1"/>
  <c r="D21" i="3"/>
  <c r="M43" i="3" s="1"/>
  <c r="D12" i="3" s="1"/>
  <c r="F20" i="3"/>
  <c r="F21" i="3" s="1"/>
  <c r="N68" i="1" l="1"/>
  <c r="P20" i="1" s="1"/>
  <c r="E15" i="3"/>
  <c r="P21" i="1" l="1"/>
  <c r="F15" i="3"/>
  <c r="Q21" i="1" l="1"/>
  <c r="R56" i="1"/>
  <c r="H54" i="1" l="1"/>
  <c r="K15" i="1" s="1"/>
  <c r="H55" i="1" l="1"/>
  <c r="H5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<sst xmlns="http://schemas.openxmlformats.org/spreadsheetml/2006/main" count="319" uniqueCount="224">
  <si>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</si>
  <si>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</si>
  <si>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</si>
  <si>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</si>
  <si>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</si>
  <si>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</si>
  <si>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</si>
  <si>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</si>
  <si>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</si>
  <si>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</si>
  <si>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</si>
  <si>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</si>
  <si>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</si>
  <si>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</si>
  <si>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</si>
  <si>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</si>
  <si>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</si>
  <si>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</si>
  <si>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</si>
  <si>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</si>
  <si>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</si>
  <si>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</si>
  <si>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</si>
  <si>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</si>
  <si>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</si>
  <si>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</si>
  <si>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</si>
  <si>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</si>
  <si>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</si>
  <si>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</si>
  <si>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</si>
  <si>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</si>
  <si>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</si>
  <si>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</si>
  <si>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</si>
  <si>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</si>
  <si>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</si>
  <si>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</si>
  <si>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</si>
  <si>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</si>
  <si>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</si>
  <si>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</si>
  <si>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</si>
  <si>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</si>
  <si>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</si>
  <si>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</si>
  <si>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</si>
  <si>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</si>
  <si>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</si>
  <si>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</si>
  <si>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</si>
  <si>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</si>
  <si>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</si>
  <si>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</si>
  <si>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</si>
  <si>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</si>
  <si>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</si>
  <si>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</si>
  <si>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</si>
  <si>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</si>
  <si>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</si>
  <si>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</si>
  <si>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</si>
  <si>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</si>
  <si>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</si>
  <si>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</si>
  <si>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</si>
  <si>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</si>
  <si>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</si>
  <si>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</si>
  <si>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</si>
  <si>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</si>
  <si>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</si>
  <si>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</si>
  <si>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</si>
  <si>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</si>
  <si>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</si>
  <si>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</si>
  <si>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</si>
  <si>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</si>
  <si>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</si>
  <si>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</si>
  <si>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</si>
  <si>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</si>
  <si>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</si>
  <si>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</si>
  <si>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</si>
  <si>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</si>
  <si>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</si>
  <si>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</si>
  <si>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</si>
  <si>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</si>
  <si>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</si>
  <si>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</si>
  <si>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</si>
  <si>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</si>
  <si>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</si>
  <si>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</si>
  <si>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</si>
  <si>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</si>
  <si>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</si>
  <si>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</si>
  <si>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</si>
  <si>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</si>
  <si>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</si>
  <si>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</si>
  <si>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</si>
  <si>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</si>
  <si>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</si>
  <si>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</si>
  <si>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</si>
  <si>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</si>
  <si>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</si>
  <si>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</si>
  <si>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</si>
  <si>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</si>
  <si>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</si>
  <si>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</si>
  <si>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</si>
  <si>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</si>
  <si>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</si>
  <si>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</si>
  <si>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</si>
  <si>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</si>
  <si>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</si>
  <si>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</si>
  <si>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</si>
  <si>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</si>
  <si>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</si>
  <si>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</si>
  <si>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</si>
  <si>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</si>
  <si>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</si>
  <si>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</si>
  <si>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</si>
  <si>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</si>
  <si>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</si>
  <si>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</si>
  <si>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</si>
  <si>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</si>
  <si>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</si>
  <si>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</si>
  <si>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</si>
  <si>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</si>
  <si>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</si>
  <si>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</si>
  <si>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</si>
  <si>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</si>
  <si>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</si>
  <si>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</si>
  <si>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</si>
  <si>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</si>
  <si>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</si>
  <si>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</si>
  <si>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</si>
  <si>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</si>
  <si>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SANTIAGO</t>
  </si>
  <si>
    <t>DURACION COTIZACION: 5 DIAS                   FRANCO DONOSO</t>
  </si>
  <si>
    <t>ESTRUCTURA</t>
  </si>
  <si>
    <t>OBSERVACIONES</t>
  </si>
  <si>
    <t>SEGÚN EETT</t>
  </si>
  <si>
    <t>96.574.230-1</t>
  </si>
  <si>
    <t>CONSTRUCTORA E INMOBILIARIA CERRO BAYO S.A.</t>
  </si>
  <si>
    <t>A CONVENIR</t>
  </si>
  <si>
    <t>METROGAS</t>
  </si>
  <si>
    <t>CODIGO</t>
  </si>
  <si>
    <t>ME1</t>
  </si>
  <si>
    <t>MUEBLE LOGO ACCESO</t>
  </si>
  <si>
    <t>NO INCLUYE LOGO</t>
  </si>
  <si>
    <t>ME1A</t>
  </si>
  <si>
    <t>ME12</t>
  </si>
  <si>
    <t>ME13</t>
  </si>
  <si>
    <t>TARIMA PERIMETRAL SALA CREATIVIDAD</t>
  </si>
  <si>
    <t>ME2</t>
  </si>
  <si>
    <t>ME3</t>
  </si>
  <si>
    <t>TARIMA MOVIL</t>
  </si>
  <si>
    <t>COFFEE CORNER</t>
  </si>
  <si>
    <t>ME4</t>
  </si>
  <si>
    <t>GUARDADO PUFFS</t>
  </si>
  <si>
    <t>ME5</t>
  </si>
  <si>
    <t>ME6</t>
  </si>
  <si>
    <t>KITCHENETTE PERSONAL ASEO</t>
  </si>
  <si>
    <t>ME7</t>
  </si>
  <si>
    <t>MESON DE SERVICIOS</t>
  </si>
  <si>
    <t>ME8</t>
  </si>
  <si>
    <t>MUEBLE SALA LACTANCIA</t>
  </si>
  <si>
    <t>ME9</t>
  </si>
  <si>
    <t>KITCHENETTE CASINO</t>
  </si>
  <si>
    <t>ME10</t>
  </si>
  <si>
    <t>ME11</t>
  </si>
  <si>
    <t>MUEBLE PRINT</t>
  </si>
  <si>
    <t>PORTA MACETA SEPARADOR</t>
  </si>
  <si>
    <t>ME12A</t>
  </si>
  <si>
    <t>PORTA MACETA GUARDADO</t>
  </si>
  <si>
    <t>ME14</t>
  </si>
  <si>
    <t>ME15</t>
  </si>
  <si>
    <t>ME16</t>
  </si>
  <si>
    <t>MUEBLE GUARDADO CAJA FUERTE</t>
  </si>
  <si>
    <t>ME16B</t>
  </si>
  <si>
    <t>ME17</t>
  </si>
  <si>
    <t>KITCHENETTE DIRECTORIO</t>
  </si>
  <si>
    <t>ME18</t>
  </si>
  <si>
    <t>ME19</t>
  </si>
  <si>
    <t>MUEBLE RECEPCION</t>
  </si>
  <si>
    <t>ME20</t>
  </si>
  <si>
    <t>MUEBLE TECNOLOGIA DIRECTORIO</t>
  </si>
  <si>
    <t>ME21</t>
  </si>
  <si>
    <t>MUEBLE ESCRITORIO SECRETARIA</t>
  </si>
  <si>
    <t>MUEBLE SEPARADOR NICHOS</t>
  </si>
  <si>
    <t>ME22A</t>
  </si>
  <si>
    <t>MUEBLE APOYO NICHOS</t>
  </si>
  <si>
    <t>ME23A</t>
  </si>
  <si>
    <t>ME23B</t>
  </si>
  <si>
    <t>ME24</t>
  </si>
  <si>
    <t>ME25</t>
  </si>
  <si>
    <t>PUERTAS ESPECIALES</t>
  </si>
  <si>
    <t>ME26</t>
  </si>
  <si>
    <t>NO INCLUYE COJINES</t>
  </si>
  <si>
    <t>NO INCLUYE LAVAMANOS NI LLAVE MONOMANDO</t>
  </si>
  <si>
    <t>NO INCLUYE GASFITERIA</t>
  </si>
  <si>
    <t>OBRA ADJUDICADA:</t>
  </si>
  <si>
    <r>
      <t>Celular: (+569) 9559 0055</t>
    </r>
    <r>
      <rPr>
        <sz val="10"/>
        <color rgb="FF222222"/>
        <rFont val="Arial"/>
        <family val="2"/>
      </rPr>
      <t> </t>
    </r>
  </si>
  <si>
    <t>UGNACIO INOSTROZA</t>
  </si>
  <si>
    <t>N° 11116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</si>
</sst>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0"/>
      <color rgb="FF000080"/>
      <name val="Arial"/>
      <family val="2"/>
    </font>
    <font>
      <sz val="10"/>
      <color rgb="FF22222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0" fontId="8" fillId="8" borderId="46" xfId="0" applyFont="1" applyFill="1" applyBorder="1"/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14" fontId="28" fillId="0" borderId="0" xfId="0" applyNumberFormat="1" applyFont="1" applyAlignment="1">
      <alignment horizontal="left"/>
    </xf>
    <xf numFmtId="0" fontId="0" fillId="0" borderId="55" xfId="0" applyBorder="1"/>
    <xf numFmtId="0" fontId="28" fillId="0" borderId="0" xfId="0" applyFont="1"/>
    <xf numFmtId="0" fontId="7" fillId="0" borderId="54" xfId="0" applyFont="1" applyBorder="1"/>
    <xf numFmtId="0" fontId="14" fillId="0" borderId="0" xfId="0" applyFont="1"/>
    <xf numFmtId="0" fontId="29" fillId="0" borderId="0" xfId="0" applyFont="1"/>
    <xf numFmtId="0" fontId="28" fillId="8" borderId="0" xfId="0" applyFont="1" applyFill="1"/>
    <xf numFmtId="0" fontId="0" fillId="8" borderId="44" xfId="0" applyFill="1" applyBorder="1"/>
    <xf numFmtId="0" fontId="28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67" fontId="31" fillId="0" borderId="0" xfId="0" applyNumberFormat="1" applyFont="1"/>
    <xf numFmtId="167" fontId="0" fillId="0" borderId="0" xfId="0" applyNumberFormat="1" applyAlignment="1">
      <alignment horizontal="center"/>
    </xf>
    <xf numFmtId="0" fontId="33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11" xfId="0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42" fontId="36" fillId="0" borderId="27" xfId="8" applyFont="1" applyFill="1" applyBorder="1"/>
    <xf numFmtId="42" fontId="36" fillId="18" borderId="20" xfId="8" applyFont="1" applyFill="1" applyBorder="1"/>
    <xf numFmtId="42" fontId="36" fillId="0" borderId="29" xfId="8" applyFont="1" applyFill="1" applyBorder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0" xfId="0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57</xdr:row>
      <xdr:rowOff>5249</xdr:rowOff>
    </xdr:from>
    <xdr:to>
      <xdr:col>8</xdr:col>
      <xdr:colOff>7776</xdr:colOff>
      <xdr:row>60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59</xdr:row>
      <xdr:rowOff>154305</xdr:rowOff>
    </xdr:from>
    <xdr:to>
      <xdr:col>7</xdr:col>
      <xdr:colOff>853440</xdr:colOff>
      <xdr:row>59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57</xdr:row>
      <xdr:rowOff>9525</xdr:rowOff>
    </xdr:from>
    <xdr:to>
      <xdr:col>5</xdr:col>
      <xdr:colOff>1749491</xdr:colOff>
      <xdr:row>60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52</xdr:row>
      <xdr:rowOff>223973</xdr:rowOff>
    </xdr:from>
    <xdr:to>
      <xdr:col>5</xdr:col>
      <xdr:colOff>1749490</xdr:colOff>
      <xdr:row>56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611"/>
  <sheetViews>
    <sheetView tabSelected="1" zoomScale="98" zoomScaleNormal="98" workbookViewId="0">
      <selection activeCell="F29" sqref="F29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5.109375" customWidth="1"/>
    <col min="5" max="5" width="20.33203125" customWidth="1"/>
    <col min="6" max="6" width="31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0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7" t="s">
        <v>128</v>
      </c>
      <c r="C8" s="298"/>
      <c r="D8" s="298"/>
      <c r="E8" s="325" t="s">
        <v>223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1" t="s">
        <v>2</v>
      </c>
      <c r="C10" s="277" t="s">
        <v>162</v>
      </c>
      <c r="D10" s="277"/>
      <c r="E10" s="242"/>
      <c r="F10" s="243" t="s">
        <v>0</v>
      </c>
      <c r="G10" s="275">
        <v>45572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6" t="s">
        <v>12</v>
      </c>
      <c r="C11" s="304" t="s">
        <v>161</v>
      </c>
      <c r="D11" s="304"/>
      <c r="F11" t="s">
        <v>125</v>
      </c>
      <c r="G11" s="287" t="s">
        <v>163</v>
      </c>
      <c r="H11" s="288"/>
      <c r="P11" s="19"/>
      <c r="Q11" s="25" t="s">
        <v>19</v>
      </c>
      <c r="R11" s="19"/>
    </row>
    <row r="12" spans="2:23" ht="16.8" x14ac:dyDescent="0.4">
      <c r="B12" s="245" t="s">
        <v>147</v>
      </c>
      <c r="C12" s="304"/>
      <c r="D12" s="304"/>
      <c r="E12" s="246"/>
      <c r="F12" s="246" t="s">
        <v>129</v>
      </c>
      <c r="G12" s="276" t="s">
        <v>137</v>
      </c>
      <c r="H12" s="247"/>
      <c r="P12" s="19"/>
      <c r="Q12" s="25"/>
      <c r="R12" s="19"/>
    </row>
    <row r="13" spans="2:23" x14ac:dyDescent="0.3">
      <c r="B13" s="245" t="s">
        <v>148</v>
      </c>
      <c r="C13" t="s">
        <v>222</v>
      </c>
      <c r="E13" s="246"/>
      <c r="F13" s="246" t="s">
        <v>220</v>
      </c>
      <c r="G13" s="276" t="s">
        <v>164</v>
      </c>
      <c r="H13" s="247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6" t="s">
        <v>141</v>
      </c>
      <c r="C14" s="300"/>
      <c r="D14" s="300"/>
      <c r="F14" s="29" t="s">
        <v>138</v>
      </c>
      <c r="G14" s="289" t="s">
        <v>137</v>
      </c>
      <c r="H14" s="288"/>
      <c r="J14" s="29"/>
      <c r="P14" s="20"/>
      <c r="Q14" s="26" t="s">
        <v>18</v>
      </c>
      <c r="R14" s="20"/>
    </row>
    <row r="15" spans="2:23" x14ac:dyDescent="0.3">
      <c r="B15" s="245" t="s">
        <v>4</v>
      </c>
      <c r="C15" s="343" t="s">
        <v>221</v>
      </c>
      <c r="D15" s="307"/>
      <c r="E15" s="246"/>
      <c r="F15" s="246" t="s">
        <v>136</v>
      </c>
      <c r="G15" s="293" t="s">
        <v>137</v>
      </c>
      <c r="H15" s="247"/>
      <c r="K15" s="18">
        <f>H54/L13</f>
        <v>2310917.0103092785</v>
      </c>
    </row>
    <row r="16" spans="2:23" ht="16.8" x14ac:dyDescent="0.4">
      <c r="B16" s="290" t="s">
        <v>3</v>
      </c>
      <c r="C16" s="304"/>
      <c r="D16" s="304"/>
      <c r="F16" s="291" t="s">
        <v>131</v>
      </c>
      <c r="G16" s="292" t="s">
        <v>155</v>
      </c>
      <c r="H16" s="288"/>
    </row>
    <row r="17" spans="2:24" ht="15" thickBot="1" x14ac:dyDescent="0.35">
      <c r="B17" s="294" t="s">
        <v>13</v>
      </c>
      <c r="C17" s="295" t="s">
        <v>156</v>
      </c>
      <c r="D17" s="295"/>
      <c r="E17" s="296"/>
      <c r="F17" s="331" t="s">
        <v>157</v>
      </c>
      <c r="G17" s="331"/>
      <c r="H17" s="332"/>
      <c r="I17" s="262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149</v>
      </c>
      <c r="C19" s="334"/>
      <c r="D19" s="334"/>
      <c r="E19" s="334"/>
      <c r="F19" s="334"/>
      <c r="G19" s="334"/>
      <c r="H19" s="335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165</v>
      </c>
      <c r="E20" s="311" t="s">
        <v>158</v>
      </c>
      <c r="F20" s="311" t="s">
        <v>159</v>
      </c>
      <c r="G20" s="311" t="s">
        <v>5</v>
      </c>
      <c r="H20" s="312" t="s">
        <v>6</v>
      </c>
      <c r="I20" s="264"/>
      <c r="J20" s="47"/>
      <c r="K20" s="267" t="e">
        <f>#REF!</f>
        <v>#REF!</v>
      </c>
      <c r="L20" s="266" t="s">
        <v>133</v>
      </c>
      <c r="M20" s="39" t="e">
        <f>#REF!</f>
        <v>#REF!</v>
      </c>
      <c r="N20" s="260" t="s">
        <v>134</v>
      </c>
      <c r="O20" s="258" t="s">
        <v>17</v>
      </c>
      <c r="P20" s="251" t="e">
        <f>N68</f>
        <v>#REF!</v>
      </c>
      <c r="Q20" s="257">
        <v>3000</v>
      </c>
      <c r="R20" s="38"/>
      <c r="S20" s="14" t="s">
        <v>130</v>
      </c>
      <c r="T20" s="9"/>
      <c r="W20" s="4"/>
    </row>
    <row r="21" spans="2:24" ht="17.399999999999999" x14ac:dyDescent="0.3">
      <c r="B21" s="313">
        <v>4</v>
      </c>
      <c r="C21" s="314" t="s">
        <v>167</v>
      </c>
      <c r="D21" s="314" t="s">
        <v>166</v>
      </c>
      <c r="E21" s="314" t="s">
        <v>160</v>
      </c>
      <c r="F21" s="315" t="s">
        <v>168</v>
      </c>
      <c r="G21" s="316">
        <v>240692</v>
      </c>
      <c r="H21" s="317">
        <f t="shared" ref="H21:H32" si="0">G21*B21</f>
        <v>962768</v>
      </c>
      <c r="I21" s="264"/>
      <c r="J21" s="47"/>
      <c r="K21" s="308" t="str">
        <f>B20</f>
        <v>UNIDAD</v>
      </c>
      <c r="L21" s="309" t="e">
        <f>#REF!+L$19</f>
        <v>#REF!</v>
      </c>
      <c r="M21" s="309" t="e">
        <f>E20+M$19</f>
        <v>#VALUE!</v>
      </c>
      <c r="N21" s="260" t="e">
        <f>L21*M21</f>
        <v>#REF!</v>
      </c>
      <c r="O21" s="258" t="e">
        <f>N21*K21</f>
        <v>#REF!</v>
      </c>
      <c r="P21" s="251" t="e">
        <f>P$20*N21</f>
        <v>#REF!</v>
      </c>
      <c r="Q21" s="257" t="e">
        <f>P21+Q$20</f>
        <v>#REF!</v>
      </c>
      <c r="R21" s="302" t="e">
        <f>K21*L21</f>
        <v>#VALUE!</v>
      </c>
      <c r="S21" s="14"/>
      <c r="T21" s="9"/>
      <c r="W21" s="4"/>
    </row>
    <row r="22" spans="2:24" ht="17.399999999999999" x14ac:dyDescent="0.3">
      <c r="B22" s="313">
        <v>1</v>
      </c>
      <c r="C22" s="314" t="s">
        <v>167</v>
      </c>
      <c r="D22" s="314" t="s">
        <v>169</v>
      </c>
      <c r="E22" s="314" t="s">
        <v>160</v>
      </c>
      <c r="F22" s="315" t="s">
        <v>168</v>
      </c>
      <c r="G22" s="316">
        <v>299842</v>
      </c>
      <c r="H22" s="317">
        <f t="shared" si="0"/>
        <v>299842</v>
      </c>
      <c r="I22" s="264"/>
      <c r="J22" s="47"/>
      <c r="K22" s="308"/>
      <c r="L22" s="309"/>
      <c r="M22" s="309"/>
      <c r="N22" s="260"/>
      <c r="O22" s="258"/>
      <c r="P22" s="251"/>
      <c r="Q22" s="257"/>
      <c r="R22" s="302"/>
      <c r="S22" s="14"/>
      <c r="T22" s="9"/>
      <c r="W22" s="4"/>
    </row>
    <row r="23" spans="2:24" ht="17.399999999999999" x14ac:dyDescent="0.3">
      <c r="B23" s="313">
        <v>1</v>
      </c>
      <c r="C23" s="314" t="s">
        <v>172</v>
      </c>
      <c r="D23" s="314" t="s">
        <v>173</v>
      </c>
      <c r="E23" s="314" t="s">
        <v>160</v>
      </c>
      <c r="F23" s="315" t="s">
        <v>217</v>
      </c>
      <c r="G23" s="316">
        <v>2176700</v>
      </c>
      <c r="H23" s="317">
        <f t="shared" si="0"/>
        <v>2176700</v>
      </c>
      <c r="I23" s="264"/>
      <c r="J23" s="47"/>
      <c r="K23" s="308"/>
      <c r="L23" s="309"/>
      <c r="M23" s="309"/>
      <c r="N23" s="260"/>
      <c r="O23" s="258"/>
      <c r="P23" s="251"/>
      <c r="Q23" s="257"/>
      <c r="R23" s="302"/>
      <c r="S23" s="14"/>
      <c r="T23" s="9"/>
      <c r="W23" s="4"/>
    </row>
    <row r="24" spans="2:24" ht="17.399999999999999" x14ac:dyDescent="0.3">
      <c r="B24" s="313">
        <v>2</v>
      </c>
      <c r="C24" s="313" t="s">
        <v>175</v>
      </c>
      <c r="D24" s="314" t="s">
        <v>174</v>
      </c>
      <c r="E24" s="314" t="s">
        <v>160</v>
      </c>
      <c r="F24" s="315" t="s">
        <v>217</v>
      </c>
      <c r="G24" s="319">
        <v>1220723</v>
      </c>
      <c r="H24" s="317">
        <f t="shared" si="0"/>
        <v>2441446</v>
      </c>
      <c r="I24" s="264"/>
      <c r="J24" s="47"/>
      <c r="K24" s="308"/>
      <c r="L24" s="309"/>
      <c r="M24" s="309"/>
      <c r="N24" s="260"/>
      <c r="O24" s="258"/>
      <c r="P24" s="251"/>
      <c r="Q24" s="257"/>
      <c r="R24" s="302"/>
      <c r="S24" s="14"/>
      <c r="T24" s="9"/>
      <c r="W24" s="4"/>
    </row>
    <row r="25" spans="2:24" ht="17.399999999999999" x14ac:dyDescent="0.3">
      <c r="B25" s="320">
        <v>1</v>
      </c>
      <c r="C25" s="313" t="s">
        <v>176</v>
      </c>
      <c r="D25" s="314" t="s">
        <v>177</v>
      </c>
      <c r="E25" s="314" t="s">
        <v>160</v>
      </c>
      <c r="F25" s="318"/>
      <c r="G25" s="322">
        <v>3034035</v>
      </c>
      <c r="H25" s="323">
        <f t="shared" si="0"/>
        <v>3034035</v>
      </c>
      <c r="I25" s="264"/>
      <c r="J25" s="47"/>
      <c r="K25" s="308"/>
      <c r="L25" s="309"/>
      <c r="M25" s="309"/>
      <c r="N25" s="260"/>
      <c r="O25" s="258"/>
      <c r="P25" s="251"/>
      <c r="Q25" s="257"/>
      <c r="R25" s="302"/>
      <c r="S25" s="14"/>
      <c r="T25" s="9"/>
      <c r="W25" s="4"/>
    </row>
    <row r="26" spans="2:24" ht="17.399999999999999" x14ac:dyDescent="0.3">
      <c r="B26" s="320">
        <v>1</v>
      </c>
      <c r="C26" s="320" t="s">
        <v>178</v>
      </c>
      <c r="D26" s="321" t="s">
        <v>179</v>
      </c>
      <c r="E26" s="321" t="s">
        <v>160</v>
      </c>
      <c r="F26" s="318"/>
      <c r="G26" s="322">
        <v>1571695</v>
      </c>
      <c r="H26" s="323">
        <f t="shared" si="0"/>
        <v>1571695</v>
      </c>
      <c r="I26" s="264"/>
      <c r="J26" s="47"/>
      <c r="K26" s="308"/>
      <c r="L26" s="309"/>
      <c r="M26" s="309"/>
      <c r="N26" s="260"/>
      <c r="O26" s="258"/>
      <c r="P26" s="251"/>
      <c r="Q26" s="257"/>
      <c r="R26" s="302"/>
      <c r="S26" s="14"/>
      <c r="T26" s="9"/>
      <c r="W26" s="4"/>
    </row>
    <row r="27" spans="2:24" ht="17.399999999999999" x14ac:dyDescent="0.3">
      <c r="B27" s="313">
        <v>1</v>
      </c>
      <c r="C27" s="313" t="s">
        <v>181</v>
      </c>
      <c r="D27" s="313" t="s">
        <v>180</v>
      </c>
      <c r="E27" s="313" t="s">
        <v>160</v>
      </c>
      <c r="F27" s="324" t="s">
        <v>219</v>
      </c>
      <c r="G27" s="319">
        <v>3462665</v>
      </c>
      <c r="H27" s="319">
        <f t="shared" si="0"/>
        <v>3462665</v>
      </c>
      <c r="I27" s="264"/>
      <c r="J27" s="47"/>
      <c r="K27" s="308"/>
      <c r="L27" s="309"/>
      <c r="M27" s="309"/>
      <c r="N27" s="260"/>
      <c r="O27" s="258"/>
      <c r="P27" s="251"/>
      <c r="Q27" s="257"/>
      <c r="R27" s="302"/>
      <c r="S27" s="14"/>
      <c r="T27" s="9"/>
      <c r="W27" s="4"/>
    </row>
    <row r="28" spans="2:24" ht="17.399999999999999" x14ac:dyDescent="0.3">
      <c r="B28" s="313">
        <v>1</v>
      </c>
      <c r="C28" s="313" t="s">
        <v>183</v>
      </c>
      <c r="D28" s="313" t="s">
        <v>182</v>
      </c>
      <c r="E28" s="313" t="s">
        <v>160</v>
      </c>
      <c r="F28" s="324"/>
      <c r="G28" s="319">
        <v>2649994</v>
      </c>
      <c r="H28" s="319">
        <f t="shared" si="0"/>
        <v>2649994</v>
      </c>
      <c r="I28" s="264"/>
      <c r="J28" s="47"/>
      <c r="K28" s="308"/>
      <c r="L28" s="309"/>
      <c r="M28" s="309"/>
      <c r="N28" s="260"/>
      <c r="O28" s="258"/>
      <c r="P28" s="251"/>
      <c r="Q28" s="257"/>
      <c r="R28" s="302"/>
      <c r="S28" s="14"/>
      <c r="T28" s="9"/>
      <c r="W28" s="4"/>
    </row>
    <row r="29" spans="2:24" ht="17.399999999999999" x14ac:dyDescent="0.3">
      <c r="B29" s="313">
        <v>1</v>
      </c>
      <c r="C29" s="313" t="s">
        <v>185</v>
      </c>
      <c r="D29" s="313" t="s">
        <v>184</v>
      </c>
      <c r="E29" s="313" t="s">
        <v>160</v>
      </c>
      <c r="F29" s="324" t="s">
        <v>218</v>
      </c>
      <c r="G29" s="319">
        <v>713374</v>
      </c>
      <c r="H29" s="319">
        <f t="shared" si="0"/>
        <v>713374</v>
      </c>
      <c r="I29" s="264"/>
      <c r="J29" s="47"/>
      <c r="K29" s="308"/>
      <c r="L29" s="309"/>
      <c r="M29" s="309"/>
      <c r="N29" s="260"/>
      <c r="O29" s="258"/>
      <c r="P29" s="251"/>
      <c r="Q29" s="257"/>
      <c r="R29" s="302"/>
      <c r="S29" s="14"/>
      <c r="T29" s="9"/>
      <c r="W29" s="4"/>
    </row>
    <row r="30" spans="2:24" ht="17.399999999999999" x14ac:dyDescent="0.3">
      <c r="B30" s="313">
        <v>1</v>
      </c>
      <c r="C30" s="313" t="s">
        <v>187</v>
      </c>
      <c r="D30" s="313" t="s">
        <v>186</v>
      </c>
      <c r="E30" s="313" t="s">
        <v>160</v>
      </c>
      <c r="F30" s="324" t="s">
        <v>219</v>
      </c>
      <c r="G30" s="319">
        <v>5332343</v>
      </c>
      <c r="H30" s="319">
        <f t="shared" si="0"/>
        <v>5332343</v>
      </c>
      <c r="I30" s="264"/>
      <c r="J30" s="47"/>
      <c r="K30" s="308"/>
      <c r="L30" s="309"/>
      <c r="M30" s="309"/>
      <c r="N30" s="260"/>
      <c r="O30" s="258"/>
      <c r="P30" s="251"/>
      <c r="Q30" s="257"/>
      <c r="R30" s="302"/>
      <c r="S30" s="14"/>
      <c r="T30" s="9"/>
      <c r="W30" s="4"/>
    </row>
    <row r="31" spans="2:24" ht="17.399999999999999" x14ac:dyDescent="0.3">
      <c r="B31" s="313">
        <v>1</v>
      </c>
      <c r="C31" s="313" t="s">
        <v>176</v>
      </c>
      <c r="D31" s="313" t="s">
        <v>188</v>
      </c>
      <c r="E31" s="313" t="s">
        <v>160</v>
      </c>
      <c r="F31" s="324"/>
      <c r="G31" s="319">
        <v>3235820</v>
      </c>
      <c r="H31" s="319">
        <f t="shared" si="0"/>
        <v>3235820</v>
      </c>
      <c r="I31" s="264"/>
      <c r="J31" s="47"/>
      <c r="K31" s="308"/>
      <c r="L31" s="309"/>
      <c r="M31" s="309"/>
      <c r="N31" s="260"/>
      <c r="O31" s="258"/>
      <c r="P31" s="251"/>
      <c r="Q31" s="257"/>
      <c r="R31" s="302"/>
      <c r="S31" s="14"/>
      <c r="T31" s="9"/>
      <c r="W31" s="4"/>
    </row>
    <row r="32" spans="2:24" ht="17.399999999999999" x14ac:dyDescent="0.3">
      <c r="B32" s="313">
        <v>1</v>
      </c>
      <c r="C32" s="313" t="s">
        <v>190</v>
      </c>
      <c r="D32" s="313" t="s">
        <v>189</v>
      </c>
      <c r="E32" s="313" t="s">
        <v>160</v>
      </c>
      <c r="F32" s="324"/>
      <c r="G32" s="319">
        <v>1157599</v>
      </c>
      <c r="H32" s="319">
        <f t="shared" si="0"/>
        <v>1157599</v>
      </c>
      <c r="I32" s="264"/>
      <c r="J32" s="47"/>
      <c r="K32" s="308"/>
      <c r="L32" s="309"/>
      <c r="M32" s="309"/>
      <c r="N32" s="260"/>
      <c r="O32" s="258"/>
      <c r="P32" s="251"/>
      <c r="Q32" s="257"/>
      <c r="R32" s="302"/>
      <c r="S32" s="14"/>
      <c r="T32" s="9"/>
      <c r="W32" s="4"/>
    </row>
    <row r="33" spans="2:23" ht="17.399999999999999" x14ac:dyDescent="0.3">
      <c r="B33" s="313">
        <v>17</v>
      </c>
      <c r="C33" s="313" t="s">
        <v>191</v>
      </c>
      <c r="D33" s="313" t="s">
        <v>170</v>
      </c>
      <c r="E33" s="313" t="s">
        <v>160</v>
      </c>
      <c r="F33" s="324"/>
      <c r="G33" s="319">
        <v>508593</v>
      </c>
      <c r="H33" s="319">
        <f t="shared" ref="H33:H34" si="1">G33*B33</f>
        <v>8646081</v>
      </c>
      <c r="I33" s="264"/>
      <c r="J33" s="47"/>
      <c r="K33" s="308"/>
      <c r="L33" s="309"/>
      <c r="M33" s="309"/>
      <c r="N33" s="260"/>
      <c r="O33" s="258"/>
      <c r="P33" s="251"/>
      <c r="Q33" s="257"/>
      <c r="R33" s="302"/>
      <c r="S33" s="14"/>
      <c r="T33" s="9"/>
      <c r="W33" s="4"/>
    </row>
    <row r="34" spans="2:23" ht="17.399999999999999" x14ac:dyDescent="0.3">
      <c r="B34" s="313">
        <v>2</v>
      </c>
      <c r="C34" s="313" t="s">
        <v>193</v>
      </c>
      <c r="D34" s="313" t="s">
        <v>192</v>
      </c>
      <c r="E34" s="313" t="s">
        <v>160</v>
      </c>
      <c r="F34" s="324"/>
      <c r="G34" s="319">
        <v>1017187</v>
      </c>
      <c r="H34" s="319">
        <f t="shared" si="1"/>
        <v>2034374</v>
      </c>
      <c r="I34" s="264"/>
      <c r="J34" s="47"/>
      <c r="K34" s="308"/>
      <c r="L34" s="309"/>
      <c r="M34" s="309"/>
      <c r="N34" s="260"/>
      <c r="O34" s="258"/>
      <c r="P34" s="251"/>
      <c r="Q34" s="257"/>
      <c r="R34" s="302"/>
      <c r="S34" s="14"/>
      <c r="T34" s="9"/>
      <c r="W34" s="4"/>
    </row>
    <row r="35" spans="2:23" ht="17.399999999999999" x14ac:dyDescent="0.3">
      <c r="B35" s="313">
        <v>1</v>
      </c>
      <c r="C35" s="313" t="s">
        <v>176</v>
      </c>
      <c r="D35" s="313" t="s">
        <v>171</v>
      </c>
      <c r="E35" s="313" t="s">
        <v>160</v>
      </c>
      <c r="F35" s="324"/>
      <c r="G35" s="319">
        <v>2764792</v>
      </c>
      <c r="H35" s="319">
        <f t="shared" ref="H35" si="2">G35*B35</f>
        <v>2764792</v>
      </c>
      <c r="I35" s="264"/>
      <c r="J35" s="47"/>
      <c r="K35" s="308"/>
      <c r="L35" s="309"/>
      <c r="M35" s="309"/>
      <c r="N35" s="260"/>
      <c r="O35" s="258"/>
      <c r="P35" s="251"/>
      <c r="Q35" s="257"/>
      <c r="R35" s="302"/>
      <c r="S35" s="14"/>
      <c r="T35" s="9"/>
      <c r="W35" s="4"/>
    </row>
    <row r="36" spans="2:23" ht="17.399999999999999" x14ac:dyDescent="0.3">
      <c r="B36" s="313">
        <v>1</v>
      </c>
      <c r="C36" s="313" t="s">
        <v>190</v>
      </c>
      <c r="D36" s="313" t="s">
        <v>194</v>
      </c>
      <c r="E36" s="313" t="s">
        <v>160</v>
      </c>
      <c r="F36" s="324"/>
      <c r="G36" s="319">
        <v>1166723</v>
      </c>
      <c r="H36" s="319">
        <f t="shared" ref="H36:H37" si="3">G36*B36</f>
        <v>1166723</v>
      </c>
      <c r="I36" s="264"/>
      <c r="J36" s="47"/>
      <c r="K36" s="308"/>
      <c r="L36" s="309"/>
      <c r="M36" s="309"/>
      <c r="N36" s="260"/>
      <c r="O36" s="258"/>
      <c r="P36" s="251"/>
      <c r="Q36" s="257"/>
      <c r="R36" s="302"/>
      <c r="S36" s="14"/>
      <c r="T36" s="9"/>
      <c r="W36" s="4"/>
    </row>
    <row r="37" spans="2:23" ht="17.399999999999999" x14ac:dyDescent="0.3">
      <c r="B37" s="313">
        <v>1</v>
      </c>
      <c r="C37" s="313" t="s">
        <v>176</v>
      </c>
      <c r="D37" s="313" t="s">
        <v>195</v>
      </c>
      <c r="E37" s="313" t="s">
        <v>160</v>
      </c>
      <c r="F37" s="324"/>
      <c r="G37" s="319">
        <v>2764792</v>
      </c>
      <c r="H37" s="319">
        <f t="shared" si="3"/>
        <v>2764792</v>
      </c>
      <c r="I37" s="264"/>
      <c r="J37" s="47"/>
      <c r="K37" s="308"/>
      <c r="L37" s="309"/>
      <c r="M37" s="309"/>
      <c r="N37" s="260"/>
      <c r="O37" s="258"/>
      <c r="P37" s="251"/>
      <c r="Q37" s="257"/>
      <c r="R37" s="302"/>
      <c r="S37" s="14"/>
      <c r="T37" s="9"/>
      <c r="W37" s="4"/>
    </row>
    <row r="38" spans="2:23" ht="17.399999999999999" x14ac:dyDescent="0.3">
      <c r="B38" s="313">
        <v>1</v>
      </c>
      <c r="C38" s="313" t="s">
        <v>197</v>
      </c>
      <c r="D38" s="313" t="s">
        <v>196</v>
      </c>
      <c r="E38" s="313" t="s">
        <v>160</v>
      </c>
      <c r="F38" s="324"/>
      <c r="G38" s="319">
        <v>1376311</v>
      </c>
      <c r="H38" s="319">
        <f t="shared" ref="H38" si="4">G38*B38</f>
        <v>1376311</v>
      </c>
      <c r="I38" s="264"/>
      <c r="J38" s="47"/>
      <c r="K38" s="308"/>
      <c r="L38" s="309"/>
      <c r="M38" s="309"/>
      <c r="N38" s="260"/>
      <c r="O38" s="258"/>
      <c r="P38" s="251"/>
      <c r="Q38" s="257"/>
      <c r="R38" s="302"/>
      <c r="S38" s="14"/>
      <c r="T38" s="9"/>
      <c r="W38" s="4"/>
    </row>
    <row r="39" spans="2:23" ht="17.399999999999999" x14ac:dyDescent="0.3">
      <c r="B39" s="313">
        <v>1</v>
      </c>
      <c r="C39" s="313" t="s">
        <v>197</v>
      </c>
      <c r="D39" s="313" t="s">
        <v>198</v>
      </c>
      <c r="E39" s="313" t="s">
        <v>160</v>
      </c>
      <c r="F39" s="324"/>
      <c r="G39" s="319">
        <v>677126</v>
      </c>
      <c r="H39" s="319">
        <f t="shared" ref="H39:H41" si="5">G39*B39</f>
        <v>677126</v>
      </c>
      <c r="I39" s="264"/>
      <c r="J39" s="47"/>
      <c r="K39" s="308"/>
      <c r="L39" s="309"/>
      <c r="M39" s="309"/>
      <c r="N39" s="260"/>
      <c r="O39" s="258"/>
      <c r="P39" s="251"/>
      <c r="Q39" s="257"/>
      <c r="R39" s="302"/>
      <c r="S39" s="14"/>
      <c r="T39" s="9"/>
      <c r="W39" s="4"/>
    </row>
    <row r="40" spans="2:23" ht="17.399999999999999" x14ac:dyDescent="0.3">
      <c r="B40" s="313">
        <v>1</v>
      </c>
      <c r="C40" s="313" t="s">
        <v>190</v>
      </c>
      <c r="D40" s="313" t="s">
        <v>199</v>
      </c>
      <c r="E40" s="313" t="s">
        <v>160</v>
      </c>
      <c r="F40" s="324"/>
      <c r="G40" s="319">
        <v>1157599</v>
      </c>
      <c r="H40" s="319">
        <f t="shared" si="5"/>
        <v>1157599</v>
      </c>
      <c r="I40" s="264"/>
      <c r="J40" s="47"/>
      <c r="K40" s="308"/>
      <c r="L40" s="309"/>
      <c r="M40" s="309"/>
      <c r="N40" s="260"/>
      <c r="O40" s="258"/>
      <c r="P40" s="251"/>
      <c r="Q40" s="257"/>
      <c r="R40" s="302"/>
      <c r="S40" s="14"/>
      <c r="T40" s="9"/>
      <c r="W40" s="4"/>
    </row>
    <row r="41" spans="2:23" ht="17.399999999999999" x14ac:dyDescent="0.3">
      <c r="B41" s="313">
        <v>1</v>
      </c>
      <c r="C41" s="313" t="s">
        <v>200</v>
      </c>
      <c r="D41" s="313" t="s">
        <v>201</v>
      </c>
      <c r="E41" s="313" t="s">
        <v>160</v>
      </c>
      <c r="F41" s="324" t="s">
        <v>219</v>
      </c>
      <c r="G41" s="319">
        <v>3924032</v>
      </c>
      <c r="H41" s="319">
        <f t="shared" si="5"/>
        <v>3924032</v>
      </c>
      <c r="I41" s="264"/>
      <c r="J41" s="47"/>
      <c r="K41" s="308"/>
      <c r="L41" s="309"/>
      <c r="M41" s="309"/>
      <c r="N41" s="260"/>
      <c r="O41" s="258"/>
      <c r="P41" s="251"/>
      <c r="Q41" s="257"/>
      <c r="R41" s="302"/>
      <c r="S41" s="14"/>
      <c r="T41" s="9"/>
      <c r="W41" s="4"/>
    </row>
    <row r="42" spans="2:23" ht="17.399999999999999" x14ac:dyDescent="0.3">
      <c r="B42" s="313">
        <v>1</v>
      </c>
      <c r="C42" s="313" t="s">
        <v>203</v>
      </c>
      <c r="D42" s="313" t="s">
        <v>202</v>
      </c>
      <c r="E42" s="313" t="s">
        <v>160</v>
      </c>
      <c r="F42" s="324"/>
      <c r="G42" s="319">
        <v>3256746</v>
      </c>
      <c r="H42" s="319">
        <f t="shared" ref="H42" si="6">G42*B42</f>
        <v>3256746</v>
      </c>
      <c r="I42" s="264"/>
      <c r="J42" s="47"/>
      <c r="K42" s="308"/>
      <c r="L42" s="309"/>
      <c r="M42" s="309"/>
      <c r="N42" s="260"/>
      <c r="O42" s="258"/>
      <c r="P42" s="251"/>
      <c r="Q42" s="257"/>
      <c r="R42" s="302"/>
      <c r="S42" s="14"/>
      <c r="T42" s="9"/>
      <c r="W42" s="4"/>
    </row>
    <row r="43" spans="2:23" ht="17.399999999999999" x14ac:dyDescent="0.3">
      <c r="B43" s="313">
        <v>1</v>
      </c>
      <c r="C43" s="313" t="s">
        <v>205</v>
      </c>
      <c r="D43" s="313" t="s">
        <v>204</v>
      </c>
      <c r="E43" s="313" t="s">
        <v>160</v>
      </c>
      <c r="F43" s="324"/>
      <c r="G43" s="319">
        <v>2270980</v>
      </c>
      <c r="H43" s="319">
        <f t="shared" ref="H43:H44" si="7">G43*B43</f>
        <v>2270980</v>
      </c>
      <c r="I43" s="264"/>
      <c r="J43" s="47"/>
      <c r="K43" s="308"/>
      <c r="L43" s="309"/>
      <c r="M43" s="309"/>
      <c r="N43" s="260"/>
      <c r="O43" s="258"/>
      <c r="P43" s="251"/>
      <c r="Q43" s="257"/>
      <c r="R43" s="302"/>
      <c r="S43" s="14"/>
      <c r="T43" s="9"/>
      <c r="W43" s="4"/>
    </row>
    <row r="44" spans="2:23" ht="17.399999999999999" x14ac:dyDescent="0.3">
      <c r="B44" s="313">
        <v>1</v>
      </c>
      <c r="C44" s="313" t="s">
        <v>207</v>
      </c>
      <c r="D44" s="313" t="s">
        <v>206</v>
      </c>
      <c r="E44" s="313" t="s">
        <v>160</v>
      </c>
      <c r="F44" s="324"/>
      <c r="G44" s="319">
        <v>2380183</v>
      </c>
      <c r="H44" s="319">
        <f t="shared" si="7"/>
        <v>2380183</v>
      </c>
      <c r="I44" s="264"/>
      <c r="J44" s="47"/>
      <c r="K44" s="308"/>
      <c r="L44" s="309"/>
      <c r="M44" s="309"/>
      <c r="N44" s="260"/>
      <c r="O44" s="258"/>
      <c r="P44" s="251"/>
      <c r="Q44" s="257"/>
      <c r="R44" s="302"/>
      <c r="S44" s="14"/>
      <c r="T44" s="9"/>
      <c r="W44" s="4"/>
    </row>
    <row r="45" spans="2:23" ht="17.399999999999999" x14ac:dyDescent="0.3">
      <c r="B45" s="313">
        <v>2</v>
      </c>
      <c r="C45" s="313" t="s">
        <v>208</v>
      </c>
      <c r="D45" s="313" t="s">
        <v>209</v>
      </c>
      <c r="E45" s="313" t="s">
        <v>160</v>
      </c>
      <c r="F45" s="324"/>
      <c r="G45" s="319">
        <v>3034408</v>
      </c>
      <c r="H45" s="319">
        <f t="shared" ref="H45" si="8">G45*B45</f>
        <v>6068816</v>
      </c>
      <c r="I45" s="264"/>
      <c r="J45" s="47"/>
      <c r="K45" s="308"/>
      <c r="L45" s="309"/>
      <c r="M45" s="309"/>
      <c r="N45" s="260"/>
      <c r="O45" s="258"/>
      <c r="P45" s="251"/>
      <c r="Q45" s="257"/>
      <c r="R45" s="302"/>
      <c r="S45" s="14"/>
      <c r="T45" s="9"/>
      <c r="W45" s="4"/>
    </row>
    <row r="46" spans="2:23" ht="17.399999999999999" x14ac:dyDescent="0.3">
      <c r="B46" s="313">
        <v>1</v>
      </c>
      <c r="C46" s="313" t="s">
        <v>210</v>
      </c>
      <c r="D46" s="313" t="s">
        <v>211</v>
      </c>
      <c r="E46" s="313" t="s">
        <v>160</v>
      </c>
      <c r="F46" s="324"/>
      <c r="G46" s="319">
        <v>3402704</v>
      </c>
      <c r="H46" s="319">
        <f t="shared" ref="H46" si="9">G46*B46</f>
        <v>3402704</v>
      </c>
      <c r="I46" s="264"/>
      <c r="J46" s="47"/>
      <c r="K46" s="308"/>
      <c r="L46" s="309"/>
      <c r="M46" s="309"/>
      <c r="N46" s="260"/>
      <c r="O46" s="258"/>
      <c r="P46" s="251"/>
      <c r="Q46" s="257"/>
      <c r="R46" s="302"/>
      <c r="S46" s="14"/>
      <c r="T46" s="9"/>
      <c r="W46" s="4"/>
    </row>
    <row r="47" spans="2:23" ht="17.399999999999999" x14ac:dyDescent="0.3">
      <c r="B47" s="313">
        <v>1</v>
      </c>
      <c r="C47" s="313" t="s">
        <v>210</v>
      </c>
      <c r="D47" s="313" t="s">
        <v>212</v>
      </c>
      <c r="E47" s="313" t="s">
        <v>160</v>
      </c>
      <c r="F47" s="324"/>
      <c r="G47" s="319">
        <v>3402704</v>
      </c>
      <c r="H47" s="319">
        <f t="shared" ref="H47" si="10">G47*B47</f>
        <v>3402704</v>
      </c>
      <c r="I47" s="264"/>
      <c r="J47" s="47"/>
      <c r="K47" s="308"/>
      <c r="L47" s="309"/>
      <c r="M47" s="309"/>
      <c r="N47" s="260"/>
      <c r="O47" s="258"/>
      <c r="P47" s="251"/>
      <c r="Q47" s="257"/>
      <c r="R47" s="302"/>
      <c r="S47" s="14"/>
      <c r="T47" s="9"/>
      <c r="W47" s="4"/>
    </row>
    <row r="48" spans="2:23" ht="17.399999999999999" x14ac:dyDescent="0.3">
      <c r="B48" s="313">
        <v>1</v>
      </c>
      <c r="C48" s="313" t="s">
        <v>190</v>
      </c>
      <c r="D48" s="313" t="s">
        <v>213</v>
      </c>
      <c r="E48" s="313" t="s">
        <v>160</v>
      </c>
      <c r="F48" s="324"/>
      <c r="G48" s="319">
        <v>1226436</v>
      </c>
      <c r="H48" s="319">
        <f t="shared" ref="H48" si="11">G48*B48</f>
        <v>1226436</v>
      </c>
      <c r="I48" s="264"/>
      <c r="J48" s="47"/>
      <c r="K48" s="308"/>
      <c r="L48" s="309"/>
      <c r="M48" s="309"/>
      <c r="N48" s="260"/>
      <c r="O48" s="258"/>
      <c r="P48" s="251"/>
      <c r="Q48" s="257"/>
      <c r="R48" s="302"/>
      <c r="S48" s="14"/>
      <c r="T48" s="9"/>
      <c r="W48" s="4"/>
    </row>
    <row r="49" spans="1:23" ht="17.399999999999999" x14ac:dyDescent="0.3">
      <c r="B49" s="313">
        <v>1</v>
      </c>
      <c r="C49" s="313" t="s">
        <v>215</v>
      </c>
      <c r="D49" s="313" t="s">
        <v>214</v>
      </c>
      <c r="E49" s="313" t="s">
        <v>160</v>
      </c>
      <c r="F49" s="324"/>
      <c r="G49" s="319">
        <v>878099</v>
      </c>
      <c r="H49" s="319">
        <f t="shared" ref="H49" si="12">G49*B49</f>
        <v>878099</v>
      </c>
      <c r="I49" s="264"/>
      <c r="J49" s="47"/>
      <c r="K49" s="308"/>
      <c r="L49" s="309"/>
      <c r="M49" s="309"/>
      <c r="N49" s="260"/>
      <c r="O49" s="258"/>
      <c r="P49" s="251"/>
      <c r="Q49" s="257"/>
      <c r="R49" s="302"/>
      <c r="S49" s="14"/>
      <c r="T49" s="9"/>
      <c r="W49" s="4"/>
    </row>
    <row r="50" spans="1:23" ht="17.399999999999999" x14ac:dyDescent="0.3">
      <c r="B50" s="313">
        <v>2</v>
      </c>
      <c r="C50" s="313" t="s">
        <v>215</v>
      </c>
      <c r="D50" s="313" t="s">
        <v>216</v>
      </c>
      <c r="E50" s="313" t="s">
        <v>160</v>
      </c>
      <c r="F50" s="324"/>
      <c r="G50" s="319">
        <v>888632</v>
      </c>
      <c r="H50" s="319">
        <f t="shared" ref="H50" si="13">G50*B50</f>
        <v>1777264</v>
      </c>
      <c r="I50" s="264"/>
      <c r="J50" s="47"/>
      <c r="K50" s="308"/>
      <c r="L50" s="309"/>
      <c r="M50" s="309"/>
      <c r="N50" s="260"/>
      <c r="O50" s="258"/>
      <c r="P50" s="251"/>
      <c r="Q50" s="257"/>
      <c r="R50" s="302"/>
      <c r="S50" s="14"/>
      <c r="T50" s="9"/>
      <c r="W50" s="4"/>
    </row>
    <row r="51" spans="1:23" ht="17.399999999999999" x14ac:dyDescent="0.3">
      <c r="B51" s="284"/>
      <c r="C51" s="284"/>
      <c r="D51" s="284"/>
      <c r="E51" s="284"/>
      <c r="F51" s="326"/>
      <c r="G51" s="327"/>
      <c r="H51" s="327"/>
      <c r="I51" s="264"/>
      <c r="J51" s="47"/>
      <c r="K51" s="308"/>
      <c r="L51" s="309"/>
      <c r="M51" s="309"/>
      <c r="N51" s="260"/>
      <c r="O51" s="258"/>
      <c r="P51" s="251"/>
      <c r="Q51" s="257"/>
      <c r="R51" s="302"/>
      <c r="S51" s="14"/>
      <c r="T51" s="9"/>
      <c r="W51" s="4"/>
    </row>
    <row r="52" spans="1:23" ht="17.399999999999999" x14ac:dyDescent="0.3">
      <c r="I52" s="264"/>
      <c r="J52" s="47"/>
      <c r="K52" s="308"/>
      <c r="L52" s="309"/>
      <c r="M52" s="309"/>
      <c r="N52" s="260"/>
      <c r="O52" s="258"/>
      <c r="P52" s="251"/>
      <c r="Q52" s="257"/>
      <c r="R52" s="302"/>
      <c r="S52" s="14"/>
      <c r="T52" s="9"/>
      <c r="W52" s="4"/>
    </row>
    <row r="53" spans="1:23" ht="18" thickBot="1" x14ac:dyDescent="0.35">
      <c r="B53" s="284"/>
      <c r="C53" s="284"/>
      <c r="D53" s="284"/>
      <c r="E53" s="285"/>
      <c r="F53" s="284"/>
      <c r="G53" s="264"/>
      <c r="H53" s="232"/>
      <c r="I53" s="232"/>
      <c r="J53" s="47"/>
      <c r="K53" s="47"/>
      <c r="L53" s="39"/>
      <c r="M53" s="39"/>
      <c r="N53" s="260"/>
      <c r="O53" s="258"/>
      <c r="P53" s="251"/>
      <c r="Q53" s="257"/>
      <c r="R53" s="302"/>
      <c r="S53" s="14"/>
      <c r="T53" s="9"/>
      <c r="W53" s="4"/>
    </row>
    <row r="54" spans="1:23" ht="17.399999999999999" x14ac:dyDescent="0.3">
      <c r="B54" s="284"/>
      <c r="C54" s="284"/>
      <c r="D54" s="284"/>
      <c r="E54" s="285"/>
      <c r="F54" s="284"/>
      <c r="G54" s="303" t="s">
        <v>30</v>
      </c>
      <c r="H54" s="328">
        <f>SUM(H20:H53)</f>
        <v>76214043</v>
      </c>
      <c r="I54" s="264"/>
      <c r="J54" s="47"/>
      <c r="K54" s="47"/>
      <c r="L54" s="39" t="e">
        <f>SUM(L21:L53)</f>
        <v>#REF!</v>
      </c>
      <c r="M54" s="39"/>
      <c r="N54" s="260"/>
      <c r="O54" s="258"/>
      <c r="P54" s="251"/>
      <c r="Q54" s="257"/>
      <c r="R54" s="302"/>
      <c r="S54" s="14"/>
      <c r="T54" s="9"/>
      <c r="W54" s="4"/>
    </row>
    <row r="55" spans="1:23" ht="17.399999999999999" x14ac:dyDescent="0.3">
      <c r="B55" s="278"/>
      <c r="C55" s="281"/>
      <c r="D55" s="281"/>
      <c r="E55" s="282"/>
      <c r="F55" s="283"/>
      <c r="G55" s="301" t="s">
        <v>53</v>
      </c>
      <c r="H55" s="329">
        <f>H54*0.19</f>
        <v>14480668.17</v>
      </c>
      <c r="I55" s="264"/>
      <c r="J55" s="47"/>
      <c r="K55" s="47"/>
      <c r="L55" s="39"/>
      <c r="M55" s="12"/>
      <c r="N55" s="12"/>
      <c r="O55" s="252" t="e">
        <f>SUM(O21:O21)</f>
        <v>#REF!</v>
      </c>
      <c r="P55" s="14"/>
      <c r="Q55" s="12"/>
      <c r="R55" s="237"/>
      <c r="S55" s="14"/>
      <c r="T55" s="9"/>
      <c r="W55" s="4"/>
    </row>
    <row r="56" spans="1:23" ht="18" thickBot="1" x14ac:dyDescent="0.35">
      <c r="B56" s="274"/>
      <c r="C56" s="280"/>
      <c r="D56" s="280"/>
      <c r="E56" s="271"/>
      <c r="F56" s="272"/>
      <c r="G56" s="279" t="s">
        <v>6</v>
      </c>
      <c r="H56" s="330">
        <f>H54+H55</f>
        <v>90694711.170000002</v>
      </c>
      <c r="I56" s="264"/>
      <c r="J56" s="47"/>
      <c r="K56" s="47"/>
      <c r="L56" s="39"/>
      <c r="M56" s="12"/>
      <c r="N56" s="12"/>
      <c r="O56" s="252" t="e">
        <f>O55</f>
        <v>#REF!</v>
      </c>
      <c r="P56" s="14"/>
      <c r="Q56" s="12"/>
      <c r="R56" s="237" t="e">
        <f>SUM(R21:R55)</f>
        <v>#VALUE!</v>
      </c>
      <c r="S56" s="14"/>
      <c r="T56" s="9"/>
      <c r="W56" s="4"/>
    </row>
    <row r="57" spans="1:23" ht="17.399999999999999" x14ac:dyDescent="0.3">
      <c r="B57" s="274"/>
      <c r="C57" s="270"/>
      <c r="D57" s="270"/>
      <c r="E57" s="271"/>
      <c r="F57" s="272"/>
      <c r="I57" s="264"/>
      <c r="J57" s="47"/>
      <c r="K57" s="47"/>
      <c r="L57" s="14"/>
      <c r="M57" s="12"/>
      <c r="N57" s="12"/>
      <c r="O57" s="39" t="e">
        <f>O56*0.2</f>
        <v>#REF!</v>
      </c>
      <c r="P57" s="39" t="s">
        <v>132</v>
      </c>
      <c r="Q57" s="42"/>
      <c r="R57" s="238"/>
      <c r="S57" s="14"/>
      <c r="T57" s="9"/>
      <c r="W57" s="4"/>
    </row>
    <row r="58" spans="1:23" ht="17.399999999999999" x14ac:dyDescent="0.35">
      <c r="B58" s="268"/>
      <c r="C58" s="230"/>
      <c r="D58" s="230"/>
      <c r="E58" s="232"/>
      <c r="F58" s="233"/>
      <c r="G58" s="230"/>
      <c r="H58" s="273"/>
      <c r="I58" s="264"/>
      <c r="J58" s="306"/>
      <c r="K58" s="47"/>
      <c r="L58" s="14"/>
      <c r="M58" s="12"/>
      <c r="N58" s="12"/>
      <c r="O58" s="46" t="e">
        <f>O56+O57</f>
        <v>#REF!</v>
      </c>
      <c r="P58" s="14"/>
      <c r="Q58" s="14"/>
      <c r="R58" s="236">
        <v>40</v>
      </c>
      <c r="S58" s="14"/>
      <c r="T58" s="9"/>
      <c r="W58" s="4"/>
    </row>
    <row r="59" spans="1:23" ht="17.399999999999999" x14ac:dyDescent="0.35">
      <c r="B59" s="234"/>
      <c r="C59" s="235"/>
      <c r="D59" s="235"/>
      <c r="E59" s="234"/>
      <c r="F59" s="230"/>
      <c r="G59" s="230"/>
      <c r="J59" s="306"/>
      <c r="K59" s="47"/>
      <c r="L59" s="14"/>
      <c r="M59" s="14"/>
      <c r="N59" s="14"/>
      <c r="O59" s="14"/>
      <c r="P59" s="14"/>
      <c r="Q59" s="14"/>
      <c r="R59" s="236"/>
      <c r="S59" s="14"/>
      <c r="T59" s="9"/>
      <c r="W59" s="4"/>
    </row>
    <row r="60" spans="1:23" ht="17.399999999999999" x14ac:dyDescent="0.35">
      <c r="B60" s="230"/>
      <c r="C60" s="230"/>
      <c r="D60" s="230"/>
      <c r="E60" s="230"/>
      <c r="F60" s="230"/>
      <c r="G60" s="230"/>
      <c r="I60" s="264"/>
      <c r="J60" s="47"/>
      <c r="K60" s="47"/>
      <c r="L60" s="39" t="e">
        <f>O58</f>
        <v>#REF!</v>
      </c>
      <c r="M60" s="12">
        <v>3500</v>
      </c>
      <c r="N60" s="12" t="e">
        <f t="shared" ref="N60:N65" si="14">L60*M60</f>
        <v>#REF!</v>
      </c>
      <c r="O60" s="14" t="s">
        <v>22</v>
      </c>
      <c r="P60" s="14" t="s">
        <v>23</v>
      </c>
      <c r="Q60" s="14"/>
      <c r="R60" s="239"/>
      <c r="S60" s="14"/>
      <c r="T60" s="9"/>
      <c r="W60" s="4"/>
    </row>
    <row r="61" spans="1:23" ht="17.399999999999999" x14ac:dyDescent="0.35">
      <c r="A61" s="230"/>
      <c r="B61" s="230"/>
      <c r="C61" s="230"/>
      <c r="D61" s="230"/>
      <c r="E61" s="230"/>
      <c r="F61" s="230"/>
      <c r="G61" s="230"/>
      <c r="H61" s="230"/>
      <c r="I61" s="264"/>
      <c r="J61" s="47"/>
      <c r="K61" s="47"/>
      <c r="L61" s="248">
        <v>0.22</v>
      </c>
      <c r="M61" s="12">
        <v>25000</v>
      </c>
      <c r="N61" s="12">
        <f t="shared" si="14"/>
        <v>5500</v>
      </c>
      <c r="O61" s="39" t="s">
        <v>154</v>
      </c>
      <c r="P61" s="42"/>
      <c r="Q61" s="14"/>
      <c r="R61" s="238"/>
      <c r="S61" s="14"/>
      <c r="T61" s="9"/>
      <c r="W61" s="4"/>
    </row>
    <row r="62" spans="1:23" s="230" customFormat="1" ht="17.399999999999999" x14ac:dyDescent="0.35">
      <c r="B62" s="24" t="s">
        <v>153</v>
      </c>
      <c r="I62" s="261"/>
      <c r="J62" s="47"/>
      <c r="K62" s="249"/>
      <c r="L62" s="14"/>
      <c r="M62" s="249">
        <v>150000</v>
      </c>
      <c r="N62" s="12">
        <f t="shared" si="14"/>
        <v>0</v>
      </c>
      <c r="O62" s="39" t="s">
        <v>32</v>
      </c>
      <c r="P62" s="42"/>
      <c r="R62" s="238"/>
      <c r="S62" s="255"/>
      <c r="V62" s="231"/>
    </row>
    <row r="63" spans="1:23" s="230" customFormat="1" ht="17.399999999999999" x14ac:dyDescent="0.35">
      <c r="B63" s="24" t="s">
        <v>146</v>
      </c>
      <c r="C63"/>
      <c r="D63"/>
      <c r="E63"/>
      <c r="F63"/>
      <c r="I63" s="261"/>
      <c r="J63" s="305"/>
      <c r="K63" s="249"/>
      <c r="L63" s="14">
        <v>1</v>
      </c>
      <c r="M63" s="249">
        <v>22000</v>
      </c>
      <c r="N63" s="12">
        <f t="shared" si="14"/>
        <v>22000</v>
      </c>
      <c r="O63" s="14" t="s">
        <v>143</v>
      </c>
      <c r="P63" s="17"/>
      <c r="R63" s="236"/>
      <c r="S63" s="255"/>
      <c r="V63" s="231"/>
    </row>
    <row r="64" spans="1:23" s="230" customFormat="1" ht="17.399999999999999" x14ac:dyDescent="0.35">
      <c r="B64" s="29" t="s">
        <v>127</v>
      </c>
      <c r="C64"/>
      <c r="D64"/>
      <c r="E64"/>
      <c r="F64" s="229" t="s">
        <v>16</v>
      </c>
      <c r="I64" s="261"/>
      <c r="J64" s="305"/>
      <c r="K64" s="249"/>
      <c r="L64" s="248">
        <v>1</v>
      </c>
      <c r="M64" s="249">
        <v>800</v>
      </c>
      <c r="N64" s="12">
        <f t="shared" si="14"/>
        <v>800</v>
      </c>
      <c r="O64" s="14" t="s">
        <v>34</v>
      </c>
      <c r="P64" s="14"/>
      <c r="Q64" s="230">
        <v>1.83</v>
      </c>
      <c r="R64" s="236"/>
      <c r="S64" s="236"/>
    </row>
    <row r="65" spans="2:23" s="230" customFormat="1" ht="17.399999999999999" x14ac:dyDescent="0.35">
      <c r="I65" s="299"/>
      <c r="J65" s="47"/>
      <c r="K65" s="249"/>
      <c r="L65" s="265" t="e">
        <f>L54</f>
        <v>#REF!</v>
      </c>
      <c r="M65" s="12">
        <v>1500</v>
      </c>
      <c r="N65" s="12" t="e">
        <f t="shared" si="14"/>
        <v>#REF!</v>
      </c>
      <c r="O65" s="14" t="s">
        <v>24</v>
      </c>
      <c r="P65" s="14"/>
      <c r="Q65">
        <v>3.66</v>
      </c>
      <c r="R65"/>
      <c r="S65" s="236">
        <v>1500</v>
      </c>
      <c r="W65" s="231"/>
    </row>
    <row r="66" spans="2:23" s="230" customFormat="1" ht="17.399999999999999" x14ac:dyDescent="0.35">
      <c r="I66" s="264"/>
      <c r="J66" s="47"/>
      <c r="K66" s="249"/>
      <c r="L66" s="14"/>
      <c r="M66" s="12"/>
      <c r="N66" s="12" t="e">
        <f>SUM(N60:N65)</f>
        <v>#REF!</v>
      </c>
      <c r="O66" s="39" t="s">
        <v>25</v>
      </c>
      <c r="P66" s="14"/>
      <c r="Q66">
        <f>Q64*Q65</f>
        <v>6.6978000000000009</v>
      </c>
      <c r="R66"/>
      <c r="S66" s="236">
        <f>R58*S65</f>
        <v>60000</v>
      </c>
      <c r="W66" s="231"/>
    </row>
    <row r="67" spans="2:23" s="230" customFormat="1" ht="17.399999999999999" x14ac:dyDescent="0.35">
      <c r="J67" s="47">
        <v>68410</v>
      </c>
      <c r="K67" s="249"/>
      <c r="L67" s="253" t="s">
        <v>35</v>
      </c>
      <c r="M67" s="12"/>
      <c r="N67" s="254" t="e">
        <f>N66*2.2</f>
        <v>#REF!</v>
      </c>
      <c r="O67" s="14" t="s">
        <v>142</v>
      </c>
      <c r="P67" s="14"/>
      <c r="Q67" s="46" t="e">
        <f>O58/Q66</f>
        <v>#REF!</v>
      </c>
      <c r="R67"/>
      <c r="S67" s="256" t="e">
        <f>S66/#REF!</f>
        <v>#REF!</v>
      </c>
    </row>
    <row r="68" spans="2:23" s="230" customFormat="1" ht="17.399999999999999" x14ac:dyDescent="0.35">
      <c r="G68"/>
      <c r="H68" s="259"/>
      <c r="I68" s="259"/>
      <c r="J68" s="47">
        <f>J67/1.19</f>
        <v>57487.394957983197</v>
      </c>
      <c r="K68" s="249"/>
      <c r="L68" s="14"/>
      <c r="M68" s="12"/>
      <c r="N68" s="12" t="e">
        <f>N67/O56</f>
        <v>#REF!</v>
      </c>
      <c r="O68" s="45" t="s">
        <v>26</v>
      </c>
      <c r="P68" s="14"/>
      <c r="Q68" s="14"/>
      <c r="R68"/>
      <c r="S68" s="236"/>
    </row>
    <row r="69" spans="2:23" s="230" customFormat="1" ht="17.399999999999999" x14ac:dyDescent="0.35">
      <c r="G69"/>
      <c r="J69" s="47"/>
      <c r="K69" s="249"/>
      <c r="L69" s="13"/>
      <c r="M69" s="14"/>
      <c r="N69" s="17" t="e">
        <f>N67/N66</f>
        <v>#REF!</v>
      </c>
      <c r="O69" s="15"/>
      <c r="P69"/>
      <c r="Q69"/>
      <c r="R69"/>
      <c r="S69" s="236"/>
    </row>
    <row r="70" spans="2:23" s="230" customFormat="1" ht="17.399999999999999" x14ac:dyDescent="0.35">
      <c r="G70" s="23"/>
      <c r="J70" s="47"/>
      <c r="K70" s="12"/>
      <c r="S70" s="236"/>
    </row>
    <row r="71" spans="2:23" s="230" customFormat="1" ht="17.399999999999999" x14ac:dyDescent="0.35">
      <c r="B71"/>
      <c r="C71" s="228"/>
      <c r="D71" s="228"/>
      <c r="E71" s="22"/>
      <c r="F71" s="21"/>
      <c r="G71" s="23"/>
      <c r="J71" s="47"/>
      <c r="K71" s="12"/>
      <c r="S71" s="236">
        <v>1.83</v>
      </c>
    </row>
    <row r="72" spans="2:23" ht="14.4" customHeight="1" x14ac:dyDescent="0.3">
      <c r="J72" s="47"/>
      <c r="K72" s="12"/>
      <c r="S72">
        <v>2.5</v>
      </c>
    </row>
    <row r="73" spans="2:23" x14ac:dyDescent="0.3">
      <c r="J73" s="47"/>
      <c r="K73" s="249"/>
      <c r="S73">
        <f>S71*S72</f>
        <v>4.5750000000000002</v>
      </c>
    </row>
    <row r="74" spans="2:23" x14ac:dyDescent="0.3">
      <c r="K74" s="249"/>
      <c r="S74" s="269" t="e">
        <f>O58/S73</f>
        <v>#REF!</v>
      </c>
    </row>
    <row r="75" spans="2:23" x14ac:dyDescent="0.3">
      <c r="K75" s="249"/>
    </row>
    <row r="76" spans="2:23" ht="15" customHeight="1" x14ac:dyDescent="0.3"/>
    <row r="78" spans="2:23" x14ac:dyDescent="0.3">
      <c r="N78">
        <v>40935</v>
      </c>
      <c r="O78" t="s">
        <v>17</v>
      </c>
      <c r="P78" t="s">
        <v>28</v>
      </c>
    </row>
    <row r="80" spans="2:23" x14ac:dyDescent="0.3">
      <c r="N80" s="54"/>
      <c r="O80" s="54"/>
    </row>
    <row r="81" spans="14:19" x14ac:dyDescent="0.3">
      <c r="R81" s="18"/>
      <c r="S81" s="18"/>
    </row>
    <row r="82" spans="14:19" x14ac:dyDescent="0.3">
      <c r="R82" s="18"/>
      <c r="S82" s="18"/>
    </row>
    <row r="83" spans="14:19" x14ac:dyDescent="0.3">
      <c r="R83" s="18"/>
      <c r="S83" s="18"/>
    </row>
    <row r="84" spans="14:19" x14ac:dyDescent="0.3">
      <c r="R84" s="18"/>
      <c r="S84" s="18"/>
    </row>
    <row r="85" spans="14:19" x14ac:dyDescent="0.3">
      <c r="R85" s="18"/>
      <c r="S85" s="18"/>
    </row>
    <row r="86" spans="14:19" x14ac:dyDescent="0.3">
      <c r="R86" s="18"/>
      <c r="S86" s="18"/>
    </row>
    <row r="87" spans="14:19" x14ac:dyDescent="0.3">
      <c r="R87" s="18"/>
      <c r="S87" s="18"/>
    </row>
    <row r="88" spans="14:19" x14ac:dyDescent="0.3">
      <c r="R88" s="18"/>
      <c r="S88" s="18"/>
    </row>
    <row r="89" spans="14:19" x14ac:dyDescent="0.3">
      <c r="R89" s="18"/>
      <c r="S89" s="18"/>
    </row>
    <row r="92" spans="14:19" x14ac:dyDescent="0.3">
      <c r="N92" s="43"/>
    </row>
    <row r="93" spans="14:19" x14ac:dyDescent="0.3">
      <c r="N93" s="43"/>
    </row>
    <row r="94" spans="14:19" x14ac:dyDescent="0.3">
      <c r="N94" s="6"/>
    </row>
    <row r="95" spans="14:19" x14ac:dyDescent="0.3">
      <c r="N95" s="6"/>
    </row>
    <row r="103" spans="3:3" x14ac:dyDescent="0.3">
      <c r="C103" t="s">
        <v>150</v>
      </c>
    </row>
    <row r="104" spans="3:3" x14ac:dyDescent="0.3">
      <c r="C104" t="s">
        <v>149</v>
      </c>
    </row>
    <row r="107" spans="3:3" x14ac:dyDescent="0.3">
      <c r="C107" t="s">
        <v>149</v>
      </c>
    </row>
    <row r="184" spans="3:3" x14ac:dyDescent="0.3">
      <c r="C184" t="s">
        <v>149</v>
      </c>
    </row>
    <row r="185" spans="3:3" x14ac:dyDescent="0.3">
      <c r="C185" t="s">
        <v>151</v>
      </c>
    </row>
    <row r="186" spans="3:3" x14ac:dyDescent="0.3">
      <c r="C186" t="s">
        <v>152</v>
      </c>
    </row>
    <row r="611" spans="3:3" x14ac:dyDescent="0.3">
      <c r="C611" t="s">
        <v>149</v>
      </c>
    </row>
  </sheetData>
  <mergeCells count="2">
    <mergeCell ref="F17:H17"/>
    <mergeCell ref="B19:H19"/>
  </mergeCells>
  <phoneticPr fontId="32" type="noConversion"/>
  <hyperlinks>
    <hyperlink ref="F6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45572</v>
      </c>
    </row>
    <row r="6" spans="2:31" ht="16.2" thickBot="1" x14ac:dyDescent="0.35">
      <c r="B6" s="140" t="s">
        <v>2</v>
      </c>
      <c r="C6" s="139" t="str">
        <f>'2229'!C10</f>
        <v>CONSTRUCTORA E INMOBILIARIA CERRO BAYO S.A.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100</v>
      </c>
      <c r="I7" s="338"/>
      <c r="J7" s="338"/>
      <c r="K7" s="339"/>
      <c r="N7" s="75"/>
      <c r="O7" s="336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e">
        <f>'2229'!#REF!</f>
        <v>#REF!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6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 t="e">
        <f>(E15-D11)/X8</f>
        <v>#REF!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'2229'!H54</f>
        <v>76214043</v>
      </c>
      <c r="E11" s="132">
        <f>D11*0.19</f>
        <v>14480668.17</v>
      </c>
      <c r="F11" s="131">
        <f>E11+D11</f>
        <v>90694711.170000002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 t="e">
        <f t="shared" ref="X11:X16" si="2">V11+$X$9</f>
        <v>#REF!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 t="e">
        <f>SUM(M43:M45)</f>
        <v>#REF!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 t="e">
        <f t="shared" si="2"/>
        <v>#REF!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 t="e">
        <f>D11-D12</f>
        <v>#REF!</v>
      </c>
      <c r="E13" s="221" t="e">
        <f>(D11/D12)-1</f>
        <v>#REF!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 t="e">
        <f t="shared" si="2"/>
        <v>#REF!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 t="e">
        <f t="shared" si="2"/>
        <v>#REF!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 t="e">
        <f>(100%+D15)*D12</f>
        <v>#REF!</v>
      </c>
      <c r="F15" s="216" t="e">
        <f>E15-D12</f>
        <v>#REF!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 t="e">
        <f t="shared" si="2"/>
        <v>#REF!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 t="e">
        <f t="shared" si="2"/>
        <v>#REF!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'2229'!N62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'2229'!N61</f>
        <v>5500</v>
      </c>
      <c r="E19" s="123">
        <f>D19*0.19</f>
        <v>1045</v>
      </c>
      <c r="F19" s="120">
        <f>SUM(D19:E19)</f>
        <v>6545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 t="e">
        <f>'2229'!N60</f>
        <v>#REF!</v>
      </c>
      <c r="E20" s="121" t="e">
        <f>D20*0.19</f>
        <v>#REF!</v>
      </c>
      <c r="F20" s="120" t="e">
        <f>SUM(D20:E20)</f>
        <v>#REF!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 t="e">
        <f>SUM(D18:D20)</f>
        <v>#REF!</v>
      </c>
      <c r="E21" s="116" t="e">
        <f>SUM(E18:E20)</f>
        <v>#REF!</v>
      </c>
      <c r="F21" s="115" t="e">
        <f>SUM(F18:F20)</f>
        <v>#REF!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 t="e">
        <f>E11-E21</f>
        <v>#REF!</v>
      </c>
    </row>
    <row r="41" spans="2:16" ht="15" thickBot="1" x14ac:dyDescent="0.35">
      <c r="H41" s="340" t="s">
        <v>62</v>
      </c>
      <c r="I41" s="341"/>
      <c r="J41" s="341"/>
      <c r="K41" s="341"/>
      <c r="L41" s="341"/>
      <c r="M41" s="342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76214043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 t="e">
        <f>D21</f>
        <v>#REF!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 t="e">
        <f>M42-(SUM(M43:M45))</f>
        <v>#REF!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 t="e">
        <f>M46-SUM(M47:M48)</f>
        <v>#REF!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2024-04-01T14:43:24Z</cp:lastPrinted>
  <dcterms:created xsi:type="dcterms:W3CDTF">2013-03-18T13:35:42Z</dcterms:created>
  <dcterms:modified xsi:type="dcterms:W3CDTF">2024-10-07T18:45:17Z</dcterms:modified>
</cp:coreProperties>
</file>