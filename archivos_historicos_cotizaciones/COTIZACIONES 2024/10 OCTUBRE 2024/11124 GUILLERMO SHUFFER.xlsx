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988D4974-A603-4906-9059-F84751FD3D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4" i="1"/>
  <c r="L26" i="1"/>
  <c r="K22" i="1"/>
  <c r="L22" i="1"/>
  <c r="M22" i="1"/>
  <c r="N22" i="1"/>
  <c r="O22" i="1" s="1"/>
  <c r="L23" i="1"/>
  <c r="N23" i="1" s="1"/>
  <c r="M23" i="1"/>
  <c r="H22" i="1"/>
  <c r="H23" i="1"/>
  <c r="L21" i="1"/>
  <c r="K21" i="1"/>
  <c r="M21" i="1"/>
  <c r="H21" i="1"/>
  <c r="O23" i="1" l="1"/>
  <c r="O27" i="1" s="1"/>
  <c r="N21" i="1"/>
  <c r="O21" i="1" s="1"/>
  <c r="J41" i="1"/>
  <c r="S21" i="1" l="1"/>
  <c r="S26" i="1" s="1"/>
  <c r="S27" i="1" s="1"/>
  <c r="S28" i="1" s="1"/>
  <c r="R28" i="1"/>
  <c r="U34" i="1"/>
  <c r="U35" i="1" s="1"/>
  <c r="N33" i="1" l="1"/>
  <c r="O28" i="1" l="1"/>
  <c r="O29" i="1" s="1"/>
  <c r="O30" i="1" s="1"/>
  <c r="L32" i="1" s="1"/>
  <c r="M20" i="1"/>
  <c r="K20" i="1"/>
  <c r="N34" i="1" l="1"/>
  <c r="Q38" i="1"/>
  <c r="N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N32" i="1" l="1"/>
  <c r="N38" i="1" s="1"/>
  <c r="N39" i="1" s="1"/>
  <c r="Q39" i="1"/>
  <c r="D20" i="3" l="1"/>
  <c r="E20" i="3" s="1"/>
  <c r="E21" i="3" s="1"/>
  <c r="N40" i="1" l="1"/>
  <c r="D21" i="3"/>
  <c r="M43" i="3" s="1"/>
  <c r="D12" i="3" s="1"/>
  <c r="F20" i="3"/>
  <c r="F21" i="3" s="1"/>
  <c r="N41" i="1" l="1"/>
  <c r="P20" i="1"/>
  <c r="E15" i="3"/>
  <c r="P23" i="1" l="1"/>
  <c r="Q23" i="1" s="1"/>
  <c r="P22" i="1"/>
  <c r="Q22" i="1" s="1"/>
  <c r="P21" i="1"/>
  <c r="Q21" i="1" s="1"/>
  <c r="F15" i="3"/>
  <c r="H27" i="1" l="1"/>
  <c r="H28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<sst xmlns="http://schemas.openxmlformats.org/spreadsheetml/2006/main" count="236" uniqueCount="177">
  <si>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</si>
  <si>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</si>
  <si>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</si>
  <si>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</si>
  <si>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</si>
  <si>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</si>
  <si>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</si>
  <si>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</si>
  <si>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</si>
  <si>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</si>
  <si>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</si>
  <si>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</si>
  <si>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</si>
  <si>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</si>
  <si>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</si>
  <si>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</si>
  <si>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</si>
  <si>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</si>
  <si>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</si>
  <si>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</si>
  <si>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</si>
  <si>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</si>
  <si>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</si>
  <si>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</si>
  <si>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</si>
  <si>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</si>
  <si>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</si>
  <si>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</si>
  <si>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</si>
  <si>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</si>
  <si>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</si>
  <si>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</si>
  <si>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</si>
  <si>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</si>
  <si>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</si>
  <si>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</si>
  <si>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</si>
  <si>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</si>
  <si>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</si>
  <si>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</si>
  <si>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</si>
  <si>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</si>
  <si>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</si>
  <si>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</si>
  <si>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</si>
  <si>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</si>
  <si>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</si>
  <si>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</si>
  <si>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</si>
  <si>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</si>
  <si>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</si>
  <si>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</si>
  <si>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</si>
  <si>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</si>
  <si>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</si>
  <si>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</si>
  <si>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</si>
  <si>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</si>
  <si>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</si>
  <si>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</si>
  <si>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</si>
  <si>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</si>
  <si>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</si>
  <si>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</si>
  <si>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</si>
  <si>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</si>
  <si>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</si>
  <si>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</si>
  <si>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</si>
  <si>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</si>
  <si>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</si>
  <si>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</si>
  <si>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</si>
  <si>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</si>
  <si>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</si>
  <si>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</si>
  <si>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</si>
  <si>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</si>
  <si>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</si>
  <si>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</si>
  <si>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</si>
  <si>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</si>
  <si>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</si>
  <si>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</si>
  <si>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</si>
  <si>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</si>
  <si>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</si>
  <si>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</si>
  <si>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</si>
  <si>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</si>
  <si>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</si>
  <si>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</si>
  <si>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</si>
  <si>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</si>
  <si>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</si>
  <si>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</si>
  <si>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</si>
  <si>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</si>
  <si>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</si>
  <si>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</si>
  <si>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</si>
  <si>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</si>
  <si>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</si>
  <si>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</si>
  <si>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</si>
  <si>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</si>
  <si>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</si>
  <si>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</si>
  <si>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</si>
  <si>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</si>
  <si>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</si>
  <si>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</si>
  <si>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</si>
  <si>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</si>
  <si>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</si>
  <si>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</si>
  <si>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</si>
  <si>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</si>
  <si>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</si>
  <si>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</si>
  <si>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</si>
  <si>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</si>
  <si>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</si>
  <si>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</si>
  <si>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</si>
  <si>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</si>
  <si>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</si>
  <si>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</si>
  <si>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</si>
  <si>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</si>
  <si>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</si>
  <si>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</si>
  <si>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</si>
  <si>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</si>
  <si>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</si>
  <si>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</si>
  <si>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</si>
  <si>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</si>
  <si>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</si>
  <si>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</si>
  <si>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</si>
  <si>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</si>
  <si>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</si>
  <si>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</si>
  <si>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</si>
  <si>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</si>
  <si>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</si>
  <si>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</si>
  <si>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</si>
  <si>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</si>
  <si>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</si>
  <si>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</si>
  <si>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</si>
  <si>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</si>
  <si>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</si>
  <si>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</si>
  <si>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</si>
  <si>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</si>
  <si>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</si>
  <si>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</si>
  <si>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</si>
  <si>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</si>
  <si>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</si>
  <si>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</si>
  <si>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</si>
  <si>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</si>
  <si>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</si>
  <si>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lamitech</t>
  </si>
  <si>
    <t>SANTIAGO</t>
  </si>
  <si>
    <t>SI</t>
  </si>
  <si>
    <t>5 DIAS HABILES</t>
  </si>
  <si>
    <t>N° 11123</t>
  </si>
  <si>
    <t>GUILLERMO SHUFFER</t>
  </si>
  <si>
    <t>+569 9479 0424</t>
  </si>
  <si>
    <t>CUB S/R R8</t>
  </si>
  <si>
    <t>SERVICIO DE INSTALACION</t>
  </si>
  <si>
    <t>NATURAL ELM NORDIC 1531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</si>
</sst>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11" fillId="0" borderId="35" xfId="0" applyFont="1" applyBorder="1" applyAlignment="1">
      <alignment horizontal="center"/>
    </xf>
    <xf numFmtId="42" fontId="33" fillId="0" borderId="14" xfId="8" applyFont="1" applyFill="1" applyBorder="1"/>
    <xf numFmtId="0" fontId="21" fillId="0" borderId="1" xfId="0" applyFont="1" applyBorder="1" applyAlignment="1">
      <alignment horizontal="center" vertical="center"/>
    </xf>
    <xf numFmtId="41" fontId="22" fillId="0" borderId="1" xfId="4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25</xdr:row>
      <xdr:rowOff>9525</xdr:rowOff>
    </xdr:from>
    <xdr:to>
      <xdr:col>5</xdr:col>
      <xdr:colOff>1594096</xdr:colOff>
      <xdr:row>28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17" zoomScale="93" zoomScaleNormal="93" workbookViewId="0">
      <selection activeCell="J29" sqref="J2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3" t="s">
        <v>171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6" t="s">
        <v>163</v>
      </c>
      <c r="C10" s="279" t="s">
        <v>172</v>
      </c>
      <c r="D10" s="243"/>
      <c r="E10" s="243"/>
      <c r="F10" s="244" t="s">
        <v>0</v>
      </c>
      <c r="G10" s="277">
        <v>45573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299"/>
      <c r="F11" t="s">
        <v>124</v>
      </c>
      <c r="G11" s="289" t="s">
        <v>170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1"/>
      <c r="H13" s="290"/>
      <c r="P13" s="19"/>
      <c r="Q13" s="25"/>
      <c r="R13" s="19"/>
    </row>
    <row r="14" spans="2:23" x14ac:dyDescent="0.3">
      <c r="B14" s="246" t="s">
        <v>140</v>
      </c>
      <c r="C14" s="318"/>
      <c r="D14" s="247"/>
      <c r="E14" s="247"/>
      <c r="F14" s="319" t="s">
        <v>137</v>
      </c>
      <c r="G14" s="291" t="s">
        <v>169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3" t="s">
        <v>173</v>
      </c>
      <c r="D15" s="314"/>
      <c r="F15" t="s">
        <v>135</v>
      </c>
      <c r="G15" s="312" t="s">
        <v>136</v>
      </c>
      <c r="H15" s="290"/>
    </row>
    <row r="16" spans="2:23" ht="16.8" x14ac:dyDescent="0.4">
      <c r="B16" s="320" t="s">
        <v>3</v>
      </c>
      <c r="C16" s="310"/>
      <c r="D16" s="247"/>
      <c r="E16" s="247"/>
      <c r="F16" s="321" t="s">
        <v>130</v>
      </c>
      <c r="G16" s="322" t="s">
        <v>164</v>
      </c>
      <c r="H16" s="248"/>
    </row>
    <row r="17" spans="2:24" ht="15" thickBot="1" x14ac:dyDescent="0.35">
      <c r="B17" s="315" t="s">
        <v>13</v>
      </c>
      <c r="C17" s="316" t="s">
        <v>168</v>
      </c>
      <c r="D17" s="317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7" t="s">
        <v>7</v>
      </c>
      <c r="C20" s="308" t="s">
        <v>1</v>
      </c>
      <c r="D20" s="308" t="s">
        <v>10</v>
      </c>
      <c r="E20" s="308" t="s">
        <v>11</v>
      </c>
      <c r="F20" s="308" t="s">
        <v>8</v>
      </c>
      <c r="G20" s="308" t="s">
        <v>5</v>
      </c>
      <c r="H20" s="309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N40</f>
        <v>90111.407910457157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4">
        <v>1</v>
      </c>
      <c r="C21" s="324" t="s">
        <v>36</v>
      </c>
      <c r="D21" s="325">
        <v>1.9</v>
      </c>
      <c r="E21" s="325">
        <v>0.54</v>
      </c>
      <c r="F21" s="324" t="s">
        <v>176</v>
      </c>
      <c r="G21" s="326">
        <v>97888</v>
      </c>
      <c r="H21" s="326">
        <f>G21*B21</f>
        <v>97888</v>
      </c>
      <c r="I21" s="265"/>
      <c r="J21" s="47"/>
      <c r="K21" s="47">
        <f>B21</f>
        <v>1</v>
      </c>
      <c r="L21" s="39">
        <f>D21+L$19</f>
        <v>1.95</v>
      </c>
      <c r="M21" s="39">
        <f>E21</f>
        <v>0.54</v>
      </c>
      <c r="N21" s="261">
        <f t="shared" ref="N21" si="1">L21*M21</f>
        <v>1.0529999999999999</v>
      </c>
      <c r="O21" s="259">
        <f t="shared" ref="O21" si="2">N21*K21</f>
        <v>1.0529999999999999</v>
      </c>
      <c r="P21" s="252">
        <f t="shared" ref="P21" si="3">P$20*N21</f>
        <v>94887.312529711387</v>
      </c>
      <c r="Q21" s="327">
        <f t="shared" ref="Q21" si="4">P21+Q$20</f>
        <v>97887.312529711387</v>
      </c>
      <c r="R21" s="298"/>
      <c r="S21" s="46">
        <f>M21*2*K21</f>
        <v>1.08</v>
      </c>
      <c r="T21" s="9"/>
      <c r="W21" s="4"/>
    </row>
    <row r="22" spans="2:24" ht="17.399999999999999" x14ac:dyDescent="0.3">
      <c r="B22" s="324">
        <v>1</v>
      </c>
      <c r="C22" s="324" t="s">
        <v>36</v>
      </c>
      <c r="D22" s="325">
        <v>0.94499999999999995</v>
      </c>
      <c r="E22" s="325">
        <v>0.54</v>
      </c>
      <c r="F22" s="324" t="s">
        <v>176</v>
      </c>
      <c r="G22" s="326">
        <v>51417</v>
      </c>
      <c r="H22" s="326">
        <f t="shared" ref="H22:H23" si="5">G22*B22</f>
        <v>51417</v>
      </c>
      <c r="I22" s="265"/>
      <c r="J22" s="47"/>
      <c r="K22" s="47">
        <f t="shared" ref="K22:K23" si="6">B22</f>
        <v>1</v>
      </c>
      <c r="L22" s="39">
        <f t="shared" ref="L22:L23" si="7">D22+L$19</f>
        <v>0.995</v>
      </c>
      <c r="M22" s="39">
        <f t="shared" ref="M22:M23" si="8">E22</f>
        <v>0.54</v>
      </c>
      <c r="N22" s="261">
        <f t="shared" ref="N22:N23" si="9">L22*M22</f>
        <v>0.5373</v>
      </c>
      <c r="O22" s="259">
        <f t="shared" ref="O22:O23" si="10">N22*K22</f>
        <v>0.5373</v>
      </c>
      <c r="P22" s="252">
        <f t="shared" ref="P22:P23" si="11">P$20*N22</f>
        <v>48416.859470288633</v>
      </c>
      <c r="Q22" s="327">
        <f t="shared" ref="Q22:Q23" si="12">P22+Q$20</f>
        <v>51416.859470288633</v>
      </c>
      <c r="R22" s="298"/>
      <c r="S22" s="46"/>
      <c r="T22" s="9"/>
      <c r="W22" s="4"/>
    </row>
    <row r="23" spans="2:24" ht="17.399999999999999" x14ac:dyDescent="0.3">
      <c r="B23" s="324">
        <v>1</v>
      </c>
      <c r="C23" s="324" t="s">
        <v>174</v>
      </c>
      <c r="D23" s="325">
        <v>1.5</v>
      </c>
      <c r="E23" s="325">
        <v>0.32</v>
      </c>
      <c r="F23" s="324" t="s">
        <v>176</v>
      </c>
      <c r="G23" s="326">
        <v>20000</v>
      </c>
      <c r="H23" s="326">
        <f t="shared" si="5"/>
        <v>20000</v>
      </c>
      <c r="I23" s="265"/>
      <c r="J23" s="47"/>
      <c r="K23" s="47"/>
      <c r="L23" s="39">
        <f t="shared" si="7"/>
        <v>1.55</v>
      </c>
      <c r="M23" s="39">
        <f t="shared" si="8"/>
        <v>0.32</v>
      </c>
      <c r="N23" s="261">
        <f t="shared" si="9"/>
        <v>0.49600000000000005</v>
      </c>
      <c r="O23" s="259">
        <f t="shared" si="10"/>
        <v>0</v>
      </c>
      <c r="P23" s="252">
        <f t="shared" si="11"/>
        <v>44695.258323586757</v>
      </c>
      <c r="Q23" s="327">
        <f t="shared" si="12"/>
        <v>47695.258323586757</v>
      </c>
      <c r="R23" s="298"/>
      <c r="S23" s="46"/>
      <c r="T23" s="9"/>
      <c r="W23" s="4"/>
    </row>
    <row r="24" spans="2:24" ht="17.399999999999999" x14ac:dyDescent="0.3">
      <c r="B24" s="324">
        <v>1</v>
      </c>
      <c r="C24" s="324" t="s">
        <v>175</v>
      </c>
      <c r="D24" s="325"/>
      <c r="E24" s="325"/>
      <c r="F24" s="324"/>
      <c r="G24" s="326">
        <v>100000</v>
      </c>
      <c r="H24" s="326">
        <f t="shared" ref="H24" si="13">G24*B24</f>
        <v>100000</v>
      </c>
      <c r="I24" s="265"/>
      <c r="J24" s="47"/>
      <c r="K24" s="47"/>
      <c r="L24" s="39"/>
      <c r="M24" s="39"/>
      <c r="N24" s="261"/>
      <c r="O24" s="259"/>
      <c r="P24" s="252"/>
      <c r="Q24" s="327"/>
      <c r="R24" s="298"/>
      <c r="S24" s="46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30"/>
      <c r="H25" s="331"/>
      <c r="I25" s="233"/>
      <c r="J25" s="47"/>
      <c r="K25" s="47"/>
      <c r="L25" s="39"/>
      <c r="M25" s="39"/>
      <c r="N25" s="261"/>
      <c r="O25" s="259"/>
      <c r="P25" s="252"/>
      <c r="Q25" s="258"/>
      <c r="R25" s="29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28" t="s">
        <v>29</v>
      </c>
      <c r="H26" s="329">
        <f>SUM(H21:H25)</f>
        <v>269305</v>
      </c>
      <c r="I26" s="265"/>
      <c r="J26" s="47">
        <v>2600000</v>
      </c>
      <c r="K26" s="47"/>
      <c r="L26" s="39">
        <f>L21+L22</f>
        <v>2.9449999999999998</v>
      </c>
      <c r="M26" s="39"/>
      <c r="N26" s="261"/>
      <c r="O26" s="259"/>
      <c r="P26" s="252"/>
      <c r="Q26" s="258"/>
      <c r="R26" s="298"/>
      <c r="S26" s="46">
        <f>SUM(S21:S25)</f>
        <v>1.08</v>
      </c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297" t="s">
        <v>52</v>
      </c>
      <c r="H27" s="295">
        <f>H26*19%</f>
        <v>51167.95</v>
      </c>
      <c r="I27" s="265"/>
      <c r="J27" s="47"/>
      <c r="K27" s="47"/>
      <c r="L27" s="39"/>
      <c r="M27" s="12"/>
      <c r="N27" s="12"/>
      <c r="O27" s="253">
        <f>SUM(O21:O23)</f>
        <v>1.5903</v>
      </c>
      <c r="P27" s="14"/>
      <c r="Q27" s="12"/>
      <c r="R27" s="239"/>
      <c r="S27" s="46">
        <f>S26*20%</f>
        <v>0.21600000000000003</v>
      </c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296">
        <f>H26+H27</f>
        <v>320472.95</v>
      </c>
      <c r="I28" s="265"/>
      <c r="J28" s="47"/>
      <c r="K28" s="47"/>
      <c r="L28" s="39"/>
      <c r="M28" s="12"/>
      <c r="N28" s="12"/>
      <c r="O28" s="253">
        <f>O27</f>
        <v>1.5903</v>
      </c>
      <c r="P28" s="14"/>
      <c r="Q28" s="12"/>
      <c r="R28" s="239">
        <f>SUM(R21:R27)</f>
        <v>0</v>
      </c>
      <c r="S28" s="46">
        <f>S26+S27</f>
        <v>1.296</v>
      </c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0.31806000000000001</v>
      </c>
      <c r="P29" s="39" t="s">
        <v>131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/>
      <c r="K30" s="47"/>
      <c r="L30" s="14"/>
      <c r="M30" s="12"/>
      <c r="N30" s="12"/>
      <c r="O30" s="46">
        <f>O28+O29</f>
        <v>1.9083600000000001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/>
      <c r="K31" s="47"/>
      <c r="L31" s="14"/>
      <c r="M31" s="14"/>
      <c r="N31" s="14"/>
      <c r="O31" s="14"/>
      <c r="P31" s="14"/>
      <c r="Q31" s="14"/>
      <c r="R31" s="238"/>
      <c r="S31" s="14"/>
      <c r="T31" s="303" t="s">
        <v>22</v>
      </c>
      <c r="U31" s="300" t="s">
        <v>153</v>
      </c>
      <c r="V31" s="304">
        <v>44971</v>
      </c>
      <c r="W31" s="305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/>
      <c r="K32" s="47"/>
      <c r="L32" s="39">
        <f>O30</f>
        <v>1.9083600000000001</v>
      </c>
      <c r="M32" s="12">
        <v>3500</v>
      </c>
      <c r="N32" s="12">
        <f t="shared" ref="N32:N37" si="14">L32*M32</f>
        <v>6679.26</v>
      </c>
      <c r="O32" s="14" t="s">
        <v>22</v>
      </c>
      <c r="P32" s="14"/>
      <c r="Q32" s="14"/>
      <c r="R32" s="241"/>
      <c r="S32" s="14"/>
      <c r="T32" s="303" t="s">
        <v>154</v>
      </c>
      <c r="U32" s="300">
        <v>3625</v>
      </c>
      <c r="V32" s="59" t="s">
        <v>155</v>
      </c>
      <c r="W32" s="305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 t="s">
        <v>167</v>
      </c>
      <c r="K33" s="47"/>
      <c r="L33" s="249">
        <v>0.7</v>
      </c>
      <c r="M33" s="12">
        <v>25000</v>
      </c>
      <c r="N33" s="12">
        <f t="shared" si="14"/>
        <v>17500</v>
      </c>
      <c r="O33" s="39" t="s">
        <v>32</v>
      </c>
      <c r="P33" s="42"/>
      <c r="Q33" s="14"/>
      <c r="R33" s="240"/>
      <c r="S33" s="14"/>
      <c r="T33" s="303"/>
      <c r="U33" s="59">
        <v>906.25</v>
      </c>
      <c r="V33" s="59" t="s">
        <v>156</v>
      </c>
      <c r="W33" s="305"/>
    </row>
    <row r="34" spans="2:23" s="230" customFormat="1" ht="17.399999999999999" x14ac:dyDescent="0.35">
      <c r="I34" s="262"/>
      <c r="J34" s="232">
        <v>40754</v>
      </c>
      <c r="K34" s="250">
        <v>34989</v>
      </c>
      <c r="L34" s="14"/>
      <c r="M34" s="250">
        <v>61840</v>
      </c>
      <c r="N34" s="12">
        <f t="shared" si="14"/>
        <v>0</v>
      </c>
      <c r="O34" s="39" t="s">
        <v>31</v>
      </c>
      <c r="P34" s="42"/>
      <c r="R34" s="240"/>
      <c r="S34" s="256"/>
      <c r="T34" s="59"/>
      <c r="U34" s="59">
        <f>U33*20%</f>
        <v>181.25</v>
      </c>
      <c r="V34" s="305" t="s">
        <v>157</v>
      </c>
      <c r="W34" s="59"/>
    </row>
    <row r="35" spans="2:23" s="230" customFormat="1" ht="17.399999999999999" x14ac:dyDescent="0.35">
      <c r="B35" s="24" t="s">
        <v>152</v>
      </c>
      <c r="I35" s="262"/>
      <c r="J35" s="232">
        <v>26644</v>
      </c>
      <c r="K35" s="250">
        <v>22025</v>
      </c>
      <c r="L35" s="14">
        <v>1</v>
      </c>
      <c r="M35" s="250">
        <v>36459</v>
      </c>
      <c r="N35" s="12">
        <f t="shared" si="14"/>
        <v>36459</v>
      </c>
      <c r="O35" s="14" t="s">
        <v>142</v>
      </c>
      <c r="P35" s="17"/>
      <c r="R35" s="238"/>
      <c r="S35" s="256"/>
      <c r="T35" s="59"/>
      <c r="U35" s="59">
        <f>U33+U34</f>
        <v>1087.5</v>
      </c>
      <c r="V35" s="305" t="s">
        <v>158</v>
      </c>
      <c r="W35" s="59"/>
    </row>
    <row r="36" spans="2:23" s="230" customFormat="1" ht="17.399999999999999" x14ac:dyDescent="0.35">
      <c r="B36" s="24" t="s">
        <v>145</v>
      </c>
      <c r="C36"/>
      <c r="D36"/>
      <c r="E36"/>
      <c r="F36"/>
      <c r="I36" s="262"/>
      <c r="K36" s="250"/>
      <c r="L36" s="249"/>
      <c r="M36" s="250">
        <v>300</v>
      </c>
      <c r="N36" s="12">
        <f t="shared" si="14"/>
        <v>0</v>
      </c>
      <c r="O36" s="14" t="s">
        <v>33</v>
      </c>
      <c r="P36" s="14"/>
      <c r="Q36" s="230">
        <v>1.52</v>
      </c>
      <c r="R36" s="238"/>
      <c r="S36" s="238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294"/>
      <c r="K37" s="250"/>
      <c r="L37" s="266">
        <v>3</v>
      </c>
      <c r="M37" s="12">
        <v>1500</v>
      </c>
      <c r="N37" s="12">
        <f t="shared" si="14"/>
        <v>4500</v>
      </c>
      <c r="O37" s="14" t="s">
        <v>23</v>
      </c>
      <c r="P37" s="14"/>
      <c r="Q37">
        <v>2.44</v>
      </c>
      <c r="R37"/>
      <c r="S37" s="238"/>
      <c r="W37" s="231"/>
    </row>
    <row r="38" spans="2:23" s="230" customFormat="1" ht="17.399999999999999" x14ac:dyDescent="0.35">
      <c r="K38" s="250"/>
      <c r="L38" s="14"/>
      <c r="M38" s="12"/>
      <c r="N38" s="12">
        <f>SUM(N32:N37)</f>
        <v>65138.26</v>
      </c>
      <c r="O38" s="39" t="s">
        <v>24</v>
      </c>
      <c r="P38" s="14"/>
      <c r="Q38">
        <f>Q36*Q37</f>
        <v>3.7088000000000001</v>
      </c>
      <c r="R38"/>
      <c r="S38" s="238"/>
      <c r="W38" s="231"/>
    </row>
    <row r="39" spans="2:23" s="230" customFormat="1" ht="17.399999999999999" x14ac:dyDescent="0.35">
      <c r="K39" s="250"/>
      <c r="L39" s="254" t="s">
        <v>34</v>
      </c>
      <c r="M39" s="12"/>
      <c r="N39" s="255">
        <f>N38*2.2</f>
        <v>143304.17200000002</v>
      </c>
      <c r="O39" s="14" t="s">
        <v>141</v>
      </c>
      <c r="P39" s="14"/>
      <c r="Q39" s="40">
        <f>O30/Q38</f>
        <v>0.51454918032786889</v>
      </c>
      <c r="R39"/>
      <c r="S39" s="257"/>
    </row>
    <row r="40" spans="2:23" s="230" customFormat="1" ht="17.399999999999999" x14ac:dyDescent="0.35">
      <c r="G40"/>
      <c r="H40" s="260"/>
      <c r="I40" s="260"/>
      <c r="J40" s="230">
        <v>43387</v>
      </c>
      <c r="K40" s="250"/>
      <c r="L40" s="14"/>
      <c r="M40" s="12"/>
      <c r="N40" s="12">
        <f>N39/O28</f>
        <v>90111.407910457157</v>
      </c>
      <c r="O40" s="45" t="s">
        <v>25</v>
      </c>
      <c r="P40" s="14"/>
      <c r="Q40" s="14"/>
      <c r="R40"/>
      <c r="S40" s="238"/>
      <c r="T40" s="59" t="s">
        <v>159</v>
      </c>
      <c r="U40" s="300">
        <v>43650</v>
      </c>
    </row>
    <row r="41" spans="2:23" s="230" customFormat="1" ht="17.399999999999999" x14ac:dyDescent="0.35">
      <c r="G41"/>
      <c r="H41" s="230" t="s">
        <v>165</v>
      </c>
      <c r="J41" s="230">
        <f>J40/1.19</f>
        <v>36459.663865546223</v>
      </c>
      <c r="K41" s="250"/>
      <c r="L41" s="13"/>
      <c r="M41" s="14"/>
      <c r="N41" s="17">
        <f>N39/N38</f>
        <v>2.2000000000000002</v>
      </c>
      <c r="O41" s="15"/>
      <c r="P41"/>
      <c r="Q41"/>
      <c r="R41"/>
      <c r="S41" s="238"/>
      <c r="T41" s="59" t="s">
        <v>161</v>
      </c>
      <c r="U41" s="301" t="s">
        <v>160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162</v>
      </c>
      <c r="U42" s="302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K43" s="12"/>
      <c r="S43" s="238"/>
      <c r="T43" s="59" t="s">
        <v>157</v>
      </c>
      <c r="U43" s="59">
        <v>474.45</v>
      </c>
    </row>
    <row r="44" spans="2:23" ht="14.4" customHeight="1" x14ac:dyDescent="0.3">
      <c r="K44" s="12"/>
      <c r="T44" s="59"/>
      <c r="U44" s="59"/>
    </row>
    <row r="45" spans="2:23" x14ac:dyDescent="0.3">
      <c r="K45" s="250"/>
    </row>
    <row r="46" spans="2:23" x14ac:dyDescent="0.3">
      <c r="K46" s="250"/>
      <c r="S46" s="270"/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149</v>
      </c>
    </row>
    <row r="76" spans="3:14" x14ac:dyDescent="0.3">
      <c r="C76" t="s">
        <v>148</v>
      </c>
    </row>
    <row r="79" spans="3:14" x14ac:dyDescent="0.3">
      <c r="C79" t="s">
        <v>148</v>
      </c>
    </row>
    <row r="156" spans="3:3" x14ac:dyDescent="0.3">
      <c r="C156" t="s">
        <v>148</v>
      </c>
    </row>
    <row r="157" spans="3:3" x14ac:dyDescent="0.3">
      <c r="C157" t="s">
        <v>150</v>
      </c>
    </row>
    <row r="158" spans="3:3" x14ac:dyDescent="0.3">
      <c r="C158" t="s">
        <v>151</v>
      </c>
    </row>
    <row r="583" spans="3:3" x14ac:dyDescent="0.3">
      <c r="C583" t="s">
        <v>148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45573</v>
      </c>
    </row>
    <row r="6" spans="2:31" ht="16.2" thickBot="1" x14ac:dyDescent="0.35">
      <c r="B6" s="140" t="s">
        <v>2</v>
      </c>
      <c r="C6" s="139" t="str">
        <f>'2229'!C10</f>
        <v>GUILLERMO SHUFFER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11123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-30030.495200120775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269305</v>
      </c>
      <c r="E11" s="132">
        <f>D11*0.19</f>
        <v>51167.95</v>
      </c>
      <c r="F11" s="131">
        <f>E11+D11</f>
        <v>320472.95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75959.504799879229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54013.350787439616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57959.504799879229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215291.64921256038</v>
      </c>
      <c r="E13" s="221">
        <f>(D11/D12)-1</f>
        <v>3.9858969324048079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48959.504799879229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9959.5047998792252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89122.028799275358</v>
      </c>
      <c r="F15" s="216">
        <f>E15-D12</f>
        <v>35108.678011835742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9959.5047998792252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49959.504799879229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17500</v>
      </c>
      <c r="E19" s="123">
        <f>D19*0.19</f>
        <v>3325</v>
      </c>
      <c r="F19" s="120">
        <f>SUM(D19:E19)</f>
        <v>20825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6679.26</v>
      </c>
      <c r="E20" s="121">
        <f>D20*0.19</f>
        <v>1269.0594000000001</v>
      </c>
      <c r="F20" s="120">
        <f>SUM(D20:E20)</f>
        <v>7948.3194000000003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24179.260000000002</v>
      </c>
      <c r="E21" s="116">
        <f>SUM(E18:E20)</f>
        <v>4594.0594000000001</v>
      </c>
      <c r="F21" s="115">
        <f>SUM(F18:F20)</f>
        <v>28773.3194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46573.890599999999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269305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24179.260000000002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215291.64921256038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215291.64921256038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2024-06-10T15:47:42Z</cp:lastPrinted>
  <dcterms:created xsi:type="dcterms:W3CDTF">2013-03-18T13:35:42Z</dcterms:created>
  <dcterms:modified xsi:type="dcterms:W3CDTF">2024-10-08T19:55:34Z</dcterms:modified>
</cp:coreProperties>
</file>