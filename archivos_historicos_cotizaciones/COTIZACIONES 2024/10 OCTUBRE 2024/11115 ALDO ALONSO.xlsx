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5A80FFBE-BCF9-46EC-ABD1-483FCF4E2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1" i="1"/>
  <c r="K22" i="1"/>
  <c r="L22" i="1"/>
  <c r="M22" i="1"/>
  <c r="K23" i="1"/>
  <c r="L23" i="1"/>
  <c r="M23" i="1"/>
  <c r="H22" i="1"/>
  <c r="H23" i="1"/>
  <c r="K21" i="1"/>
  <c r="J42" i="1"/>
  <c r="L21" i="1"/>
  <c r="M21" i="1"/>
  <c r="N23" i="1" l="1"/>
  <c r="O23" i="1" s="1"/>
  <c r="R23" i="1"/>
  <c r="N22" i="1"/>
  <c r="O22" i="1" s="1"/>
  <c r="R22" i="1"/>
  <c r="L27" i="1"/>
  <c r="S21" i="1"/>
  <c r="R21" i="1"/>
  <c r="N21" i="1"/>
  <c r="O21" i="1" s="1"/>
  <c r="U35" i="1"/>
  <c r="U36" i="1" s="1"/>
  <c r="R29" i="1" l="1"/>
  <c r="O28" i="1"/>
  <c r="N34" i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Q40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2" i="1" l="1"/>
  <c r="Q22" i="1" s="1"/>
  <c r="P23" i="1"/>
  <c r="Q23" i="1" s="1"/>
  <c r="P21" i="1"/>
  <c r="F15" i="3"/>
  <c r="Q21" i="1" l="1"/>
  <c r="H28" i="1" s="1"/>
  <c r="D11" i="3" l="1"/>
  <c r="X9" i="3" s="1"/>
  <c r="X15" i="3" s="1"/>
  <c r="H29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<sst xmlns="http://schemas.openxmlformats.org/spreadsheetml/2006/main" count="232" uniqueCount="173">
  <si>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</si>
  <si>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</si>
  <si>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</si>
  <si>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</si>
  <si>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</si>
  <si>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</si>
  <si>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</si>
  <si>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</si>
  <si>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</si>
  <si>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</si>
  <si>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</si>
  <si>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</si>
  <si>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</si>
  <si>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</si>
  <si>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</si>
  <si>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</si>
  <si>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</si>
  <si>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</si>
  <si>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</si>
  <si>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</si>
  <si>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</si>
  <si>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</si>
  <si>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</si>
  <si>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</si>
  <si>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</si>
  <si>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</si>
  <si>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</si>
  <si>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</si>
  <si>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</si>
  <si>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</si>
  <si>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</si>
  <si>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</si>
  <si>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</si>
  <si>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</si>
  <si>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</si>
  <si>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</si>
  <si>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</si>
  <si>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</si>
  <si>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</si>
  <si>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</si>
  <si>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</si>
  <si>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</si>
  <si>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</si>
  <si>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</si>
  <si>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</si>
  <si>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</si>
  <si>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</si>
  <si>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</si>
  <si>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</si>
  <si>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</si>
  <si>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</si>
  <si>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</si>
  <si>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</si>
  <si>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</si>
  <si>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</si>
  <si>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</si>
  <si>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</si>
  <si>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</si>
  <si>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</si>
  <si>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</si>
  <si>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</si>
  <si>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</si>
  <si>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</si>
  <si>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</si>
  <si>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</si>
  <si>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</si>
  <si>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</si>
  <si>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</si>
  <si>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</si>
  <si>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</si>
  <si>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</si>
  <si>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</si>
  <si>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</si>
  <si>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</si>
  <si>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</si>
  <si>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</si>
  <si>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</si>
  <si>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</si>
  <si>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</si>
  <si>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</si>
  <si>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</si>
  <si>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</si>
  <si>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</si>
  <si>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</si>
  <si>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</si>
  <si>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</si>
  <si>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</si>
  <si>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</si>
  <si>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</si>
  <si>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</si>
  <si>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</si>
  <si>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</si>
  <si>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</si>
  <si>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</si>
  <si>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</si>
  <si>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</si>
  <si>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</si>
  <si>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</si>
  <si>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</si>
  <si>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</si>
  <si>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</si>
  <si>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</si>
  <si>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</si>
  <si>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</si>
  <si>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</si>
  <si>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</si>
  <si>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</si>
  <si>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</si>
  <si>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</si>
  <si>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</si>
  <si>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</si>
  <si>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</si>
  <si>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</si>
  <si>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</si>
  <si>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</si>
  <si>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</si>
  <si>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</si>
  <si>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</si>
  <si>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</si>
  <si>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</si>
  <si>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</si>
  <si>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</si>
  <si>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</si>
  <si>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</si>
  <si>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</si>
  <si>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</si>
  <si>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</si>
  <si>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</si>
  <si>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</si>
  <si>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</si>
  <si>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</si>
  <si>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</si>
  <si>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</si>
  <si>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</si>
  <si>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</si>
  <si>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</si>
  <si>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</si>
  <si>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</si>
  <si>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</si>
  <si>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</si>
  <si>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</si>
  <si>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</si>
  <si>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</si>
  <si>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</si>
  <si>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</si>
  <si>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</si>
  <si>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</si>
  <si>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</si>
  <si>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</si>
  <si>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</si>
  <si>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</si>
  <si>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</si>
  <si>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</si>
  <si>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</si>
  <si>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</si>
  <si>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</si>
  <si>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</si>
  <si>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</si>
  <si>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</si>
  <si>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</si>
  <si>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</si>
  <si>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</si>
  <si>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</si>
  <si>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</si>
  <si>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</si>
  <si>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</si>
  <si>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5 DIAS HABILES</t>
  </si>
  <si>
    <t>ALDO ALONSO</t>
  </si>
  <si>
    <t>CORTE 45°</t>
  </si>
  <si>
    <t>ESKELETOR</t>
  </si>
  <si>
    <t>SANTIAGO</t>
  </si>
  <si>
    <t>569 6553 8620</t>
  </si>
  <si>
    <t>SKELETON MARBLE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</si>
</sst>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25</xdr:row>
      <xdr:rowOff>222558</xdr:rowOff>
    </xdr:from>
    <xdr:to>
      <xdr:col>5</xdr:col>
      <xdr:colOff>1659644</xdr:colOff>
      <xdr:row>29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8" zoomScale="93" zoomScaleNormal="93" workbookViewId="0">
      <selection activeCell="D21" sqref="D21: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11115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167</v>
      </c>
      <c r="D10" s="243"/>
      <c r="E10" s="243"/>
      <c r="F10" s="244" t="s">
        <v>0</v>
      </c>
      <c r="G10" s="277">
        <v>45569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169</v>
      </c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170</v>
      </c>
      <c r="D17" s="299"/>
      <c r="E17" s="300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71696.870342771974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36</v>
      </c>
      <c r="D21" s="325">
        <v>2.2400000000000002</v>
      </c>
      <c r="E21" s="325">
        <v>0.61</v>
      </c>
      <c r="F21" s="324" t="s">
        <v>172</v>
      </c>
      <c r="G21" s="326">
        <v>100153</v>
      </c>
      <c r="H21" s="327">
        <f t="shared" ref="H21:H23" si="1">G21*B21</f>
        <v>100153</v>
      </c>
      <c r="I21" s="265"/>
      <c r="J21" s="47"/>
      <c r="K21" s="331">
        <f>B21</f>
        <v>1</v>
      </c>
      <c r="L21" s="332">
        <f t="shared" ref="L21" si="2">D21+L$19</f>
        <v>2.29</v>
      </c>
      <c r="M21" s="332">
        <f t="shared" ref="M21" si="3">E21+M$19</f>
        <v>0.61</v>
      </c>
      <c r="N21" s="261">
        <f t="shared" ref="N21" si="4">L21*M21</f>
        <v>1.3969</v>
      </c>
      <c r="O21" s="259">
        <f t="shared" ref="O21" si="5">N21*K21</f>
        <v>1.3969</v>
      </c>
      <c r="P21" s="252">
        <f>P$20*N21</f>
        <v>100153.35818181817</v>
      </c>
      <c r="Q21" s="258">
        <f t="shared" ref="Q21" si="6">P21+Q$20</f>
        <v>103153.35818181817</v>
      </c>
      <c r="R21" s="309">
        <f>L21*K21*2</f>
        <v>4.58</v>
      </c>
      <c r="S21" s="46">
        <f>M21*K21*2</f>
        <v>1.22</v>
      </c>
      <c r="T21" s="9"/>
      <c r="W21" s="4"/>
    </row>
    <row r="22" spans="2:24" ht="18" thickBot="1" x14ac:dyDescent="0.35">
      <c r="B22" s="323">
        <v>1</v>
      </c>
      <c r="C22" s="324" t="s">
        <v>36</v>
      </c>
      <c r="D22" s="325">
        <v>1.29</v>
      </c>
      <c r="E22" s="325">
        <v>0.61</v>
      </c>
      <c r="F22" s="324" t="s">
        <v>172</v>
      </c>
      <c r="G22" s="326">
        <v>61605</v>
      </c>
      <c r="H22" s="327">
        <f t="shared" si="1"/>
        <v>61605</v>
      </c>
      <c r="I22" s="265"/>
      <c r="J22" s="47"/>
      <c r="K22" s="331">
        <f t="shared" ref="K22:K23" si="7">B22</f>
        <v>1</v>
      </c>
      <c r="L22" s="332">
        <f t="shared" ref="L22:L23" si="8">D22+L$19</f>
        <v>1.34</v>
      </c>
      <c r="M22" s="332">
        <f t="shared" ref="M22:M23" si="9">E22+M$19</f>
        <v>0.61</v>
      </c>
      <c r="N22" s="261">
        <f t="shared" ref="N22:N23" si="10">L22*M22</f>
        <v>0.81740000000000002</v>
      </c>
      <c r="O22" s="259">
        <f t="shared" ref="O22:O23" si="11">N22*K22</f>
        <v>0.81740000000000002</v>
      </c>
      <c r="P22" s="252">
        <f t="shared" ref="P22:P23" si="12">P$20*N22</f>
        <v>58605.021818181813</v>
      </c>
      <c r="Q22" s="258">
        <f t="shared" ref="Q22:Q23" si="13">P22+Q$20</f>
        <v>61605.021818181813</v>
      </c>
      <c r="R22" s="309">
        <f t="shared" ref="R22:R23" si="14">L22*K22*2</f>
        <v>2.68</v>
      </c>
      <c r="S22" s="46"/>
      <c r="T22" s="9"/>
      <c r="W22" s="4"/>
    </row>
    <row r="23" spans="2:24" ht="17.399999999999999" x14ac:dyDescent="0.3">
      <c r="B23" s="323">
        <v>2</v>
      </c>
      <c r="C23" s="324" t="s">
        <v>168</v>
      </c>
      <c r="D23" s="325"/>
      <c r="E23" s="325"/>
      <c r="F23" s="324"/>
      <c r="G23" s="326">
        <v>10000</v>
      </c>
      <c r="H23" s="327">
        <f t="shared" si="1"/>
        <v>20000</v>
      </c>
      <c r="I23" s="265"/>
      <c r="J23" s="47"/>
      <c r="K23" s="331">
        <f t="shared" si="7"/>
        <v>2</v>
      </c>
      <c r="L23" s="332">
        <f t="shared" si="8"/>
        <v>0.05</v>
      </c>
      <c r="M23" s="332">
        <f t="shared" si="9"/>
        <v>0</v>
      </c>
      <c r="N23" s="261">
        <f t="shared" si="10"/>
        <v>0</v>
      </c>
      <c r="O23" s="259">
        <f t="shared" si="11"/>
        <v>0</v>
      </c>
      <c r="P23" s="252">
        <f t="shared" si="12"/>
        <v>0</v>
      </c>
      <c r="Q23" s="258">
        <f t="shared" si="13"/>
        <v>3000</v>
      </c>
      <c r="R23" s="309">
        <f t="shared" si="14"/>
        <v>0.2</v>
      </c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0"/>
      <c r="H24" s="330"/>
      <c r="I24" s="265"/>
      <c r="J24" s="47"/>
      <c r="K24" s="331"/>
      <c r="L24" s="332"/>
      <c r="M24" s="332"/>
      <c r="N24" s="261"/>
      <c r="O24" s="259"/>
      <c r="P24" s="252"/>
      <c r="Q24" s="258"/>
      <c r="R24" s="309"/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0"/>
      <c r="H25" s="330"/>
      <c r="I25" s="265"/>
      <c r="J25" s="47"/>
      <c r="K25" s="47"/>
      <c r="L25" s="39"/>
      <c r="M25" s="39"/>
      <c r="N25" s="261"/>
      <c r="O25" s="259"/>
      <c r="P25" s="252"/>
      <c r="Q25" s="258"/>
      <c r="R25" s="309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309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10" t="s">
        <v>29</v>
      </c>
      <c r="H27" s="311">
        <f>SUM(H21:H26)</f>
        <v>181758</v>
      </c>
      <c r="I27" s="265"/>
      <c r="J27" s="47"/>
      <c r="K27" s="47"/>
      <c r="L27" s="39">
        <f>SUM(L21:L26)</f>
        <v>3.6799999999999997</v>
      </c>
      <c r="M27" s="39"/>
      <c r="N27" s="261"/>
      <c r="O27" s="259"/>
      <c r="P27" s="252"/>
      <c r="Q27" s="258"/>
      <c r="R27" s="309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8" t="s">
        <v>52</v>
      </c>
      <c r="H28" s="305">
        <f>H27*19%</f>
        <v>34534.019999999997</v>
      </c>
      <c r="I28" s="265"/>
      <c r="J28" s="47"/>
      <c r="K28" s="47"/>
      <c r="L28" s="39"/>
      <c r="M28" s="12"/>
      <c r="N28" s="12"/>
      <c r="O28" s="253">
        <f>SUM(O21:O23)</f>
        <v>2.2143000000000002</v>
      </c>
      <c r="P28" s="14"/>
      <c r="Q28" s="12"/>
      <c r="R28" s="239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6">
        <f>H27+H28</f>
        <v>216292.02</v>
      </c>
      <c r="I29" s="265"/>
      <c r="J29" s="47"/>
      <c r="K29" s="47"/>
      <c r="L29" s="39"/>
      <c r="M29" s="12"/>
      <c r="N29" s="12"/>
      <c r="O29" s="253">
        <f>O28</f>
        <v>2.2143000000000002</v>
      </c>
      <c r="P29" s="14"/>
      <c r="Q29" s="12"/>
      <c r="R29" s="239">
        <f>SUM(R21:R28)</f>
        <v>7.46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0.44286000000000003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2.6571600000000002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16" t="s">
        <v>22</v>
      </c>
      <c r="U32" s="313" t="s">
        <v>153</v>
      </c>
      <c r="V32" s="317">
        <v>44971</v>
      </c>
      <c r="W32" s="318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2.6571600000000002</v>
      </c>
      <c r="M33" s="12">
        <v>2500</v>
      </c>
      <c r="N33" s="12">
        <f t="shared" ref="N33:N38" si="15">L33*M33</f>
        <v>6642.9000000000005</v>
      </c>
      <c r="O33" s="14" t="s">
        <v>22</v>
      </c>
      <c r="P33" s="14"/>
      <c r="Q33" s="14"/>
      <c r="R33" s="241"/>
      <c r="S33" s="14"/>
      <c r="T33" s="316" t="s">
        <v>154</v>
      </c>
      <c r="U33" s="313">
        <v>3625</v>
      </c>
      <c r="V33" s="59" t="s">
        <v>155</v>
      </c>
      <c r="W33" s="318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0.8</v>
      </c>
      <c r="M34" s="12">
        <v>25000</v>
      </c>
      <c r="N34" s="12">
        <f t="shared" si="15"/>
        <v>20000</v>
      </c>
      <c r="O34" s="39" t="s">
        <v>32</v>
      </c>
      <c r="P34" s="42"/>
      <c r="Q34" s="14"/>
      <c r="R34" s="240"/>
      <c r="S34" s="14"/>
      <c r="T34" s="316"/>
      <c r="U34" s="59">
        <v>906.25</v>
      </c>
      <c r="V34" s="59" t="s">
        <v>156</v>
      </c>
      <c r="W34" s="318"/>
    </row>
    <row r="35" spans="2:23" s="230" customFormat="1" ht="17.399999999999999" x14ac:dyDescent="0.35">
      <c r="I35" s="262"/>
      <c r="J35" s="232"/>
      <c r="K35" s="250"/>
      <c r="L35" s="14"/>
      <c r="M35" s="250">
        <v>34000</v>
      </c>
      <c r="N35" s="12">
        <f t="shared" si="15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18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2</v>
      </c>
      <c r="M36" s="250">
        <v>20000</v>
      </c>
      <c r="N36" s="12">
        <f t="shared" si="15"/>
        <v>40000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18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5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304"/>
      <c r="K38" s="250"/>
      <c r="L38" s="266">
        <v>3.68</v>
      </c>
      <c r="M38" s="12">
        <v>1500</v>
      </c>
      <c r="N38" s="12">
        <f t="shared" si="15"/>
        <v>5520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72162.899999999994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158758.38</v>
      </c>
      <c r="O40" s="14" t="s">
        <v>141</v>
      </c>
      <c r="P40" s="14"/>
      <c r="Q40" s="40">
        <f>O31/Q39</f>
        <v>0.71644736842105261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83200</v>
      </c>
      <c r="K41" s="250"/>
      <c r="L41" s="14"/>
      <c r="M41" s="12"/>
      <c r="N41" s="12">
        <f>N40/O29</f>
        <v>71696.870342771974</v>
      </c>
      <c r="O41" s="45" t="s">
        <v>25</v>
      </c>
      <c r="P41" s="14"/>
      <c r="Q41" s="14"/>
      <c r="R41"/>
      <c r="S41" s="238"/>
      <c r="T41" s="59" t="s">
        <v>159</v>
      </c>
      <c r="U41" s="313">
        <v>43650</v>
      </c>
    </row>
    <row r="42" spans="2:23" s="230" customFormat="1" ht="17.399999999999999" x14ac:dyDescent="0.35">
      <c r="G42"/>
      <c r="J42" s="230">
        <f>J41/1.19</f>
        <v>69915.966386554632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14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15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45569</v>
      </c>
    </row>
    <row r="6" spans="2:31" ht="16.2" thickBot="1" x14ac:dyDescent="0.35">
      <c r="B6" s="140" t="s">
        <v>2</v>
      </c>
      <c r="C6" s="139" t="str">
        <f>'2229'!C10</f>
        <v>ALDO ALONSO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11115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-14761.827533454105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181758</v>
      </c>
      <c r="E11" s="132">
        <f>D11*0.19</f>
        <v>34534.019999999997</v>
      </c>
      <c r="F11" s="131">
        <f>E11+D11</f>
        <v>216292.02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91228.17246654589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56476.990787439616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73228.17246654589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125281.00921256038</v>
      </c>
      <c r="E13" s="221">
        <f>(D11/D12)-1</f>
        <v>2.2182663676978813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64228.172466545897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25228.172466545897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93187.034799275367</v>
      </c>
      <c r="F15" s="216">
        <f>E15-D12</f>
        <v>36710.044011835751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25228.172466545897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65228.172466545897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6642.9000000000005</v>
      </c>
      <c r="E20" s="121">
        <f>D20*0.19</f>
        <v>1262.1510000000001</v>
      </c>
      <c r="F20" s="120">
        <f>SUM(D20:E20)</f>
        <v>7905.0510000000004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26642.9</v>
      </c>
      <c r="E21" s="116">
        <f>SUM(E18:E20)</f>
        <v>5062.1509999999998</v>
      </c>
      <c r="F21" s="115">
        <f>SUM(F18:F20)</f>
        <v>31705.050999999999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29471.868999999999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181758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26642.9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125281.00921256038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125281.00921256038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2024-08-28T20:04:14Z</cp:lastPrinted>
  <dcterms:created xsi:type="dcterms:W3CDTF">2013-03-18T13:35:42Z</dcterms:created>
  <dcterms:modified xsi:type="dcterms:W3CDTF">2024-10-07T19:54:41Z</dcterms:modified>
</cp:coreProperties>
</file>