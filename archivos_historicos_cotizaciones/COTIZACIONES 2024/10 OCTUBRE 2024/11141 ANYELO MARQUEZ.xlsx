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1B3E10F2-5783-47B1-8ECD-7BA1A484E7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9" i="1" l="1"/>
  <c r="W35" i="1"/>
  <c r="V32" i="1"/>
  <c r="X22" i="1"/>
  <c r="K21" i="1" l="1"/>
  <c r="K10" i="1"/>
  <c r="J38" i="1" l="1"/>
  <c r="L21" i="1" l="1"/>
  <c r="L24" i="1" s="1"/>
  <c r="M21" i="1"/>
  <c r="N21" i="1" l="1"/>
  <c r="R21" i="1"/>
  <c r="U21" i="1" s="1"/>
  <c r="N31" i="1"/>
  <c r="O21" i="1" l="1"/>
  <c r="S43" i="1"/>
  <c r="O23" i="1" l="1"/>
  <c r="O24" i="1" s="1"/>
  <c r="O25" i="1" s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6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E15" i="3"/>
  <c r="P20" i="1" l="1"/>
  <c r="F15" i="3"/>
  <c r="P21" i="1" l="1"/>
  <c r="R26" i="1"/>
  <c r="T20" i="1" l="1"/>
  <c r="Q21" i="1"/>
  <c r="G21" i="1" l="1"/>
  <c r="H21" i="1" s="1"/>
  <c r="H24" i="1" s="1"/>
  <c r="H25" i="1" l="1"/>
  <c r="H26" i="1" s="1"/>
  <c r="D11" i="3"/>
  <c r="M42" i="3" s="1"/>
  <c r="M46" i="3" s="1"/>
  <c r="M49" i="3" s="1"/>
  <c r="E13" i="3" l="1"/>
  <c r="D13" i="3"/>
  <c r="E11" i="3"/>
  <c r="X9" i="3"/>
  <c r="D40" i="3" l="1"/>
  <c r="F11" i="3"/>
  <c r="X12" i="3"/>
  <c r="X13" i="3"/>
  <c r="X11" i="3"/>
  <c r="X15" i="3"/>
  <c r="X14" i="3"/>
  <c r="X16" i="3"/>
</calcChain>
</file>

<file path=xl/sharedStrings.xml><?xml version="1.0" encoding="utf-8"?>
<sst xmlns="http://schemas.openxmlformats.org/spreadsheetml/2006/main" count="221" uniqueCount="167">
  <si>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</si>
  <si>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</si>
  <si>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</si>
  <si>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</si>
  <si>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</si>
  <si>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</si>
  <si>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</si>
  <si>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</si>
  <si>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</si>
  <si>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</si>
  <si>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</si>
  <si>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</si>
  <si>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</si>
  <si>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</si>
  <si>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</si>
  <si>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</si>
  <si>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</si>
  <si>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</si>
  <si>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</si>
  <si>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</si>
  <si>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</si>
  <si>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</si>
  <si>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</si>
  <si>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</si>
  <si>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</si>
  <si>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</si>
  <si>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</si>
  <si>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</si>
  <si>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</si>
  <si>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</si>
  <si>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</si>
  <si>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</si>
  <si>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</si>
  <si>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</si>
  <si>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</si>
  <si>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</si>
  <si>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</si>
  <si>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</si>
  <si>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</si>
  <si>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</si>
  <si>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</si>
  <si>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</si>
  <si>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</si>
  <si>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</si>
  <si>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</si>
  <si>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</si>
  <si>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</si>
  <si>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</si>
  <si>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</si>
  <si>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</si>
  <si>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</si>
  <si>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</si>
  <si>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</si>
  <si>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</si>
  <si>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</si>
  <si>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</si>
  <si>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</si>
  <si>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</si>
  <si>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</si>
  <si>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</si>
  <si>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</si>
  <si>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</si>
  <si>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</si>
  <si>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</si>
  <si>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</si>
  <si>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</si>
  <si>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</si>
  <si>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</si>
  <si>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</si>
  <si>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</si>
  <si>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</si>
  <si>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</si>
  <si>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</si>
  <si>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</si>
  <si>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</si>
  <si>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</si>
  <si>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</si>
  <si>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</si>
  <si>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</si>
  <si>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</si>
  <si>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</si>
  <si>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</si>
  <si>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</si>
  <si>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</si>
  <si>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</si>
  <si>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</si>
  <si>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</si>
  <si>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</si>
  <si>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</si>
  <si>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</si>
  <si>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</si>
  <si>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</si>
  <si>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</si>
  <si>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</si>
  <si>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</si>
  <si>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</si>
  <si>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</si>
  <si>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</si>
  <si>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</si>
  <si>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</si>
  <si>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</si>
  <si>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</si>
  <si>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</si>
  <si>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</si>
  <si>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</si>
  <si>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</si>
  <si>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</si>
  <si>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</si>
  <si>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</si>
  <si>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</si>
  <si>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</si>
  <si>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</si>
  <si>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</si>
  <si>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</si>
  <si>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</si>
  <si>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</si>
  <si>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</si>
  <si>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</si>
  <si>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</si>
  <si>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</si>
  <si>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</si>
  <si>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</si>
  <si>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</si>
  <si>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</si>
  <si>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</si>
  <si>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</si>
  <si>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</si>
  <si>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</si>
  <si>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</si>
  <si>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</si>
  <si>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</si>
  <si>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</si>
  <si>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</si>
  <si>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</si>
  <si>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</si>
  <si>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</si>
  <si>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</si>
  <si>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</si>
  <si>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</si>
  <si>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</si>
  <si>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</si>
  <si>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</si>
  <si>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</si>
  <si>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</si>
  <si>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</si>
  <si>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</si>
  <si>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</si>
  <si>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</si>
  <si>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</si>
  <si>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</si>
  <si>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</si>
  <si>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</si>
  <si>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</si>
  <si>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</si>
  <si>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</si>
  <si>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</si>
  <si>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</si>
  <si>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MTL</t>
  </si>
  <si>
    <t>MDF30MM</t>
  </si>
  <si>
    <t>5 DIAS HABILES</t>
  </si>
  <si>
    <t>N° 11141</t>
  </si>
  <si>
    <t>VALDIVIA</t>
  </si>
  <si>
    <t>POR TRANSPORTES</t>
  </si>
  <si>
    <t>ANYELO MARQUEZ</t>
  </si>
  <si>
    <t>569 53287699</t>
  </si>
  <si>
    <t>CUBIERTA CON RESPALDO 90° R8</t>
  </si>
  <si>
    <t>PECAN REMITU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</si>
</sst>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166" fontId="3" fillId="7" borderId="0" xfId="0" applyNumberFormat="1" applyFont="1" applyFill="1"/>
    <xf numFmtId="41" fontId="0" fillId="0" borderId="0" xfId="4" applyFont="1"/>
    <xf numFmtId="0" fontId="35" fillId="0" borderId="0" xfId="0" applyFont="1"/>
    <xf numFmtId="0" fontId="36" fillId="0" borderId="0" xfId="0" applyFont="1" applyAlignment="1">
      <alignment horizontal="left"/>
    </xf>
    <xf numFmtId="0" fontId="36" fillId="0" borderId="0" xfId="0" applyFont="1"/>
    <xf numFmtId="167" fontId="0" fillId="21" borderId="0" xfId="0" applyNumberFormat="1" applyFill="1"/>
    <xf numFmtId="42" fontId="1" fillId="0" borderId="1" xfId="0" applyNumberFormat="1" applyFont="1" applyBorder="1"/>
    <xf numFmtId="0" fontId="32" fillId="0" borderId="1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42" fontId="33" fillId="0" borderId="0" xfId="8" applyFont="1" applyFill="1" applyBorder="1"/>
    <xf numFmtId="42" fontId="1" fillId="0" borderId="0" xfId="0" applyNumberFormat="1" applyFont="1" applyAlignment="1">
      <alignment horizontal="center" vertical="center"/>
    </xf>
    <xf numFmtId="0" fontId="11" fillId="0" borderId="26" xfId="0" applyFont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99FF33"/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2583219</xdr:colOff>
      <xdr:row>28</xdr:row>
      <xdr:rowOff>13024</xdr:rowOff>
    </xdr:from>
    <xdr:to>
      <xdr:col>8</xdr:col>
      <xdr:colOff>31102</xdr:colOff>
      <xdr:row>31</xdr:row>
      <xdr:rowOff>13025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134933" y="7866289"/>
          <a:ext cx="2058761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222690</xdr:colOff>
      <xdr:row>22</xdr:row>
      <xdr:rowOff>84014</xdr:rowOff>
    </xdr:from>
    <xdr:to>
      <xdr:col>5</xdr:col>
      <xdr:colOff>1849560</xdr:colOff>
      <xdr:row>26</xdr:row>
      <xdr:rowOff>17339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634792" y="4702667"/>
          <a:ext cx="6229972" cy="819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8" zoomScaleNormal="98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77734375" customWidth="1"/>
    <col min="4" max="4" width="11.109375" customWidth="1"/>
    <col min="5" max="5" width="10.5546875" customWidth="1"/>
    <col min="6" max="6" width="31.441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6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163</v>
      </c>
      <c r="D10" s="243"/>
      <c r="E10" s="243"/>
      <c r="F10" s="244" t="s">
        <v>0</v>
      </c>
      <c r="G10" s="277">
        <v>45588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x14ac:dyDescent="0.3">
      <c r="B12" s="246" t="s">
        <v>147</v>
      </c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ht="15.6" x14ac:dyDescent="0.3">
      <c r="B13" s="246" t="s">
        <v>148</v>
      </c>
      <c r="C13" s="320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1" t="s">
        <v>164</v>
      </c>
      <c r="D15" s="295"/>
      <c r="E15" s="247"/>
      <c r="F15" s="247" t="s">
        <v>136</v>
      </c>
      <c r="G15" s="296" t="s">
        <v>162</v>
      </c>
      <c r="H15" s="248"/>
    </row>
    <row r="16" spans="2:23" ht="15.6" x14ac:dyDescent="0.3">
      <c r="B16" s="292" t="s">
        <v>3</v>
      </c>
      <c r="C16" s="322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161</v>
      </c>
      <c r="D17" s="299"/>
      <c r="E17" s="300"/>
      <c r="F17" s="330" t="s">
        <v>154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 t="s">
        <v>130</v>
      </c>
      <c r="W18" s="6"/>
      <c r="X18" s="6"/>
    </row>
    <row r="19" spans="2:24" ht="13.5" customHeight="1" x14ac:dyDescent="0.3">
      <c r="B19" s="332" t="s">
        <v>149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>
        <v>15000</v>
      </c>
      <c r="W19" s="6"/>
      <c r="X19" s="6"/>
    </row>
    <row r="20" spans="2:24" ht="18" thickBot="1" x14ac:dyDescent="0.35">
      <c r="B20" s="317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5"/>
      <c r="J20" s="47"/>
      <c r="K20" s="268" t="str">
        <f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103810.81081081078</v>
      </c>
      <c r="Q20" s="258">
        <v>2000</v>
      </c>
      <c r="R20" s="38"/>
      <c r="S20" s="14" t="s">
        <v>130</v>
      </c>
      <c r="T20" s="9">
        <f>P21/3</f>
        <v>32008.333333333328</v>
      </c>
      <c r="W20" s="44">
        <v>2.44</v>
      </c>
      <c r="X20">
        <v>1.52</v>
      </c>
    </row>
    <row r="21" spans="2:24" ht="17.399999999999999" x14ac:dyDescent="0.3">
      <c r="B21" s="325">
        <v>1</v>
      </c>
      <c r="C21" s="309" t="s">
        <v>165</v>
      </c>
      <c r="D21" s="326">
        <v>1.8</v>
      </c>
      <c r="E21" s="326">
        <v>0.5</v>
      </c>
      <c r="F21" s="309" t="s">
        <v>166</v>
      </c>
      <c r="G21" s="310">
        <f>Q21</f>
        <v>98024.999999999985</v>
      </c>
      <c r="H21" s="311">
        <f>G21*B21</f>
        <v>98024.999999999985</v>
      </c>
      <c r="I21" s="265"/>
      <c r="J21" s="47"/>
      <c r="K21" s="323">
        <f>B21</f>
        <v>1</v>
      </c>
      <c r="L21" s="318">
        <f>D21+L$19</f>
        <v>1.85</v>
      </c>
      <c r="M21" s="318">
        <f>E21+M$19</f>
        <v>0.5</v>
      </c>
      <c r="N21" s="261">
        <f>L21*M21</f>
        <v>0.92500000000000004</v>
      </c>
      <c r="O21" s="259">
        <f>N21*K21</f>
        <v>0.92500000000000004</v>
      </c>
      <c r="P21" s="252">
        <f>P$20*N21</f>
        <v>96024.999999999985</v>
      </c>
      <c r="Q21" s="258">
        <f>P21+Q$20</f>
        <v>98024.999999999985</v>
      </c>
      <c r="R21" s="308">
        <f>K21*L21</f>
        <v>1.85</v>
      </c>
      <c r="S21" s="14"/>
      <c r="T21" s="9"/>
      <c r="U21" s="319">
        <f>R21*U19</f>
        <v>27750</v>
      </c>
      <c r="W21" s="4"/>
      <c r="X21">
        <v>19.8</v>
      </c>
    </row>
    <row r="22" spans="2:24" ht="17.399999999999999" x14ac:dyDescent="0.3">
      <c r="B22" s="286"/>
      <c r="C22" s="286"/>
      <c r="D22" s="287"/>
      <c r="E22" s="287"/>
      <c r="F22" s="286"/>
      <c r="G22" s="52"/>
      <c r="H22" s="327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  <c r="X22">
        <f>SUM(X21:X21)</f>
        <v>19.8</v>
      </c>
    </row>
    <row r="23" spans="2:24" ht="18" x14ac:dyDescent="0.3">
      <c r="B23" s="286"/>
      <c r="C23" s="286"/>
      <c r="D23" s="287"/>
      <c r="E23" s="287"/>
      <c r="F23" s="286"/>
      <c r="G23" s="265"/>
      <c r="H23" s="328"/>
      <c r="I23" s="232"/>
      <c r="J23" s="47"/>
      <c r="K23" s="47"/>
      <c r="L23" s="39"/>
      <c r="M23" s="39"/>
      <c r="N23" s="261"/>
      <c r="O23" s="253">
        <f>SUM(O21:O21)</f>
        <v>0.92500000000000004</v>
      </c>
      <c r="P23" s="252"/>
      <c r="Q23" s="258"/>
      <c r="R23" s="308"/>
      <c r="S23" s="14"/>
      <c r="T23" s="9"/>
      <c r="W23" s="4"/>
    </row>
    <row r="24" spans="2:24" ht="18" x14ac:dyDescent="0.35">
      <c r="B24" s="286"/>
      <c r="C24" s="286"/>
      <c r="D24" s="287"/>
      <c r="E24" s="287"/>
      <c r="F24" s="286"/>
      <c r="G24" s="329" t="s">
        <v>30</v>
      </c>
      <c r="H24" s="324">
        <f>SUM(H21:H23)</f>
        <v>98024.999999999985</v>
      </c>
      <c r="I24" s="265"/>
      <c r="J24" s="47">
        <v>8698974</v>
      </c>
      <c r="K24" s="47"/>
      <c r="L24" s="39">
        <f>SUM(L21:L23)</f>
        <v>1.85</v>
      </c>
      <c r="M24" s="39"/>
      <c r="N24" s="261"/>
      <c r="O24" s="253">
        <f>O23</f>
        <v>0.92500000000000004</v>
      </c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53</v>
      </c>
      <c r="H25" s="304">
        <f>H24*19%</f>
        <v>18624.749999999996</v>
      </c>
      <c r="I25" s="265"/>
      <c r="J25" s="47"/>
      <c r="K25" s="47"/>
      <c r="L25" s="39"/>
      <c r="M25" s="12"/>
      <c r="N25" s="12"/>
      <c r="O25" s="39">
        <f>O24*20%</f>
        <v>0.18500000000000003</v>
      </c>
      <c r="P25" s="14"/>
      <c r="Q25" s="12"/>
      <c r="R25" s="238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116649.74999999999</v>
      </c>
      <c r="I26" s="265"/>
      <c r="J26" s="47"/>
      <c r="K26" s="47"/>
      <c r="L26" s="39"/>
      <c r="M26" s="12"/>
      <c r="N26" s="12"/>
      <c r="O26" s="46">
        <f>O24+O25</f>
        <v>1.1100000000000001</v>
      </c>
      <c r="P26" s="14"/>
      <c r="Q26" s="12"/>
      <c r="R26" s="238">
        <f>SUM(R21:R25)</f>
        <v>1.85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H27" s="47"/>
      <c r="I27" s="265"/>
      <c r="J27" s="47"/>
      <c r="K27" s="47"/>
      <c r="L27" s="39"/>
      <c r="M27" s="12"/>
      <c r="N27" s="12"/>
      <c r="P27" s="39" t="s">
        <v>132</v>
      </c>
      <c r="Q27" s="42"/>
      <c r="R27" s="239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315"/>
      <c r="K28" s="47"/>
      <c r="L28" s="14"/>
      <c r="M28" s="12"/>
      <c r="N28" s="12"/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2"/>
      <c r="F29" s="233"/>
      <c r="G29" s="230"/>
      <c r="H29" s="275"/>
      <c r="I29" s="265"/>
      <c r="J29" s="315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2:24" ht="17.399999999999999" x14ac:dyDescent="0.35">
      <c r="B30" s="234"/>
      <c r="C30" s="235"/>
      <c r="D30" s="236"/>
      <c r="E30" s="234"/>
      <c r="F30" s="230"/>
      <c r="G30" s="230"/>
      <c r="I30" s="265"/>
      <c r="J30" s="47"/>
      <c r="K30" s="47"/>
      <c r="L30" s="39">
        <f>O26</f>
        <v>1.1100000000000001</v>
      </c>
      <c r="M30" s="12">
        <v>2500</v>
      </c>
      <c r="N30" s="12">
        <f t="shared" ref="N30:N35" si="0">L30*M30</f>
        <v>2775.0000000000005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</v>
      </c>
      <c r="M31" s="12">
        <v>25000</v>
      </c>
      <c r="N31" s="12">
        <f t="shared" si="0"/>
        <v>7500</v>
      </c>
      <c r="O31" s="39" t="s">
        <v>155</v>
      </c>
      <c r="P31" s="42"/>
      <c r="Q31" s="14"/>
      <c r="R31" s="239"/>
      <c r="S31" s="14"/>
      <c r="T31" s="9"/>
      <c r="V31">
        <v>1520</v>
      </c>
      <c r="W31" s="9" t="s">
        <v>157</v>
      </c>
    </row>
    <row r="32" spans="2:24" s="230" customFormat="1" ht="17.399999999999999" x14ac:dyDescent="0.35">
      <c r="I32" s="262"/>
      <c r="J32" s="47"/>
      <c r="K32" s="250"/>
      <c r="L32" s="14"/>
      <c r="M32" s="250">
        <v>55000</v>
      </c>
      <c r="N32" s="12">
        <f t="shared" si="0"/>
        <v>0</v>
      </c>
      <c r="O32" s="39" t="s">
        <v>32</v>
      </c>
      <c r="P32" s="42"/>
      <c r="R32" s="239"/>
      <c r="S32" s="256"/>
      <c r="V32" s="231">
        <f>V31/33</f>
        <v>46.060606060606062</v>
      </c>
      <c r="W32" s="230">
        <v>112.24</v>
      </c>
    </row>
    <row r="33" spans="2:23" s="230" customFormat="1" ht="17.399999999999999" x14ac:dyDescent="0.35">
      <c r="B33" s="24" t="s">
        <v>153</v>
      </c>
      <c r="I33" s="262"/>
      <c r="J33" s="314"/>
      <c r="K33" s="250"/>
      <c r="L33" s="14">
        <v>1</v>
      </c>
      <c r="M33" s="250">
        <v>25000</v>
      </c>
      <c r="N33" s="12">
        <f t="shared" si="0"/>
        <v>25000</v>
      </c>
      <c r="O33" s="14" t="s">
        <v>143</v>
      </c>
      <c r="P33" s="17"/>
      <c r="R33" s="237"/>
      <c r="S33" s="256"/>
      <c r="V33" s="231"/>
      <c r="W33" s="230">
        <v>112.24</v>
      </c>
    </row>
    <row r="34" spans="2:23" s="230" customFormat="1" ht="17.399999999999999" x14ac:dyDescent="0.35">
      <c r="B34" s="24" t="s">
        <v>146</v>
      </c>
      <c r="C34"/>
      <c r="D34"/>
      <c r="E34"/>
      <c r="F34"/>
      <c r="I34" s="262"/>
      <c r="J34" s="314"/>
      <c r="K34" s="250"/>
      <c r="L34" s="249"/>
      <c r="M34" s="250">
        <v>800</v>
      </c>
      <c r="N34" s="12">
        <f t="shared" si="0"/>
        <v>0</v>
      </c>
      <c r="O34" s="14" t="s">
        <v>34</v>
      </c>
      <c r="P34" s="14"/>
      <c r="Q34" s="230">
        <v>1.52</v>
      </c>
      <c r="R34" s="237"/>
      <c r="S34" s="237"/>
      <c r="W34" s="230">
        <v>112.24</v>
      </c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303"/>
      <c r="J35" s="47"/>
      <c r="K35" s="250"/>
      <c r="L35" s="266">
        <v>1.85</v>
      </c>
      <c r="M35" s="12">
        <v>3500</v>
      </c>
      <c r="N35" s="12">
        <f t="shared" si="0"/>
        <v>6475</v>
      </c>
      <c r="O35" s="14" t="s">
        <v>24</v>
      </c>
      <c r="P35" s="14"/>
      <c r="Q35">
        <v>2.44</v>
      </c>
      <c r="R35"/>
      <c r="S35" s="237">
        <v>1500</v>
      </c>
      <c r="W35" s="231">
        <f>SUM(W32:W34)</f>
        <v>336.71999999999997</v>
      </c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41750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43190</v>
      </c>
      <c r="K37" s="250"/>
      <c r="L37" s="254" t="s">
        <v>35</v>
      </c>
      <c r="M37" s="12"/>
      <c r="N37" s="255">
        <f>N36*2.3</f>
        <v>96024.999999999985</v>
      </c>
      <c r="O37" s="14" t="s">
        <v>142</v>
      </c>
      <c r="P37" s="14"/>
      <c r="Q37" s="46">
        <f>O24/Q36</f>
        <v>0.24940681622088007</v>
      </c>
      <c r="R37"/>
      <c r="S37" s="257" t="e">
        <f>S36/#REF!</f>
        <v>#REF!</v>
      </c>
      <c r="V37" s="230" t="s">
        <v>158</v>
      </c>
      <c r="W37" s="230">
        <v>4</v>
      </c>
    </row>
    <row r="38" spans="2:23" s="230" customFormat="1" ht="17.399999999999999" x14ac:dyDescent="0.35">
      <c r="G38"/>
      <c r="H38" s="260"/>
      <c r="I38" s="260"/>
      <c r="J38" s="47">
        <f>J37/1.19</f>
        <v>36294.117647058825</v>
      </c>
      <c r="K38" s="250"/>
      <c r="L38" s="14"/>
      <c r="M38" s="12"/>
      <c r="N38" s="12">
        <f>N37/O24</f>
        <v>103810.81081081078</v>
      </c>
      <c r="O38" s="45" t="s">
        <v>26</v>
      </c>
      <c r="P38" s="14"/>
      <c r="Q38" s="14"/>
      <c r="R38"/>
      <c r="S38" s="237"/>
      <c r="V38" s="230">
        <v>48000</v>
      </c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2.2999999999999998</v>
      </c>
      <c r="O39" s="15"/>
      <c r="P39"/>
      <c r="Q39"/>
      <c r="R39"/>
      <c r="S39" s="237"/>
      <c r="W39" s="230">
        <f>V38*W37</f>
        <v>192000</v>
      </c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O26/S43</f>
        <v>0.24262295081967214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45588</v>
      </c>
    </row>
    <row r="6" spans="2:31" ht="16.2" thickBot="1" x14ac:dyDescent="0.35">
      <c r="B6" s="140" t="s">
        <v>2</v>
      </c>
      <c r="C6" s="139" t="str">
        <f>'2229'!C10</f>
        <v>ANYELO MARQUEZ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100</v>
      </c>
      <c r="I7" s="337"/>
      <c r="J7" s="337"/>
      <c r="K7" s="338"/>
      <c r="N7" s="75"/>
      <c r="O7" s="33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11141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11029.999966545894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'2229'!H22</f>
        <v>0</v>
      </c>
      <c r="E11" s="132">
        <f>D11*0.19</f>
        <v>0</v>
      </c>
      <c r="F11" s="131">
        <f>E11+D11</f>
        <v>0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117019.99996654589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40109.090787439614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99019.999966545889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-40109.090787439614</v>
      </c>
      <c r="E13" s="221">
        <f>(D11/D12)-1</f>
        <v>-1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90019.999966545889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51019.999966545896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66179.999799275363</v>
      </c>
      <c r="F15" s="216">
        <f>E15-D12</f>
        <v>26070.909011835749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51019.999966545896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91019.999966545889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2775.0000000000005</v>
      </c>
      <c r="E20" s="121">
        <f>D20*0.19</f>
        <v>527.25000000000011</v>
      </c>
      <c r="F20" s="120">
        <f>SUM(D20:E20)</f>
        <v>3302.2500000000005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10275</v>
      </c>
      <c r="E21" s="116">
        <f>SUM(E18:E20)</f>
        <v>1952.25</v>
      </c>
      <c r="F21" s="115">
        <f>SUM(F18:F20)</f>
        <v>12227.25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-1952.25</v>
      </c>
    </row>
    <row r="41" spans="2:16" ht="15" thickBot="1" x14ac:dyDescent="0.35">
      <c r="H41" s="339" t="s">
        <v>62</v>
      </c>
      <c r="I41" s="340"/>
      <c r="J41" s="340"/>
      <c r="K41" s="340"/>
      <c r="L41" s="340"/>
      <c r="M41" s="34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10275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-40109.090787439614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-40109.090787439614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2024-10-23T15:47:15Z</cp:lastPrinted>
  <dcterms:created xsi:type="dcterms:W3CDTF">2013-03-18T13:35:42Z</dcterms:created>
  <dcterms:modified xsi:type="dcterms:W3CDTF">2024-10-23T15:47:59Z</dcterms:modified>
</cp:coreProperties>
</file>