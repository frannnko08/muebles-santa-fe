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302C888E-365C-4ACC-9750-B694C6A44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40" i="1"/>
  <c r="L21" i="1"/>
  <c r="M21" i="1"/>
  <c r="H25" i="1" l="1"/>
  <c r="L25" i="1"/>
  <c r="S21" i="1"/>
  <c r="R21" i="1"/>
  <c r="N21" i="1"/>
  <c r="O21" i="1" s="1"/>
  <c r="U33" i="1"/>
  <c r="U34" i="1" s="1"/>
  <c r="R27" i="1" l="1"/>
  <c r="O26" i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<sst xmlns="http://schemas.openxmlformats.org/spreadsheetml/2006/main" count="232" uniqueCount="177">
  <si>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</si>
  <si>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</si>
  <si>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</si>
  <si>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</si>
  <si>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</si>
  <si>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</si>
  <si>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</si>
  <si>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</si>
  <si>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</si>
  <si>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</si>
  <si>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</si>
  <si>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</si>
  <si>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</si>
  <si>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</si>
  <si>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</si>
  <si>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</si>
  <si>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</si>
  <si>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</si>
  <si>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</si>
  <si>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</si>
  <si>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</si>
  <si>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</si>
  <si>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</si>
  <si>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</si>
  <si>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</si>
  <si>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</si>
  <si>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</si>
  <si>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</si>
  <si>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</si>
  <si>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</si>
  <si>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</si>
  <si>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</si>
  <si>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</si>
  <si>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</si>
  <si>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</si>
  <si>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</si>
  <si>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</si>
  <si>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</si>
  <si>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</si>
  <si>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</si>
  <si>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</si>
  <si>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</si>
  <si>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</si>
  <si>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</si>
  <si>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</si>
  <si>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</si>
  <si>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</si>
  <si>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</si>
  <si>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</si>
  <si>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</si>
  <si>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</si>
  <si>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</si>
  <si>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</si>
  <si>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</si>
  <si>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</si>
  <si>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</si>
  <si>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</si>
  <si>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</si>
  <si>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</si>
  <si>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</si>
  <si>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</si>
  <si>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</si>
  <si>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</si>
  <si>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</si>
  <si>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</si>
  <si>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</si>
  <si>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</si>
  <si>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</si>
  <si>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</si>
  <si>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</si>
  <si>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</si>
  <si>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</si>
  <si>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</si>
  <si>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</si>
  <si>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</si>
  <si>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</si>
  <si>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</si>
  <si>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</si>
  <si>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</si>
  <si>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</si>
  <si>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</si>
  <si>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</si>
  <si>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</si>
  <si>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</si>
  <si>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</si>
  <si>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</si>
  <si>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</si>
  <si>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</si>
  <si>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</si>
  <si>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</si>
  <si>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</si>
  <si>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</si>
  <si>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</si>
  <si>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</si>
  <si>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</si>
  <si>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</si>
  <si>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</si>
  <si>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</si>
  <si>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</si>
  <si>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</si>
  <si>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</si>
  <si>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</si>
  <si>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</si>
  <si>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</si>
  <si>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</si>
  <si>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</si>
  <si>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</si>
  <si>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</si>
  <si>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</si>
  <si>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</si>
  <si>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</si>
  <si>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</si>
  <si>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</si>
  <si>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</si>
  <si>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</si>
  <si>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</si>
  <si>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</si>
  <si>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</si>
  <si>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</si>
  <si>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</si>
  <si>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</si>
  <si>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</si>
  <si>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</si>
  <si>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</si>
  <si>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</si>
  <si>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</si>
  <si>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</si>
  <si>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</si>
  <si>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</si>
  <si>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</si>
  <si>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</si>
  <si>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</si>
  <si>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</si>
  <si>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</si>
  <si>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</si>
  <si>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</si>
  <si>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</si>
  <si>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</si>
  <si>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</si>
  <si>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</si>
  <si>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</si>
  <si>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</si>
  <si>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</si>
  <si>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</si>
  <si>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</si>
  <si>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</si>
  <si>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</si>
  <si>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</si>
  <si>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</si>
  <si>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</si>
  <si>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</si>
  <si>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</si>
  <si>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</si>
  <si>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</si>
  <si>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</si>
  <si>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</si>
  <si>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</si>
  <si>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</si>
  <si>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</si>
  <si>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</si>
  <si>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</si>
  <si>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</si>
  <si>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</si>
  <si>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</si>
  <si>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</si>
  <si>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</si>
  <si>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</si>
  <si>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</si>
  <si>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N° 11117</t>
  </si>
  <si>
    <t>1 DIA HABIL</t>
  </si>
  <si>
    <t>SI</t>
  </si>
  <si>
    <t>DHOME DESIGNE</t>
  </si>
  <si>
    <t>JUAN GONZALEZ</t>
  </si>
  <si>
    <t>569 4219 4105</t>
  </si>
  <si>
    <t>CUB S/R R8</t>
  </si>
  <si>
    <t>PLATINUM 21059 SF</t>
  </si>
  <si>
    <t>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</si>
</sst>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J19" sqref="J1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4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45572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7"/>
      <c r="D12" s="247"/>
      <c r="E12" s="247"/>
      <c r="F12" s="247" t="s">
        <v>128</v>
      </c>
      <c r="G12" s="278" t="s">
        <v>170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173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2" t="s">
        <v>165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72680.586080586087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2">
        <v>3</v>
      </c>
      <c r="C21" s="323" t="s">
        <v>174</v>
      </c>
      <c r="D21" s="324">
        <v>1.35</v>
      </c>
      <c r="E21" s="324">
        <v>0.65</v>
      </c>
      <c r="F21" s="323" t="s">
        <v>175</v>
      </c>
      <c r="G21" s="325">
        <v>69139</v>
      </c>
      <c r="H21" s="326">
        <f t="shared" ref="H21" si="1">G21*B21</f>
        <v>207417</v>
      </c>
      <c r="I21" s="265"/>
      <c r="J21" s="47"/>
      <c r="K21" s="330">
        <f>B21</f>
        <v>3</v>
      </c>
      <c r="L21" s="331">
        <f t="shared" ref="L21" si="2">D21+L$19</f>
        <v>1.4000000000000001</v>
      </c>
      <c r="M21" s="331">
        <f t="shared" ref="M21" si="3">E21+M$19</f>
        <v>0.65</v>
      </c>
      <c r="N21" s="261">
        <f t="shared" ref="N21" si="4">L21*M21</f>
        <v>0.91000000000000014</v>
      </c>
      <c r="O21" s="259">
        <f t="shared" ref="O21" si="5">N21*K21</f>
        <v>2.7300000000000004</v>
      </c>
      <c r="P21" s="252">
        <f>P$20*N21</f>
        <v>66139.333333333343</v>
      </c>
      <c r="Q21" s="258">
        <f t="shared" ref="Q21" si="6">P21+Q$20</f>
        <v>69139.333333333343</v>
      </c>
      <c r="R21" s="308">
        <f>L21*K21*2</f>
        <v>8.4</v>
      </c>
      <c r="S21" s="46">
        <f>M21*K21*2</f>
        <v>3.9000000000000004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45" t="s">
        <v>176</v>
      </c>
      <c r="H22" s="345">
        <v>20742</v>
      </c>
      <c r="I22" s="265"/>
      <c r="J22" s="47"/>
      <c r="K22" s="330"/>
      <c r="L22" s="331"/>
      <c r="M22" s="331"/>
      <c r="N22" s="261"/>
      <c r="O22" s="259"/>
      <c r="P22" s="252"/>
      <c r="Q22" s="258"/>
      <c r="R22" s="30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9"/>
      <c r="H23" s="329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228159</v>
      </c>
      <c r="I25" s="265"/>
      <c r="J25" s="47"/>
      <c r="K25" s="47"/>
      <c r="L25" s="39">
        <f>SUM(L21:L24)</f>
        <v>1.4000000000000001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43350.21</v>
      </c>
      <c r="I26" s="265"/>
      <c r="J26" s="47"/>
      <c r="K26" s="47"/>
      <c r="L26" s="39"/>
      <c r="M26" s="12"/>
      <c r="N26" s="12"/>
      <c r="O26" s="253">
        <f>SUM(O21:O21)</f>
        <v>2.7300000000000004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271509.21000000002</v>
      </c>
      <c r="I27" s="265"/>
      <c r="J27" s="47"/>
      <c r="K27" s="47"/>
      <c r="L27" s="39"/>
      <c r="M27" s="12"/>
      <c r="N27" s="12"/>
      <c r="O27" s="253">
        <f>O26</f>
        <v>2.7300000000000004</v>
      </c>
      <c r="P27" s="14"/>
      <c r="Q27" s="12"/>
      <c r="R27" s="239">
        <f>SUM(R21:R26)</f>
        <v>8.4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0.54600000000000015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3.2760000000000007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3.2760000000000007</v>
      </c>
      <c r="M31" s="12">
        <v>2500</v>
      </c>
      <c r="N31" s="12">
        <f t="shared" ref="N31:N36" si="7">L31*M31</f>
        <v>8190.0000000000018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7"/>
        <v>25000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34000</v>
      </c>
      <c r="N33" s="12">
        <f t="shared" si="7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2</v>
      </c>
      <c r="M34" s="250">
        <v>28500</v>
      </c>
      <c r="N34" s="12">
        <f t="shared" si="7"/>
        <v>57000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7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/>
      <c r="M36" s="12">
        <v>1500</v>
      </c>
      <c r="N36" s="12">
        <f t="shared" si="7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90190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198418.00000000003</v>
      </c>
      <c r="O38" s="14" t="s">
        <v>141</v>
      </c>
      <c r="P38" s="14"/>
      <c r="Q38" s="40">
        <f>O29/Q37</f>
        <v>0.88330457290767916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83200</v>
      </c>
      <c r="K39" s="250"/>
      <c r="L39" s="14"/>
      <c r="M39" s="12"/>
      <c r="N39" s="12">
        <f>N38/O27</f>
        <v>72680.586080586087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69915.966386554632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45572</v>
      </c>
    </row>
    <row r="6" spans="2:31" ht="16.2" thickBot="1" x14ac:dyDescent="0.35">
      <c r="B6" s="140" t="s">
        <v>2</v>
      </c>
      <c r="C6" s="139" t="str">
        <f>'2229'!C10</f>
        <v>DHOME DESIGNE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11117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-20694.875033454107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228159</v>
      </c>
      <c r="E11" s="132">
        <f>D11*0.19</f>
        <v>43350.21</v>
      </c>
      <c r="F11" s="131">
        <f>E11+D11</f>
        <v>271509.21000000002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85295.124966545889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63024.090787439614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67295.124966545889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165134.90921256039</v>
      </c>
      <c r="E13" s="221">
        <f>(D11/D12)-1</f>
        <v>2.620187092734243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58295.124966545889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19295.124966545893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103989.74979927536</v>
      </c>
      <c r="F15" s="216">
        <f>E15-D12</f>
        <v>40965.659011835749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19295.124966545893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59295.124966545889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8190.0000000000018</v>
      </c>
      <c r="E20" s="121">
        <f>D20*0.19</f>
        <v>1556.1000000000004</v>
      </c>
      <c r="F20" s="120">
        <f>SUM(D20:E20)</f>
        <v>9746.1000000000022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33190</v>
      </c>
      <c r="E21" s="116">
        <f>SUM(E18:E20)</f>
        <v>6306.1</v>
      </c>
      <c r="F21" s="115">
        <f>SUM(F18:F20)</f>
        <v>39496.100000000006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37044.11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228159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33190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165134.90921256039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165134.90921256039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2024-08-28T20:04:14Z</cp:lastPrinted>
  <dcterms:created xsi:type="dcterms:W3CDTF">2013-03-18T13:35:42Z</dcterms:created>
  <dcterms:modified xsi:type="dcterms:W3CDTF">2024-10-07T19:20:48Z</dcterms:modified>
</cp:coreProperties>
</file>