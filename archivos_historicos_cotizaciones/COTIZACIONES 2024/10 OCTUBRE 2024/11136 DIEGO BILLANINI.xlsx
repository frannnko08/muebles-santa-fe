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9FE8D077-53E4-48C6-9423-F5CD749A8C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P25" i="1"/>
  <c r="L22" i="1"/>
  <c r="M22" i="1"/>
  <c r="N22" i="1"/>
  <c r="O22" i="1"/>
  <c r="P22" i="1" s="1"/>
  <c r="H22" i="1"/>
  <c r="M21" i="1" l="1"/>
  <c r="L21" i="1"/>
  <c r="N21" i="1"/>
  <c r="O21" i="1" l="1"/>
  <c r="P21" i="1" s="1"/>
  <c r="K39" i="1"/>
  <c r="T21" i="1" l="1"/>
  <c r="T24" i="1" s="1"/>
  <c r="T25" i="1" s="1"/>
  <c r="T26" i="1" s="1"/>
  <c r="S26" i="1"/>
  <c r="V32" i="1"/>
  <c r="V33" i="1" s="1"/>
  <c r="O31" i="1" l="1"/>
  <c r="P26" i="1" l="1"/>
  <c r="P27" i="1" s="1"/>
  <c r="P28" i="1" s="1"/>
  <c r="N20" i="1"/>
  <c r="L20" i="1"/>
  <c r="M30" i="1" l="1"/>
  <c r="O32" i="1"/>
  <c r="R36" i="1"/>
  <c r="R37" i="1" s="1"/>
  <c r="O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<sst xmlns="http://schemas.openxmlformats.org/spreadsheetml/2006/main" count="232" uniqueCount="173">
  <si>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</si>
  <si>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</si>
  <si>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</si>
  <si>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</si>
  <si>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</si>
  <si>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</si>
  <si>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</si>
  <si>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</si>
  <si>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</si>
  <si>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</si>
  <si>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</si>
  <si>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</si>
  <si>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</si>
  <si>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</si>
  <si>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</si>
  <si>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</si>
  <si>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</si>
  <si>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</si>
  <si>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</si>
  <si>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</si>
  <si>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</si>
  <si>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</si>
  <si>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</si>
  <si>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</si>
  <si>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</si>
  <si>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</si>
  <si>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</si>
  <si>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</si>
  <si>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</si>
  <si>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</si>
  <si>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</si>
  <si>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</si>
  <si>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</si>
  <si>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</si>
  <si>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</si>
  <si>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</si>
  <si>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</si>
  <si>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</si>
  <si>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</si>
  <si>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</si>
  <si>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</si>
  <si>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</si>
  <si>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</si>
  <si>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</si>
  <si>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</si>
  <si>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</si>
  <si>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</si>
  <si>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</si>
  <si>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</si>
  <si>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</si>
  <si>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</si>
  <si>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</si>
  <si>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</si>
  <si>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</si>
  <si>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</si>
  <si>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</si>
  <si>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</si>
  <si>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</si>
  <si>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</si>
  <si>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</si>
  <si>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</si>
  <si>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</si>
  <si>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</si>
  <si>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</si>
  <si>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</si>
  <si>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</si>
  <si>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</si>
  <si>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</si>
  <si>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</si>
  <si>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</si>
  <si>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</si>
  <si>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</si>
  <si>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</si>
  <si>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</si>
  <si>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</si>
  <si>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</si>
  <si>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</si>
  <si>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</si>
  <si>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</si>
  <si>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</si>
  <si>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</si>
  <si>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</si>
  <si>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</si>
  <si>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</si>
  <si>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</si>
  <si>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</si>
  <si>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</si>
  <si>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</si>
  <si>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</si>
  <si>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</si>
  <si>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</si>
  <si>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</si>
  <si>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</si>
  <si>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</si>
  <si>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</si>
  <si>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</si>
  <si>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</si>
  <si>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</si>
  <si>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</si>
  <si>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</si>
  <si>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</si>
  <si>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</si>
  <si>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</si>
  <si>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</si>
  <si>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</si>
  <si>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</si>
  <si>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</si>
  <si>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</si>
  <si>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</si>
  <si>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</si>
  <si>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</si>
  <si>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</si>
  <si>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</si>
  <si>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</si>
  <si>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</si>
  <si>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</si>
  <si>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</si>
  <si>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</si>
  <si>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</si>
  <si>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</si>
  <si>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</si>
  <si>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</si>
  <si>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</si>
  <si>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</si>
  <si>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</si>
  <si>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</si>
  <si>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</si>
  <si>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</si>
  <si>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</si>
  <si>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</si>
  <si>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</si>
  <si>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</si>
  <si>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</si>
  <si>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</si>
  <si>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</si>
  <si>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</si>
  <si>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</si>
  <si>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</si>
  <si>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</si>
  <si>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</si>
  <si>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</si>
  <si>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</si>
  <si>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</si>
  <si>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</si>
  <si>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</si>
  <si>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</si>
  <si>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</si>
  <si>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</si>
  <si>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</si>
  <si>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</si>
  <si>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</si>
  <si>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</si>
  <si>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</si>
  <si>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</si>
  <si>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</si>
  <si>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</si>
  <si>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</si>
  <si>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</si>
  <si>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</si>
  <si>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</si>
  <si>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</si>
  <si>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</si>
  <si>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</si>
  <si>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</si>
  <si>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lamitech</t>
  </si>
  <si>
    <t>SANTIAGO</t>
  </si>
  <si>
    <t>FONO +569 2032 3382</t>
  </si>
  <si>
    <t>5 DIAS HABILES</t>
  </si>
  <si>
    <t>DURACION COTIZACION: 5 DIAS                           FRANCO DONOSO</t>
  </si>
  <si>
    <t>N° 11135</t>
  </si>
  <si>
    <t>DIEGO BILLANINI</t>
  </si>
  <si>
    <t>ALMENDRA 920 MT</t>
  </si>
  <si>
    <t>+569 34490554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</si>
</sst>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8</xdr:col>
      <xdr:colOff>8193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CORTADAS A LA MEDIDA Y SUS CANTOS ENCHAPADOS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1"/>
  <sheetViews>
    <sheetView tabSelected="1" topLeftCell="A7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166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170</v>
      </c>
      <c r="D10" s="243"/>
      <c r="E10" s="243"/>
      <c r="F10" s="244" t="s">
        <v>0</v>
      </c>
      <c r="G10" s="277">
        <v>45587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172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165</v>
      </c>
      <c r="D17" s="314"/>
      <c r="E17" s="119"/>
      <c r="F17" s="336" t="s">
        <v>168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94450.144927536225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1.84</v>
      </c>
      <c r="E21" s="330">
        <v>0.6</v>
      </c>
      <c r="F21" s="329" t="s">
        <v>171</v>
      </c>
      <c r="G21" s="331">
        <v>110106</v>
      </c>
      <c r="H21" s="332">
        <f>G21*B21</f>
        <v>110106</v>
      </c>
      <c r="I21" s="322"/>
      <c r="J21" s="265"/>
      <c r="K21" s="47"/>
      <c r="L21" s="47">
        <f>B21</f>
        <v>1</v>
      </c>
      <c r="M21" s="39">
        <f>D21+M$19</f>
        <v>1.8900000000000001</v>
      </c>
      <c r="N21" s="39">
        <f>E21</f>
        <v>0.6</v>
      </c>
      <c r="O21" s="261">
        <f t="shared" ref="O21" si="1">M21*N21</f>
        <v>1.1340000000000001</v>
      </c>
      <c r="P21" s="259">
        <f t="shared" ref="P21" si="2">O21*L21</f>
        <v>1.1340000000000001</v>
      </c>
      <c r="Q21" s="252">
        <f t="shared" ref="Q21" si="3">Q$20*O21</f>
        <v>107106.46434782608</v>
      </c>
      <c r="R21" s="321">
        <f t="shared" ref="R21" si="4">Q21+R$20</f>
        <v>110106.46434782608</v>
      </c>
      <c r="S21" s="298"/>
      <c r="T21" s="46">
        <f>N21*2*L21</f>
        <v>1.2</v>
      </c>
      <c r="U21" s="9"/>
      <c r="X21" s="4"/>
    </row>
    <row r="22" spans="2:25" ht="17.399999999999999" x14ac:dyDescent="0.3">
      <c r="B22" s="328">
        <v>1</v>
      </c>
      <c r="C22" s="329" t="s">
        <v>35</v>
      </c>
      <c r="D22" s="330">
        <v>1.51</v>
      </c>
      <c r="E22" s="330">
        <v>0.6</v>
      </c>
      <c r="F22" s="329" t="s">
        <v>171</v>
      </c>
      <c r="G22" s="331">
        <v>91405</v>
      </c>
      <c r="H22" s="332">
        <f>G22*B22</f>
        <v>91405</v>
      </c>
      <c r="I22" s="322"/>
      <c r="J22" s="265"/>
      <c r="K22" s="47"/>
      <c r="L22" s="47">
        <f>B22</f>
        <v>1</v>
      </c>
      <c r="M22" s="39">
        <f>D22+M$19</f>
        <v>1.56</v>
      </c>
      <c r="N22" s="39">
        <f>E22</f>
        <v>0.6</v>
      </c>
      <c r="O22" s="261">
        <f t="shared" ref="O22" si="5">M22*N22</f>
        <v>0.93599999999999994</v>
      </c>
      <c r="P22" s="259">
        <f t="shared" ref="P22" si="6">O22*L22</f>
        <v>0.93599999999999994</v>
      </c>
      <c r="Q22" s="252">
        <f t="shared" ref="Q22" si="7">Q$20*O22</f>
        <v>88405.335652173904</v>
      </c>
      <c r="R22" s="321">
        <f t="shared" ref="R22" si="8">Q22+R$20</f>
        <v>91405.335652173904</v>
      </c>
      <c r="S22" s="298"/>
      <c r="T22" s="46"/>
      <c r="U22" s="9"/>
      <c r="X22" s="4"/>
    </row>
    <row r="23" spans="2:25" ht="18" thickBot="1" x14ac:dyDescent="0.35">
      <c r="B23" s="286"/>
      <c r="C23" s="286"/>
      <c r="D23" s="287"/>
      <c r="E23" s="287"/>
      <c r="F23" s="286"/>
      <c r="G23" s="265"/>
      <c r="H23" s="323"/>
      <c r="I23" s="325"/>
      <c r="J23" s="233"/>
      <c r="K23" s="47"/>
      <c r="L23" s="47"/>
      <c r="M23" s="39"/>
      <c r="N23" s="39"/>
      <c r="O23" s="261"/>
      <c r="P23" s="259"/>
      <c r="Q23" s="252"/>
      <c r="R23" s="258"/>
      <c r="S23" s="298"/>
      <c r="T23" s="14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6" t="s">
        <v>28</v>
      </c>
      <c r="H24" s="327">
        <f>SUM(H21:H23)</f>
        <v>201511</v>
      </c>
      <c r="I24" s="324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8"/>
      <c r="T24" s="46">
        <f>SUM(T21:T23)</f>
        <v>1.2</v>
      </c>
      <c r="U24" s="9"/>
      <c r="X24" s="4"/>
    </row>
    <row r="25" spans="2:25" ht="17.399999999999999" x14ac:dyDescent="0.3">
      <c r="B25" s="280"/>
      <c r="C25" s="283"/>
      <c r="D25" s="284"/>
      <c r="E25" s="284"/>
      <c r="F25" s="285"/>
      <c r="G25" s="297" t="s">
        <v>51</v>
      </c>
      <c r="H25" s="295">
        <f>H24*19%</f>
        <v>38287.090000000004</v>
      </c>
      <c r="I25" s="324"/>
      <c r="J25" s="265"/>
      <c r="K25" s="47"/>
      <c r="L25" s="47"/>
      <c r="M25" s="39">
        <f>SUM(M21:M24)</f>
        <v>3.45</v>
      </c>
      <c r="N25" s="12"/>
      <c r="O25" s="12"/>
      <c r="P25" s="253">
        <f>SUM(P21:P22)</f>
        <v>2.0700000000000003</v>
      </c>
      <c r="Q25" s="14"/>
      <c r="R25" s="12"/>
      <c r="S25" s="239"/>
      <c r="T25" s="46">
        <f>T24*20%</f>
        <v>0.24</v>
      </c>
      <c r="U25" s="9"/>
      <c r="X25" s="4"/>
    </row>
    <row r="26" spans="2:25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239798.09</v>
      </c>
      <c r="I26" s="324"/>
      <c r="J26" s="265"/>
      <c r="K26" s="47"/>
      <c r="L26" s="47"/>
      <c r="M26" s="39"/>
      <c r="N26" s="12"/>
      <c r="O26" s="12"/>
      <c r="P26" s="253">
        <f>P25</f>
        <v>2.0700000000000003</v>
      </c>
      <c r="Q26" s="14"/>
      <c r="R26" s="12"/>
      <c r="S26" s="239">
        <f>SUM(S21:S25)</f>
        <v>0</v>
      </c>
      <c r="T26" s="46">
        <f>T24+T25</f>
        <v>1.44</v>
      </c>
      <c r="U26" s="9"/>
      <c r="X26" s="4"/>
    </row>
    <row r="27" spans="2:25" ht="17.399999999999999" x14ac:dyDescent="0.3">
      <c r="B27" s="276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0.41400000000000009</v>
      </c>
      <c r="Q27" s="39" t="s">
        <v>130</v>
      </c>
      <c r="R27" s="42"/>
      <c r="S27" s="240"/>
      <c r="T27" s="14"/>
      <c r="U27" s="9"/>
      <c r="X27" s="4"/>
    </row>
    <row r="28" spans="2:25" ht="17.399999999999999" x14ac:dyDescent="0.3">
      <c r="B28" s="271"/>
      <c r="C28" s="271"/>
      <c r="D28" s="272"/>
      <c r="E28" s="272"/>
      <c r="F28" s="273"/>
      <c r="G28" s="274"/>
      <c r="H28" s="275"/>
      <c r="I28" s="275"/>
      <c r="J28" s="265"/>
      <c r="K28" s="47"/>
      <c r="L28" s="47"/>
      <c r="M28" s="14"/>
      <c r="N28" s="12"/>
      <c r="O28" s="12"/>
      <c r="P28" s="46">
        <f>P26+P27</f>
        <v>2.4840000000000004</v>
      </c>
      <c r="Q28" s="14"/>
      <c r="R28" s="14"/>
      <c r="S28" s="238">
        <v>40</v>
      </c>
      <c r="T28" s="14"/>
      <c r="U28" s="9"/>
      <c r="X28" s="4"/>
    </row>
    <row r="29" spans="2:25" ht="17.399999999999999" x14ac:dyDescent="0.35">
      <c r="B29" s="269"/>
      <c r="C29" s="230"/>
      <c r="D29" s="230"/>
      <c r="E29" s="233"/>
      <c r="F29" s="234"/>
      <c r="G29" s="230"/>
      <c r="H29" s="275"/>
      <c r="I29" s="275"/>
      <c r="J29" s="265"/>
      <c r="K29" s="47"/>
      <c r="L29" s="47"/>
      <c r="M29" s="14"/>
      <c r="N29" s="14"/>
      <c r="O29" s="14"/>
      <c r="P29" s="14"/>
      <c r="Q29" s="14"/>
      <c r="R29" s="14"/>
      <c r="S29" s="238"/>
      <c r="T29" s="14"/>
      <c r="U29" s="303" t="s">
        <v>21</v>
      </c>
      <c r="V29" s="300" t="s">
        <v>152</v>
      </c>
      <c r="W29" s="304">
        <v>44971</v>
      </c>
      <c r="X29" s="305"/>
    </row>
    <row r="30" spans="2:25" ht="17.399999999999999" x14ac:dyDescent="0.35">
      <c r="B30" s="235"/>
      <c r="C30" s="236"/>
      <c r="D30" s="237"/>
      <c r="E30" s="235"/>
      <c r="F30" s="230"/>
      <c r="G30" s="230"/>
      <c r="J30" s="265"/>
      <c r="K30" s="47"/>
      <c r="L30" s="47"/>
      <c r="M30" s="39">
        <f>P28</f>
        <v>2.4840000000000004</v>
      </c>
      <c r="N30" s="12">
        <v>3500</v>
      </c>
      <c r="O30" s="12">
        <f t="shared" ref="O30:O35" si="9">M30*N30</f>
        <v>8694.0000000000018</v>
      </c>
      <c r="P30" s="14" t="s">
        <v>21</v>
      </c>
      <c r="Q30" s="14"/>
      <c r="R30" s="14"/>
      <c r="S30" s="241"/>
      <c r="T30" s="14"/>
      <c r="U30" s="303" t="s">
        <v>153</v>
      </c>
      <c r="V30" s="300">
        <v>3625</v>
      </c>
      <c r="W30" s="59" t="s">
        <v>154</v>
      </c>
      <c r="X30" s="305"/>
    </row>
    <row r="31" spans="2:25" ht="17.399999999999999" x14ac:dyDescent="0.35">
      <c r="B31" s="230"/>
      <c r="C31" s="230"/>
      <c r="D31" s="230"/>
      <c r="E31" s="230"/>
      <c r="F31" s="230"/>
      <c r="G31" s="230"/>
      <c r="J31" s="265"/>
      <c r="K31" s="47" t="s">
        <v>164</v>
      </c>
      <c r="L31" s="47"/>
      <c r="M31" s="249">
        <v>1</v>
      </c>
      <c r="N31" s="12">
        <v>25000</v>
      </c>
      <c r="O31" s="12">
        <f t="shared" si="9"/>
        <v>25000</v>
      </c>
      <c r="P31" s="39" t="s">
        <v>31</v>
      </c>
      <c r="Q31" s="42"/>
      <c r="R31" s="14"/>
      <c r="S31" s="240"/>
      <c r="T31" s="14"/>
      <c r="U31" s="303"/>
      <c r="V31" s="59">
        <v>906.25</v>
      </c>
      <c r="W31" s="59" t="s">
        <v>155</v>
      </c>
      <c r="X31" s="305"/>
    </row>
    <row r="32" spans="2:25" s="230" customFormat="1" ht="17.399999999999999" x14ac:dyDescent="0.35">
      <c r="J32" s="262"/>
      <c r="K32" s="232">
        <v>40706</v>
      </c>
      <c r="L32" s="250">
        <v>34989</v>
      </c>
      <c r="M32" s="14"/>
      <c r="N32" s="250">
        <v>61840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5" t="s">
        <v>156</v>
      </c>
      <c r="X32" s="59"/>
    </row>
    <row r="33" spans="2:24" s="230" customFormat="1" ht="17.399999999999999" x14ac:dyDescent="0.35">
      <c r="B33" s="24" t="s">
        <v>151</v>
      </c>
      <c r="J33" s="262"/>
      <c r="K33" s="232">
        <v>26644</v>
      </c>
      <c r="L33" s="250">
        <v>22025</v>
      </c>
      <c r="M33" s="14">
        <v>2</v>
      </c>
      <c r="N33" s="250">
        <v>25000</v>
      </c>
      <c r="O33" s="12">
        <f t="shared" si="9"/>
        <v>50000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5" t="s">
        <v>157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L34" s="250"/>
      <c r="M34" s="249"/>
      <c r="N34" s="250">
        <v>300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94"/>
      <c r="L35" s="250"/>
      <c r="M35" s="266">
        <v>3.45</v>
      </c>
      <c r="N35" s="12">
        <v>1500</v>
      </c>
      <c r="O35" s="12">
        <f t="shared" si="9"/>
        <v>5175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88869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195511.80000000002</v>
      </c>
      <c r="P37" s="14" t="s">
        <v>140</v>
      </c>
      <c r="Q37" s="14"/>
      <c r="R37" s="40">
        <f>P28/R36</f>
        <v>0.66975841242450396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28280</v>
      </c>
      <c r="L38" s="250"/>
      <c r="M38" s="14"/>
      <c r="N38" s="12"/>
      <c r="O38" s="12">
        <f>O37/P26</f>
        <v>94450.144927536225</v>
      </c>
      <c r="P38" s="45" t="s">
        <v>24</v>
      </c>
      <c r="Q38" s="14"/>
      <c r="R38" s="14"/>
      <c r="S38"/>
      <c r="T38" s="238"/>
      <c r="U38" s="59" t="s">
        <v>158</v>
      </c>
      <c r="V38" s="300">
        <v>43650</v>
      </c>
    </row>
    <row r="39" spans="2:24" s="230" customFormat="1" ht="17.399999999999999" x14ac:dyDescent="0.35">
      <c r="G39"/>
      <c r="K39" s="230">
        <f>K38/1.19</f>
        <v>23764.705882352941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1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2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45587</v>
      </c>
    </row>
    <row r="6" spans="2:31" ht="16.2" thickBot="1" x14ac:dyDescent="0.35">
      <c r="B6" s="140" t="s">
        <v>2</v>
      </c>
      <c r="C6" s="139" t="str">
        <f>'2229'!C10</f>
        <v>DIEGO BILLANINI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-16114.941700120775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201511</v>
      </c>
      <c r="E11" s="132">
        <f>D11*0.19</f>
        <v>38287.090000000004</v>
      </c>
      <c r="F11" s="131">
        <f>E11+D11</f>
        <v>239798.09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89875.058299879223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63528.090787439614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71875.058299879223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137982.90921256039</v>
      </c>
      <c r="E13" s="221">
        <f>(D11/D12)-1</f>
        <v>2.1719983632790285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62875.058299879223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23875.058299879223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104821.34979927535</v>
      </c>
      <c r="F15" s="216">
        <f>E15-D12</f>
        <v>41293.25901183574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23875.058299879223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63875.058299879223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8694.0000000000018</v>
      </c>
      <c r="E20" s="121">
        <f>D20*0.19</f>
        <v>1651.8600000000004</v>
      </c>
      <c r="F20" s="120">
        <f>SUM(D20:E20)</f>
        <v>10345.860000000002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33694</v>
      </c>
      <c r="E21" s="116">
        <f>SUM(E18:E20)</f>
        <v>6401.8600000000006</v>
      </c>
      <c r="F21" s="115">
        <f>SUM(F18:F20)</f>
        <v>40095.86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31885.230000000003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201511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33694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137982.90921256039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137982.90921256039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2024-10-22T19:20:54Z</dcterms:modified>
</cp:coreProperties>
</file>