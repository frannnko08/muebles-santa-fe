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FA4BACB3-C2CD-4420-AB40-BE8FB2DDD7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P26" i="1"/>
  <c r="L22" i="1"/>
  <c r="M22" i="1"/>
  <c r="N22" i="1"/>
  <c r="M23" i="1"/>
  <c r="N23" i="1"/>
  <c r="M21" i="1"/>
  <c r="L21" i="1"/>
  <c r="N21" i="1"/>
  <c r="M25" i="1" l="1"/>
  <c r="O22" i="1"/>
  <c r="P22" i="1" s="1"/>
  <c r="O23" i="1"/>
  <c r="P23" i="1" s="1"/>
  <c r="O21" i="1"/>
  <c r="P21" i="1" s="1"/>
  <c r="K40" i="1"/>
  <c r="T21" i="1" l="1"/>
  <c r="T25" i="1" s="1"/>
  <c r="T26" i="1" s="1"/>
  <c r="T27" i="1" s="1"/>
  <c r="S27" i="1"/>
  <c r="V33" i="1"/>
  <c r="V34" i="1" s="1"/>
  <c r="O32" i="1" l="1"/>
  <c r="P27" i="1" l="1"/>
  <c r="P28" i="1" s="1"/>
  <c r="P29" i="1" s="1"/>
  <c r="N20" i="1"/>
  <c r="L20" i="1"/>
  <c r="M31" i="1" l="1"/>
  <c r="O33" i="1"/>
  <c r="R37" i="1"/>
  <c r="R38" i="1" s="1"/>
  <c r="O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O40" i="1" l="1"/>
  <c r="E15" i="3"/>
  <c r="Q23" i="1" l="1"/>
  <c r="Q22" i="1"/>
  <c r="Q21" i="1"/>
  <c r="F15" i="3"/>
  <c r="R21" i="1" l="1"/>
  <c r="H21" i="1"/>
  <c r="R22" i="1"/>
  <c r="H22" i="1"/>
  <c r="R23" i="1"/>
  <c r="H23" i="1"/>
  <c r="H27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<sst xmlns="http://schemas.openxmlformats.org/spreadsheetml/2006/main" count="234" uniqueCount="175">
  <si>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</si>
  <si>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</si>
  <si>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</si>
  <si>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</si>
  <si>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</si>
  <si>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</si>
  <si>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</si>
  <si>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</si>
  <si>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</si>
  <si>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</si>
  <si>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</si>
  <si>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</si>
  <si>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</si>
  <si>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</si>
  <si>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</si>
  <si>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</si>
  <si>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</si>
  <si>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</si>
  <si>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</si>
  <si>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</si>
  <si>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</si>
  <si>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</si>
  <si>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</si>
  <si>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</si>
  <si>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</si>
  <si>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</si>
  <si>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</si>
  <si>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</si>
  <si>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</si>
  <si>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</si>
  <si>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</si>
  <si>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</si>
  <si>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</si>
  <si>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</si>
  <si>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</si>
  <si>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</si>
  <si>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</si>
  <si>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</si>
  <si>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</si>
  <si>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</si>
  <si>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</si>
  <si>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</si>
  <si>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</si>
  <si>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</si>
  <si>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</si>
  <si>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</si>
  <si>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</si>
  <si>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</si>
  <si>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</si>
  <si>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</si>
  <si>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</si>
  <si>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</si>
  <si>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</si>
  <si>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</si>
  <si>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</si>
  <si>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</si>
  <si>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</si>
  <si>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</si>
  <si>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</si>
  <si>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</si>
  <si>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</si>
  <si>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</si>
  <si>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</si>
  <si>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</si>
  <si>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</si>
  <si>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</si>
  <si>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</si>
  <si>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</si>
  <si>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</si>
  <si>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</si>
  <si>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</si>
  <si>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</si>
  <si>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</si>
  <si>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</si>
  <si>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</si>
  <si>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</si>
  <si>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</si>
  <si>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</si>
  <si>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</si>
  <si>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</si>
  <si>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</si>
  <si>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</si>
  <si>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</si>
  <si>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</si>
  <si>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</si>
  <si>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</si>
  <si>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</si>
  <si>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</si>
  <si>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</si>
  <si>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</si>
  <si>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</si>
  <si>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</si>
  <si>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</si>
  <si>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</si>
  <si>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</si>
  <si>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</si>
  <si>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</si>
  <si>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</si>
  <si>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</si>
  <si>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</si>
  <si>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</si>
  <si>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</si>
  <si>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</si>
  <si>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</si>
  <si>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</si>
  <si>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</si>
  <si>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</si>
  <si>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</si>
  <si>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</si>
  <si>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</si>
  <si>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</si>
  <si>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</si>
  <si>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</si>
  <si>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</si>
  <si>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</si>
  <si>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</si>
  <si>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</si>
  <si>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</si>
  <si>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</si>
  <si>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</si>
  <si>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</si>
  <si>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</si>
  <si>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</si>
  <si>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</si>
  <si>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</si>
  <si>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</si>
  <si>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</si>
  <si>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</si>
  <si>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</si>
  <si>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</si>
  <si>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</si>
  <si>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</si>
  <si>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</si>
  <si>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</si>
  <si>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</si>
  <si>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</si>
  <si>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</si>
  <si>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</si>
  <si>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</si>
  <si>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</si>
  <si>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</si>
  <si>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</si>
  <si>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</si>
  <si>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</si>
  <si>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</si>
  <si>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</si>
  <si>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</si>
  <si>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</si>
  <si>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</si>
  <si>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</si>
  <si>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</si>
  <si>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</si>
  <si>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</si>
  <si>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</si>
  <si>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</si>
  <si>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</si>
  <si>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</si>
  <si>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</si>
  <si>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</si>
  <si>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</si>
  <si>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</si>
  <si>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</si>
  <si>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</si>
  <si>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</si>
  <si>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</si>
  <si>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lamitech</t>
  </si>
  <si>
    <t>SANTIAGO</t>
  </si>
  <si>
    <t>5 DIAS HABILES</t>
  </si>
  <si>
    <t>FONO +569 2032 3382</t>
  </si>
  <si>
    <t>MAURICIO URRA</t>
  </si>
  <si>
    <t>CUB C/R RESPALDO 10CMS FRENTE RECTO</t>
  </si>
  <si>
    <t>CUB S/R FRENTE RECTO</t>
  </si>
  <si>
    <t>NOCE HAVANA 1555 MT</t>
  </si>
  <si>
    <t>+569 79321474</t>
  </si>
  <si>
    <t>N° 11130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</si>
</sst>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2" fillId="0" borderId="3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8</xdr:col>
      <xdr:colOff>8193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328269" y="6180025"/>
          <a:ext cx="201237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5032170"/>
          <a:ext cx="6325420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582"/>
  <sheetViews>
    <sheetView tabSelected="1" topLeftCell="A7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168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2" t="s">
        <v>126</v>
      </c>
      <c r="C8" s="293"/>
      <c r="D8" s="320" t="s">
        <v>174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6" t="s">
        <v>162</v>
      </c>
      <c r="C10" s="279" t="s">
        <v>169</v>
      </c>
      <c r="D10" s="243"/>
      <c r="E10" s="243"/>
      <c r="F10" s="244" t="s">
        <v>0</v>
      </c>
      <c r="G10" s="277">
        <v>45946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8" t="s">
        <v>12</v>
      </c>
      <c r="C11" s="299"/>
      <c r="F11" t="s">
        <v>123</v>
      </c>
      <c r="G11" s="289" t="s">
        <v>167</v>
      </c>
      <c r="H11" s="290"/>
      <c r="Q11" s="19"/>
      <c r="R11" s="25" t="s">
        <v>18</v>
      </c>
      <c r="S11" s="19"/>
    </row>
    <row r="12" spans="2:24" ht="16.8" x14ac:dyDescent="0.4">
      <c r="B12" s="246" t="s">
        <v>145</v>
      </c>
      <c r="C12" s="307"/>
      <c r="D12" s="247"/>
      <c r="E12" s="247"/>
      <c r="F12" s="247" t="s">
        <v>127</v>
      </c>
      <c r="G12" s="278" t="s">
        <v>135</v>
      </c>
      <c r="H12" s="248"/>
      <c r="Q12" s="19"/>
      <c r="R12" s="25"/>
      <c r="S12" s="19"/>
    </row>
    <row r="13" spans="2:24" x14ac:dyDescent="0.3">
      <c r="B13" s="288" t="s">
        <v>146</v>
      </c>
      <c r="G13" s="308"/>
      <c r="H13" s="290"/>
      <c r="Q13" s="19"/>
      <c r="R13" s="25"/>
      <c r="S13" s="19"/>
    </row>
    <row r="14" spans="2:24" x14ac:dyDescent="0.3">
      <c r="B14" s="246" t="s">
        <v>139</v>
      </c>
      <c r="C14" s="315"/>
      <c r="D14" s="247"/>
      <c r="E14" s="247"/>
      <c r="F14" s="316" t="s">
        <v>136</v>
      </c>
      <c r="G14" s="291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8" t="s">
        <v>4</v>
      </c>
      <c r="C15" s="310" t="s">
        <v>173</v>
      </c>
      <c r="D15" s="311"/>
      <c r="F15" t="s">
        <v>134</v>
      </c>
      <c r="G15" s="309" t="s">
        <v>135</v>
      </c>
      <c r="H15" s="290"/>
    </row>
    <row r="16" spans="2:24" ht="16.8" x14ac:dyDescent="0.4">
      <c r="B16" s="317" t="s">
        <v>3</v>
      </c>
      <c r="C16" s="307"/>
      <c r="D16" s="247"/>
      <c r="E16" s="247"/>
      <c r="F16" s="318" t="s">
        <v>129</v>
      </c>
      <c r="G16" s="319" t="s">
        <v>163</v>
      </c>
      <c r="H16" s="248"/>
    </row>
    <row r="17" spans="2:25" ht="15" thickBot="1" x14ac:dyDescent="0.35">
      <c r="B17" s="312" t="s">
        <v>13</v>
      </c>
      <c r="C17" s="313" t="s">
        <v>166</v>
      </c>
      <c r="D17" s="314"/>
      <c r="E17" s="119"/>
      <c r="F17" s="340" t="s">
        <v>164</v>
      </c>
      <c r="G17" s="340"/>
      <c r="H17" s="341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42" t="s">
        <v>147</v>
      </c>
      <c r="C19" s="343"/>
      <c r="D19" s="343"/>
      <c r="E19" s="343"/>
      <c r="F19" s="343"/>
      <c r="G19" s="343"/>
      <c r="H19" s="344"/>
      <c r="I19" s="264"/>
      <c r="J19" s="264"/>
      <c r="K19" s="5"/>
      <c r="L19" s="250"/>
      <c r="M19" s="14">
        <v>0.05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37" t="s">
        <v>7</v>
      </c>
      <c r="C20" s="338" t="s">
        <v>1</v>
      </c>
      <c r="D20" s="338" t="s">
        <v>10</v>
      </c>
      <c r="E20" s="338" t="s">
        <v>11</v>
      </c>
      <c r="F20" s="338" t="s">
        <v>8</v>
      </c>
      <c r="G20" s="338" t="s">
        <v>5</v>
      </c>
      <c r="H20" s="339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60796.724377237195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2">
        <v>3</v>
      </c>
      <c r="C21" s="333" t="s">
        <v>170</v>
      </c>
      <c r="D21" s="334">
        <v>3.06</v>
      </c>
      <c r="E21" s="334">
        <v>0.6</v>
      </c>
      <c r="F21" s="333" t="s">
        <v>172</v>
      </c>
      <c r="G21" s="335">
        <v>116447</v>
      </c>
      <c r="H21" s="336">
        <f>G21*B21</f>
        <v>349341</v>
      </c>
      <c r="I21" s="324"/>
      <c r="J21" s="265"/>
      <c r="K21" s="47"/>
      <c r="L21" s="47">
        <f>B21</f>
        <v>3</v>
      </c>
      <c r="M21" s="39">
        <f>D21+M$19</f>
        <v>3.11</v>
      </c>
      <c r="N21" s="39">
        <f>E21</f>
        <v>0.6</v>
      </c>
      <c r="O21" s="261">
        <f t="shared" ref="O21" si="1">M21*N21</f>
        <v>1.8659999999999999</v>
      </c>
      <c r="P21" s="259">
        <f t="shared" ref="P21" si="2">O21*L21</f>
        <v>5.5979999999999999</v>
      </c>
      <c r="Q21" s="252">
        <f t="shared" ref="Q21" si="3">Q$20*O21</f>
        <v>113446.6876879246</v>
      </c>
      <c r="R21" s="323">
        <f t="shared" ref="R21" si="4">Q21+R$20</f>
        <v>116446.6876879246</v>
      </c>
      <c r="S21" s="298"/>
      <c r="T21" s="46">
        <f>N21*2*L21</f>
        <v>3.5999999999999996</v>
      </c>
      <c r="U21" s="9"/>
      <c r="X21" s="4"/>
    </row>
    <row r="22" spans="2:25" ht="17.399999999999999" x14ac:dyDescent="0.3">
      <c r="B22" s="330">
        <v>9</v>
      </c>
      <c r="C22" s="333" t="s">
        <v>171</v>
      </c>
      <c r="D22" s="321">
        <v>0.5</v>
      </c>
      <c r="E22" s="321">
        <v>0.2</v>
      </c>
      <c r="F22" s="333" t="s">
        <v>172</v>
      </c>
      <c r="G22" s="322">
        <v>9688</v>
      </c>
      <c r="H22" s="331">
        <f t="shared" ref="H22:H23" si="5">G22*B22</f>
        <v>87192</v>
      </c>
      <c r="I22" s="324"/>
      <c r="J22" s="265"/>
      <c r="K22" s="47"/>
      <c r="L22" s="47">
        <f t="shared" ref="L22" si="6">B22</f>
        <v>9</v>
      </c>
      <c r="M22" s="39">
        <f t="shared" ref="M22:M23" si="7">D22+M$19</f>
        <v>0.55000000000000004</v>
      </c>
      <c r="N22" s="39">
        <f t="shared" ref="N22:N23" si="8">E22</f>
        <v>0.2</v>
      </c>
      <c r="O22" s="261">
        <f t="shared" ref="O22:O23" si="9">M22*N22</f>
        <v>0.11000000000000001</v>
      </c>
      <c r="P22" s="259">
        <f t="shared" ref="P22:P23" si="10">O22*L22</f>
        <v>0.9900000000000001</v>
      </c>
      <c r="Q22" s="252">
        <f t="shared" ref="Q22:Q23" si="11">Q$20*O22</f>
        <v>6687.6396814960926</v>
      </c>
      <c r="R22" s="323">
        <f t="shared" ref="R22:R23" si="12">Q22+R$20</f>
        <v>9687.6396814960935</v>
      </c>
      <c r="S22" s="298"/>
      <c r="T22" s="46"/>
      <c r="U22" s="9"/>
      <c r="X22" s="4"/>
    </row>
    <row r="23" spans="2:25" ht="17.399999999999999" x14ac:dyDescent="0.3">
      <c r="B23" s="330">
        <v>3</v>
      </c>
      <c r="C23" s="333" t="s">
        <v>171</v>
      </c>
      <c r="D23" s="321">
        <v>0.52</v>
      </c>
      <c r="E23" s="321">
        <v>0.45</v>
      </c>
      <c r="F23" s="333" t="s">
        <v>172</v>
      </c>
      <c r="G23" s="322">
        <v>18594</v>
      </c>
      <c r="H23" s="331">
        <f t="shared" si="5"/>
        <v>55782</v>
      </c>
      <c r="I23" s="324"/>
      <c r="J23" s="265"/>
      <c r="K23" s="47"/>
      <c r="L23" s="47">
        <v>1</v>
      </c>
      <c r="M23" s="39">
        <f t="shared" si="7"/>
        <v>0.57000000000000006</v>
      </c>
      <c r="N23" s="39">
        <f t="shared" si="8"/>
        <v>0.45</v>
      </c>
      <c r="O23" s="261">
        <f t="shared" si="9"/>
        <v>0.25650000000000006</v>
      </c>
      <c r="P23" s="259">
        <f t="shared" si="10"/>
        <v>0.25650000000000006</v>
      </c>
      <c r="Q23" s="252">
        <f t="shared" si="11"/>
        <v>15594.359802761344</v>
      </c>
      <c r="R23" s="323">
        <f t="shared" si="12"/>
        <v>18594.359802761344</v>
      </c>
      <c r="S23" s="298"/>
      <c r="T23" s="46"/>
      <c r="U23" s="9"/>
      <c r="X23" s="4"/>
    </row>
    <row r="24" spans="2:25" ht="18" thickBot="1" x14ac:dyDescent="0.35">
      <c r="B24" s="286"/>
      <c r="C24" s="286"/>
      <c r="D24" s="287"/>
      <c r="E24" s="287"/>
      <c r="F24" s="286"/>
      <c r="G24" s="265"/>
      <c r="H24" s="325"/>
      <c r="I24" s="327"/>
      <c r="J24" s="233"/>
      <c r="K24" s="47"/>
      <c r="L24" s="47"/>
      <c r="M24" s="39"/>
      <c r="N24" s="39"/>
      <c r="O24" s="261"/>
      <c r="P24" s="259"/>
      <c r="Q24" s="252"/>
      <c r="R24" s="258"/>
      <c r="S24" s="298"/>
      <c r="T24" s="14"/>
      <c r="U24" s="9"/>
      <c r="X24" s="4"/>
    </row>
    <row r="25" spans="2:25" ht="17.399999999999999" x14ac:dyDescent="0.3">
      <c r="B25" s="286"/>
      <c r="C25" s="286"/>
      <c r="D25" s="287"/>
      <c r="E25" s="287"/>
      <c r="F25" s="286"/>
      <c r="G25" s="328" t="s">
        <v>28</v>
      </c>
      <c r="H25" s="329">
        <f>SUM(H21:H24)</f>
        <v>492315</v>
      </c>
      <c r="I25" s="326"/>
      <c r="J25" s="265"/>
      <c r="K25" s="47">
        <v>2600000</v>
      </c>
      <c r="L25" s="47"/>
      <c r="M25" s="39">
        <f>M21+M22</f>
        <v>3.66</v>
      </c>
      <c r="N25" s="39"/>
      <c r="O25" s="261"/>
      <c r="P25" s="259"/>
      <c r="Q25" s="252"/>
      <c r="R25" s="258"/>
      <c r="S25" s="298"/>
      <c r="T25" s="46">
        <f>SUM(T21:T24)</f>
        <v>3.5999999999999996</v>
      </c>
      <c r="U25" s="9"/>
      <c r="X25" s="4"/>
    </row>
    <row r="26" spans="2:25" ht="17.399999999999999" x14ac:dyDescent="0.3">
      <c r="B26" s="280"/>
      <c r="C26" s="283"/>
      <c r="D26" s="284"/>
      <c r="E26" s="284"/>
      <c r="F26" s="285"/>
      <c r="G26" s="297" t="s">
        <v>51</v>
      </c>
      <c r="H26" s="295"/>
      <c r="I26" s="326"/>
      <c r="J26" s="265"/>
      <c r="K26" s="47"/>
      <c r="L26" s="47"/>
      <c r="M26" s="39"/>
      <c r="N26" s="12"/>
      <c r="O26" s="12"/>
      <c r="P26" s="253">
        <f>SUM(P21:P23)</f>
        <v>6.8445</v>
      </c>
      <c r="Q26" s="14"/>
      <c r="R26" s="12"/>
      <c r="S26" s="239"/>
      <c r="T26" s="46">
        <f>T25*20%</f>
        <v>0.72</v>
      </c>
      <c r="U26" s="9"/>
      <c r="X26" s="4"/>
    </row>
    <row r="27" spans="2:25" ht="18" thickBot="1" x14ac:dyDescent="0.35">
      <c r="B27" s="276"/>
      <c r="C27" s="282"/>
      <c r="D27" s="272"/>
      <c r="E27" s="272"/>
      <c r="F27" s="273"/>
      <c r="G27" s="281" t="s">
        <v>6</v>
      </c>
      <c r="H27" s="296">
        <f>H25+H26</f>
        <v>492315</v>
      </c>
      <c r="I27" s="326"/>
      <c r="J27" s="265"/>
      <c r="K27" s="47"/>
      <c r="L27" s="47"/>
      <c r="M27" s="39"/>
      <c r="N27" s="12"/>
      <c r="O27" s="12"/>
      <c r="P27" s="253">
        <f>P26</f>
        <v>6.8445</v>
      </c>
      <c r="Q27" s="14"/>
      <c r="R27" s="12"/>
      <c r="S27" s="239">
        <f>SUM(S21:S26)</f>
        <v>0</v>
      </c>
      <c r="T27" s="46">
        <f>T25+T26</f>
        <v>4.3199999999999994</v>
      </c>
      <c r="U27" s="9"/>
      <c r="X27" s="4"/>
    </row>
    <row r="28" spans="2:25" ht="17.399999999999999" x14ac:dyDescent="0.3">
      <c r="B28" s="276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1.3689</v>
      </c>
      <c r="Q28" s="39" t="s">
        <v>130</v>
      </c>
      <c r="R28" s="42"/>
      <c r="S28" s="240"/>
      <c r="T28" s="14"/>
      <c r="U28" s="9"/>
      <c r="X28" s="4"/>
    </row>
    <row r="29" spans="2:25" ht="17.399999999999999" x14ac:dyDescent="0.3">
      <c r="B29" s="271"/>
      <c r="C29" s="271"/>
      <c r="D29" s="272"/>
      <c r="E29" s="272"/>
      <c r="F29" s="273"/>
      <c r="G29" s="274"/>
      <c r="H29" s="275"/>
      <c r="I29" s="275"/>
      <c r="J29" s="265"/>
      <c r="K29" s="47"/>
      <c r="L29" s="47"/>
      <c r="M29" s="14"/>
      <c r="N29" s="12"/>
      <c r="O29" s="12"/>
      <c r="P29" s="46">
        <f>P27+P28</f>
        <v>8.2134</v>
      </c>
      <c r="Q29" s="14"/>
      <c r="R29" s="14"/>
      <c r="S29" s="238">
        <v>40</v>
      </c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5"/>
      <c r="I30" s="275"/>
      <c r="J30" s="265"/>
      <c r="K30" s="47"/>
      <c r="L30" s="47"/>
      <c r="M30" s="14"/>
      <c r="N30" s="14"/>
      <c r="O30" s="14"/>
      <c r="P30" s="14"/>
      <c r="Q30" s="14"/>
      <c r="R30" s="14"/>
      <c r="S30" s="238"/>
      <c r="T30" s="14"/>
      <c r="U30" s="303" t="s">
        <v>21</v>
      </c>
      <c r="V30" s="300" t="s">
        <v>152</v>
      </c>
      <c r="W30" s="304">
        <v>44971</v>
      </c>
      <c r="X30" s="305"/>
    </row>
    <row r="31" spans="2:25" ht="17.399999999999999" x14ac:dyDescent="0.35">
      <c r="B31" s="235"/>
      <c r="C31" s="236"/>
      <c r="D31" s="237"/>
      <c r="E31" s="235"/>
      <c r="F31" s="230"/>
      <c r="G31" s="230"/>
      <c r="J31" s="265"/>
      <c r="K31" s="47"/>
      <c r="L31" s="47"/>
      <c r="M31" s="39">
        <f>P29</f>
        <v>8.2134</v>
      </c>
      <c r="N31" s="12">
        <v>3500</v>
      </c>
      <c r="O31" s="12">
        <f t="shared" ref="O31:O36" si="13">M31*N31</f>
        <v>28746.9</v>
      </c>
      <c r="P31" s="14" t="s">
        <v>21</v>
      </c>
      <c r="Q31" s="14"/>
      <c r="R31" s="14"/>
      <c r="S31" s="241"/>
      <c r="T31" s="14"/>
      <c r="U31" s="303" t="s">
        <v>153</v>
      </c>
      <c r="V31" s="300">
        <v>3625</v>
      </c>
      <c r="W31" s="59" t="s">
        <v>154</v>
      </c>
      <c r="X31" s="305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 t="s">
        <v>165</v>
      </c>
      <c r="L32" s="47"/>
      <c r="M32" s="249">
        <v>2.2999999999999998</v>
      </c>
      <c r="N32" s="12">
        <v>25000</v>
      </c>
      <c r="O32" s="12">
        <f t="shared" si="13"/>
        <v>57499.999999999993</v>
      </c>
      <c r="P32" s="39" t="s">
        <v>31</v>
      </c>
      <c r="Q32" s="42"/>
      <c r="R32" s="14"/>
      <c r="S32" s="240"/>
      <c r="T32" s="14"/>
      <c r="U32" s="303"/>
      <c r="V32" s="59">
        <v>906.25</v>
      </c>
      <c r="W32" s="59" t="s">
        <v>155</v>
      </c>
      <c r="X32" s="305"/>
    </row>
    <row r="33" spans="2:24" s="230" customFormat="1" ht="17.399999999999999" x14ac:dyDescent="0.35">
      <c r="J33" s="262"/>
      <c r="K33" s="232">
        <v>40706</v>
      </c>
      <c r="L33" s="250">
        <v>34989</v>
      </c>
      <c r="M33" s="14"/>
      <c r="N33" s="250">
        <v>61840</v>
      </c>
      <c r="O33" s="12">
        <f t="shared" si="13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5" t="s">
        <v>156</v>
      </c>
      <c r="X33" s="59"/>
    </row>
    <row r="34" spans="2:24" s="230" customFormat="1" ht="17.399999999999999" x14ac:dyDescent="0.35">
      <c r="B34" s="24" t="s">
        <v>151</v>
      </c>
      <c r="J34" s="262"/>
      <c r="K34" s="232">
        <v>26644</v>
      </c>
      <c r="L34" s="250">
        <v>22025</v>
      </c>
      <c r="M34" s="14">
        <v>3</v>
      </c>
      <c r="N34" s="250">
        <v>34300</v>
      </c>
      <c r="O34" s="12">
        <f t="shared" si="13"/>
        <v>102900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5" t="s">
        <v>157</v>
      </c>
      <c r="X34" s="59"/>
    </row>
    <row r="35" spans="2:24" s="230" customFormat="1" ht="17.399999999999999" x14ac:dyDescent="0.35">
      <c r="B35" s="24" t="s">
        <v>144</v>
      </c>
      <c r="C35"/>
      <c r="D35"/>
      <c r="E35"/>
      <c r="F35"/>
      <c r="J35" s="262"/>
      <c r="L35" s="250"/>
      <c r="M35" s="249"/>
      <c r="N35" s="250">
        <v>300</v>
      </c>
      <c r="O35" s="12">
        <f t="shared" si="13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B36" s="29" t="s">
        <v>125</v>
      </c>
      <c r="C36"/>
      <c r="D36"/>
      <c r="E36"/>
      <c r="F36" s="229" t="s">
        <v>15</v>
      </c>
      <c r="J36" s="294"/>
      <c r="L36" s="250"/>
      <c r="M36" s="266"/>
      <c r="N36" s="12">
        <v>1500</v>
      </c>
      <c r="O36" s="12">
        <f t="shared" si="13"/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L37" s="250"/>
      <c r="M37" s="14"/>
      <c r="N37" s="12"/>
      <c r="O37" s="12">
        <f>SUM(O31:O36)</f>
        <v>189146.9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416123.18</v>
      </c>
      <c r="P38" s="14" t="s">
        <v>140</v>
      </c>
      <c r="Q38" s="14"/>
      <c r="R38" s="40">
        <f>P29/R37</f>
        <v>2.2145707506471095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40706</v>
      </c>
      <c r="L39" s="250"/>
      <c r="M39" s="14"/>
      <c r="N39" s="12"/>
      <c r="O39" s="12">
        <f>O38/P27</f>
        <v>60796.724377237195</v>
      </c>
      <c r="P39" s="45" t="s">
        <v>24</v>
      </c>
      <c r="Q39" s="14"/>
      <c r="R39" s="14"/>
      <c r="S39"/>
      <c r="T39" s="238"/>
      <c r="U39" s="59" t="s">
        <v>158</v>
      </c>
      <c r="V39" s="300">
        <v>43650</v>
      </c>
    </row>
    <row r="40" spans="2:24" s="230" customFormat="1" ht="17.399999999999999" x14ac:dyDescent="0.35">
      <c r="G40"/>
      <c r="K40" s="230">
        <f>K39/1.19</f>
        <v>34206.722689075628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160</v>
      </c>
      <c r="V40" s="301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2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45946</v>
      </c>
    </row>
    <row r="6" spans="2:31" ht="16.2" thickBot="1" x14ac:dyDescent="0.35">
      <c r="B6" s="140" t="s">
        <v>2</v>
      </c>
      <c r="C6" s="139" t="str">
        <f>'2229'!C10</f>
        <v>MAURICIO URRA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6" t="s">
        <v>98</v>
      </c>
      <c r="I7" s="347"/>
      <c r="J7" s="347"/>
      <c r="K7" s="348"/>
      <c r="N7" s="75"/>
      <c r="O7" s="345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11130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5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-50130.227533454112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492315</v>
      </c>
      <c r="E11" s="132">
        <f>D11*0.19</f>
        <v>93539.85</v>
      </c>
      <c r="F11" s="131">
        <f>E11+D11</f>
        <v>585854.85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55859.772466545888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116080.9907874396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37859.772466545888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376234.00921256037</v>
      </c>
      <c r="E13" s="221">
        <f>(D11/D12)-1</f>
        <v>3.2411336831324693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28859.772466545888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-10140.227533454112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191533.63479927534</v>
      </c>
      <c r="F15" s="216">
        <f>E15-D12</f>
        <v>75452.644011835742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-10140.227533454112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29859.772466545888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57499.999999999993</v>
      </c>
      <c r="E19" s="123">
        <f>D19*0.19</f>
        <v>10924.999999999998</v>
      </c>
      <c r="F19" s="120">
        <f>SUM(D19:E19)</f>
        <v>68424.999999999985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28746.9</v>
      </c>
      <c r="E20" s="121">
        <f>D20*0.19</f>
        <v>5461.9110000000001</v>
      </c>
      <c r="F20" s="120">
        <f>SUM(D20:E20)</f>
        <v>34208.811000000002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86246.9</v>
      </c>
      <c r="E21" s="116">
        <f>SUM(E18:E20)</f>
        <v>16386.911</v>
      </c>
      <c r="F21" s="115">
        <f>SUM(F18:F20)</f>
        <v>102633.81099999999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77152.939000000013</v>
      </c>
    </row>
    <row r="41" spans="2:16" ht="15" thickBot="1" x14ac:dyDescent="0.35">
      <c r="H41" s="349" t="s">
        <v>60</v>
      </c>
      <c r="I41" s="350"/>
      <c r="J41" s="350"/>
      <c r="K41" s="350"/>
      <c r="L41" s="350"/>
      <c r="M41" s="351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492315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86246.9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376234.00921256037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376234.00921256037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2024-10-11T12:54:25Z</cp:lastPrinted>
  <dcterms:created xsi:type="dcterms:W3CDTF">2013-03-18T13:35:42Z</dcterms:created>
  <dcterms:modified xsi:type="dcterms:W3CDTF">2024-10-16T19:36:34Z</dcterms:modified>
</cp:coreProperties>
</file>