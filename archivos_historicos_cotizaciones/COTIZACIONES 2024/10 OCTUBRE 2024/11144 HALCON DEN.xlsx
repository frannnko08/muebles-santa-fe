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0 OCTUBRE 2024\"/>
    </mc:Choice>
  </mc:AlternateContent>
  <xr:revisionPtr revIDLastSave="0" documentId="13_ncr:1_{29E35267-47F3-4AF4-BD77-94088EFE36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K23" i="1"/>
  <c r="L23" i="1"/>
  <c r="M23" i="1"/>
  <c r="N23" i="1"/>
  <c r="O23" i="1" s="1"/>
  <c r="R23" i="1"/>
  <c r="H24" i="1"/>
  <c r="H25" i="1"/>
  <c r="K22" i="1"/>
  <c r="L22" i="1"/>
  <c r="M22" i="1"/>
  <c r="W43" i="1"/>
  <c r="W39" i="1"/>
  <c r="V36" i="1"/>
  <c r="X26" i="1"/>
  <c r="N22" i="1" l="1"/>
  <c r="R22" i="1"/>
  <c r="O22" i="1"/>
  <c r="K21" i="1"/>
  <c r="K10" i="1"/>
  <c r="J42" i="1" l="1"/>
  <c r="L21" i="1" l="1"/>
  <c r="L28" i="1" s="1"/>
  <c r="M21" i="1"/>
  <c r="N21" i="1" l="1"/>
  <c r="R21" i="1"/>
  <c r="U21" i="1" s="1"/>
  <c r="N35" i="1"/>
  <c r="O21" i="1" l="1"/>
  <c r="S47" i="1"/>
  <c r="O28" i="1" l="1"/>
  <c r="O29" i="1" s="1"/>
  <c r="M20" i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O30" i="1" l="1"/>
  <c r="L34" i="1" s="1"/>
  <c r="N34" i="1" l="1"/>
  <c r="S48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E15" i="3"/>
  <c r="P20" i="1" l="1"/>
  <c r="F15" i="3"/>
  <c r="P22" i="1" l="1"/>
  <c r="Q22" i="1" s="1"/>
  <c r="G22" i="1" s="1"/>
  <c r="H22" i="1" s="1"/>
  <c r="P23" i="1"/>
  <c r="Q23" i="1" s="1"/>
  <c r="G23" i="1" s="1"/>
  <c r="H23" i="1" s="1"/>
  <c r="P21" i="1"/>
  <c r="R30" i="1"/>
  <c r="T20" i="1" l="1"/>
  <c r="Q21" i="1"/>
  <c r="G21" i="1" l="1"/>
  <c r="H21" i="1" s="1"/>
  <c r="H27" i="1" s="1"/>
  <c r="H28" i="1" l="1"/>
  <c r="H29" i="1" s="1"/>
  <c r="D11" i="3"/>
  <c r="M42" i="3" s="1"/>
  <c r="M46" i="3" s="1"/>
  <c r="M49" i="3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<sst xmlns="http://schemas.openxmlformats.org/spreadsheetml/2006/main" count="227" uniqueCount="169">
  <si>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</si>
  <si>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</si>
  <si>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</si>
  <si>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</si>
  <si>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</si>
  <si>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</si>
  <si>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</si>
  <si>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</si>
  <si>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</si>
  <si>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</si>
  <si>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</si>
  <si>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</si>
  <si>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</si>
  <si>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</si>
  <si>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</si>
  <si>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</si>
  <si>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</si>
  <si>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</si>
  <si>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</si>
  <si>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</si>
  <si>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</si>
  <si>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</si>
  <si>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</si>
  <si>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</si>
  <si>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</si>
  <si>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</si>
  <si>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</si>
  <si>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</si>
  <si>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</si>
  <si>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</si>
  <si>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</si>
  <si>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</si>
  <si>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</si>
  <si>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</si>
  <si>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</si>
  <si>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</si>
  <si>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</si>
  <si>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</si>
  <si>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</si>
  <si>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</si>
  <si>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</si>
  <si>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</si>
  <si>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</si>
  <si>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</si>
  <si>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</si>
  <si>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</si>
  <si>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</si>
  <si>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</si>
  <si>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</si>
  <si>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</si>
  <si>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</si>
  <si>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</si>
  <si>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</si>
  <si>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</si>
  <si>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</si>
  <si>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</si>
  <si>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</si>
  <si>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</si>
  <si>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</si>
  <si>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</si>
  <si>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</si>
  <si>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</si>
  <si>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</si>
  <si>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</si>
  <si>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</si>
  <si>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</si>
  <si>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</si>
  <si>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</si>
  <si>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</si>
  <si>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</si>
  <si>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</si>
  <si>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</si>
  <si>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</si>
  <si>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</si>
  <si>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</si>
  <si>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</si>
  <si>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</si>
  <si>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</si>
  <si>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</si>
  <si>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</si>
  <si>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</si>
  <si>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</si>
  <si>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</si>
  <si>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</si>
  <si>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</si>
  <si>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</si>
  <si>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</si>
  <si>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</si>
  <si>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</si>
  <si>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</si>
  <si>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</si>
  <si>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</si>
  <si>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</si>
  <si>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</si>
  <si>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</si>
  <si>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</si>
  <si>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</si>
  <si>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</si>
  <si>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</si>
  <si>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</si>
  <si>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</si>
  <si>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</si>
  <si>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</si>
  <si>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</si>
  <si>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</si>
  <si>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</si>
  <si>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</si>
  <si>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</si>
  <si>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</si>
  <si>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</si>
  <si>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</si>
  <si>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</si>
  <si>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</si>
  <si>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</si>
  <si>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</si>
  <si>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</si>
  <si>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</si>
  <si>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</si>
  <si>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</si>
  <si>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</si>
  <si>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</si>
  <si>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</si>
  <si>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</si>
  <si>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</si>
  <si>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</si>
  <si>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</si>
  <si>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</si>
  <si>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</si>
  <si>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</si>
  <si>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</si>
  <si>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</si>
  <si>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</si>
  <si>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</si>
  <si>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</si>
  <si>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</si>
  <si>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</si>
  <si>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</si>
  <si>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</si>
  <si>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</si>
  <si>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</si>
  <si>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</si>
  <si>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</si>
  <si>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</si>
  <si>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</si>
  <si>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</si>
  <si>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</si>
  <si>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</si>
  <si>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</si>
  <si>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</si>
  <si>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</si>
  <si>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</si>
  <si>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</si>
  <si>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</si>
  <si>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</si>
  <si>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</si>
  <si>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</si>
  <si>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</si>
  <si>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MTL</t>
  </si>
  <si>
    <t>MDF30MM</t>
  </si>
  <si>
    <t>5 DIAS HABILES</t>
  </si>
  <si>
    <t>SANTIAGO</t>
  </si>
  <si>
    <t>HALCON DEN</t>
  </si>
  <si>
    <t>CORTE 45°</t>
  </si>
  <si>
    <t>DESPACHO A DOMICILIO</t>
  </si>
  <si>
    <t>SI</t>
  </si>
  <si>
    <t>N° 11144</t>
  </si>
  <si>
    <t>CUB SIN RESPALDO FRENTE ESPAÑOL</t>
  </si>
  <si>
    <t>+569 7819 5747</t>
  </si>
  <si>
    <t>RUBY 2135 BRILLANTE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</si>
</sst>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/>
    <xf numFmtId="167" fontId="0" fillId="21" borderId="0" xfId="0" applyNumberFormat="1" applyFill="1"/>
    <xf numFmtId="42" fontId="1" fillId="0" borderId="1" xfId="0" applyNumberFormat="1" applyFont="1" applyBorder="1"/>
    <xf numFmtId="0" fontId="32" fillId="0" borderId="1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42" fontId="33" fillId="0" borderId="0" xfId="8" applyFont="1" applyFill="1" applyBorder="1"/>
    <xf numFmtId="0" fontId="11" fillId="0" borderId="26" xfId="0" applyFont="1" applyBorder="1" applyAlignment="1">
      <alignment horizont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45" xfId="2" applyNumberFormat="1" applyFont="1" applyFill="1" applyBorder="1" applyAlignment="1">
      <alignment horizontal="center" vertical="center"/>
    </xf>
    <xf numFmtId="0" fontId="36" fillId="0" borderId="0" xfId="0" quotePrefix="1" applyFont="1" applyAlignment="1">
      <alignment horizontal="left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2583219</xdr:colOff>
      <xdr:row>32</xdr:row>
      <xdr:rowOff>13024</xdr:rowOff>
    </xdr:from>
    <xdr:to>
      <xdr:col>8</xdr:col>
      <xdr:colOff>31102</xdr:colOff>
      <xdr:row>35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34933" y="7866289"/>
          <a:ext cx="205876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15551</xdr:colOff>
      <xdr:row>26</xdr:row>
      <xdr:rowOff>0</xdr:rowOff>
    </xdr:from>
    <xdr:to>
      <xdr:col>5</xdr:col>
      <xdr:colOff>1849560</xdr:colOff>
      <xdr:row>29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3" y="5450633"/>
          <a:ext cx="6973621" cy="6860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CORTADAS A LA MEDIDA</a:t>
          </a:r>
          <a:r>
            <a:rPr lang="es-CL" sz="1200" b="1" baseline="0"/>
            <a:t> Y ENCHAPADAS</a:t>
          </a:r>
          <a:endParaRPr lang="es-CL" sz="1200" b="1"/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9" zoomScale="98" zoomScaleNormal="98" workbookViewId="0">
      <selection activeCell="F24" sqref="F24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4" t="s">
        <v>165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45571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x14ac:dyDescent="0.3">
      <c r="B12" s="246" t="s">
        <v>147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1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164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53" t="s">
        <v>167</v>
      </c>
      <c r="D15" s="295"/>
      <c r="E15" s="247"/>
      <c r="F15" s="247" t="s">
        <v>136</v>
      </c>
      <c r="G15" s="296" t="s">
        <v>164</v>
      </c>
      <c r="H15" s="248"/>
    </row>
    <row r="16" spans="2:23" ht="15.6" x14ac:dyDescent="0.3">
      <c r="B16" s="292" t="s">
        <v>3</v>
      </c>
      <c r="C16" s="318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160</v>
      </c>
      <c r="D17" s="299"/>
      <c r="E17" s="300"/>
      <c r="F17" s="327" t="s">
        <v>154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thickBot="1" x14ac:dyDescent="0.35">
      <c r="B19" s="336" t="s">
        <v>149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39" t="s">
        <v>7</v>
      </c>
      <c r="C20" s="340" t="s">
        <v>1</v>
      </c>
      <c r="D20" s="340" t="s">
        <v>10</v>
      </c>
      <c r="E20" s="340" t="s">
        <v>11</v>
      </c>
      <c r="F20" s="340" t="s">
        <v>8</v>
      </c>
      <c r="G20" s="340" t="s">
        <v>5</v>
      </c>
      <c r="H20" s="341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95635.794904869384</v>
      </c>
      <c r="Q20" s="258">
        <v>2000</v>
      </c>
      <c r="R20" s="38"/>
      <c r="S20" s="14" t="s">
        <v>130</v>
      </c>
      <c r="T20" s="9">
        <f>P21/3</f>
        <v>10354.168728367194</v>
      </c>
      <c r="W20" s="44">
        <v>2.44</v>
      </c>
      <c r="X20">
        <v>1.52</v>
      </c>
    </row>
    <row r="21" spans="2:24" ht="17.399999999999999" x14ac:dyDescent="0.3">
      <c r="B21" s="342">
        <v>1</v>
      </c>
      <c r="C21" s="343" t="s">
        <v>166</v>
      </c>
      <c r="D21" s="344">
        <v>0.53</v>
      </c>
      <c r="E21" s="344">
        <v>0.56000000000000005</v>
      </c>
      <c r="F21" s="343" t="s">
        <v>168</v>
      </c>
      <c r="G21" s="345">
        <f>Q21</f>
        <v>33062.506185101585</v>
      </c>
      <c r="H21" s="346">
        <f>G21*B21</f>
        <v>33062.506185101585</v>
      </c>
      <c r="I21" s="265"/>
      <c r="J21" s="47"/>
      <c r="K21" s="319">
        <f>B21</f>
        <v>1</v>
      </c>
      <c r="L21" s="315">
        <f t="shared" ref="L21:M23" si="0">D21+L$19</f>
        <v>0.58000000000000007</v>
      </c>
      <c r="M21" s="315">
        <f t="shared" si="0"/>
        <v>0.56000000000000005</v>
      </c>
      <c r="N21" s="261">
        <f>L21*M21</f>
        <v>0.32480000000000009</v>
      </c>
      <c r="O21" s="259">
        <f>N21*K21</f>
        <v>0.32480000000000009</v>
      </c>
      <c r="P21" s="252">
        <f>P$20*N21</f>
        <v>31062.506185101585</v>
      </c>
      <c r="Q21" s="258">
        <f>P21+Q$20</f>
        <v>33062.506185101585</v>
      </c>
      <c r="R21" s="308">
        <f>K21*L21</f>
        <v>0.58000000000000007</v>
      </c>
      <c r="S21" s="14"/>
      <c r="T21" s="9"/>
      <c r="U21" s="316">
        <f>R21*U19</f>
        <v>8700.0000000000018</v>
      </c>
      <c r="W21" s="4"/>
      <c r="X21">
        <v>19.8</v>
      </c>
    </row>
    <row r="22" spans="2:24" ht="17.399999999999999" x14ac:dyDescent="0.3">
      <c r="B22" s="347">
        <v>1</v>
      </c>
      <c r="C22" s="309" t="s">
        <v>166</v>
      </c>
      <c r="D22" s="322">
        <v>1.2</v>
      </c>
      <c r="E22" s="322">
        <v>0.56000000000000005</v>
      </c>
      <c r="F22" s="309" t="s">
        <v>168</v>
      </c>
      <c r="G22" s="310">
        <f t="shared" ref="G22:G23" si="1">Q22</f>
        <v>68945.056433408579</v>
      </c>
      <c r="H22" s="311">
        <f t="shared" ref="H22:H25" si="2">G22*B22</f>
        <v>68945.056433408579</v>
      </c>
      <c r="I22" s="265"/>
      <c r="J22" s="47"/>
      <c r="K22" s="319">
        <f>B22</f>
        <v>1</v>
      </c>
      <c r="L22" s="315">
        <f t="shared" si="0"/>
        <v>1.25</v>
      </c>
      <c r="M22" s="315">
        <f t="shared" si="0"/>
        <v>0.56000000000000005</v>
      </c>
      <c r="N22" s="261">
        <f>L22*M22</f>
        <v>0.70000000000000007</v>
      </c>
      <c r="O22" s="259">
        <f>N22*K22</f>
        <v>0.70000000000000007</v>
      </c>
      <c r="P22" s="252">
        <f>P$20*N22</f>
        <v>66945.056433408579</v>
      </c>
      <c r="Q22" s="258">
        <f>P22+Q$20</f>
        <v>68945.056433408579</v>
      </c>
      <c r="R22" s="308">
        <f>K22*L22</f>
        <v>1.25</v>
      </c>
      <c r="S22" s="14"/>
      <c r="T22" s="9"/>
      <c r="U22" s="316"/>
      <c r="W22" s="4"/>
    </row>
    <row r="23" spans="2:24" ht="17.399999999999999" x14ac:dyDescent="0.3">
      <c r="B23" s="347">
        <v>1</v>
      </c>
      <c r="C23" s="309" t="s">
        <v>166</v>
      </c>
      <c r="D23" s="322">
        <v>2.5499999999999998</v>
      </c>
      <c r="E23" s="322">
        <v>0.56000000000000005</v>
      </c>
      <c r="F23" s="309" t="s">
        <v>168</v>
      </c>
      <c r="G23" s="310">
        <f t="shared" si="1"/>
        <v>141245.71738148981</v>
      </c>
      <c r="H23" s="311">
        <f t="shared" si="2"/>
        <v>141245.71738148981</v>
      </c>
      <c r="I23" s="265"/>
      <c r="J23" s="47"/>
      <c r="K23" s="319">
        <f>B23</f>
        <v>1</v>
      </c>
      <c r="L23" s="315">
        <f t="shared" si="0"/>
        <v>2.5999999999999996</v>
      </c>
      <c r="M23" s="315">
        <f t="shared" si="0"/>
        <v>0.56000000000000005</v>
      </c>
      <c r="N23" s="261">
        <f>L23*M23</f>
        <v>1.456</v>
      </c>
      <c r="O23" s="259">
        <f>N23*K23</f>
        <v>1.456</v>
      </c>
      <c r="P23" s="252">
        <f>P$20*N23</f>
        <v>139245.71738148981</v>
      </c>
      <c r="Q23" s="258">
        <f>P23+Q$20</f>
        <v>141245.71738148981</v>
      </c>
      <c r="R23" s="308">
        <f>K23*L23</f>
        <v>2.5999999999999996</v>
      </c>
      <c r="S23" s="14"/>
      <c r="T23" s="9"/>
      <c r="U23" s="316"/>
      <c r="W23" s="4"/>
    </row>
    <row r="24" spans="2:24" ht="17.399999999999999" x14ac:dyDescent="0.3">
      <c r="B24" s="347">
        <v>2</v>
      </c>
      <c r="C24" s="321" t="s">
        <v>162</v>
      </c>
      <c r="D24" s="325"/>
      <c r="E24" s="325"/>
      <c r="F24" s="321"/>
      <c r="G24" s="326">
        <v>7500</v>
      </c>
      <c r="H24" s="311">
        <f t="shared" si="2"/>
        <v>15000</v>
      </c>
      <c r="I24" s="265"/>
      <c r="J24" s="47"/>
      <c r="K24" s="319"/>
      <c r="L24" s="315"/>
      <c r="M24" s="315"/>
      <c r="N24" s="261"/>
      <c r="O24" s="259"/>
      <c r="P24" s="252"/>
      <c r="Q24" s="258"/>
      <c r="R24" s="308"/>
      <c r="S24" s="14"/>
      <c r="T24" s="9"/>
      <c r="U24" s="316"/>
      <c r="W24" s="4"/>
    </row>
    <row r="25" spans="2:24" ht="18" thickBot="1" x14ac:dyDescent="0.35">
      <c r="B25" s="348">
        <v>1</v>
      </c>
      <c r="C25" s="349" t="s">
        <v>163</v>
      </c>
      <c r="D25" s="350"/>
      <c r="E25" s="350"/>
      <c r="F25" s="349"/>
      <c r="G25" s="351">
        <v>25000</v>
      </c>
      <c r="H25" s="352">
        <f t="shared" si="2"/>
        <v>25000</v>
      </c>
      <c r="I25" s="265"/>
      <c r="J25" s="47"/>
      <c r="K25" s="319"/>
      <c r="L25" s="315"/>
      <c r="M25" s="315"/>
      <c r="N25" s="261"/>
      <c r="O25" s="259"/>
      <c r="P25" s="252"/>
      <c r="Q25" s="258"/>
      <c r="R25" s="308"/>
      <c r="S25" s="14"/>
      <c r="T25" s="9"/>
      <c r="U25" s="316"/>
      <c r="W25" s="4"/>
    </row>
    <row r="26" spans="2:24" ht="17.399999999999999" x14ac:dyDescent="0.3">
      <c r="B26" s="286"/>
      <c r="C26" s="286"/>
      <c r="D26" s="287"/>
      <c r="E26" s="287"/>
      <c r="F26" s="286"/>
      <c r="G26" s="52"/>
      <c r="H26" s="323"/>
      <c r="I26" s="265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  <c r="X26">
        <f>SUM(X21:X21)</f>
        <v>19.8</v>
      </c>
    </row>
    <row r="27" spans="2:24" ht="18" x14ac:dyDescent="0.35">
      <c r="B27" s="286"/>
      <c r="C27" s="286"/>
      <c r="D27" s="287"/>
      <c r="E27" s="287"/>
      <c r="F27" s="286"/>
      <c r="G27" s="324" t="s">
        <v>30</v>
      </c>
      <c r="H27" s="320">
        <f>SUM(H21:H26)</f>
        <v>283253.27999999997</v>
      </c>
      <c r="I27" s="232"/>
      <c r="J27" s="47"/>
      <c r="K27" s="47"/>
      <c r="L27" s="39"/>
      <c r="M27" s="39"/>
      <c r="N27" s="261"/>
      <c r="O27" s="253">
        <f>SUM(O21:O23)</f>
        <v>2.4808000000000003</v>
      </c>
      <c r="P27" s="252"/>
      <c r="Q27" s="258"/>
      <c r="R27" s="308"/>
      <c r="S27" s="14"/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307" t="s">
        <v>53</v>
      </c>
      <c r="H28" s="304">
        <f>H27*19%</f>
        <v>53818.123199999995</v>
      </c>
      <c r="I28" s="265"/>
      <c r="J28" s="47">
        <v>8698974</v>
      </c>
      <c r="K28" s="47"/>
      <c r="L28" s="39">
        <f>SUM(L21:L27)</f>
        <v>4.43</v>
      </c>
      <c r="M28" s="39"/>
      <c r="N28" s="261"/>
      <c r="O28" s="253">
        <f>O27</f>
        <v>2.4808000000000003</v>
      </c>
      <c r="P28" s="252"/>
      <c r="Q28" s="258"/>
      <c r="R28" s="308"/>
      <c r="S28" s="14"/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305">
        <f>H27+H28</f>
        <v>337071.40319999994</v>
      </c>
      <c r="I29" s="265"/>
      <c r="J29" s="47"/>
      <c r="K29" s="47"/>
      <c r="L29" s="39"/>
      <c r="M29" s="12"/>
      <c r="N29" s="12"/>
      <c r="O29" s="39">
        <f>O28*20%</f>
        <v>0.4961600000000001</v>
      </c>
      <c r="P29" s="14"/>
      <c r="Q29" s="12"/>
      <c r="R29" s="238"/>
      <c r="S29" s="14"/>
      <c r="T29" s="9"/>
      <c r="W29" s="4"/>
    </row>
    <row r="30" spans="2:24" ht="17.399999999999999" x14ac:dyDescent="0.3">
      <c r="I30" s="265"/>
      <c r="J30" s="47"/>
      <c r="K30" s="47"/>
      <c r="L30" s="39"/>
      <c r="M30" s="12"/>
      <c r="N30" s="12"/>
      <c r="O30" s="46">
        <f>O28+O29</f>
        <v>2.9769600000000005</v>
      </c>
      <c r="P30" s="14"/>
      <c r="Q30" s="12"/>
      <c r="R30" s="238">
        <f>SUM(R21:R29)</f>
        <v>4.43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H31" s="47"/>
      <c r="I31" s="265"/>
      <c r="J31" s="47"/>
      <c r="K31" s="47"/>
      <c r="L31" s="39"/>
      <c r="M31" s="12"/>
      <c r="N31" s="12"/>
      <c r="P31" s="39" t="s">
        <v>132</v>
      </c>
      <c r="Q31" s="42"/>
      <c r="R31" s="239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313"/>
      <c r="K32" s="47"/>
      <c r="L32" s="14"/>
      <c r="M32" s="12"/>
      <c r="N32" s="12"/>
      <c r="P32" s="14"/>
      <c r="Q32" s="14"/>
      <c r="R32" s="237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2"/>
      <c r="F33" s="233"/>
      <c r="G33" s="230"/>
      <c r="H33" s="275"/>
      <c r="I33" s="265"/>
      <c r="J33" s="313"/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2:23" ht="17.399999999999999" x14ac:dyDescent="0.35">
      <c r="B34" s="234"/>
      <c r="C34" s="235"/>
      <c r="D34" s="236"/>
      <c r="E34" s="234"/>
      <c r="F34" s="230"/>
      <c r="G34" s="230"/>
      <c r="I34" s="265"/>
      <c r="J34" s="47"/>
      <c r="K34" s="47"/>
      <c r="L34" s="39">
        <f>O30</f>
        <v>2.9769600000000005</v>
      </c>
      <c r="M34" s="12">
        <v>2500</v>
      </c>
      <c r="N34" s="12">
        <f t="shared" ref="N34:N39" si="3">L34*M34</f>
        <v>7442.4000000000015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</v>
      </c>
      <c r="M35" s="12">
        <v>25000</v>
      </c>
      <c r="N35" s="12">
        <f t="shared" si="3"/>
        <v>25000</v>
      </c>
      <c r="O35" s="39" t="s">
        <v>155</v>
      </c>
      <c r="P35" s="42"/>
      <c r="Q35" s="14"/>
      <c r="R35" s="239"/>
      <c r="S35" s="14"/>
      <c r="T35" s="9"/>
      <c r="V35">
        <v>1520</v>
      </c>
      <c r="W35" s="9" t="s">
        <v>157</v>
      </c>
    </row>
    <row r="36" spans="2:23" s="230" customFormat="1" ht="17.399999999999999" x14ac:dyDescent="0.35">
      <c r="I36" s="262"/>
      <c r="J36" s="47"/>
      <c r="K36" s="250"/>
      <c r="L36" s="14"/>
      <c r="M36" s="250">
        <v>55000</v>
      </c>
      <c r="N36" s="12">
        <f t="shared" si="3"/>
        <v>0</v>
      </c>
      <c r="O36" s="39" t="s">
        <v>32</v>
      </c>
      <c r="P36" s="42"/>
      <c r="R36" s="239"/>
      <c r="S36" s="256"/>
      <c r="V36" s="231">
        <f>V35/33</f>
        <v>46.060606060606062</v>
      </c>
      <c r="W36" s="230">
        <v>112.24</v>
      </c>
    </row>
    <row r="37" spans="2:23" s="230" customFormat="1" ht="17.399999999999999" x14ac:dyDescent="0.35">
      <c r="B37" s="24" t="s">
        <v>153</v>
      </c>
      <c r="I37" s="262"/>
      <c r="J37" s="312"/>
      <c r="K37" s="250"/>
      <c r="L37" s="14">
        <v>2</v>
      </c>
      <c r="M37" s="250">
        <v>37700</v>
      </c>
      <c r="N37" s="12">
        <f t="shared" si="3"/>
        <v>75400</v>
      </c>
      <c r="O37" s="14" t="s">
        <v>143</v>
      </c>
      <c r="P37" s="17"/>
      <c r="R37" s="237"/>
      <c r="S37" s="256"/>
      <c r="V37" s="231"/>
      <c r="W37" s="230">
        <v>112.24</v>
      </c>
    </row>
    <row r="38" spans="2:23" s="230" customFormat="1" ht="17.399999999999999" x14ac:dyDescent="0.35">
      <c r="B38" s="24" t="s">
        <v>146</v>
      </c>
      <c r="C38"/>
      <c r="D38"/>
      <c r="E38"/>
      <c r="F38"/>
      <c r="I38" s="262"/>
      <c r="J38" s="312"/>
      <c r="K38" s="250"/>
      <c r="L38" s="249"/>
      <c r="M38" s="250">
        <v>800</v>
      </c>
      <c r="N38" s="12">
        <f t="shared" si="3"/>
        <v>0</v>
      </c>
      <c r="O38" s="14" t="s">
        <v>34</v>
      </c>
      <c r="P38" s="14"/>
      <c r="Q38" s="230">
        <v>1.52</v>
      </c>
      <c r="R38" s="237"/>
      <c r="S38" s="237"/>
      <c r="W38" s="230">
        <v>112.24</v>
      </c>
    </row>
    <row r="39" spans="2:23" s="230" customFormat="1" ht="17.399999999999999" x14ac:dyDescent="0.35">
      <c r="B39" s="29" t="s">
        <v>127</v>
      </c>
      <c r="C39"/>
      <c r="D39"/>
      <c r="E39"/>
      <c r="F39" s="229" t="s">
        <v>16</v>
      </c>
      <c r="I39" s="303"/>
      <c r="J39" s="47"/>
      <c r="K39" s="250"/>
      <c r="L39" s="266"/>
      <c r="M39" s="12">
        <v>3500</v>
      </c>
      <c r="N39" s="12">
        <f t="shared" si="3"/>
        <v>0</v>
      </c>
      <c r="O39" s="14" t="s">
        <v>24</v>
      </c>
      <c r="P39" s="14"/>
      <c r="Q39">
        <v>2.44</v>
      </c>
      <c r="R39"/>
      <c r="S39" s="237">
        <v>1500</v>
      </c>
      <c r="W39" s="231">
        <f>SUM(W36:W38)</f>
        <v>336.71999999999997</v>
      </c>
    </row>
    <row r="40" spans="2:23" s="230" customFormat="1" ht="17.399999999999999" x14ac:dyDescent="0.35">
      <c r="J40" s="47"/>
      <c r="K40" s="250"/>
      <c r="L40" s="14"/>
      <c r="M40" s="12"/>
      <c r="N40" s="12">
        <f>SUM(N34:N39)</f>
        <v>107842.4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2:23" s="230" customFormat="1" ht="17.399999999999999" x14ac:dyDescent="0.35">
      <c r="J41" s="47">
        <v>57140</v>
      </c>
      <c r="K41" s="250"/>
      <c r="L41" s="254" t="s">
        <v>35</v>
      </c>
      <c r="M41" s="12"/>
      <c r="N41" s="255">
        <f>N40*2.2</f>
        <v>237253.28</v>
      </c>
      <c r="O41" s="14" t="s">
        <v>142</v>
      </c>
      <c r="P41" s="14"/>
      <c r="Q41" s="46">
        <f>O28/Q40</f>
        <v>0.66889559965487499</v>
      </c>
      <c r="R41"/>
      <c r="S41" s="257" t="e">
        <f>S40/#REF!</f>
        <v>#REF!</v>
      </c>
      <c r="V41" s="230" t="s">
        <v>158</v>
      </c>
      <c r="W41" s="230">
        <v>4</v>
      </c>
    </row>
    <row r="42" spans="2:23" s="230" customFormat="1" ht="17.399999999999999" x14ac:dyDescent="0.35">
      <c r="G42"/>
      <c r="H42" s="260"/>
      <c r="I42" s="260"/>
      <c r="J42" s="47">
        <f>J41/1.19</f>
        <v>48016.806722689078</v>
      </c>
      <c r="K42" s="250"/>
      <c r="L42" s="14"/>
      <c r="M42" s="12"/>
      <c r="N42" s="12">
        <f>N41/O28</f>
        <v>95635.794904869384</v>
      </c>
      <c r="O42" s="45" t="s">
        <v>26</v>
      </c>
      <c r="P42" s="14"/>
      <c r="Q42" s="14"/>
      <c r="R42"/>
      <c r="S42" s="237"/>
      <c r="V42" s="230">
        <v>48000</v>
      </c>
    </row>
    <row r="43" spans="2:23" s="230" customFormat="1" ht="17.399999999999999" x14ac:dyDescent="0.35">
      <c r="G43"/>
      <c r="J43" s="47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7"/>
      <c r="W43" s="230">
        <f>V42*W41</f>
        <v>192000</v>
      </c>
    </row>
    <row r="44" spans="2:23" s="230" customFormat="1" ht="17.399999999999999" x14ac:dyDescent="0.35">
      <c r="G44" s="23"/>
      <c r="J44" s="47"/>
      <c r="K44" s="12"/>
      <c r="S44" s="237"/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2:23" ht="14.4" customHeight="1" x14ac:dyDescent="0.3">
      <c r="J46" s="47"/>
      <c r="K46" s="12"/>
      <c r="S46">
        <v>2.5</v>
      </c>
    </row>
    <row r="47" spans="2:23" x14ac:dyDescent="0.3">
      <c r="J47" s="47"/>
      <c r="K47" s="250"/>
      <c r="S47">
        <f>S45*S46</f>
        <v>4.5750000000000002</v>
      </c>
    </row>
    <row r="48" spans="2:23" x14ac:dyDescent="0.3">
      <c r="K48" s="250"/>
      <c r="S48" s="270">
        <f>O30/S47</f>
        <v>0.65070163934426239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150</v>
      </c>
    </row>
    <row r="78" spans="3:14" x14ac:dyDescent="0.3">
      <c r="C78" t="s">
        <v>149</v>
      </c>
    </row>
    <row r="81" spans="3:3" x14ac:dyDescent="0.3">
      <c r="C81" t="s">
        <v>149</v>
      </c>
    </row>
    <row r="158" spans="3:3" x14ac:dyDescent="0.3">
      <c r="C158" t="s">
        <v>149</v>
      </c>
    </row>
    <row r="159" spans="3:3" x14ac:dyDescent="0.3">
      <c r="C159" t="s">
        <v>151</v>
      </c>
    </row>
    <row r="160" spans="3:3" x14ac:dyDescent="0.3">
      <c r="C160" t="s">
        <v>152</v>
      </c>
    </row>
    <row r="585" spans="3:3" x14ac:dyDescent="0.3">
      <c r="C585" t="s">
        <v>149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45571</v>
      </c>
    </row>
    <row r="6" spans="2:31" ht="16.2" thickBot="1" x14ac:dyDescent="0.35">
      <c r="B6" s="140" t="s">
        <v>2</v>
      </c>
      <c r="C6" s="139" t="str">
        <f>'2229'!C10</f>
        <v>HALCON DEN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0" t="s">
        <v>100</v>
      </c>
      <c r="I7" s="331"/>
      <c r="J7" s="331"/>
      <c r="K7" s="332"/>
      <c r="N7" s="75"/>
      <c r="O7" s="32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11144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17126.034966545893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123116.03496654589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62276.490787439616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105116.03496654589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-62276.490787439616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96116.034966545893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57116.034966545893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102756.20979927536</v>
      </c>
      <c r="F15" s="216">
        <f>E15-D12</f>
        <v>40479.719011835739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57116.034966545893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97116.034966545893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7442.4000000000015</v>
      </c>
      <c r="E20" s="121">
        <f>D20*0.19</f>
        <v>1414.0560000000003</v>
      </c>
      <c r="F20" s="120">
        <f>SUM(D20:E20)</f>
        <v>8856.4560000000019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32442.400000000001</v>
      </c>
      <c r="E21" s="116">
        <f>SUM(E18:E20)</f>
        <v>6164.0560000000005</v>
      </c>
      <c r="F21" s="115">
        <f>SUM(F18:F20)</f>
        <v>38606.456000000006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-6164.0560000000005</v>
      </c>
    </row>
    <row r="41" spans="2:16" ht="15" thickBot="1" x14ac:dyDescent="0.35">
      <c r="H41" s="333" t="s">
        <v>62</v>
      </c>
      <c r="I41" s="334"/>
      <c r="J41" s="334"/>
      <c r="K41" s="334"/>
      <c r="L41" s="334"/>
      <c r="M41" s="33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32442.400000000001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-62276.490787439616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-62276.490787439616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2024-11-06T14:00:27Z</cp:lastPrinted>
  <dcterms:created xsi:type="dcterms:W3CDTF">2013-03-18T13:35:42Z</dcterms:created>
  <dcterms:modified xsi:type="dcterms:W3CDTF">2024-11-06T14:17:10Z</dcterms:modified>
</cp:coreProperties>
</file>