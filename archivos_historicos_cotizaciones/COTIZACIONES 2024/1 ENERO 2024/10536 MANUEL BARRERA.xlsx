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D68BD4BE-7C04-4C46-A9F3-70F6926D3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S23" i="1"/>
  <c r="S21" i="1"/>
  <c r="S22" i="1"/>
  <c r="M22" i="1"/>
  <c r="L22" i="1"/>
  <c r="K22" i="1"/>
  <c r="H22" i="1"/>
  <c r="N22" i="1" l="1"/>
  <c r="O22" i="1" s="1"/>
  <c r="H21" i="1"/>
  <c r="K21" i="1"/>
  <c r="J39" i="1"/>
  <c r="L21" i="1"/>
  <c r="L24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P21" i="1"/>
  <c r="F15" i="3"/>
  <c r="Q21" i="1" l="1"/>
  <c r="H24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<sst xmlns="http://schemas.openxmlformats.org/spreadsheetml/2006/main" count="231" uniqueCount="174">
  <si>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</si>
  <si>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</si>
  <si>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</si>
  <si>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</si>
  <si>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</si>
  <si>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</si>
  <si>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</si>
  <si>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</si>
  <si>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</si>
  <si>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</si>
  <si>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</si>
  <si>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</si>
  <si>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</si>
  <si>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</si>
  <si>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</si>
  <si>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</si>
  <si>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</si>
  <si>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</si>
  <si>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</si>
  <si>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</si>
  <si>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</si>
  <si>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</si>
  <si>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</si>
  <si>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</si>
  <si>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</si>
  <si>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</si>
  <si>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</si>
  <si>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</si>
  <si>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</si>
  <si>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</si>
  <si>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</si>
  <si>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</si>
  <si>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</si>
  <si>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</si>
  <si>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</si>
  <si>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</si>
  <si>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</si>
  <si>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</si>
  <si>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</si>
  <si>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</si>
  <si>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</si>
  <si>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</si>
  <si>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</si>
  <si>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</si>
  <si>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</si>
  <si>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</si>
  <si>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</si>
  <si>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</si>
  <si>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</si>
  <si>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</si>
  <si>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</si>
  <si>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</si>
  <si>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</si>
  <si>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</si>
  <si>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</si>
  <si>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</si>
  <si>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</si>
  <si>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</si>
  <si>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</si>
  <si>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</si>
  <si>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</si>
  <si>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</si>
  <si>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</si>
  <si>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</si>
  <si>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</si>
  <si>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</si>
  <si>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</si>
  <si>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</si>
  <si>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</si>
  <si>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</si>
  <si>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</si>
  <si>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</si>
  <si>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</si>
  <si>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</si>
  <si>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</si>
  <si>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</si>
  <si>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</si>
  <si>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</si>
  <si>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</si>
  <si>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</si>
  <si>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</si>
  <si>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</si>
  <si>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</si>
  <si>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</si>
  <si>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</si>
  <si>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</si>
  <si>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</si>
  <si>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</si>
  <si>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</si>
  <si>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</si>
  <si>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</si>
  <si>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</si>
  <si>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</si>
  <si>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</si>
  <si>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</si>
  <si>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</si>
  <si>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</si>
  <si>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</si>
  <si>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</si>
  <si>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</si>
  <si>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</si>
  <si>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</si>
  <si>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</si>
  <si>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</si>
  <si>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</si>
  <si>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</si>
  <si>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</si>
  <si>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</si>
  <si>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</si>
  <si>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</si>
  <si>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</si>
  <si>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</si>
  <si>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</si>
  <si>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</si>
  <si>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</si>
  <si>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</si>
  <si>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</si>
  <si>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</si>
  <si>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</si>
  <si>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</si>
  <si>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</si>
  <si>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</si>
  <si>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</si>
  <si>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</si>
  <si>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</si>
  <si>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</si>
  <si>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</si>
  <si>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</si>
  <si>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</si>
  <si>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</si>
  <si>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</si>
  <si>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</si>
  <si>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</si>
  <si>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</si>
  <si>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</si>
  <si>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</si>
  <si>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</si>
  <si>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</si>
  <si>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</si>
  <si>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</si>
  <si>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</si>
  <si>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</si>
  <si>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</si>
  <si>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</si>
  <si>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</si>
  <si>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</si>
  <si>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</si>
  <si>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</si>
  <si>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</si>
  <si>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</si>
  <si>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</si>
  <si>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</si>
  <si>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</si>
  <si>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</si>
  <si>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</si>
  <si>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</si>
  <si>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</si>
  <si>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</si>
  <si>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</si>
  <si>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</si>
  <si>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</si>
  <si>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</si>
  <si>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</si>
  <si>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</si>
  <si>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</si>
  <si>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</si>
  <si>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</si>
  <si>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</si>
  <si>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+569 8706 3966</t>
  </si>
  <si>
    <t>MANUEL BARRERA</t>
  </si>
  <si>
    <t>10 DIAS HABILES</t>
  </si>
  <si>
    <t>ENCHAPE RECTO 1 CARA (ASIENTO)</t>
  </si>
  <si>
    <t>ENCHAPE RECTO 2 CARAS (RESPALDO)</t>
  </si>
  <si>
    <t>BLANCO OPACO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</si>
</sst>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9" fontId="3" fillId="0" borderId="0" xfId="0" applyNumberFormat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F21" sqref="F21: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169</v>
      </c>
      <c r="D10" s="243"/>
      <c r="E10" s="243"/>
      <c r="F10" s="244" t="s">
        <v>0</v>
      </c>
      <c r="G10" s="277">
        <v>45303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168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39177.83505154639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24">
        <v>150</v>
      </c>
      <c r="C21" s="325" t="s">
        <v>171</v>
      </c>
      <c r="D21" s="326">
        <v>0.36</v>
      </c>
      <c r="E21" s="326">
        <v>0.33</v>
      </c>
      <c r="F21" s="325" t="s">
        <v>173</v>
      </c>
      <c r="G21" s="327">
        <v>6301</v>
      </c>
      <c r="H21" s="328">
        <f>G21*B21</f>
        <v>945150</v>
      </c>
      <c r="I21" s="265"/>
      <c r="J21" s="47"/>
      <c r="K21" s="47">
        <f>B21</f>
        <v>150</v>
      </c>
      <c r="L21" s="39">
        <f t="shared" ref="L21" si="1">D21+L$19</f>
        <v>0.41</v>
      </c>
      <c r="M21" s="39">
        <f t="shared" ref="M21" si="2">E21+M$19</f>
        <v>0.33</v>
      </c>
      <c r="N21" s="261">
        <f t="shared" ref="N21" si="3">L21*M21</f>
        <v>0.1353</v>
      </c>
      <c r="O21" s="259">
        <f t="shared" ref="O21" si="4">N21*K21</f>
        <v>20.295000000000002</v>
      </c>
      <c r="P21" s="252">
        <f t="shared" ref="P21" si="5">P$20*N21</f>
        <v>5300.7610824742269</v>
      </c>
      <c r="Q21" s="258">
        <f t="shared" ref="Q21" si="6">P21+Q$20</f>
        <v>15300.761082474226</v>
      </c>
      <c r="R21" s="309"/>
      <c r="S21" s="341">
        <f>O21</f>
        <v>20.295000000000002</v>
      </c>
      <c r="T21" s="9"/>
      <c r="W21" s="4"/>
    </row>
    <row r="22" spans="2:24" ht="17.399999999999999" x14ac:dyDescent="0.3">
      <c r="B22" s="324">
        <v>150</v>
      </c>
      <c r="C22" s="325" t="s">
        <v>172</v>
      </c>
      <c r="D22" s="326">
        <v>0.33</v>
      </c>
      <c r="E22" s="326">
        <v>0.18</v>
      </c>
      <c r="F22" s="325" t="s">
        <v>173</v>
      </c>
      <c r="G22" s="327">
        <v>3680</v>
      </c>
      <c r="H22" s="328">
        <f>G22*B22</f>
        <v>552000</v>
      </c>
      <c r="I22" s="265"/>
      <c r="J22" s="47"/>
      <c r="K22" s="47">
        <f t="shared" ref="K22" si="7">B22</f>
        <v>150</v>
      </c>
      <c r="L22" s="39">
        <f t="shared" ref="L22" si="8">D22+L$19</f>
        <v>0.38</v>
      </c>
      <c r="M22" s="39">
        <f t="shared" ref="M22" si="9">E22+M$19</f>
        <v>0.18</v>
      </c>
      <c r="N22" s="261">
        <f t="shared" ref="N22" si="10">L22*M22</f>
        <v>6.8400000000000002E-2</v>
      </c>
      <c r="O22" s="259">
        <f t="shared" ref="O22" si="11">N22*K22</f>
        <v>10.26</v>
      </c>
      <c r="P22" s="252">
        <f t="shared" ref="P22" si="12">P$20*N22</f>
        <v>2679.7639175257732</v>
      </c>
      <c r="Q22" s="258">
        <f t="shared" ref="Q22" si="13">P22+Q$20</f>
        <v>12679.763917525774</v>
      </c>
      <c r="R22" s="309"/>
      <c r="S22" s="46">
        <f>O22*2</f>
        <v>20.52</v>
      </c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341">
        <f>SUM(S21:S22)</f>
        <v>40.814999999999998</v>
      </c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SUM(H21:H23)</f>
        <v>1497150</v>
      </c>
      <c r="I24" s="265"/>
      <c r="J24" s="47"/>
      <c r="K24" s="47"/>
      <c r="L24" s="39">
        <f>SUM(L21:L23)</f>
        <v>0.79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284458.5</v>
      </c>
      <c r="I25" s="265"/>
      <c r="J25" s="47"/>
      <c r="K25" s="47"/>
      <c r="L25" s="39"/>
      <c r="M25" s="12"/>
      <c r="N25" s="12"/>
      <c r="O25" s="253">
        <f>SUM(O21:O22)</f>
        <v>30.555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1781608.5</v>
      </c>
      <c r="I26" s="265"/>
      <c r="J26" s="47"/>
      <c r="K26" s="47"/>
      <c r="L26" s="39"/>
      <c r="M26" s="12"/>
      <c r="N26" s="12"/>
      <c r="O26" s="253">
        <f>O25</f>
        <v>30.555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6.1110000000000007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36.665999999999997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S23</f>
        <v>40.814999999999998</v>
      </c>
      <c r="M30" s="12">
        <v>2500</v>
      </c>
      <c r="N30" s="12">
        <f t="shared" ref="N30:N35" si="14">L30*M30</f>
        <v>102037.5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/>
      <c r="M31" s="12">
        <v>23500</v>
      </c>
      <c r="N31" s="12">
        <f t="shared" si="14"/>
        <v>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35000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26</v>
      </c>
      <c r="M33" s="250">
        <v>18000</v>
      </c>
      <c r="N33" s="12">
        <f t="shared" si="14"/>
        <v>468000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4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570037.5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N36*2.1</f>
        <v>1197078.75</v>
      </c>
      <c r="O37" s="14" t="s">
        <v>141</v>
      </c>
      <c r="P37" s="14"/>
      <c r="Q37" s="40">
        <f>O28/Q36</f>
        <v>9.8862165660051762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39177.83505154639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45303</v>
      </c>
    </row>
    <row r="6" spans="2:31" ht="16.2" thickBot="1" x14ac:dyDescent="0.35">
      <c r="B6" s="140" t="s">
        <v>2</v>
      </c>
      <c r="C6" s="139" t="str">
        <f>'2229'!C10</f>
        <v>MANUEL BARRERA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-213260.31253345413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1497150</v>
      </c>
      <c r="E11" s="132">
        <f>D11*0.19</f>
        <v>284458.5</v>
      </c>
      <c r="F11" s="131">
        <f>E11+D11</f>
        <v>1781608.5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-107270.31253345413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131871.59078743961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-125270.31253345413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1365278.4092125604</v>
      </c>
      <c r="E13" s="221">
        <f>(D11/D12)-1</f>
        <v>10.353089706889312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-134270.31253345413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-173270.31253345413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217588.12479927533</v>
      </c>
      <c r="F15" s="216">
        <f>E15-D12</f>
        <v>85716.534011835727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-173270.31253345413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-133270.31253345413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102037.5</v>
      </c>
      <c r="E20" s="121">
        <f>D20*0.19</f>
        <v>19387.125</v>
      </c>
      <c r="F20" s="120">
        <f>SUM(D20:E20)</f>
        <v>121424.625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102037.5</v>
      </c>
      <c r="E21" s="116">
        <f>SUM(E18:E20)</f>
        <v>19387.125</v>
      </c>
      <c r="F21" s="115">
        <f>SUM(F18:F20)</f>
        <v>121424.625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265071.375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1497150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102037.5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1365278.4092125604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1365278.4092125604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2024-01-12T13:05:24Z</dcterms:modified>
</cp:coreProperties>
</file>