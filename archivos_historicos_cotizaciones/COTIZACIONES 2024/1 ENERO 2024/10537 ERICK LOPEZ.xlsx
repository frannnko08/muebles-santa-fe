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BE006032-C1A2-43F1-918A-9F502530D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M22" i="1"/>
  <c r="L22" i="1"/>
  <c r="K22" i="1"/>
  <c r="H22" i="1"/>
  <c r="N22" i="1" l="1"/>
  <c r="O22" i="1" s="1"/>
  <c r="H21" i="1"/>
  <c r="K21" i="1"/>
  <c r="J40" i="1"/>
  <c r="L21" i="1"/>
  <c r="L25" i="1" s="1"/>
  <c r="M21" i="1"/>
  <c r="N21" i="1" l="1"/>
  <c r="O21" i="1" s="1"/>
  <c r="O26" i="1" s="1"/>
  <c r="R27" i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F15" i="3"/>
  <c r="Q21" i="1" l="1"/>
  <c r="H25" i="1" l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<sst xmlns="http://schemas.openxmlformats.org/spreadsheetml/2006/main" count="232" uniqueCount="174">
  <si>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</si>
  <si>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</si>
  <si>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</si>
  <si>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</si>
  <si>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</si>
  <si>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</si>
  <si>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</si>
  <si>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</si>
  <si>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</si>
  <si>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</si>
  <si>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</si>
  <si>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</si>
  <si>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</si>
  <si>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</si>
  <si>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</si>
  <si>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</si>
  <si>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</si>
  <si>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</si>
  <si>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</si>
  <si>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</si>
  <si>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</si>
  <si>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</si>
  <si>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</si>
  <si>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</si>
  <si>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</si>
  <si>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</si>
  <si>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</si>
  <si>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</si>
  <si>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</si>
  <si>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</si>
  <si>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</si>
  <si>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</si>
  <si>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</si>
  <si>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</si>
  <si>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</si>
  <si>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</si>
  <si>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</si>
  <si>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</si>
  <si>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</si>
  <si>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</si>
  <si>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</si>
  <si>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</si>
  <si>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</si>
  <si>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</si>
  <si>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</si>
  <si>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</si>
  <si>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</si>
  <si>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</si>
  <si>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</si>
  <si>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</si>
  <si>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</si>
  <si>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</si>
  <si>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</si>
  <si>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</si>
  <si>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</si>
  <si>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</si>
  <si>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</si>
  <si>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</si>
  <si>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</si>
  <si>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</si>
  <si>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</si>
  <si>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</si>
  <si>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</si>
  <si>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</si>
  <si>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</si>
  <si>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</si>
  <si>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</si>
  <si>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</si>
  <si>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</si>
  <si>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</si>
  <si>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</si>
  <si>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</si>
  <si>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</si>
  <si>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</si>
  <si>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</si>
  <si>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</si>
  <si>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</si>
  <si>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</si>
  <si>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</si>
  <si>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</si>
  <si>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</si>
  <si>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</si>
  <si>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</si>
  <si>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</si>
  <si>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</si>
  <si>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</si>
  <si>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</si>
  <si>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</si>
  <si>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</si>
  <si>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</si>
  <si>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</si>
  <si>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</si>
  <si>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</si>
  <si>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</si>
  <si>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</si>
  <si>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</si>
  <si>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</si>
  <si>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</si>
  <si>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</si>
  <si>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</si>
  <si>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</si>
  <si>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</si>
  <si>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</si>
  <si>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</si>
  <si>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</si>
  <si>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</si>
  <si>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</si>
  <si>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</si>
  <si>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</si>
  <si>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</si>
  <si>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</si>
  <si>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</si>
  <si>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</si>
  <si>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</si>
  <si>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</si>
  <si>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</si>
  <si>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</si>
  <si>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</si>
  <si>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</si>
  <si>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</si>
  <si>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</si>
  <si>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</si>
  <si>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</si>
  <si>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</si>
  <si>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</si>
  <si>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</si>
  <si>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</si>
  <si>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</si>
  <si>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</si>
  <si>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</si>
  <si>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</si>
  <si>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</si>
  <si>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</si>
  <si>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</si>
  <si>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</si>
  <si>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</si>
  <si>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</si>
  <si>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</si>
  <si>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</si>
  <si>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</si>
  <si>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</si>
  <si>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</si>
  <si>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</si>
  <si>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</si>
  <si>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</si>
  <si>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</si>
  <si>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</si>
  <si>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</si>
  <si>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</si>
  <si>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</si>
  <si>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</si>
  <si>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</si>
  <si>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</si>
  <si>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</si>
  <si>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</si>
  <si>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</si>
  <si>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</si>
  <si>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</si>
  <si>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</si>
  <si>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</si>
  <si>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</si>
  <si>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</si>
  <si>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</si>
  <si>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</si>
  <si>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</si>
  <si>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</si>
  <si>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</si>
  <si>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</si>
  <si>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3 DIAS HABILES</t>
  </si>
  <si>
    <t>CUB CON RESPALDO FRENTE 90° R8</t>
  </si>
  <si>
    <t>ERICK LOPEZ</t>
  </si>
  <si>
    <t>+569 7839 7402</t>
  </si>
  <si>
    <t>SEGÚN FOTOS 4 OPCIONES</t>
  </si>
  <si>
    <t>CORTE DE 45° MAS DESFONDADO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</si>
</sst>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1626870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170</v>
      </c>
      <c r="D10" s="243"/>
      <c r="E10" s="243"/>
      <c r="F10" s="244" t="s">
        <v>0</v>
      </c>
      <c r="G10" s="277">
        <v>45303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171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86159.756097560981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4">
        <v>1</v>
      </c>
      <c r="C21" s="325" t="s">
        <v>169</v>
      </c>
      <c r="D21" s="326">
        <v>3</v>
      </c>
      <c r="E21" s="326">
        <v>0.6</v>
      </c>
      <c r="F21" s="325" t="s">
        <v>172</v>
      </c>
      <c r="G21" s="327">
        <v>157672</v>
      </c>
      <c r="H21" s="328">
        <f>G21*B21</f>
        <v>157672</v>
      </c>
      <c r="I21" s="265"/>
      <c r="J21" s="47"/>
      <c r="K21" s="47">
        <f>B21</f>
        <v>1</v>
      </c>
      <c r="L21" s="39">
        <f t="shared" ref="L21" si="1">D21+L$19</f>
        <v>3.05</v>
      </c>
      <c r="M21" s="39">
        <f t="shared" ref="M21" si="2">E21+M$19</f>
        <v>0.6</v>
      </c>
      <c r="N21" s="261">
        <f t="shared" ref="N21" si="3">L21*M21</f>
        <v>1.8299999999999998</v>
      </c>
      <c r="O21" s="259">
        <f t="shared" ref="O21" si="4">N21*K21</f>
        <v>1.8299999999999998</v>
      </c>
      <c r="P21" s="252">
        <f t="shared" ref="P21" si="5">P$20*N21</f>
        <v>157672.35365853659</v>
      </c>
      <c r="Q21" s="258">
        <f t="shared" ref="Q21" si="6">P21+Q$20</f>
        <v>160672.35365853659</v>
      </c>
      <c r="R21" s="309"/>
      <c r="S21" s="14"/>
      <c r="T21" s="9"/>
      <c r="W21" s="4"/>
    </row>
    <row r="22" spans="2:24" ht="18" thickBot="1" x14ac:dyDescent="0.35">
      <c r="B22" s="324">
        <v>1</v>
      </c>
      <c r="C22" s="325" t="s">
        <v>169</v>
      </c>
      <c r="D22" s="326">
        <v>1</v>
      </c>
      <c r="E22" s="326">
        <v>0.6</v>
      </c>
      <c r="F22" s="325" t="s">
        <v>172</v>
      </c>
      <c r="G22" s="327">
        <v>54281</v>
      </c>
      <c r="H22" s="328">
        <f>G22*B22</f>
        <v>54281</v>
      </c>
      <c r="I22" s="265"/>
      <c r="J22" s="47"/>
      <c r="K22" s="47">
        <f t="shared" ref="K22" si="7">B22</f>
        <v>1</v>
      </c>
      <c r="L22" s="39">
        <f t="shared" ref="L22" si="8">D22+L$19</f>
        <v>1.05</v>
      </c>
      <c r="M22" s="39">
        <f t="shared" ref="M22" si="9">E22+M$19</f>
        <v>0.6</v>
      </c>
      <c r="N22" s="261">
        <f t="shared" ref="N22" si="10">L22*M22</f>
        <v>0.63</v>
      </c>
      <c r="O22" s="259">
        <f t="shared" ref="O22" si="11">N22*K22</f>
        <v>0.63</v>
      </c>
      <c r="P22" s="252">
        <f t="shared" ref="P22" si="12">P$20*N22</f>
        <v>54280.64634146342</v>
      </c>
      <c r="Q22" s="258">
        <f t="shared" ref="Q22" si="13">P22+Q$20</f>
        <v>57280.64634146342</v>
      </c>
      <c r="R22" s="309"/>
      <c r="S22" s="14"/>
      <c r="T22" s="9"/>
      <c r="W22" s="4"/>
    </row>
    <row r="23" spans="2:24" ht="17.399999999999999" x14ac:dyDescent="0.3">
      <c r="B23" s="324">
        <v>1</v>
      </c>
      <c r="C23" s="325" t="s">
        <v>173</v>
      </c>
      <c r="D23" s="326"/>
      <c r="E23" s="326"/>
      <c r="F23" s="325"/>
      <c r="G23" s="327">
        <v>20000</v>
      </c>
      <c r="H23" s="328">
        <f>G23*B23</f>
        <v>20000</v>
      </c>
      <c r="I23" s="265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1" t="s">
        <v>29</v>
      </c>
      <c r="H25" s="312">
        <f>SUM(H21:H24)</f>
        <v>231953</v>
      </c>
      <c r="I25" s="265"/>
      <c r="J25" s="47"/>
      <c r="K25" s="47"/>
      <c r="L25" s="39">
        <f>SUM(L21:L24)</f>
        <v>4.0999999999999996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H25*19%</f>
        <v>44071.07</v>
      </c>
      <c r="I26" s="265"/>
      <c r="J26" s="47"/>
      <c r="K26" s="47"/>
      <c r="L26" s="39"/>
      <c r="M26" s="12"/>
      <c r="N26" s="12"/>
      <c r="O26" s="253">
        <f>SUM(O21:O22)</f>
        <v>2.46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276024.07</v>
      </c>
      <c r="I27" s="265"/>
      <c r="J27" s="47"/>
      <c r="K27" s="47"/>
      <c r="L27" s="39"/>
      <c r="M27" s="12"/>
      <c r="N27" s="12"/>
      <c r="O27" s="253">
        <f>O26</f>
        <v>2.46</v>
      </c>
      <c r="P27" s="14"/>
      <c r="Q27" s="12"/>
      <c r="R27" s="239">
        <f>SUM(R21:R26)</f>
        <v>0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0.49199999999999999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2.952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7" t="s">
        <v>22</v>
      </c>
      <c r="U30" s="314" t="s">
        <v>153</v>
      </c>
      <c r="V30" s="318">
        <v>44971</v>
      </c>
      <c r="W30" s="319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2.952</v>
      </c>
      <c r="M31" s="12">
        <v>2500</v>
      </c>
      <c r="N31" s="12">
        <f t="shared" ref="N31:N36" si="14">L31*M31</f>
        <v>7380</v>
      </c>
      <c r="O31" s="14" t="s">
        <v>22</v>
      </c>
      <c r="P31" s="14"/>
      <c r="Q31" s="14"/>
      <c r="R31" s="241"/>
      <c r="S31" s="14"/>
      <c r="T31" s="317" t="s">
        <v>154</v>
      </c>
      <c r="U31" s="314">
        <v>3625</v>
      </c>
      <c r="V31" s="59" t="s">
        <v>155</v>
      </c>
      <c r="W31" s="319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0.8</v>
      </c>
      <c r="M32" s="12">
        <v>25000</v>
      </c>
      <c r="N32" s="12">
        <f t="shared" si="14"/>
        <v>20000</v>
      </c>
      <c r="O32" s="39" t="s">
        <v>32</v>
      </c>
      <c r="P32" s="42"/>
      <c r="Q32" s="14"/>
      <c r="R32" s="240"/>
      <c r="S32" s="14"/>
      <c r="T32" s="317"/>
      <c r="U32" s="59">
        <v>906.25</v>
      </c>
      <c r="V32" s="59" t="s">
        <v>156</v>
      </c>
      <c r="W32" s="319"/>
    </row>
    <row r="33" spans="2:23" s="230" customFormat="1" ht="17.399999999999999" x14ac:dyDescent="0.35">
      <c r="I33" s="262"/>
      <c r="J33" s="232"/>
      <c r="K33" s="250"/>
      <c r="L33" s="14"/>
      <c r="M33" s="250">
        <v>46500</v>
      </c>
      <c r="N33" s="12">
        <f t="shared" si="1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9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2</v>
      </c>
      <c r="M34" s="250">
        <v>33700</v>
      </c>
      <c r="N34" s="12">
        <f t="shared" si="14"/>
        <v>67400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9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>
        <v>4.0999999999999996</v>
      </c>
      <c r="M36" s="12">
        <v>1500</v>
      </c>
      <c r="N36" s="12">
        <f t="shared" si="14"/>
        <v>6149.9999999999991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100930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N37*2.1</f>
        <v>211953</v>
      </c>
      <c r="O38" s="14" t="s">
        <v>141</v>
      </c>
      <c r="P38" s="14"/>
      <c r="Q38" s="40">
        <f>O29/Q37</f>
        <v>0.79594477998274371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86159.756097560981</v>
      </c>
      <c r="O39" s="45" t="s">
        <v>25</v>
      </c>
      <c r="P39" s="14"/>
      <c r="Q39" s="14"/>
      <c r="R39"/>
      <c r="S39" s="238"/>
      <c r="T39" s="59" t="s">
        <v>159</v>
      </c>
      <c r="U39" s="314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2.1</v>
      </c>
      <c r="O40" s="15"/>
      <c r="P40"/>
      <c r="Q40"/>
      <c r="R40"/>
      <c r="S40" s="238"/>
      <c r="T40" s="59" t="s">
        <v>161</v>
      </c>
      <c r="U40" s="315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6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45303</v>
      </c>
    </row>
    <row r="6" spans="2:31" ht="16.2" thickBot="1" x14ac:dyDescent="0.35">
      <c r="B6" s="140" t="s">
        <v>2</v>
      </c>
      <c r="C6" s="139" t="str">
        <f>'2229'!C10</f>
        <v>ERICK LOPEZ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10537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-22924.958366787439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231953</v>
      </c>
      <c r="E11" s="132">
        <f>D11*0.19</f>
        <v>44071.07</v>
      </c>
      <c r="F11" s="131">
        <f>E11+D11</f>
        <v>276024.07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83065.041633212561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57214.090787439614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65065.041633212561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174738.90921256039</v>
      </c>
      <c r="E13" s="221">
        <f>(D11/D12)-1</f>
        <v>3.0541236749133374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56065.041633212561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17065.041633212561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94403.249799275363</v>
      </c>
      <c r="F15" s="216">
        <f>E15-D12</f>
        <v>37189.159011835749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17065.041633212561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57065.041633212561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7380</v>
      </c>
      <c r="E20" s="121">
        <f>D20*0.19</f>
        <v>1402.2</v>
      </c>
      <c r="F20" s="120">
        <f>SUM(D20:E20)</f>
        <v>8782.2000000000007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27380</v>
      </c>
      <c r="E21" s="116">
        <f>SUM(E18:E20)</f>
        <v>5202.2</v>
      </c>
      <c r="F21" s="115">
        <f>SUM(F18:F20)</f>
        <v>32582.2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38868.870000000003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231953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27380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174738.90921256039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174738.90921256039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2024-01-10T18:48:46Z</cp:lastPrinted>
  <dcterms:created xsi:type="dcterms:W3CDTF">2013-03-18T13:35:42Z</dcterms:created>
  <dcterms:modified xsi:type="dcterms:W3CDTF">2024-01-12T14:50:25Z</dcterms:modified>
</cp:coreProperties>
</file>