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96EEF935-0209-4A71-8D2F-BD92520D88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R21" i="1"/>
  <c r="K21" i="1"/>
  <c r="J38" i="1"/>
  <c r="L21" i="1"/>
  <c r="L23" i="1" s="1"/>
  <c r="M21" i="1"/>
  <c r="N21" i="1" l="1"/>
  <c r="O21" i="1" s="1"/>
  <c r="O24" i="1" s="1"/>
  <c r="R25" i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G21" i="1" s="1"/>
  <c r="H21" i="1" s="1"/>
  <c r="H23" i="1" s="1"/>
  <c r="H24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<sst xmlns="http://schemas.openxmlformats.org/spreadsheetml/2006/main" count="230" uniqueCount="175">
  <si>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</si>
  <si>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</si>
  <si>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</si>
  <si>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</si>
  <si>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</si>
  <si>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</si>
  <si>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</si>
  <si>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</si>
  <si>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</si>
  <si>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</si>
  <si>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</si>
  <si>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</si>
  <si>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</si>
  <si>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</si>
  <si>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</si>
  <si>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</si>
  <si>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</si>
  <si>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</si>
  <si>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</si>
  <si>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</si>
  <si>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</si>
  <si>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</si>
  <si>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</si>
  <si>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</si>
  <si>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</si>
  <si>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</si>
  <si>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</si>
  <si>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</si>
  <si>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</si>
  <si>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</si>
  <si>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</si>
  <si>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</si>
  <si>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</si>
  <si>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</si>
  <si>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</si>
  <si>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</si>
  <si>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</si>
  <si>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</si>
  <si>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</si>
  <si>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</si>
  <si>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</si>
  <si>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</si>
  <si>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</si>
  <si>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</si>
  <si>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</si>
  <si>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</si>
  <si>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</si>
  <si>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</si>
  <si>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</si>
  <si>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</si>
  <si>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</si>
  <si>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</si>
  <si>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</si>
  <si>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</si>
  <si>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</si>
  <si>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</si>
  <si>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</si>
  <si>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</si>
  <si>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</si>
  <si>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</si>
  <si>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</si>
  <si>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</si>
  <si>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</si>
  <si>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</si>
  <si>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</si>
  <si>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</si>
  <si>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</si>
  <si>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</si>
  <si>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</si>
  <si>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</si>
  <si>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</si>
  <si>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</si>
  <si>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</si>
  <si>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</si>
  <si>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</si>
  <si>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</si>
  <si>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</si>
  <si>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</si>
  <si>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</si>
  <si>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</si>
  <si>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</si>
  <si>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</si>
  <si>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</si>
  <si>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</si>
  <si>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</si>
  <si>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</si>
  <si>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</si>
  <si>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</si>
  <si>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</si>
  <si>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</si>
  <si>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</si>
  <si>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</si>
  <si>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</si>
  <si>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</si>
  <si>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</si>
  <si>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</si>
  <si>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</si>
  <si>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</si>
  <si>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</si>
  <si>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</si>
  <si>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</si>
  <si>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</si>
  <si>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</si>
  <si>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</si>
  <si>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</si>
  <si>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</si>
  <si>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</si>
  <si>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</si>
  <si>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</si>
  <si>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</si>
  <si>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</si>
  <si>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</si>
  <si>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</si>
  <si>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</si>
  <si>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</si>
  <si>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</si>
  <si>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</si>
  <si>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</si>
  <si>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</si>
  <si>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</si>
  <si>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</si>
  <si>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</si>
  <si>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</si>
  <si>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</si>
  <si>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</si>
  <si>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</si>
  <si>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</si>
  <si>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</si>
  <si>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</si>
  <si>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</si>
  <si>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</si>
  <si>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</si>
  <si>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</si>
  <si>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</si>
  <si>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</si>
  <si>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</si>
  <si>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</si>
  <si>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</si>
  <si>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</si>
  <si>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</si>
  <si>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</si>
  <si>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</si>
  <si>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</si>
  <si>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</si>
  <si>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</si>
  <si>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</si>
  <si>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</si>
  <si>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</si>
  <si>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</si>
  <si>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</si>
  <si>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</si>
  <si>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</si>
  <si>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</si>
  <si>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</si>
  <si>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</si>
  <si>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</si>
  <si>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</si>
  <si>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</si>
  <si>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</si>
  <si>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</si>
  <si>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</si>
  <si>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</si>
  <si>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</si>
  <si>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</si>
  <si>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</si>
  <si>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</si>
  <si>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</si>
  <si>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</si>
  <si>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r>
      <t>  56</t>
    </r>
    <r>
      <rPr>
        <i/>
        <sz val="11"/>
        <color theme="1"/>
        <rFont val="Arial"/>
        <family val="2"/>
      </rPr>
      <t>990625902</t>
    </r>
  </si>
  <si>
    <t>15 DIAS HABILES</t>
  </si>
  <si>
    <t>SI</t>
  </si>
  <si>
    <t>BEFCO SPA</t>
  </si>
  <si>
    <t>JUAN PABLO MENDOZA</t>
  </si>
  <si>
    <t>CUBIERTA ENCHAPE RECTO 1 CARA MDF 25MM</t>
  </si>
  <si>
    <t>QUEENS 1934 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</si>
</sst>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i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6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1626870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CONSIDERA ENCHAPE MISMA LAMINA POR SUS CUATRO CANTOS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D13" zoomScale="93" zoomScaleNormal="93" workbookViewId="0">
      <selection activeCell="T31" sqref="T31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10548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171</v>
      </c>
      <c r="D10" s="243"/>
      <c r="E10" s="243"/>
      <c r="F10" s="244" t="s">
        <v>0</v>
      </c>
      <c r="G10" s="277">
        <v>45312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172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170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8" t="s">
        <v>168</v>
      </c>
      <c r="D15" s="295"/>
      <c r="E15" s="247"/>
      <c r="F15" s="247" t="s">
        <v>135</v>
      </c>
      <c r="G15" s="296" t="s">
        <v>170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79790.502035278143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150</v>
      </c>
      <c r="C21" s="324" t="s">
        <v>173</v>
      </c>
      <c r="D21" s="325">
        <v>1.3</v>
      </c>
      <c r="E21" s="325">
        <v>0.65</v>
      </c>
      <c r="F21" s="324" t="s">
        <v>174</v>
      </c>
      <c r="G21" s="326">
        <f>Q21</f>
        <v>73566.720000000001</v>
      </c>
      <c r="H21" s="327">
        <f>G21*B21</f>
        <v>11035008</v>
      </c>
      <c r="I21" s="265"/>
      <c r="J21" s="47"/>
      <c r="K21" s="47">
        <f>B21</f>
        <v>150</v>
      </c>
      <c r="L21" s="39">
        <f t="shared" ref="L21" si="1">D21+L$19</f>
        <v>1.32</v>
      </c>
      <c r="M21" s="39">
        <f t="shared" ref="M21" si="2">E21+M$19</f>
        <v>0.67</v>
      </c>
      <c r="N21" s="261">
        <f t="shared" ref="N21" si="3">L21*M21</f>
        <v>0.88440000000000007</v>
      </c>
      <c r="O21" s="259">
        <f t="shared" ref="O21" si="4">N21*K21</f>
        <v>132.66000000000003</v>
      </c>
      <c r="P21" s="252">
        <f t="shared" ref="P21" si="5">P$20*N21</f>
        <v>70566.720000000001</v>
      </c>
      <c r="Q21" s="258">
        <f t="shared" ref="Q21" si="6">P21+Q$20</f>
        <v>73566.720000000001</v>
      </c>
      <c r="R21" s="309">
        <f>L21*K21*2</f>
        <v>396</v>
      </c>
      <c r="S21" s="46">
        <f>M21*K21*2</f>
        <v>201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0" t="s">
        <v>29</v>
      </c>
      <c r="H23" s="311">
        <f>SUM(H21:H21)</f>
        <v>11035008</v>
      </c>
      <c r="I23" s="265"/>
      <c r="J23" s="47"/>
      <c r="K23" s="47"/>
      <c r="L23" s="39">
        <f>SUM(L21:L22)</f>
        <v>1.32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>
        <f>H23*19%</f>
        <v>2096651.52</v>
      </c>
      <c r="I24" s="265"/>
      <c r="J24" s="47"/>
      <c r="K24" s="47"/>
      <c r="L24" s="39"/>
      <c r="M24" s="12"/>
      <c r="N24" s="12"/>
      <c r="O24" s="253">
        <f>SUM(O21:O21)</f>
        <v>132.66000000000003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13131659.52</v>
      </c>
      <c r="I25" s="265"/>
      <c r="J25" s="47"/>
      <c r="K25" s="47"/>
      <c r="L25" s="39"/>
      <c r="M25" s="12"/>
      <c r="N25" s="12"/>
      <c r="O25" s="253">
        <f>O24</f>
        <v>132.66000000000003</v>
      </c>
      <c r="P25" s="14"/>
      <c r="Q25" s="12"/>
      <c r="R25" s="239">
        <f>SUM(R21:R24)</f>
        <v>396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26.532000000000007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159.19200000000004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6" t="s">
        <v>22</v>
      </c>
      <c r="U28" s="313" t="s">
        <v>153</v>
      </c>
      <c r="V28" s="317">
        <v>44971</v>
      </c>
      <c r="W28" s="31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159.19200000000004</v>
      </c>
      <c r="M29" s="12">
        <v>2500</v>
      </c>
      <c r="N29" s="12">
        <f t="shared" ref="N29:N34" si="7">L29*M29</f>
        <v>397980.00000000012</v>
      </c>
      <c r="O29" s="14" t="s">
        <v>22</v>
      </c>
      <c r="P29" s="14"/>
      <c r="Q29" s="14"/>
      <c r="R29" s="241"/>
      <c r="S29" s="14"/>
      <c r="T29" s="316" t="s">
        <v>154</v>
      </c>
      <c r="U29" s="313">
        <v>3625</v>
      </c>
      <c r="V29" s="59" t="s">
        <v>155</v>
      </c>
      <c r="W29" s="31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50</v>
      </c>
      <c r="M30" s="12">
        <v>23850</v>
      </c>
      <c r="N30" s="12">
        <f t="shared" si="7"/>
        <v>1192500</v>
      </c>
      <c r="O30" s="39" t="s">
        <v>32</v>
      </c>
      <c r="P30" s="42"/>
      <c r="Q30" s="14"/>
      <c r="R30" s="240"/>
      <c r="S30" s="14"/>
      <c r="T30" s="316"/>
      <c r="U30" s="59">
        <v>906.25</v>
      </c>
      <c r="V30" s="59" t="s">
        <v>156</v>
      </c>
      <c r="W30" s="318"/>
    </row>
    <row r="31" spans="2:24" s="230" customFormat="1" ht="17.399999999999999" x14ac:dyDescent="0.35">
      <c r="I31" s="262"/>
      <c r="J31" s="232"/>
      <c r="K31" s="250"/>
      <c r="L31" s="14"/>
      <c r="M31" s="250">
        <v>46500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75</v>
      </c>
      <c r="M32" s="250">
        <v>46000</v>
      </c>
      <c r="N32" s="12">
        <f t="shared" si="7"/>
        <v>3450000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/>
      <c r="M34" s="12">
        <v>1500</v>
      </c>
      <c r="N34" s="12">
        <f t="shared" si="7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5040480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N35*2.1</f>
        <v>10585008</v>
      </c>
      <c r="O36" s="14" t="s">
        <v>141</v>
      </c>
      <c r="P36" s="14"/>
      <c r="Q36" s="40">
        <f>O27/Q35</f>
        <v>42.92277825711821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48209</v>
      </c>
      <c r="K37" s="250"/>
      <c r="L37" s="14"/>
      <c r="M37" s="12"/>
      <c r="N37" s="12">
        <f>N36/O25</f>
        <v>79790.502035278143</v>
      </c>
      <c r="O37" s="45" t="s">
        <v>25</v>
      </c>
      <c r="P37" s="14"/>
      <c r="Q37" s="14"/>
      <c r="R37"/>
      <c r="S37" s="238"/>
      <c r="T37" s="59" t="s">
        <v>159</v>
      </c>
      <c r="U37" s="313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40511.764705882357</v>
      </c>
      <c r="K38" s="250"/>
      <c r="L38" s="13"/>
      <c r="M38" s="14"/>
      <c r="N38" s="17">
        <f>N36/N35</f>
        <v>2.1</v>
      </c>
      <c r="O38" s="15"/>
      <c r="P38"/>
      <c r="Q38"/>
      <c r="R38"/>
      <c r="S38" s="238"/>
      <c r="T38" s="59" t="s">
        <v>161</v>
      </c>
      <c r="U38" s="31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1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45312</v>
      </c>
    </row>
    <row r="6" spans="2:31" ht="16.2" thickBot="1" x14ac:dyDescent="0.35">
      <c r="B6" s="140" t="s">
        <v>2</v>
      </c>
      <c r="C6" s="139" t="str">
        <f>'2229'!C10</f>
        <v>BEFCO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10548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-1393581.625033454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11035008</v>
      </c>
      <c r="E11" s="132">
        <f>D11*0.19</f>
        <v>2096651.52</v>
      </c>
      <c r="F11" s="131">
        <f>E11+D11</f>
        <v>13131659.52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-1287591.625033454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1620314.0907874396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-1305591.625033454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9414693.9092125595</v>
      </c>
      <c r="E13" s="221">
        <f>(D11/D12)-1</f>
        <v>5.8104129086708189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-1314591.625033454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-1353591.625033454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2673518.2497992753</v>
      </c>
      <c r="F15" s="216">
        <f>E15-D12</f>
        <v>1053204.1590118357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-1353591.625033454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-1313591.625033454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1192500</v>
      </c>
      <c r="E19" s="123">
        <f>D19*0.19</f>
        <v>226575</v>
      </c>
      <c r="F19" s="120">
        <f>SUM(D19:E19)</f>
        <v>1419075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397980.00000000012</v>
      </c>
      <c r="E20" s="121">
        <f>D20*0.19</f>
        <v>75616.200000000026</v>
      </c>
      <c r="F20" s="120">
        <f>SUM(D20:E20)</f>
        <v>473596.20000000013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1590480</v>
      </c>
      <c r="E21" s="116">
        <f>SUM(E18:E20)</f>
        <v>302191.2</v>
      </c>
      <c r="F21" s="115">
        <f>SUM(F18:F20)</f>
        <v>1892671.2000000002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1794460.32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11035008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1590480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9414693.9092125595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9414693.9092125595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2024-01-23T01:54:22Z</cp:lastPrinted>
  <dcterms:created xsi:type="dcterms:W3CDTF">2013-03-18T13:35:42Z</dcterms:created>
  <dcterms:modified xsi:type="dcterms:W3CDTF">2024-01-23T01:56:18Z</dcterms:modified>
</cp:coreProperties>
</file>