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4D2C986A-4AE4-4D61-B34E-D1395E3AE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O25" i="1"/>
  <c r="N22" i="1"/>
  <c r="O22" i="1" s="1"/>
  <c r="M22" i="1"/>
  <c r="L22" i="1"/>
  <c r="K22" i="1"/>
  <c r="H22" i="1"/>
  <c r="H21" i="1" l="1"/>
  <c r="K21" i="1"/>
  <c r="J39" i="1"/>
  <c r="L21" i="1"/>
  <c r="L24" i="1" s="1"/>
  <c r="M21" i="1"/>
  <c r="N21" i="1" l="1"/>
  <c r="O21" i="1" s="1"/>
  <c r="R26" i="1"/>
  <c r="U32" i="1"/>
  <c r="U33" i="1" s="1"/>
  <c r="N31" i="1" l="1"/>
  <c r="O26" i="1" l="1"/>
  <c r="O27" i="1" s="1"/>
  <c r="O28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P22" i="1" s="1"/>
  <c r="Q22" i="1" s="1"/>
  <c r="E15" i="3"/>
  <c r="P21" i="1" l="1"/>
  <c r="F15" i="3"/>
  <c r="Q21" i="1" l="1"/>
  <c r="H24" i="1" l="1"/>
  <c r="H25" i="1" s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<sst xmlns="http://schemas.openxmlformats.org/spreadsheetml/2006/main" count="231" uniqueCount="175">
  <si>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</si>
  <si>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</si>
  <si>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</si>
  <si>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</si>
  <si>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</si>
  <si>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</si>
  <si>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</si>
  <si>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</si>
  <si>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</si>
  <si>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</si>
  <si>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</si>
  <si>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</si>
  <si>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</si>
  <si>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</si>
  <si>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</si>
  <si>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</si>
  <si>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</si>
  <si>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</si>
  <si>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</si>
  <si>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</si>
  <si>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</si>
  <si>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</si>
  <si>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</si>
  <si>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</si>
  <si>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</si>
  <si>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</si>
  <si>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</si>
  <si>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</si>
  <si>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</si>
  <si>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</si>
  <si>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</si>
  <si>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</si>
  <si>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</si>
  <si>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</si>
  <si>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</si>
  <si>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</si>
  <si>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</si>
  <si>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</si>
  <si>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</si>
  <si>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</si>
  <si>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</si>
  <si>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</si>
  <si>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</si>
  <si>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</si>
  <si>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</si>
  <si>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</si>
  <si>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</si>
  <si>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</si>
  <si>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</si>
  <si>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</si>
  <si>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</si>
  <si>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</si>
  <si>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</si>
  <si>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</si>
  <si>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</si>
  <si>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</si>
  <si>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</si>
  <si>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</si>
  <si>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</si>
  <si>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</si>
  <si>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</si>
  <si>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</si>
  <si>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</si>
  <si>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</si>
  <si>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</si>
  <si>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</si>
  <si>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</si>
  <si>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</si>
  <si>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</si>
  <si>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</si>
  <si>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</si>
  <si>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</si>
  <si>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</si>
  <si>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</si>
  <si>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</si>
  <si>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</si>
  <si>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</si>
  <si>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</si>
  <si>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</si>
  <si>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</si>
  <si>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</si>
  <si>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</si>
  <si>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</si>
  <si>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</si>
  <si>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</si>
  <si>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</si>
  <si>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</si>
  <si>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</si>
  <si>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</si>
  <si>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</si>
  <si>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</si>
  <si>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</si>
  <si>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</si>
  <si>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</si>
  <si>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</si>
  <si>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</si>
  <si>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</si>
  <si>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</si>
  <si>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</si>
  <si>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</si>
  <si>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</si>
  <si>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</si>
  <si>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</si>
  <si>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</si>
  <si>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</si>
  <si>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</si>
  <si>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</si>
  <si>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</si>
  <si>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</si>
  <si>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</si>
  <si>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</si>
  <si>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</si>
  <si>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</si>
  <si>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</si>
  <si>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</si>
  <si>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</si>
  <si>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</si>
  <si>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</si>
  <si>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</si>
  <si>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</si>
  <si>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</si>
  <si>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</si>
  <si>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</si>
  <si>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</si>
  <si>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</si>
  <si>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</si>
  <si>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</si>
  <si>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</si>
  <si>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</si>
  <si>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</si>
  <si>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</si>
  <si>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</si>
  <si>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</si>
  <si>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</si>
  <si>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</si>
  <si>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</si>
  <si>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</si>
  <si>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</si>
  <si>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</si>
  <si>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</si>
  <si>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</si>
  <si>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</si>
  <si>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</si>
  <si>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</si>
  <si>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</si>
  <si>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</si>
  <si>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</si>
  <si>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</si>
  <si>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</si>
  <si>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</si>
  <si>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</si>
  <si>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</si>
  <si>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</si>
  <si>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</si>
  <si>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</si>
  <si>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</si>
  <si>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</si>
  <si>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</si>
  <si>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</si>
  <si>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</si>
  <si>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</si>
  <si>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</si>
  <si>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</si>
  <si>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</si>
  <si>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</si>
  <si>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</si>
  <si>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LUIS ALBERTO ROJAS</t>
  </si>
  <si>
    <t>+5699581 9251</t>
  </si>
  <si>
    <t>PADRE HURTADO</t>
  </si>
  <si>
    <t>CUBIERTA FRENTE RECTO REENGRUESADA SUS 4 CANTOS</t>
  </si>
  <si>
    <t>QUARZITE SNOW 3007 BRILLO</t>
  </si>
  <si>
    <t xml:space="preserve">CUBIERTA FRENTE RECTO SIN REGRUESO </t>
  </si>
  <si>
    <t>5 DIAS HABILES</t>
  </si>
  <si>
    <t>SI</t>
  </si>
  <si>
    <t>DURACION COTIZACION: 5 DIAS                            FERNANDO DONOSO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</si>
</sst>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1626870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CORTADAS A LA MEDIDA Y ENCHAPADAS CON LA MISMA LAMINA SUS 4 CANTOS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zoomScale="93" zoomScaleNormal="93" workbookViewId="0">
      <selection activeCell="F18" sqref="F18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10530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166</v>
      </c>
      <c r="D10" s="243"/>
      <c r="E10" s="243"/>
      <c r="F10" s="244" t="s">
        <v>0</v>
      </c>
      <c r="G10" s="277">
        <v>45301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167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168</v>
      </c>
      <c r="D17" s="299"/>
      <c r="E17" s="300"/>
      <c r="F17" s="329" t="s">
        <v>174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86000.779384035181</v>
      </c>
      <c r="Q20" s="258">
        <v>5000</v>
      </c>
      <c r="R20" s="38"/>
      <c r="S20" s="14" t="s">
        <v>129</v>
      </c>
      <c r="T20" s="9"/>
      <c r="W20" s="4"/>
    </row>
    <row r="21" spans="2:24" ht="18" thickBot="1" x14ac:dyDescent="0.35">
      <c r="B21" s="324">
        <v>1</v>
      </c>
      <c r="C21" s="325" t="s">
        <v>169</v>
      </c>
      <c r="D21" s="326">
        <v>1.8</v>
      </c>
      <c r="E21" s="326">
        <v>0.62</v>
      </c>
      <c r="F21" s="325" t="s">
        <v>170</v>
      </c>
      <c r="G21" s="327">
        <v>103643</v>
      </c>
      <c r="H21" s="328">
        <f>G21*B21</f>
        <v>103643</v>
      </c>
      <c r="I21" s="265"/>
      <c r="J21" s="47"/>
      <c r="K21" s="47">
        <f>B21</f>
        <v>1</v>
      </c>
      <c r="L21" s="39">
        <f t="shared" ref="L21" si="1">D21+L$19</f>
        <v>1.85</v>
      </c>
      <c r="M21" s="39">
        <f t="shared" ref="M21" si="2">E21+M$19</f>
        <v>0.62</v>
      </c>
      <c r="N21" s="261">
        <f t="shared" ref="N21" si="3">L21*M21</f>
        <v>1.147</v>
      </c>
      <c r="O21" s="259">
        <f t="shared" ref="O21" si="4">N21*K21</f>
        <v>1.147</v>
      </c>
      <c r="P21" s="252">
        <f t="shared" ref="P21" si="5">P$20*N21</f>
        <v>98642.893953488354</v>
      </c>
      <c r="Q21" s="258">
        <f t="shared" ref="Q21" si="6">P21+Q$20</f>
        <v>103642.89395348835</v>
      </c>
      <c r="R21" s="309"/>
      <c r="S21" s="14"/>
      <c r="T21" s="9"/>
      <c r="W21" s="4"/>
    </row>
    <row r="22" spans="2:24" ht="17.399999999999999" x14ac:dyDescent="0.3">
      <c r="B22" s="324">
        <v>1</v>
      </c>
      <c r="C22" s="325" t="s">
        <v>171</v>
      </c>
      <c r="D22" s="326">
        <v>1.06</v>
      </c>
      <c r="E22" s="326">
        <v>0.4</v>
      </c>
      <c r="F22" s="325" t="s">
        <v>170</v>
      </c>
      <c r="G22" s="327">
        <v>43184</v>
      </c>
      <c r="H22" s="328">
        <f>G22*B22</f>
        <v>43184</v>
      </c>
      <c r="I22" s="265"/>
      <c r="J22" s="47"/>
      <c r="K22" s="47">
        <f t="shared" ref="K22" si="7">B22</f>
        <v>1</v>
      </c>
      <c r="L22" s="39">
        <f t="shared" ref="L22" si="8">D22+L$19</f>
        <v>1.1100000000000001</v>
      </c>
      <c r="M22" s="39">
        <f t="shared" ref="M22" si="9">E22+M$19</f>
        <v>0.4</v>
      </c>
      <c r="N22" s="261">
        <f t="shared" ref="N22" si="10">L22*M22</f>
        <v>0.44400000000000006</v>
      </c>
      <c r="O22" s="259">
        <f t="shared" ref="O22" si="11">N22*K22</f>
        <v>0.44400000000000006</v>
      </c>
      <c r="P22" s="252">
        <f t="shared" ref="P22" si="12">P$20*N22</f>
        <v>38184.346046511622</v>
      </c>
      <c r="Q22" s="258">
        <f t="shared" ref="Q22" si="13">P22+Q$20</f>
        <v>43184.346046511622</v>
      </c>
      <c r="R22" s="309"/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1" t="s">
        <v>29</v>
      </c>
      <c r="H24" s="312">
        <f>SUM(H21:H23)</f>
        <v>146827</v>
      </c>
      <c r="I24" s="265"/>
      <c r="J24" s="47"/>
      <c r="K24" s="47"/>
      <c r="L24" s="39">
        <f>L21</f>
        <v>1.85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27897.13</v>
      </c>
      <c r="I25" s="265"/>
      <c r="J25" s="47"/>
      <c r="K25" s="47"/>
      <c r="L25" s="39"/>
      <c r="M25" s="12"/>
      <c r="N25" s="12"/>
      <c r="O25" s="253">
        <f>SUM(O21:O22)</f>
        <v>1.5910000000000002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174724.13</v>
      </c>
      <c r="I26" s="265"/>
      <c r="J26" s="47"/>
      <c r="K26" s="47"/>
      <c r="L26" s="39"/>
      <c r="M26" s="12"/>
      <c r="N26" s="12"/>
      <c r="O26" s="253">
        <f>O25</f>
        <v>1.5910000000000002</v>
      </c>
      <c r="P26" s="14"/>
      <c r="Q26" s="12"/>
      <c r="R26" s="239">
        <f>SUM(R21:R25)</f>
        <v>0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0.31820000000000004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1.9092000000000002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7" t="s">
        <v>22</v>
      </c>
      <c r="U29" s="314" t="s">
        <v>153</v>
      </c>
      <c r="V29" s="318">
        <v>44971</v>
      </c>
      <c r="W29" s="319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1.9092000000000002</v>
      </c>
      <c r="M30" s="12">
        <v>3500</v>
      </c>
      <c r="N30" s="12">
        <f t="shared" ref="N30:N35" si="14">L30*M30</f>
        <v>6682.2000000000007</v>
      </c>
      <c r="O30" s="14" t="s">
        <v>22</v>
      </c>
      <c r="P30" s="14"/>
      <c r="Q30" s="14"/>
      <c r="R30" s="241"/>
      <c r="S30" s="14"/>
      <c r="T30" s="317" t="s">
        <v>154</v>
      </c>
      <c r="U30" s="314">
        <v>3625</v>
      </c>
      <c r="V30" s="59" t="s">
        <v>155</v>
      </c>
      <c r="W30" s="319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25000</v>
      </c>
      <c r="N31" s="12">
        <f t="shared" si="14"/>
        <v>15000</v>
      </c>
      <c r="O31" s="39" t="s">
        <v>32</v>
      </c>
      <c r="P31" s="42"/>
      <c r="Q31" s="14"/>
      <c r="R31" s="240"/>
      <c r="S31" s="14"/>
      <c r="T31" s="317"/>
      <c r="U31" s="59">
        <v>906.25</v>
      </c>
      <c r="V31" s="59" t="s">
        <v>156</v>
      </c>
      <c r="W31" s="319"/>
    </row>
    <row r="32" spans="2:24" s="230" customFormat="1" ht="17.399999999999999" x14ac:dyDescent="0.35">
      <c r="I32" s="262"/>
      <c r="J32" s="232"/>
      <c r="K32" s="250"/>
      <c r="L32" s="14"/>
      <c r="M32" s="250">
        <v>78650</v>
      </c>
      <c r="N32" s="12">
        <f t="shared" si="14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9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40512</v>
      </c>
      <c r="N33" s="12">
        <f t="shared" si="14"/>
        <v>40512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9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4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4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62194.2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136827.24</v>
      </c>
      <c r="O37" s="14" t="s">
        <v>141</v>
      </c>
      <c r="P37" s="14"/>
      <c r="Q37" s="40">
        <f>O28/Q36</f>
        <v>0.51477566867989655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N37/O26</f>
        <v>86000.779384035181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2.1999999999999997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45301</v>
      </c>
    </row>
    <row r="6" spans="2:31" ht="16.2" thickBot="1" x14ac:dyDescent="0.35">
      <c r="B6" s="140" t="s">
        <v>2</v>
      </c>
      <c r="C6" s="139" t="str">
        <f>'2229'!C10</f>
        <v>LUIS ALBERTO ROJAS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10530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-10304.186700120772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146827</v>
      </c>
      <c r="E11" s="132">
        <f>D11*0.19</f>
        <v>27897.13</v>
      </c>
      <c r="F11" s="131">
        <f>E11+D11</f>
        <v>174724.13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95685.813299879228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51516.290787439619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77685.813299879228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95310.709212560381</v>
      </c>
      <c r="E13" s="221">
        <f>(D11/D12)-1</f>
        <v>1.8501081455149806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68685.813299879228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29685.813299879228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85001.879799275368</v>
      </c>
      <c r="F15" s="216">
        <f>E15-D12</f>
        <v>33485.589011835749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29685.813299879228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69685.813299879228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6682.2000000000007</v>
      </c>
      <c r="E20" s="121">
        <f>D20*0.19</f>
        <v>1269.6180000000002</v>
      </c>
      <c r="F20" s="120">
        <f>SUM(D20:E20)</f>
        <v>7951.8180000000011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21682.2</v>
      </c>
      <c r="E21" s="116">
        <f>SUM(E18:E20)</f>
        <v>4119.6180000000004</v>
      </c>
      <c r="F21" s="115">
        <f>SUM(F18:F20)</f>
        <v>25801.817999999999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23777.512000000002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146827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21682.2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95310.709212560381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95310.709212560381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2024-01-10T15:35:44Z</cp:lastPrinted>
  <dcterms:created xsi:type="dcterms:W3CDTF">2013-03-18T13:35:42Z</dcterms:created>
  <dcterms:modified xsi:type="dcterms:W3CDTF">2024-01-10T15:49:33Z</dcterms:modified>
</cp:coreProperties>
</file>