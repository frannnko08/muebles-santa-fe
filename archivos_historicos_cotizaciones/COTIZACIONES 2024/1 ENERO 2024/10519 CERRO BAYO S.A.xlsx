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F63CCD14-11F7-45B8-AC58-449001511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1" i="1"/>
  <c r="H22" i="1"/>
  <c r="T37" i="1"/>
  <c r="T38" i="1" s="1"/>
  <c r="R37" i="1"/>
  <c r="O36" i="1"/>
  <c r="O35" i="1"/>
  <c r="O34" i="1"/>
  <c r="O33" i="1"/>
  <c r="O32" i="1"/>
  <c r="S26" i="1"/>
  <c r="S28" i="1" s="1"/>
  <c r="P26" i="1" l="1"/>
  <c r="P27" i="1" s="1"/>
  <c r="M27" i="1"/>
  <c r="P28" i="1" l="1"/>
  <c r="P29" i="1" s="1"/>
  <c r="M31" i="1" l="1"/>
  <c r="O31" i="1" s="1"/>
  <c r="O37" i="1" s="1"/>
  <c r="O38" i="1" s="1"/>
  <c r="R38" i="1"/>
  <c r="O40" i="1" l="1"/>
  <c r="O39" i="1"/>
  <c r="I38" i="1" l="1"/>
  <c r="H26" i="1"/>
  <c r="L16" i="1" l="1"/>
  <c r="H27" i="1" l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28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/>
  <c r="F21" i="3" s="1"/>
  <c r="M46" i="3" l="1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<sst xmlns="http://schemas.openxmlformats.org/spreadsheetml/2006/main" count="219" uniqueCount="171">
  <si>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</si>
  <si>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</si>
  <si>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</si>
  <si>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</si>
  <si>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</si>
  <si>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</si>
  <si>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</si>
  <si>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</si>
  <si>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</si>
  <si>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</si>
  <si>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</si>
  <si>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</si>
  <si>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</si>
  <si>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</si>
  <si>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</si>
  <si>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</si>
  <si>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</si>
  <si>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</si>
  <si>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</si>
  <si>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</si>
  <si>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</si>
  <si>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</si>
  <si>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</si>
  <si>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</si>
  <si>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</si>
  <si>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</si>
  <si>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</si>
  <si>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</si>
  <si>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</si>
  <si>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</si>
  <si>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</si>
  <si>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</si>
  <si>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</si>
  <si>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</si>
  <si>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</si>
  <si>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</si>
  <si>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</si>
  <si>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</si>
  <si>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</si>
  <si>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</si>
  <si>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</si>
  <si>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</si>
  <si>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</si>
  <si>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</si>
  <si>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</si>
  <si>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</si>
  <si>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</si>
  <si>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</si>
  <si>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</si>
  <si>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</si>
  <si>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</si>
  <si>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</si>
  <si>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</si>
  <si>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</si>
  <si>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</si>
  <si>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</si>
  <si>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</si>
  <si>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</si>
  <si>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</si>
  <si>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</si>
  <si>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</si>
  <si>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</si>
  <si>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</si>
  <si>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</si>
  <si>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</si>
  <si>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</si>
  <si>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</si>
  <si>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</si>
  <si>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</si>
  <si>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</si>
  <si>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</si>
  <si>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</si>
  <si>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</si>
  <si>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</si>
  <si>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</si>
  <si>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</si>
  <si>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</si>
  <si>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</si>
  <si>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</si>
  <si>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</si>
  <si>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</si>
  <si>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</si>
  <si>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</si>
  <si>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</si>
  <si>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</si>
  <si>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</si>
  <si>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</si>
  <si>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</si>
  <si>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</si>
  <si>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</si>
  <si>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</si>
  <si>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</si>
  <si>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</si>
  <si>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</si>
  <si>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</si>
  <si>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</si>
  <si>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</si>
  <si>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</si>
  <si>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</si>
  <si>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</si>
  <si>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</si>
  <si>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</si>
  <si>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</si>
  <si>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</si>
  <si>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</si>
  <si>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</si>
  <si>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</si>
  <si>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</si>
  <si>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</si>
  <si>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</si>
  <si>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</si>
  <si>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</si>
  <si>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</si>
  <si>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</si>
  <si>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</si>
  <si>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</si>
  <si>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</si>
  <si>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</si>
  <si>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</si>
  <si>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</si>
  <si>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</si>
  <si>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</si>
  <si>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</si>
  <si>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</si>
  <si>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</si>
  <si>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</si>
  <si>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</si>
  <si>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</si>
  <si>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</si>
  <si>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</si>
  <si>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</si>
  <si>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</si>
  <si>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</si>
  <si>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</si>
  <si>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</si>
  <si>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</si>
  <si>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</si>
  <si>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</si>
  <si>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</si>
  <si>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</si>
  <si>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</si>
  <si>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</si>
  <si>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</si>
  <si>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</si>
  <si>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</si>
  <si>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VALIDEZ COTIZACION: 5 DIAS HABILES                                             MJ</t>
  </si>
  <si>
    <t>SANTIAGO</t>
  </si>
  <si>
    <t>CONSTRUCTORA CERRO BAYO S.A</t>
  </si>
  <si>
    <t>96.574.230-1</t>
  </si>
  <si>
    <t>CONSTRUCTORA</t>
  </si>
  <si>
    <t>+56942460386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</si>
  <si>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</si>
  <si>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</si>
  <si>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</si>
  <si>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</si>
  <si>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 CONVENIR</t>
  </si>
  <si>
    <t>HIROSHIMATSUMOTO</t>
  </si>
  <si>
    <t>SI</t>
  </si>
  <si>
    <t>ABONO 50%, SALDO C/ENTREGA</t>
  </si>
  <si>
    <t>MT/L</t>
  </si>
  <si>
    <t>ALTO</t>
  </si>
  <si>
    <t>LAMINA 122X244</t>
  </si>
  <si>
    <t>FACTOR 2,3 PARA 90°</t>
  </si>
  <si>
    <t>SERVICIO INSTALACION</t>
  </si>
  <si>
    <t>MTS 2</t>
  </si>
  <si>
    <t>INSTALACION INCLUYE DESPACHO Y ADHESIVO</t>
  </si>
  <si>
    <t>SERVICIO ENCHAPADO</t>
  </si>
  <si>
    <t>CLIENTE APORTA SUSTRATO Y LAMINA</t>
  </si>
  <si>
    <t>N° 10519</t>
  </si>
  <si>
    <t>VALOR MT2</t>
  </si>
  <si>
    <t>PIEZA CURVA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</si>
</sst>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44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996315</xdr:colOff>
      <xdr:row>26</xdr:row>
      <xdr:rowOff>22860</xdr:rowOff>
    </xdr:from>
    <xdr:to>
      <xdr:col>5</xdr:col>
      <xdr:colOff>619050</xdr:colOff>
      <xdr:row>31</xdr:row>
      <xdr:rowOff>20595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174832" y="5253538"/>
          <a:ext cx="2843476" cy="1095532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3</xdr:col>
      <xdr:colOff>302895</xdr:colOff>
      <xdr:row>29</xdr:row>
      <xdr:rowOff>150495</xdr:rowOff>
    </xdr:from>
    <xdr:to>
      <xdr:col>5</xdr:col>
      <xdr:colOff>447675</xdr:colOff>
      <xdr:row>29</xdr:row>
      <xdr:rowOff>150495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861730" y="6043080"/>
          <a:ext cx="198520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"/>
  <sheetViews>
    <sheetView tabSelected="1" topLeftCell="A3" zoomScale="118" zoomScaleNormal="118" workbookViewId="0">
      <selection activeCell="F27" sqref="F27"/>
    </sheetView>
  </sheetViews>
  <sheetFormatPr baseColWidth="10" defaultRowHeight="14.4" x14ac:dyDescent="0.3"/>
  <cols>
    <col min="1" max="1" width="6" customWidth="1"/>
    <col min="2" max="2" width="11.5546875" customWidth="1"/>
    <col min="3" max="3" width="22.44140625" customWidth="1"/>
    <col min="4" max="4" width="11.6640625" customWidth="1"/>
    <col min="5" max="5" width="13.88671875" customWidth="1"/>
    <col min="6" max="6" width="43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151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152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27" t="s">
        <v>129</v>
      </c>
      <c r="C8" s="328"/>
      <c r="D8" s="329" t="s">
        <v>168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8" t="s">
        <v>147</v>
      </c>
      <c r="D10" s="255"/>
      <c r="E10" s="255"/>
      <c r="F10" s="256" t="s">
        <v>0</v>
      </c>
      <c r="G10" s="257">
        <v>45294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138" t="s">
        <v>148</v>
      </c>
      <c r="D11" s="249"/>
      <c r="E11" s="249"/>
      <c r="F11" s="249" t="s">
        <v>125</v>
      </c>
      <c r="G11" s="272" t="s">
        <v>155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7" t="s">
        <v>149</v>
      </c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300" t="s">
        <v>150</v>
      </c>
      <c r="D13" s="293"/>
      <c r="E13" s="249"/>
      <c r="F13" s="249" t="s">
        <v>140</v>
      </c>
      <c r="G13" s="249" t="s">
        <v>157</v>
      </c>
      <c r="H13" s="250"/>
      <c r="I13" s="249"/>
    </row>
    <row r="14" spans="2:23" ht="15.6" x14ac:dyDescent="0.3">
      <c r="B14" s="248" t="s">
        <v>139</v>
      </c>
      <c r="C14" s="305" t="s">
        <v>156</v>
      </c>
      <c r="D14" s="293"/>
      <c r="E14" s="249"/>
      <c r="F14" s="249" t="s">
        <v>141</v>
      </c>
      <c r="G14" s="249"/>
      <c r="H14" s="250"/>
      <c r="I14" s="249"/>
    </row>
    <row r="15" spans="2:23" x14ac:dyDescent="0.3">
      <c r="B15" s="287" t="s">
        <v>3</v>
      </c>
      <c r="C15" s="260"/>
      <c r="D15" s="260"/>
      <c r="E15" s="260"/>
      <c r="F15" s="282" t="s">
        <v>133</v>
      </c>
      <c r="G15" s="286" t="s">
        <v>158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146</v>
      </c>
      <c r="D16" s="252"/>
      <c r="E16" s="253"/>
      <c r="F16" s="312" t="s">
        <v>145</v>
      </c>
      <c r="G16" s="312"/>
      <c r="H16" s="313"/>
      <c r="I16" s="289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14" t="s">
        <v>130</v>
      </c>
      <c r="C19" s="315"/>
      <c r="D19" s="315"/>
      <c r="E19" s="315"/>
      <c r="F19" s="315"/>
      <c r="G19" s="315"/>
      <c r="H19" s="316"/>
      <c r="I19" s="290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159</v>
      </c>
      <c r="U19" s="9"/>
      <c r="W19" s="6"/>
      <c r="X19" s="6"/>
    </row>
    <row r="20" spans="2:24" ht="18" thickBot="1" x14ac:dyDescent="0.35">
      <c r="B20" s="324" t="s">
        <v>142</v>
      </c>
      <c r="C20" s="325" t="s">
        <v>1</v>
      </c>
      <c r="D20" s="325" t="s">
        <v>10</v>
      </c>
      <c r="E20" s="325" t="s">
        <v>11</v>
      </c>
      <c r="F20" s="325" t="s">
        <v>8</v>
      </c>
      <c r="G20" s="325" t="s">
        <v>169</v>
      </c>
      <c r="H20" s="326" t="s">
        <v>6</v>
      </c>
      <c r="I20" s="291"/>
      <c r="J20" s="47"/>
      <c r="K20" s="295"/>
      <c r="L20" s="295" t="s">
        <v>98</v>
      </c>
      <c r="M20" s="294" t="s">
        <v>160</v>
      </c>
      <c r="N20" s="294" t="s">
        <v>11</v>
      </c>
      <c r="O20" s="285" t="s">
        <v>136</v>
      </c>
      <c r="P20" s="274" t="s">
        <v>18</v>
      </c>
      <c r="Q20" s="266">
        <v>15000</v>
      </c>
      <c r="R20" s="273">
        <v>2000</v>
      </c>
      <c r="S20" s="38"/>
      <c r="T20" s="14" t="s">
        <v>132</v>
      </c>
      <c r="U20" s="9"/>
      <c r="W20" s="4"/>
    </row>
    <row r="21" spans="2:24" x14ac:dyDescent="0.3">
      <c r="B21" s="7">
        <v>1</v>
      </c>
      <c r="C21" s="308" t="s">
        <v>166</v>
      </c>
      <c r="D21" s="309"/>
      <c r="E21" s="309"/>
      <c r="F21" s="310" t="s">
        <v>167</v>
      </c>
      <c r="G21" s="311">
        <v>21000</v>
      </c>
      <c r="H21" s="304">
        <f t="shared" ref="H21" si="0">G21*B21</f>
        <v>21000</v>
      </c>
      <c r="I21" s="299"/>
      <c r="J21" s="47"/>
      <c r="K21" s="47"/>
      <c r="L21" s="47"/>
      <c r="M21" s="39"/>
      <c r="N21" s="39"/>
      <c r="O21" s="285"/>
      <c r="P21" s="274"/>
      <c r="Q21" s="266"/>
      <c r="R21" s="273"/>
      <c r="S21" s="306"/>
      <c r="T21" s="14"/>
      <c r="U21" s="9"/>
      <c r="W21" s="4"/>
    </row>
    <row r="22" spans="2:24" x14ac:dyDescent="0.3">
      <c r="B22" s="7">
        <v>1</v>
      </c>
      <c r="C22" s="7" t="s">
        <v>163</v>
      </c>
      <c r="D22" s="51"/>
      <c r="E22" s="51"/>
      <c r="F22" s="150" t="s">
        <v>164</v>
      </c>
      <c r="G22" s="49">
        <v>35000</v>
      </c>
      <c r="H22" s="307">
        <f>G22*B22</f>
        <v>35000</v>
      </c>
      <c r="I22" s="299"/>
      <c r="J22" s="47"/>
      <c r="K22" s="47"/>
      <c r="L22" s="47"/>
      <c r="M22" s="39"/>
      <c r="N22" s="39"/>
      <c r="O22" s="285"/>
      <c r="P22" s="274"/>
      <c r="Q22" s="266"/>
      <c r="R22" s="273"/>
      <c r="S22" s="306"/>
      <c r="T22" s="14"/>
      <c r="U22" s="9"/>
      <c r="W22" s="4"/>
    </row>
    <row r="23" spans="2:24" x14ac:dyDescent="0.3">
      <c r="B23" s="7">
        <v>1</v>
      </c>
      <c r="C23" s="7" t="s">
        <v>170</v>
      </c>
      <c r="D23" s="51"/>
      <c r="E23" s="51"/>
      <c r="F23" s="150"/>
      <c r="G23" s="49">
        <v>76000</v>
      </c>
      <c r="H23" s="307">
        <f>G23*B23</f>
        <v>76000</v>
      </c>
      <c r="I23" s="299"/>
      <c r="J23" s="47"/>
      <c r="K23" s="47"/>
      <c r="L23" s="47"/>
      <c r="M23" s="39"/>
      <c r="N23" s="39"/>
      <c r="O23" s="285"/>
      <c r="P23" s="274"/>
      <c r="Q23" s="266"/>
      <c r="R23" s="273"/>
      <c r="S23" s="306"/>
      <c r="T23" s="14"/>
      <c r="U23" s="9"/>
      <c r="W23" s="4"/>
    </row>
    <row r="24" spans="2:24" x14ac:dyDescent="0.3">
      <c r="B24" s="5"/>
      <c r="C24" s="5"/>
      <c r="D24" s="22"/>
      <c r="E24" s="22"/>
      <c r="F24" s="6"/>
      <c r="G24" s="23"/>
      <c r="H24" s="301"/>
      <c r="I24" s="299"/>
      <c r="J24" s="47"/>
      <c r="K24" s="47"/>
      <c r="L24" s="47"/>
      <c r="M24" s="39"/>
      <c r="N24" s="39"/>
      <c r="O24" s="285"/>
      <c r="P24" s="274"/>
      <c r="Q24" s="266"/>
      <c r="R24" s="273"/>
      <c r="S24" s="306"/>
      <c r="T24" s="14"/>
      <c r="U24" s="9"/>
      <c r="W24" s="4"/>
    </row>
    <row r="25" spans="2:24" ht="15" thickBot="1" x14ac:dyDescent="0.35">
      <c r="B25" s="5"/>
      <c r="C25" s="5" t="s">
        <v>165</v>
      </c>
      <c r="D25" s="22"/>
      <c r="E25" s="22"/>
      <c r="F25" s="6"/>
      <c r="G25" s="23"/>
      <c r="H25" s="301"/>
      <c r="I25" s="299"/>
      <c r="J25" s="47"/>
      <c r="K25" s="47"/>
      <c r="L25" s="47"/>
      <c r="M25" s="39"/>
      <c r="N25" s="39"/>
      <c r="O25" s="285"/>
      <c r="P25" s="274"/>
      <c r="Q25" s="266"/>
      <c r="R25" s="273"/>
      <c r="S25" s="38"/>
      <c r="T25" s="14"/>
      <c r="U25" s="9"/>
      <c r="W25" s="4"/>
    </row>
    <row r="26" spans="2:24" s="230" customFormat="1" ht="17.399999999999999" x14ac:dyDescent="0.35">
      <c r="B26" s="296"/>
      <c r="E26" s="233"/>
      <c r="F26" s="234"/>
      <c r="G26" s="302" t="s">
        <v>30</v>
      </c>
      <c r="H26" s="303">
        <f>SUM(H21:H22)</f>
        <v>56000</v>
      </c>
      <c r="I26" s="288"/>
      <c r="J26" s="232"/>
      <c r="K26" s="264"/>
      <c r="L26" s="47"/>
      <c r="M26" s="39"/>
      <c r="N26" s="12"/>
      <c r="O26" s="12"/>
      <c r="P26" s="267">
        <f>SUM(P21:P22)</f>
        <v>0</v>
      </c>
      <c r="Q26" s="14"/>
      <c r="R26" s="12"/>
      <c r="S26" s="244">
        <f>SUM(S21:S25)</f>
        <v>0</v>
      </c>
      <c r="T26" s="14"/>
      <c r="U26" s="9"/>
      <c r="V26" s="231"/>
    </row>
    <row r="27" spans="2:24" s="230" customFormat="1" ht="17.399999999999999" x14ac:dyDescent="0.35">
      <c r="B27" s="235"/>
      <c r="C27" s="236"/>
      <c r="D27" s="237"/>
      <c r="E27" s="235" t="s">
        <v>127</v>
      </c>
      <c r="G27" s="238" t="s">
        <v>31</v>
      </c>
      <c r="H27" s="283">
        <f>H26*19%</f>
        <v>10640</v>
      </c>
      <c r="I27" s="288"/>
      <c r="K27" s="264"/>
      <c r="L27" s="47"/>
      <c r="M27" s="39">
        <f>SUM(M21:M26)*2</f>
        <v>0</v>
      </c>
      <c r="N27" s="12"/>
      <c r="O27" s="12"/>
      <c r="P27" s="267">
        <f>P26</f>
        <v>0</v>
      </c>
      <c r="Q27" s="14"/>
      <c r="R27" s="12"/>
      <c r="S27" s="244"/>
      <c r="T27" s="14"/>
      <c r="U27" s="9"/>
    </row>
    <row r="28" spans="2:24" s="230" customFormat="1" ht="18" thickBot="1" x14ac:dyDescent="0.4">
      <c r="G28" s="239" t="s">
        <v>6</v>
      </c>
      <c r="H28" s="284">
        <f>H26+H27</f>
        <v>66640</v>
      </c>
      <c r="K28" s="264"/>
      <c r="L28" s="47"/>
      <c r="M28" s="14"/>
      <c r="N28" s="12"/>
      <c r="O28" s="12"/>
      <c r="P28" s="39">
        <f>P27*20%</f>
        <v>0</v>
      </c>
      <c r="Q28" s="39" t="s">
        <v>134</v>
      </c>
      <c r="R28" s="42"/>
      <c r="S28" s="245">
        <f>S26+S27</f>
        <v>0</v>
      </c>
      <c r="T28" s="14"/>
      <c r="U28" s="9"/>
      <c r="W28" s="231"/>
    </row>
    <row r="29" spans="2:24" s="230" customFormat="1" ht="17.399999999999999" x14ac:dyDescent="0.35">
      <c r="K29" s="264"/>
      <c r="L29" s="47"/>
      <c r="M29" s="14"/>
      <c r="N29" s="12"/>
      <c r="O29" s="12"/>
      <c r="P29" s="46">
        <f>P27+P28</f>
        <v>0</v>
      </c>
      <c r="Q29" s="14"/>
      <c r="R29" s="14"/>
      <c r="S29" s="243">
        <v>40</v>
      </c>
      <c r="T29" s="14"/>
      <c r="U29" s="9"/>
      <c r="W29" s="231"/>
    </row>
    <row r="30" spans="2:24" s="230" customFormat="1" ht="17.399999999999999" x14ac:dyDescent="0.35">
      <c r="B30" s="138"/>
      <c r="K30" s="264"/>
      <c r="L30" s="47"/>
      <c r="M30" s="14"/>
      <c r="N30" s="14"/>
      <c r="O30" s="14"/>
      <c r="P30" s="14"/>
      <c r="Q30" s="14"/>
      <c r="R30" s="14"/>
      <c r="S30" s="243"/>
      <c r="T30" s="14"/>
      <c r="U30" s="9"/>
    </row>
    <row r="31" spans="2:24" s="230" customFormat="1" ht="17.399999999999999" x14ac:dyDescent="0.35">
      <c r="E31" s="240"/>
      <c r="G31" s="241"/>
      <c r="H31" s="281"/>
      <c r="I31" s="281"/>
      <c r="K31" s="264"/>
      <c r="L31" s="47"/>
      <c r="M31" s="39">
        <f>P29</f>
        <v>0</v>
      </c>
      <c r="N31" s="12">
        <v>3500</v>
      </c>
      <c r="O31" s="12">
        <f t="shared" ref="O31:O36" si="1">M31*N31</f>
        <v>0</v>
      </c>
      <c r="P31" s="14" t="s">
        <v>23</v>
      </c>
      <c r="Q31" s="14" t="s">
        <v>24</v>
      </c>
      <c r="R31" s="14"/>
      <c r="S31" s="246"/>
      <c r="T31" s="14"/>
      <c r="U31" s="9"/>
    </row>
    <row r="32" spans="2:24" s="230" customFormat="1" ht="18" thickBot="1" x14ac:dyDescent="0.4">
      <c r="G32" s="242"/>
      <c r="K32" s="264"/>
      <c r="L32" s="47"/>
      <c r="M32" s="263"/>
      <c r="N32" s="12">
        <v>14500</v>
      </c>
      <c r="O32" s="12">
        <f t="shared" si="1"/>
        <v>0</v>
      </c>
      <c r="P32" s="39" t="s">
        <v>33</v>
      </c>
      <c r="Q32" s="42"/>
      <c r="R32" s="14"/>
      <c r="S32" s="245"/>
      <c r="T32" s="14"/>
      <c r="U32" s="9"/>
    </row>
    <row r="33" spans="2:21" s="230" customFormat="1" ht="17.399999999999999" x14ac:dyDescent="0.35">
      <c r="B33" s="275" t="s">
        <v>135</v>
      </c>
      <c r="C33" s="276"/>
      <c r="D33" s="276"/>
      <c r="E33" s="276"/>
      <c r="F33" s="276"/>
      <c r="G33" s="277"/>
      <c r="K33" s="12"/>
      <c r="L33" s="264"/>
      <c r="M33" s="14"/>
      <c r="N33" s="12">
        <v>65361</v>
      </c>
      <c r="O33" s="12">
        <f t="shared" si="1"/>
        <v>0</v>
      </c>
      <c r="P33" s="39" t="s">
        <v>32</v>
      </c>
      <c r="Q33" s="42"/>
      <c r="S33" s="245"/>
      <c r="T33" s="270"/>
    </row>
    <row r="34" spans="2:21" s="230" customFormat="1" ht="18" thickBot="1" x14ac:dyDescent="0.4">
      <c r="B34" s="278" t="s">
        <v>143</v>
      </c>
      <c r="C34" s="279"/>
      <c r="D34" s="279"/>
      <c r="E34" s="279"/>
      <c r="F34" s="279"/>
      <c r="G34" s="280"/>
      <c r="K34" s="12"/>
      <c r="L34" s="264"/>
      <c r="M34" s="14"/>
      <c r="N34" s="14">
        <v>47412</v>
      </c>
      <c r="O34" s="12">
        <f t="shared" si="1"/>
        <v>0</v>
      </c>
      <c r="P34" s="14" t="s">
        <v>161</v>
      </c>
      <c r="Q34" s="17"/>
      <c r="S34" s="243"/>
      <c r="T34" s="270"/>
    </row>
    <row r="35" spans="2:21" ht="14.4" customHeight="1" x14ac:dyDescent="0.35">
      <c r="B35" s="24" t="s">
        <v>153</v>
      </c>
      <c r="C35" s="230"/>
      <c r="D35" s="230"/>
      <c r="E35" s="230"/>
      <c r="F35" s="230"/>
      <c r="K35" s="12"/>
      <c r="L35" s="264"/>
      <c r="M35" s="263"/>
      <c r="N35" s="12">
        <v>300</v>
      </c>
      <c r="O35" s="12">
        <f t="shared" si="1"/>
        <v>0</v>
      </c>
      <c r="P35" s="14" t="s">
        <v>34</v>
      </c>
      <c r="Q35" s="14"/>
      <c r="R35" s="230">
        <v>1.52</v>
      </c>
      <c r="S35" s="243"/>
      <c r="T35" s="243"/>
      <c r="U35" s="230"/>
    </row>
    <row r="36" spans="2:21" ht="17.399999999999999" x14ac:dyDescent="0.35">
      <c r="B36" s="24" t="s">
        <v>154</v>
      </c>
      <c r="K36" s="264"/>
      <c r="L36" s="264"/>
      <c r="M36" s="292"/>
      <c r="N36" s="12">
        <v>1500</v>
      </c>
      <c r="O36" s="12">
        <f t="shared" si="1"/>
        <v>0</v>
      </c>
      <c r="P36" s="14" t="s">
        <v>25</v>
      </c>
      <c r="Q36" s="14"/>
      <c r="R36">
        <v>2.44</v>
      </c>
      <c r="T36" s="243">
        <v>1500</v>
      </c>
      <c r="U36" s="230"/>
    </row>
    <row r="37" spans="2:21" ht="17.399999999999999" x14ac:dyDescent="0.35">
      <c r="B37" s="29" t="s">
        <v>128</v>
      </c>
      <c r="F37" s="229" t="s">
        <v>17</v>
      </c>
      <c r="G37" s="23"/>
      <c r="K37" s="264"/>
      <c r="L37" s="264"/>
      <c r="M37" s="14"/>
      <c r="N37" s="12"/>
      <c r="O37" s="12">
        <f>SUM(O31:O36)</f>
        <v>0</v>
      </c>
      <c r="P37" s="39" t="s">
        <v>26</v>
      </c>
      <c r="Q37" s="14"/>
      <c r="R37">
        <f>R35*R36</f>
        <v>3.7088000000000001</v>
      </c>
      <c r="T37" s="243">
        <f>S29*T36</f>
        <v>60000</v>
      </c>
      <c r="U37" s="230"/>
    </row>
    <row r="38" spans="2:21" ht="17.399999999999999" x14ac:dyDescent="0.35">
      <c r="C38" s="228"/>
      <c r="D38" s="22"/>
      <c r="E38" s="22"/>
      <c r="F38" s="21"/>
      <c r="G38" s="23"/>
      <c r="I38" t="e">
        <f>+A17:I3A1:I38</f>
        <v>#NAME?</v>
      </c>
      <c r="K38" s="264"/>
      <c r="L38" s="264"/>
      <c r="M38" s="268" t="s">
        <v>35</v>
      </c>
      <c r="N38" s="12"/>
      <c r="O38" s="269">
        <f>O37*2.3</f>
        <v>0</v>
      </c>
      <c r="P38" s="14" t="s">
        <v>162</v>
      </c>
      <c r="Q38" s="14"/>
      <c r="R38" s="40">
        <f>P29/R37</f>
        <v>0</v>
      </c>
      <c r="T38" s="271" t="e">
        <f>T37/#REF!</f>
        <v>#REF!</v>
      </c>
      <c r="U38" s="230"/>
    </row>
    <row r="39" spans="2:21" ht="15" customHeight="1" x14ac:dyDescent="0.35">
      <c r="L39" s="264"/>
      <c r="M39" s="14"/>
      <c r="N39" s="12"/>
      <c r="O39" s="12" t="e">
        <f>O38/P27</f>
        <v>#DIV/0!</v>
      </c>
      <c r="P39" s="45" t="s">
        <v>27</v>
      </c>
      <c r="Q39" s="14"/>
      <c r="R39" s="14"/>
      <c r="T39" s="243"/>
      <c r="U39" s="230"/>
    </row>
    <row r="40" spans="2:21" ht="17.399999999999999" x14ac:dyDescent="0.35">
      <c r="L40" s="264"/>
      <c r="M40" s="13"/>
      <c r="N40" s="14"/>
      <c r="O40" s="17" t="e">
        <f>O38/O37</f>
        <v>#DIV/0!</v>
      </c>
      <c r="P40" s="15"/>
      <c r="T40" s="243"/>
      <c r="U40" s="230"/>
    </row>
    <row r="41" spans="2:21" ht="17.399999999999999" x14ac:dyDescent="0.35">
      <c r="L41" s="12"/>
      <c r="M41" s="230"/>
      <c r="N41" s="230"/>
      <c r="O41" s="230"/>
      <c r="P41" s="230"/>
      <c r="Q41" s="230"/>
      <c r="R41" s="230"/>
      <c r="S41" s="230"/>
      <c r="T41" s="243"/>
      <c r="U41" s="230"/>
    </row>
    <row r="43" spans="2:21" x14ac:dyDescent="0.3">
      <c r="N43" s="54"/>
      <c r="O43" s="54"/>
    </row>
    <row r="44" spans="2:21" x14ac:dyDescent="0.3">
      <c r="R44" s="18"/>
      <c r="S44" s="18"/>
    </row>
    <row r="45" spans="2:21" x14ac:dyDescent="0.3">
      <c r="R45" s="18"/>
      <c r="S45" s="18"/>
    </row>
    <row r="46" spans="2:21" x14ac:dyDescent="0.3">
      <c r="R46" s="18"/>
      <c r="S46" s="18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5" spans="14:19" x14ac:dyDescent="0.3">
      <c r="N55" s="43"/>
    </row>
    <row r="56" spans="14:19" x14ac:dyDescent="0.3">
      <c r="N56" s="43"/>
    </row>
    <row r="57" spans="14:19" x14ac:dyDescent="0.3">
      <c r="N57" s="6"/>
    </row>
    <row r="58" spans="14:19" x14ac:dyDescent="0.3">
      <c r="N58" s="6"/>
    </row>
  </sheetData>
  <mergeCells count="2">
    <mergeCell ref="F16:H16"/>
    <mergeCell ref="B19:H19"/>
  </mergeCells>
  <phoneticPr fontId="31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45294</v>
      </c>
    </row>
    <row r="6" spans="2:31" ht="16.2" thickBot="1" x14ac:dyDescent="0.35">
      <c r="B6" s="140" t="s">
        <v>2</v>
      </c>
      <c r="C6" s="139" t="str">
        <f>'2229'!C10</f>
        <v>CONSTRUCTORA CERRO BAYO S.A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str">
        <f>'2229'!C12</f>
        <v>CONSTRUCTORA</v>
      </c>
      <c r="D7" s="138"/>
      <c r="E7" s="138"/>
      <c r="F7" s="138"/>
      <c r="H7" s="318" t="s">
        <v>100</v>
      </c>
      <c r="I7" s="319"/>
      <c r="J7" s="319"/>
      <c r="K7" s="320"/>
      <c r="N7" s="75"/>
      <c r="O7" s="317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10519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17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3821.0416332125606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56000</v>
      </c>
      <c r="E11" s="132">
        <f>D11*0.19</f>
        <v>10640</v>
      </c>
      <c r="F11" s="131">
        <f>E11+D11</f>
        <v>66640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109811.04163321256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47834.090787439614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91811.041633212561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8165.9092125603856</v>
      </c>
      <c r="E13" s="221">
        <f>(D11/D12)-1</f>
        <v>0.17071316874919273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82811.041633212561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43811.041633212561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78926.249799275363</v>
      </c>
      <c r="F15" s="216">
        <f>E15-D12</f>
        <v>31092.159011835749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43811.041633212561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83811.041633212561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14500</v>
      </c>
      <c r="E18" s="123">
        <f>D18*0.19</f>
        <v>2755</v>
      </c>
      <c r="F18" s="120">
        <f>SUM(D18:E18)</f>
        <v>17255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'2229'!N30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18000</v>
      </c>
      <c r="E21" s="116">
        <f>SUM(E18:E20)</f>
        <v>3420</v>
      </c>
      <c r="F21" s="115">
        <f>SUM(F18:F20)</f>
        <v>21420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7220</v>
      </c>
    </row>
    <row r="41" spans="2:16" ht="15" thickBot="1" x14ac:dyDescent="0.35">
      <c r="H41" s="321" t="s">
        <v>62</v>
      </c>
      <c r="I41" s="322"/>
      <c r="J41" s="322"/>
      <c r="K41" s="322"/>
      <c r="L41" s="322"/>
      <c r="M41" s="323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56000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18000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8165.9092125603856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8165.9092125603856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2022-10-12T16:13:27Z</cp:lastPrinted>
  <dcterms:created xsi:type="dcterms:W3CDTF">2013-03-18T13:35:42Z</dcterms:created>
  <dcterms:modified xsi:type="dcterms:W3CDTF">2024-01-04T12:19:17Z</dcterms:modified>
</cp:coreProperties>
</file>