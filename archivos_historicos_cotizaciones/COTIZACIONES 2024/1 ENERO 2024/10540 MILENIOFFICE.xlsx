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F0D1985D-9A70-471A-8A02-D64F380164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L23" i="1" s="1"/>
  <c r="L34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G21" i="1" s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<sst xmlns="http://schemas.openxmlformats.org/spreadsheetml/2006/main" count="230" uniqueCount="174">
  <si>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</si>
  <si>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</si>
  <si>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</si>
  <si>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</si>
  <si>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</si>
  <si>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</si>
  <si>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</si>
  <si>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</si>
  <si>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</si>
  <si>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</si>
  <si>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</si>
  <si>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</si>
  <si>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</si>
  <si>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</si>
  <si>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</si>
  <si>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</si>
  <si>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</si>
  <si>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</si>
  <si>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</si>
  <si>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</si>
  <si>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</si>
  <si>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</si>
  <si>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</si>
  <si>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</si>
  <si>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</si>
  <si>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</si>
  <si>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</si>
  <si>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</si>
  <si>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</si>
  <si>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</si>
  <si>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</si>
  <si>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</si>
  <si>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</si>
  <si>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</si>
  <si>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</si>
  <si>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</si>
  <si>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</si>
  <si>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</si>
  <si>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</si>
  <si>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</si>
  <si>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</si>
  <si>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</si>
  <si>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</si>
  <si>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</si>
  <si>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</si>
  <si>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</si>
  <si>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</si>
  <si>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</si>
  <si>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</si>
  <si>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</si>
  <si>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</si>
  <si>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</si>
  <si>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</si>
  <si>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</si>
  <si>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</si>
  <si>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</si>
  <si>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</si>
  <si>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</si>
  <si>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</si>
  <si>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</si>
  <si>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</si>
  <si>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</si>
  <si>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</si>
  <si>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</si>
  <si>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</si>
  <si>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</si>
  <si>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</si>
  <si>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</si>
  <si>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</si>
  <si>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</si>
  <si>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</si>
  <si>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</si>
  <si>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</si>
  <si>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</si>
  <si>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</si>
  <si>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</si>
  <si>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</si>
  <si>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</si>
  <si>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</si>
  <si>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</si>
  <si>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</si>
  <si>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</si>
  <si>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</si>
  <si>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</si>
  <si>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</si>
  <si>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</si>
  <si>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</si>
  <si>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</si>
  <si>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</si>
  <si>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</si>
  <si>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</si>
  <si>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</si>
  <si>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</si>
  <si>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</si>
  <si>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</si>
  <si>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</si>
  <si>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</si>
  <si>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</si>
  <si>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</si>
  <si>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</si>
  <si>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</si>
  <si>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</si>
  <si>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</si>
  <si>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</si>
  <si>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</si>
  <si>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</si>
  <si>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</si>
  <si>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</si>
  <si>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</si>
  <si>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</si>
  <si>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</si>
  <si>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</si>
  <si>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</si>
  <si>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</si>
  <si>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</si>
  <si>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</si>
  <si>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</si>
  <si>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</si>
  <si>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</si>
  <si>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</si>
  <si>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</si>
  <si>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</si>
  <si>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</si>
  <si>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</si>
  <si>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</si>
  <si>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</si>
  <si>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</si>
  <si>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</si>
  <si>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</si>
  <si>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</si>
  <si>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</si>
  <si>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</si>
  <si>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</si>
  <si>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</si>
  <si>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</si>
  <si>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</si>
  <si>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</si>
  <si>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</si>
  <si>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</si>
  <si>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</si>
  <si>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</si>
  <si>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</si>
  <si>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</si>
  <si>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</si>
  <si>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</si>
  <si>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</si>
  <si>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</si>
  <si>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</si>
  <si>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</si>
  <si>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</si>
  <si>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</si>
  <si>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</si>
  <si>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</si>
  <si>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</si>
  <si>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</si>
  <si>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</si>
  <si>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</si>
  <si>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</si>
  <si>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</si>
  <si>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</si>
  <si>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</si>
  <si>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</si>
  <si>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</si>
  <si>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</si>
  <si>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</si>
  <si>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</si>
  <si>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</si>
  <si>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</si>
  <si>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</si>
  <si>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CUBIERTA CON RESPALDO FRENTE ESPAÑOL</t>
  </si>
  <si>
    <t>BLANCO OPACO</t>
  </si>
  <si>
    <t>MILENIOOFFICE</t>
  </si>
  <si>
    <t>YONATHAN MUNDARAY</t>
  </si>
  <si>
    <r>
      <t>  56</t>
    </r>
    <r>
      <rPr>
        <i/>
        <sz val="11"/>
        <color theme="1"/>
        <rFont val="Arial"/>
        <family val="2"/>
      </rPr>
      <t>990625902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</si>
</sst>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LARGO, RESPALDO 6 CMS SOBRE LA BASE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6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10540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171</v>
      </c>
      <c r="D10" s="243"/>
      <c r="E10" s="243"/>
      <c r="F10" s="244" t="s">
        <v>0</v>
      </c>
      <c r="G10" s="277">
        <v>45306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40" t="s">
        <v>173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8" t="s">
        <v>166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64050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169</v>
      </c>
      <c r="D21" s="325">
        <v>1.2</v>
      </c>
      <c r="E21" s="325">
        <v>0.6</v>
      </c>
      <c r="F21" s="324" t="s">
        <v>170</v>
      </c>
      <c r="G21" s="326">
        <f>Q21</f>
        <v>51037.5</v>
      </c>
      <c r="H21" s="327">
        <f>G21*B21</f>
        <v>51037.5</v>
      </c>
      <c r="I21" s="265"/>
      <c r="J21" s="47"/>
      <c r="K21" s="47">
        <f>B21</f>
        <v>1</v>
      </c>
      <c r="L21" s="39">
        <f t="shared" ref="L21" si="1">D21+L$19</f>
        <v>1.25</v>
      </c>
      <c r="M21" s="39">
        <f t="shared" ref="M21" si="2">E21+M$19</f>
        <v>0.6</v>
      </c>
      <c r="N21" s="261">
        <f t="shared" ref="N21" si="3">L21*M21</f>
        <v>0.75</v>
      </c>
      <c r="O21" s="259">
        <f t="shared" ref="O21" si="4">N21*K21</f>
        <v>0.75</v>
      </c>
      <c r="P21" s="252">
        <f t="shared" ref="P21" si="5">P$20*N21</f>
        <v>48037.5</v>
      </c>
      <c r="Q21" s="258">
        <f t="shared" ref="Q21" si="6">P21+Q$20</f>
        <v>51037.5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SUM(H21:H21)</f>
        <v>51037.5</v>
      </c>
      <c r="I23" s="265"/>
      <c r="J23" s="47"/>
      <c r="K23" s="47"/>
      <c r="L23" s="39">
        <f>SUM(L21:L22)</f>
        <v>1.25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9697.125</v>
      </c>
      <c r="I24" s="265"/>
      <c r="J24" s="47"/>
      <c r="K24" s="47"/>
      <c r="L24" s="39"/>
      <c r="M24" s="12"/>
      <c r="N24" s="12"/>
      <c r="O24" s="253">
        <f>SUM(O21:O21)</f>
        <v>0.75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60734.625</v>
      </c>
      <c r="I25" s="265"/>
      <c r="J25" s="47"/>
      <c r="K25" s="47"/>
      <c r="L25" s="39"/>
      <c r="M25" s="12"/>
      <c r="N25" s="12"/>
      <c r="O25" s="253">
        <f>O24</f>
        <v>0.75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0.15000000000000002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0.9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0.9</v>
      </c>
      <c r="M29" s="12">
        <v>2500</v>
      </c>
      <c r="N29" s="12">
        <f t="shared" ref="N29:N34" si="7">L29*M29</f>
        <v>2250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0.25</v>
      </c>
      <c r="M30" s="12">
        <v>25000</v>
      </c>
      <c r="N30" s="12">
        <f t="shared" si="7"/>
        <v>6250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0.5</v>
      </c>
      <c r="M32" s="250">
        <v>25000</v>
      </c>
      <c r="N32" s="12">
        <f t="shared" si="7"/>
        <v>12500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>
        <f>L23</f>
        <v>1.25</v>
      </c>
      <c r="M34" s="12">
        <v>1500</v>
      </c>
      <c r="N34" s="12">
        <f t="shared" si="7"/>
        <v>1875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22875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48037.5</v>
      </c>
      <c r="O36" s="14" t="s">
        <v>141</v>
      </c>
      <c r="P36" s="14"/>
      <c r="Q36" s="40">
        <f>O27/Q35</f>
        <v>0.24266609145815357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64050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45306</v>
      </c>
    </row>
    <row r="6" spans="2:31" ht="16.2" thickBot="1" x14ac:dyDescent="0.35">
      <c r="B6" s="140" t="s">
        <v>2</v>
      </c>
      <c r="C6" s="139" t="str">
        <f>'2229'!C10</f>
        <v>MILENIOOFFICE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2035.6249665458938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51037.5</v>
      </c>
      <c r="E11" s="132">
        <f>D11*0.19</f>
        <v>9697.125</v>
      </c>
      <c r="F11" s="131">
        <f>E11+D11</f>
        <v>60734.625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108025.62496654589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38334.090787439614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90025.624966545889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12703.409212560386</v>
      </c>
      <c r="E13" s="221">
        <f>(D11/D12)-1</f>
        <v>0.33138673571260835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81025.624966545889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42025.624966545896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63251.249799275363</v>
      </c>
      <c r="F15" s="216">
        <f>E15-D12</f>
        <v>24917.159011835749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42025.624966545896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82025.624966545889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6250</v>
      </c>
      <c r="E19" s="123">
        <f>D19*0.19</f>
        <v>1187.5</v>
      </c>
      <c r="F19" s="120">
        <f>SUM(D19:E19)</f>
        <v>7437.5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2250</v>
      </c>
      <c r="E20" s="121">
        <f>D20*0.19</f>
        <v>427.5</v>
      </c>
      <c r="F20" s="120">
        <f>SUM(D20:E20)</f>
        <v>2677.5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8500</v>
      </c>
      <c r="E21" s="116">
        <f>SUM(E18:E20)</f>
        <v>1615</v>
      </c>
      <c r="F21" s="115">
        <f>SUM(F18:F20)</f>
        <v>10115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8082.125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51037.5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8500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12703.409212560386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12703.409212560386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2024-01-15T13:35:36Z</cp:lastPrinted>
  <dcterms:created xsi:type="dcterms:W3CDTF">2013-03-18T13:35:42Z</dcterms:created>
  <dcterms:modified xsi:type="dcterms:W3CDTF">2024-01-15T17:02:32Z</dcterms:modified>
</cp:coreProperties>
</file>