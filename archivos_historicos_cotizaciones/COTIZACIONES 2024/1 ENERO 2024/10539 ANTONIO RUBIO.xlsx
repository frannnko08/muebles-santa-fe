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13 ENERO 2024\"/>
    </mc:Choice>
  </mc:AlternateContent>
  <xr:revisionPtr revIDLastSave="0" documentId="13_ncr:1_{A1D7CEA0-807B-42FF-92E8-EE28FE4A0DA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G22" i="1"/>
  <c r="H22" i="1" s="1"/>
  <c r="G21" i="1"/>
  <c r="L35" i="1"/>
  <c r="M22" i="1" l="1"/>
  <c r="L22" i="1"/>
  <c r="K22" i="1"/>
  <c r="N22" i="1" l="1"/>
  <c r="O22" i="1" s="1"/>
  <c r="H21" i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P21" i="1"/>
  <c r="F15" i="3"/>
  <c r="Q21" i="1" l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<sst xmlns="http://schemas.openxmlformats.org/spreadsheetml/2006/main" count="231" uniqueCount="173">
  <si>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</si>
  <si>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</si>
  <si>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</si>
  <si>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</si>
  <si>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</si>
  <si>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</si>
  <si>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</si>
  <si>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</si>
  <si>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</si>
  <si>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</si>
  <si>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</si>
  <si>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</si>
  <si>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</si>
  <si>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</si>
  <si>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</si>
  <si>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</si>
  <si>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</si>
  <si>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</si>
  <si>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</si>
  <si>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</si>
  <si>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</si>
  <si>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</si>
  <si>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</si>
  <si>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</si>
  <si>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</si>
  <si>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</si>
  <si>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</si>
  <si>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</si>
  <si>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</si>
  <si>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</si>
  <si>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</si>
  <si>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</si>
  <si>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</si>
  <si>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</si>
  <si>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</si>
  <si>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</si>
  <si>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</si>
  <si>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</si>
  <si>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</si>
  <si>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</si>
  <si>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</si>
  <si>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</si>
  <si>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</si>
  <si>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</si>
  <si>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</si>
  <si>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</si>
  <si>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</si>
  <si>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</si>
  <si>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</si>
  <si>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</si>
  <si>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</si>
  <si>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</si>
  <si>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</si>
  <si>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</si>
  <si>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</si>
  <si>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</si>
  <si>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</si>
  <si>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</si>
  <si>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</si>
  <si>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</si>
  <si>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</si>
  <si>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</si>
  <si>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</si>
  <si>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</si>
  <si>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</si>
  <si>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</si>
  <si>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</si>
  <si>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</si>
  <si>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</si>
  <si>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</si>
  <si>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</si>
  <si>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</si>
  <si>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</si>
  <si>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</si>
  <si>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</si>
  <si>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</si>
  <si>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</si>
  <si>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</si>
  <si>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</si>
  <si>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</si>
  <si>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</si>
  <si>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</si>
  <si>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</si>
  <si>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</si>
  <si>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</si>
  <si>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</si>
  <si>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</si>
  <si>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</si>
  <si>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</si>
  <si>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</si>
  <si>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</si>
  <si>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</si>
  <si>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</si>
  <si>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</si>
  <si>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</si>
  <si>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</si>
  <si>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</si>
  <si>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</si>
  <si>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</si>
  <si>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</si>
  <si>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</si>
  <si>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</si>
  <si>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</si>
  <si>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</si>
  <si>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</si>
  <si>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</si>
  <si>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</si>
  <si>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</si>
  <si>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</si>
  <si>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</si>
  <si>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</si>
  <si>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</si>
  <si>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</si>
  <si>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</si>
  <si>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</si>
  <si>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</si>
  <si>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</si>
  <si>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</si>
  <si>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</si>
  <si>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</si>
  <si>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</si>
  <si>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</si>
  <si>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</si>
  <si>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</si>
  <si>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</si>
  <si>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</si>
  <si>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</si>
  <si>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</si>
  <si>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</si>
  <si>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</si>
  <si>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</si>
  <si>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</si>
  <si>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</si>
  <si>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</si>
  <si>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</si>
  <si>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</si>
  <si>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</si>
  <si>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</si>
  <si>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</si>
  <si>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</si>
  <si>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</si>
  <si>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</si>
  <si>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</si>
  <si>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</si>
  <si>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</si>
  <si>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</si>
  <si>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</si>
  <si>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</si>
  <si>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</si>
  <si>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</si>
  <si>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</si>
  <si>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</si>
  <si>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</si>
  <si>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</si>
  <si>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</si>
  <si>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</si>
  <si>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</si>
  <si>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</si>
  <si>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</si>
  <si>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</si>
  <si>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</si>
  <si>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</si>
  <si>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</si>
  <si>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</si>
  <si>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</si>
  <si>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</si>
  <si>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</si>
  <si>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</si>
  <si>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</si>
  <si>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ANTONIO RUBIO</t>
  </si>
  <si>
    <t>+569 9667 7352</t>
  </si>
  <si>
    <t>CUBIERTA CON RESPALDO FRENTE  ENCHAPE RECTO 90°</t>
  </si>
  <si>
    <t>WHITE MARBLE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</si>
</sst>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D9" sqref="D9"/>
    </sheetView>
  </sheetViews>
  <sheetFormatPr baseColWidth="10" defaultRowHeight="15" x14ac:dyDescent="0.25"/>
  <cols>
    <col min="1" max="1" width="6" customWidth="1"/>
    <col min="2" max="2" width="10.5703125" customWidth="1"/>
    <col min="3" max="3" width="52.7109375" customWidth="1"/>
    <col min="4" max="4" width="11.140625" customWidth="1"/>
    <col min="5" max="5" width="10.5703125" customWidth="1"/>
    <col min="6" max="6" width="33.8554687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301" t="s">
        <v>127</v>
      </c>
      <c r="C8" s="302"/>
      <c r="D8" s="303">
        <v>10539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20" t="s">
        <v>163</v>
      </c>
      <c r="C10" s="279" t="s">
        <v>169</v>
      </c>
      <c r="D10" s="243"/>
      <c r="E10" s="243"/>
      <c r="F10" s="244" t="s">
        <v>0</v>
      </c>
      <c r="G10" s="277">
        <v>45303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25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75" x14ac:dyDescent="0.25">
      <c r="B15" s="246" t="s">
        <v>4</v>
      </c>
      <c r="C15" s="310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5" x14ac:dyDescent="0.3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.75" thickBot="1" x14ac:dyDescent="0.3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78482.968929804352</v>
      </c>
      <c r="Q20" s="258">
        <v>3000</v>
      </c>
      <c r="R20" s="38"/>
      <c r="S20" s="14" t="s">
        <v>129</v>
      </c>
      <c r="T20" s="9"/>
      <c r="W20" s="4"/>
    </row>
    <row r="21" spans="2:24" ht="17.25" x14ac:dyDescent="0.25">
      <c r="B21" s="324">
        <v>1</v>
      </c>
      <c r="C21" s="325" t="s">
        <v>171</v>
      </c>
      <c r="D21" s="326">
        <v>1.23</v>
      </c>
      <c r="E21" s="326">
        <v>0.55000000000000004</v>
      </c>
      <c r="F21" s="325" t="s">
        <v>172</v>
      </c>
      <c r="G21" s="327">
        <f>Q21</f>
        <v>58252.010126582267</v>
      </c>
      <c r="H21" s="328">
        <f>G21*B21</f>
        <v>58252.010126582267</v>
      </c>
      <c r="I21" s="265"/>
      <c r="J21" s="47"/>
      <c r="K21" s="47">
        <f>B21</f>
        <v>1</v>
      </c>
      <c r="L21" s="39">
        <f t="shared" ref="L21" si="1">D21+L$19</f>
        <v>1.28</v>
      </c>
      <c r="M21" s="39">
        <f t="shared" ref="M21" si="2">E21+M$19</f>
        <v>0.55000000000000004</v>
      </c>
      <c r="N21" s="261">
        <f t="shared" ref="N21" si="3">L21*M21</f>
        <v>0.70400000000000007</v>
      </c>
      <c r="O21" s="259">
        <f t="shared" ref="O21" si="4">N21*K21</f>
        <v>0.70400000000000007</v>
      </c>
      <c r="P21" s="252">
        <f t="shared" ref="P21" si="5">P$20*N21</f>
        <v>55252.010126582267</v>
      </c>
      <c r="Q21" s="258">
        <f t="shared" ref="Q21" si="6">P21+Q$20</f>
        <v>58252.010126582267</v>
      </c>
      <c r="R21" s="309"/>
      <c r="S21" s="14"/>
      <c r="T21" s="9"/>
      <c r="W21" s="4"/>
    </row>
    <row r="22" spans="2:24" ht="18" thickBot="1" x14ac:dyDescent="0.3">
      <c r="B22" s="341">
        <v>1</v>
      </c>
      <c r="C22" s="342" t="s">
        <v>171</v>
      </c>
      <c r="D22" s="343">
        <v>1.83</v>
      </c>
      <c r="E22" s="343">
        <v>0.55000000000000004</v>
      </c>
      <c r="F22" s="342" t="s">
        <v>172</v>
      </c>
      <c r="G22" s="344">
        <f>Q22</f>
        <v>84151.38987341772</v>
      </c>
      <c r="H22" s="345">
        <f>G22*B22</f>
        <v>84151.38987341772</v>
      </c>
      <c r="I22" s="265"/>
      <c r="J22" s="47"/>
      <c r="K22" s="47">
        <f t="shared" ref="K22" si="7">B22</f>
        <v>1</v>
      </c>
      <c r="L22" s="39">
        <f t="shared" ref="L22" si="8">D22+L$19</f>
        <v>1.8800000000000001</v>
      </c>
      <c r="M22" s="39">
        <f t="shared" ref="M22" si="9">E22+M$19</f>
        <v>0.55000000000000004</v>
      </c>
      <c r="N22" s="261">
        <f t="shared" ref="N22" si="10">L22*M22</f>
        <v>1.0340000000000003</v>
      </c>
      <c r="O22" s="259">
        <f t="shared" ref="O22" si="11">N22*K22</f>
        <v>1.0340000000000003</v>
      </c>
      <c r="P22" s="252">
        <f t="shared" ref="P22" si="12">P$20*N22</f>
        <v>81151.38987341772</v>
      </c>
      <c r="Q22" s="258">
        <f t="shared" ref="Q22" si="13">P22+Q$20</f>
        <v>84151.38987341772</v>
      </c>
      <c r="R22" s="309"/>
      <c r="S22" s="14"/>
      <c r="T22" s="9"/>
      <c r="W22" s="4"/>
    </row>
    <row r="23" spans="2:24" ht="18" thickBot="1" x14ac:dyDescent="0.3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25" x14ac:dyDescent="0.25">
      <c r="B24" s="286"/>
      <c r="C24" s="286"/>
      <c r="D24" s="287"/>
      <c r="E24" s="287"/>
      <c r="F24" s="286"/>
      <c r="G24" s="311" t="s">
        <v>29</v>
      </c>
      <c r="H24" s="312">
        <f>SUM(H21:H22)</f>
        <v>142403.4</v>
      </c>
      <c r="I24" s="265"/>
      <c r="J24" s="47"/>
      <c r="K24" s="47"/>
      <c r="L24" s="39">
        <f>SUM(L21:L23)</f>
        <v>3.16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25" x14ac:dyDescent="0.25">
      <c r="B25" s="280"/>
      <c r="C25" s="283"/>
      <c r="D25" s="284"/>
      <c r="E25" s="284"/>
      <c r="F25" s="285"/>
      <c r="G25" s="308" t="s">
        <v>52</v>
      </c>
      <c r="H25" s="305">
        <f>H24*19%</f>
        <v>27056.646000000001</v>
      </c>
      <c r="I25" s="265"/>
      <c r="J25" s="47"/>
      <c r="K25" s="47"/>
      <c r="L25" s="39"/>
      <c r="M25" s="12"/>
      <c r="N25" s="12"/>
      <c r="O25" s="253">
        <f>SUM(O21:O22)</f>
        <v>1.7380000000000004</v>
      </c>
      <c r="P25" s="14"/>
      <c r="Q25" s="12"/>
      <c r="R25" s="239"/>
      <c r="S25" s="14"/>
      <c r="T25" s="9"/>
      <c r="W25" s="4"/>
    </row>
    <row r="26" spans="2:24" ht="18" thickBot="1" x14ac:dyDescent="0.3">
      <c r="B26" s="276"/>
      <c r="C26" s="282"/>
      <c r="D26" s="272"/>
      <c r="E26" s="272"/>
      <c r="F26" s="273"/>
      <c r="G26" s="281" t="s">
        <v>6</v>
      </c>
      <c r="H26" s="306">
        <f>H24+H25</f>
        <v>169460.046</v>
      </c>
      <c r="I26" s="265"/>
      <c r="J26" s="47"/>
      <c r="K26" s="47"/>
      <c r="L26" s="39"/>
      <c r="M26" s="12"/>
      <c r="N26" s="12"/>
      <c r="O26" s="253">
        <f>O25</f>
        <v>1.7380000000000004</v>
      </c>
      <c r="P26" s="14"/>
      <c r="Q26" s="12"/>
      <c r="R26" s="239">
        <f>SUM(R21:R25)</f>
        <v>0</v>
      </c>
      <c r="S26" s="14"/>
      <c r="T26" s="9"/>
      <c r="W26" s="4"/>
    </row>
    <row r="27" spans="2:24" ht="17.25" x14ac:dyDescent="0.25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0.34760000000000013</v>
      </c>
      <c r="P27" s="39" t="s">
        <v>131</v>
      </c>
      <c r="Q27" s="42"/>
      <c r="R27" s="240"/>
      <c r="S27" s="14"/>
      <c r="T27" s="9"/>
      <c r="W27" s="4"/>
    </row>
    <row r="28" spans="2:24" ht="17.25" x14ac:dyDescent="0.25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2.0856000000000003</v>
      </c>
      <c r="P28" s="14"/>
      <c r="Q28" s="14"/>
      <c r="R28" s="238">
        <v>40</v>
      </c>
      <c r="S28" s="14"/>
      <c r="T28" s="9"/>
      <c r="W28" s="4"/>
    </row>
    <row r="29" spans="2:24" ht="17.25" x14ac:dyDescent="0.3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25" x14ac:dyDescent="0.3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2.0856000000000003</v>
      </c>
      <c r="M30" s="12">
        <v>2500</v>
      </c>
      <c r="N30" s="12">
        <f t="shared" ref="N30:N35" si="14">L30*M30</f>
        <v>5214.0000000000009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25" x14ac:dyDescent="0.3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14"/>
        <v>15000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25" x14ac:dyDescent="0.3">
      <c r="I32" s="262"/>
      <c r="J32" s="232"/>
      <c r="K32" s="250"/>
      <c r="L32" s="14"/>
      <c r="M32" s="250">
        <v>46500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25" x14ac:dyDescent="0.3">
      <c r="B33" s="24" t="s">
        <v>152</v>
      </c>
      <c r="I33" s="262"/>
      <c r="J33" s="232"/>
      <c r="K33" s="250"/>
      <c r="L33" s="14">
        <v>2</v>
      </c>
      <c r="M33" s="250">
        <v>20000</v>
      </c>
      <c r="N33" s="12">
        <f t="shared" si="14"/>
        <v>40000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25" x14ac:dyDescent="0.3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25" x14ac:dyDescent="0.3">
      <c r="B35" s="29" t="s">
        <v>126</v>
      </c>
      <c r="C35"/>
      <c r="D35"/>
      <c r="E35"/>
      <c r="F35" s="229" t="s">
        <v>16</v>
      </c>
      <c r="I35" s="304"/>
      <c r="K35" s="250"/>
      <c r="L35" s="266">
        <f>L24</f>
        <v>3.16</v>
      </c>
      <c r="M35" s="12">
        <v>1500</v>
      </c>
      <c r="N35" s="12">
        <f t="shared" si="14"/>
        <v>4740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25" x14ac:dyDescent="0.3">
      <c r="K36" s="250"/>
      <c r="L36" s="14"/>
      <c r="M36" s="12"/>
      <c r="N36" s="12">
        <f>SUM(N30:N35)</f>
        <v>64954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25" x14ac:dyDescent="0.3">
      <c r="K37" s="250"/>
      <c r="L37" s="254" t="s">
        <v>34</v>
      </c>
      <c r="M37" s="12"/>
      <c r="N37" s="255">
        <f>N36*2.1</f>
        <v>136403.4</v>
      </c>
      <c r="O37" s="14" t="s">
        <v>141</v>
      </c>
      <c r="P37" s="14"/>
      <c r="Q37" s="40">
        <f>O28/Q36</f>
        <v>0.56233822260569466</v>
      </c>
      <c r="R37"/>
      <c r="S37" s="257"/>
    </row>
    <row r="38" spans="2:23" s="230" customFormat="1" ht="17.25" x14ac:dyDescent="0.3">
      <c r="G38"/>
      <c r="H38" s="260"/>
      <c r="I38" s="260"/>
      <c r="J38" s="230">
        <v>48209</v>
      </c>
      <c r="K38" s="250"/>
      <c r="L38" s="14"/>
      <c r="M38" s="12"/>
      <c r="N38" s="12">
        <f>N37/O26</f>
        <v>78482.968929804352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25" x14ac:dyDescent="0.3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25" x14ac:dyDescent="0.3">
      <c r="G40" s="23"/>
      <c r="K40" s="12"/>
      <c r="S40" s="238"/>
      <c r="T40" s="59" t="s">
        <v>162</v>
      </c>
      <c r="U40" s="316">
        <v>395.37</v>
      </c>
    </row>
    <row r="41" spans="2:23" s="230" customFormat="1" ht="17.25" x14ac:dyDescent="0.3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5" customHeight="1" x14ac:dyDescent="0.25">
      <c r="K42" s="12"/>
      <c r="T42" s="59"/>
      <c r="U42" s="59"/>
    </row>
    <row r="43" spans="2:23" x14ac:dyDescent="0.25">
      <c r="K43" s="250"/>
    </row>
    <row r="44" spans="2:23" x14ac:dyDescent="0.25">
      <c r="K44" s="250"/>
      <c r="S44" s="270"/>
    </row>
    <row r="45" spans="2:23" x14ac:dyDescent="0.25">
      <c r="K45" s="250"/>
    </row>
    <row r="46" spans="2:23" ht="15" customHeight="1" x14ac:dyDescent="0.25"/>
    <row r="48" spans="2:23" x14ac:dyDescent="0.25">
      <c r="N48">
        <v>40935</v>
      </c>
      <c r="O48" t="s">
        <v>17</v>
      </c>
      <c r="P48" t="s">
        <v>27</v>
      </c>
    </row>
    <row r="50" spans="14:19" x14ac:dyDescent="0.25">
      <c r="N50" s="54"/>
      <c r="O50" s="54"/>
    </row>
    <row r="51" spans="14:19" x14ac:dyDescent="0.25">
      <c r="R51" s="18"/>
      <c r="S51" s="18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2" spans="14:19" x14ac:dyDescent="0.25">
      <c r="N62" s="43"/>
    </row>
    <row r="63" spans="14:19" x14ac:dyDescent="0.25">
      <c r="N63" s="43"/>
    </row>
    <row r="64" spans="14:19" x14ac:dyDescent="0.25">
      <c r="N64" s="6"/>
    </row>
    <row r="65" spans="3:14" x14ac:dyDescent="0.25">
      <c r="N65" s="6"/>
    </row>
    <row r="73" spans="3:14" x14ac:dyDescent="0.25">
      <c r="C73" t="s">
        <v>149</v>
      </c>
    </row>
    <row r="74" spans="3:14" x14ac:dyDescent="0.25">
      <c r="C74" t="s">
        <v>148</v>
      </c>
    </row>
    <row r="77" spans="3:14" x14ac:dyDescent="0.25">
      <c r="C77" t="s">
        <v>148</v>
      </c>
    </row>
    <row r="154" spans="3:3" x14ac:dyDescent="0.25">
      <c r="C154" t="s">
        <v>148</v>
      </c>
    </row>
    <row r="155" spans="3:3" x14ac:dyDescent="0.25">
      <c r="C155" t="s">
        <v>150</v>
      </c>
    </row>
    <row r="156" spans="3:3" x14ac:dyDescent="0.25">
      <c r="C156" t="s">
        <v>151</v>
      </c>
    </row>
    <row r="581" spans="3:3" x14ac:dyDescent="0.25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45303</v>
      </c>
    </row>
    <row r="6" spans="2:31" ht="16.5" thickBot="1" x14ac:dyDescent="0.3">
      <c r="B6" s="140" t="s">
        <v>2</v>
      </c>
      <c r="C6" s="139" t="str">
        <f>'2229'!C10</f>
        <v>ANTONIO RUBIO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>
        <f>'2229'!D8</f>
        <v>10539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-9970.6750334541066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'2229'!H24</f>
        <v>142403.4</v>
      </c>
      <c r="E11" s="132">
        <f>D11*0.19</f>
        <v>27056.646000000001</v>
      </c>
      <c r="F11" s="131">
        <f>E11+D11</f>
        <v>169460.046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96019.324966545886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50048.090787439614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78019.324966545886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92355.309212560387</v>
      </c>
      <c r="E13" s="221">
        <f>(D11/D12)-1</f>
        <v>1.8453313155301911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69019.324966545886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30019.324966545893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82579.349799275355</v>
      </c>
      <c r="F15" s="216">
        <f>E15-D12</f>
        <v>32531.25901183574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30019.324966545893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70019.324966545886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'2229'!N30</f>
        <v>5214.0000000000009</v>
      </c>
      <c r="E20" s="121">
        <f>D20*0.19</f>
        <v>990.6600000000002</v>
      </c>
      <c r="F20" s="120">
        <f>SUM(D20:E20)</f>
        <v>6204.6600000000008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20214</v>
      </c>
      <c r="E21" s="116">
        <f>SUM(E18:E20)</f>
        <v>3840.6600000000003</v>
      </c>
      <c r="F21" s="115">
        <f>SUM(F18:F20)</f>
        <v>24054.66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23215.986000000001</v>
      </c>
    </row>
    <row r="41" spans="2:16" ht="15.75" thickBot="1" x14ac:dyDescent="0.3">
      <c r="H41" s="338" t="s">
        <v>61</v>
      </c>
      <c r="I41" s="339"/>
      <c r="J41" s="339"/>
      <c r="K41" s="339"/>
      <c r="L41" s="339"/>
      <c r="M41" s="340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142403.4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20214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92355.309212560387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92355.309212560387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2024-01-12T19:10:43Z</cp:lastPrinted>
  <dcterms:created xsi:type="dcterms:W3CDTF">2013-03-18T13:35:42Z</dcterms:created>
  <dcterms:modified xsi:type="dcterms:W3CDTF">2024-01-12T21:53:16Z</dcterms:modified>
</cp:coreProperties>
</file>