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3 ENERO 2024\"/>
    </mc:Choice>
  </mc:AlternateContent>
  <xr:revisionPtr revIDLastSave="0" documentId="13_ncr:1_{C026AD30-AE51-451E-8968-277360D2C8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K23" i="1"/>
  <c r="R23" i="1" s="1"/>
  <c r="L23" i="1"/>
  <c r="M23" i="1"/>
  <c r="N23" i="1" s="1"/>
  <c r="K22" i="1"/>
  <c r="L22" i="1"/>
  <c r="R22" i="1" s="1"/>
  <c r="M22" i="1"/>
  <c r="K21" i="1"/>
  <c r="J40" i="1"/>
  <c r="L21" i="1"/>
  <c r="M21" i="1"/>
  <c r="O23" i="1" l="1"/>
  <c r="L25" i="1"/>
  <c r="N22" i="1"/>
  <c r="O22" i="1" s="1"/>
  <c r="S21" i="1"/>
  <c r="R21" i="1"/>
  <c r="R27" i="1" s="1"/>
  <c r="N21" i="1"/>
  <c r="O21" i="1" s="1"/>
  <c r="U33" i="1"/>
  <c r="U34" i="1" s="1"/>
  <c r="O26" i="1" l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3" i="1" l="1"/>
  <c r="P21" i="1"/>
  <c r="G21" i="1" s="1"/>
  <c r="P22" i="1"/>
  <c r="F15" i="3"/>
  <c r="Q23" i="1" l="1"/>
  <c r="G23" i="1"/>
  <c r="Q22" i="1"/>
  <c r="G22" i="1"/>
  <c r="Q21" i="1"/>
  <c r="H21" i="1" s="1"/>
  <c r="H22" i="1" l="1"/>
  <c r="H25" i="1"/>
  <c r="H23" i="1"/>
  <c r="H26" i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<sst xmlns="http://schemas.openxmlformats.org/spreadsheetml/2006/main" count="232" uniqueCount="173">
  <si>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</si>
  <si>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</si>
  <si>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</si>
  <si>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</si>
  <si>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</si>
  <si>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</si>
  <si>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</si>
  <si>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</si>
  <si>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</si>
  <si>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</si>
  <si>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</si>
  <si>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</si>
  <si>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</si>
  <si>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</si>
  <si>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</si>
  <si>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</si>
  <si>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</si>
  <si>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</si>
  <si>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</si>
  <si>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</si>
  <si>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</si>
  <si>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</si>
  <si>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</si>
  <si>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</si>
  <si>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</si>
  <si>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</si>
  <si>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</si>
  <si>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</si>
  <si>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</si>
  <si>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</si>
  <si>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</si>
  <si>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</si>
  <si>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</si>
  <si>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</si>
  <si>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</si>
  <si>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</si>
  <si>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</si>
  <si>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</si>
  <si>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</si>
  <si>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</si>
  <si>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</si>
  <si>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</si>
  <si>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</si>
  <si>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</si>
  <si>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</si>
  <si>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</si>
  <si>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</si>
  <si>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</si>
  <si>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</si>
  <si>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</si>
  <si>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</si>
  <si>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</si>
  <si>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</si>
  <si>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</si>
  <si>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</si>
  <si>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</si>
  <si>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</si>
  <si>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</si>
  <si>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</si>
  <si>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</si>
  <si>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</si>
  <si>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</si>
  <si>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</si>
  <si>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</si>
  <si>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</si>
  <si>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</si>
  <si>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</si>
  <si>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</si>
  <si>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</si>
  <si>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</si>
  <si>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</si>
  <si>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</si>
  <si>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</si>
  <si>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</si>
  <si>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</si>
  <si>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</si>
  <si>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</si>
  <si>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</si>
  <si>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</si>
  <si>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</si>
  <si>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</si>
  <si>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</si>
  <si>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</si>
  <si>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</si>
  <si>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</si>
  <si>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</si>
  <si>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</si>
  <si>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</si>
  <si>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</si>
  <si>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</si>
  <si>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</si>
  <si>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</si>
  <si>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</si>
  <si>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</si>
  <si>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</si>
  <si>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</si>
  <si>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</si>
  <si>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</si>
  <si>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</si>
  <si>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</si>
  <si>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</si>
  <si>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</si>
  <si>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</si>
  <si>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</si>
  <si>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</si>
  <si>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</si>
  <si>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</si>
  <si>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</si>
  <si>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</si>
  <si>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</si>
  <si>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</si>
  <si>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</si>
  <si>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</si>
  <si>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</si>
  <si>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</si>
  <si>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</si>
  <si>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</si>
  <si>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</si>
  <si>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</si>
  <si>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</si>
  <si>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</si>
  <si>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</si>
  <si>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</si>
  <si>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</si>
  <si>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</si>
  <si>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</si>
  <si>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</si>
  <si>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</si>
  <si>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</si>
  <si>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</si>
  <si>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</si>
  <si>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</si>
  <si>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</si>
  <si>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</si>
  <si>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</si>
  <si>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</si>
  <si>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</si>
  <si>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</si>
  <si>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</si>
  <si>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</si>
  <si>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</si>
  <si>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</si>
  <si>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</si>
  <si>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</si>
  <si>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</si>
  <si>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</si>
  <si>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</si>
  <si>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</si>
  <si>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</si>
  <si>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</si>
  <si>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</si>
  <si>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</si>
  <si>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</si>
  <si>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</si>
  <si>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</si>
  <si>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</si>
  <si>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</si>
  <si>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</si>
  <si>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</si>
  <si>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</si>
  <si>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</si>
  <si>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</si>
  <si>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</si>
  <si>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</si>
  <si>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</si>
  <si>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</si>
  <si>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</si>
  <si>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5 DIAS HABILES</t>
  </si>
  <si>
    <t>CUBIERTA CON RESPALDO 90° R8</t>
  </si>
  <si>
    <t>+569 67568948</t>
  </si>
  <si>
    <t>CUBIERTA MESA 2 LADOS 180°</t>
  </si>
  <si>
    <t>INDUSTRIAL CONCRETE</t>
  </si>
  <si>
    <t>MARIA ORELLANA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</si>
</sst>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24</xdr:row>
      <xdr:rowOff>9525</xdr:rowOff>
    </xdr:from>
    <xdr:to>
      <xdr:col>5</xdr:col>
      <xdr:colOff>1635064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9" zoomScale="93" zoomScaleNormal="93" workbookViewId="0">
      <selection activeCell="C13" sqref="C13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172</v>
      </c>
      <c r="D10" s="243"/>
      <c r="E10" s="243"/>
      <c r="F10" s="244" t="s">
        <v>0</v>
      </c>
      <c r="G10" s="277">
        <v>45316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5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51" t="s">
        <v>169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28" t="s">
        <v>165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78178.144552319311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</v>
      </c>
      <c r="C21" s="324" t="s">
        <v>170</v>
      </c>
      <c r="D21" s="325">
        <v>1.94</v>
      </c>
      <c r="E21" s="325">
        <v>0.7</v>
      </c>
      <c r="F21" s="324" t="s">
        <v>171</v>
      </c>
      <c r="G21" s="326">
        <f>P21</f>
        <v>110324.997592233</v>
      </c>
      <c r="H21" s="327">
        <f>G21*B21</f>
        <v>110324.997592233</v>
      </c>
      <c r="I21" s="265"/>
      <c r="J21" s="47"/>
      <c r="K21" s="47">
        <f>B21</f>
        <v>1</v>
      </c>
      <c r="L21" s="39">
        <f t="shared" ref="L21" si="1">D21+L$19</f>
        <v>1.96</v>
      </c>
      <c r="M21" s="39">
        <f t="shared" ref="M21" si="2">E21+M$19</f>
        <v>0.72</v>
      </c>
      <c r="N21" s="261">
        <f t="shared" ref="N21" si="3">L21*M21</f>
        <v>1.4112</v>
      </c>
      <c r="O21" s="259">
        <f t="shared" ref="O21" si="4">N21*K21</f>
        <v>1.4112</v>
      </c>
      <c r="P21" s="252">
        <f>P$20*N21</f>
        <v>110324.997592233</v>
      </c>
      <c r="Q21" s="258">
        <f t="shared" ref="Q21" si="5">P21+Q$20</f>
        <v>113324.997592233</v>
      </c>
      <c r="R21" s="309">
        <f>L21*K21*2</f>
        <v>3.92</v>
      </c>
      <c r="S21" s="46">
        <f>M21*K21*2</f>
        <v>1.44</v>
      </c>
      <c r="T21" s="9"/>
      <c r="W21" s="4"/>
    </row>
    <row r="22" spans="2:24" ht="17.399999999999999" x14ac:dyDescent="0.3">
      <c r="B22" s="343">
        <v>1</v>
      </c>
      <c r="C22" s="340" t="s">
        <v>168</v>
      </c>
      <c r="D22" s="341">
        <v>1</v>
      </c>
      <c r="E22" s="341">
        <v>0.505</v>
      </c>
      <c r="F22" s="340" t="s">
        <v>171</v>
      </c>
      <c r="G22" s="342">
        <f>P22</f>
        <v>41864.396407766995</v>
      </c>
      <c r="H22" s="344">
        <f t="shared" ref="H22" si="6">G22*B22</f>
        <v>41864.396407766995</v>
      </c>
      <c r="I22" s="265"/>
      <c r="J22" s="47"/>
      <c r="K22" s="47">
        <f t="shared" ref="K22" si="7">B22</f>
        <v>1</v>
      </c>
      <c r="L22" s="39">
        <f t="shared" ref="L22" si="8">D22+L$19</f>
        <v>1.02</v>
      </c>
      <c r="M22" s="39">
        <f t="shared" ref="M22" si="9">E22+M$19</f>
        <v>0.52500000000000002</v>
      </c>
      <c r="N22" s="261">
        <f t="shared" ref="N22" si="10">L22*M22</f>
        <v>0.53550000000000009</v>
      </c>
      <c r="O22" s="259">
        <f t="shared" ref="O22" si="11">N22*K22</f>
        <v>0.53550000000000009</v>
      </c>
      <c r="P22" s="252">
        <f t="shared" ref="P22" si="12">P$20*N22</f>
        <v>41864.396407766995</v>
      </c>
      <c r="Q22" s="258">
        <f t="shared" ref="Q22" si="13">P22+Q$20</f>
        <v>44864.396407766995</v>
      </c>
      <c r="R22" s="309">
        <f t="shared" ref="R22" si="14">L22*K22*2</f>
        <v>2.04</v>
      </c>
      <c r="S22" s="46"/>
      <c r="T22" s="9"/>
      <c r="W22" s="4"/>
    </row>
    <row r="23" spans="2:24" ht="18" thickBot="1" x14ac:dyDescent="0.35">
      <c r="B23" s="345">
        <v>1</v>
      </c>
      <c r="C23" s="346" t="s">
        <v>168</v>
      </c>
      <c r="D23" s="347">
        <v>0.32</v>
      </c>
      <c r="E23" s="347">
        <v>0.505</v>
      </c>
      <c r="F23" s="346" t="s">
        <v>171</v>
      </c>
      <c r="G23" s="348">
        <f>P23</f>
        <v>13954.798802588999</v>
      </c>
      <c r="H23" s="349">
        <f t="shared" ref="H23" si="15">G23*B23</f>
        <v>13954.798802588999</v>
      </c>
      <c r="I23" s="265"/>
      <c r="J23" s="47"/>
      <c r="K23" s="47">
        <f t="shared" ref="K23" si="16">B23</f>
        <v>1</v>
      </c>
      <c r="L23" s="39">
        <f t="shared" ref="L23" si="17">D23+L$19</f>
        <v>0.34</v>
      </c>
      <c r="M23" s="39">
        <f t="shared" ref="M23" si="18">E23+M$19</f>
        <v>0.52500000000000002</v>
      </c>
      <c r="N23" s="261">
        <f t="shared" ref="N23" si="19">L23*M23</f>
        <v>0.17850000000000002</v>
      </c>
      <c r="O23" s="259">
        <f t="shared" ref="O23" si="20">N23*K23</f>
        <v>0.17850000000000002</v>
      </c>
      <c r="P23" s="252">
        <f t="shared" ref="P23" si="21">P$20*N23</f>
        <v>13954.798802588999</v>
      </c>
      <c r="Q23" s="258">
        <f t="shared" ref="Q23" si="22">P23+Q$20</f>
        <v>16954.798802589001</v>
      </c>
      <c r="R23" s="309">
        <f t="shared" ref="R23" si="23">L23*K23*2</f>
        <v>0.68</v>
      </c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29</v>
      </c>
      <c r="H25" s="311">
        <f>SUM(H21:H22)</f>
        <v>152189.394</v>
      </c>
      <c r="I25" s="265"/>
      <c r="J25" s="47"/>
      <c r="K25" s="47"/>
      <c r="L25" s="39">
        <f>SUM(L21:L24)</f>
        <v>3.32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H25*19%</f>
        <v>28915.98486</v>
      </c>
      <c r="I26" s="265"/>
      <c r="J26" s="47"/>
      <c r="K26" s="47"/>
      <c r="L26" s="39"/>
      <c r="M26" s="12"/>
      <c r="N26" s="12"/>
      <c r="O26" s="253">
        <f>SUM(O21:O22)</f>
        <v>1.9467000000000001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181105.37886</v>
      </c>
      <c r="I27" s="265"/>
      <c r="J27" s="47"/>
      <c r="K27" s="47"/>
      <c r="L27" s="39"/>
      <c r="M27" s="12"/>
      <c r="N27" s="12"/>
      <c r="O27" s="253">
        <f>O26</f>
        <v>1.9467000000000001</v>
      </c>
      <c r="P27" s="14"/>
      <c r="Q27" s="12"/>
      <c r="R27" s="239">
        <f>SUM(R21:R26)</f>
        <v>6.64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0.38934000000000002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2.3360400000000001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6" t="s">
        <v>22</v>
      </c>
      <c r="U30" s="313" t="s">
        <v>153</v>
      </c>
      <c r="V30" s="317">
        <v>44971</v>
      </c>
      <c r="W30" s="31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2.3360400000000001</v>
      </c>
      <c r="M31" s="12">
        <v>3500</v>
      </c>
      <c r="N31" s="12">
        <f t="shared" ref="N31:N36" si="24">L31*M31</f>
        <v>8176.14</v>
      </c>
      <c r="O31" s="14" t="s">
        <v>22</v>
      </c>
      <c r="P31" s="14"/>
      <c r="Q31" s="14"/>
      <c r="R31" s="241"/>
      <c r="S31" s="14"/>
      <c r="T31" s="316" t="s">
        <v>154</v>
      </c>
      <c r="U31" s="313">
        <v>3625</v>
      </c>
      <c r="V31" s="59" t="s">
        <v>155</v>
      </c>
      <c r="W31" s="31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0.63</v>
      </c>
      <c r="M32" s="12">
        <v>25000</v>
      </c>
      <c r="N32" s="12">
        <f t="shared" si="24"/>
        <v>15750</v>
      </c>
      <c r="O32" s="39" t="s">
        <v>32</v>
      </c>
      <c r="P32" s="42"/>
      <c r="Q32" s="14"/>
      <c r="R32" s="240"/>
      <c r="S32" s="14"/>
      <c r="T32" s="316"/>
      <c r="U32" s="59">
        <v>906.25</v>
      </c>
      <c r="V32" s="59" t="s">
        <v>156</v>
      </c>
      <c r="W32" s="318"/>
    </row>
    <row r="33" spans="2:23" s="230" customFormat="1" ht="17.399999999999999" x14ac:dyDescent="0.35">
      <c r="I33" s="262"/>
      <c r="J33" s="232"/>
      <c r="K33" s="250"/>
      <c r="L33" s="14"/>
      <c r="M33" s="250">
        <v>46500</v>
      </c>
      <c r="N33" s="12">
        <f t="shared" si="2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46505</v>
      </c>
      <c r="N34" s="12">
        <f t="shared" si="24"/>
        <v>46505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2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>
        <v>1.36</v>
      </c>
      <c r="M36" s="12">
        <v>1500</v>
      </c>
      <c r="N36" s="12">
        <f t="shared" si="24"/>
        <v>2040.0000000000002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72471.14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N37*2.1</f>
        <v>152189.394</v>
      </c>
      <c r="O38" s="14" t="s">
        <v>141</v>
      </c>
      <c r="P38" s="14"/>
      <c r="Q38" s="40">
        <f>O29/Q37</f>
        <v>0.62986410698878348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48209</v>
      </c>
      <c r="K39" s="250"/>
      <c r="L39" s="14"/>
      <c r="M39" s="12"/>
      <c r="N39" s="12">
        <f>N38/O27</f>
        <v>78178.144552319311</v>
      </c>
      <c r="O39" s="45" t="s">
        <v>25</v>
      </c>
      <c r="P39" s="14"/>
      <c r="Q39" s="14"/>
      <c r="R39"/>
      <c r="S39" s="238"/>
      <c r="T39" s="59" t="s">
        <v>159</v>
      </c>
      <c r="U39" s="313">
        <v>43650</v>
      </c>
    </row>
    <row r="40" spans="2:23" s="230" customFormat="1" ht="17.399999999999999" x14ac:dyDescent="0.35">
      <c r="G40"/>
      <c r="J40" s="230">
        <f>J39/1.19</f>
        <v>40511.764705882357</v>
      </c>
      <c r="K40" s="250"/>
      <c r="L40" s="13"/>
      <c r="M40" s="14"/>
      <c r="N40" s="17">
        <f>N38/N37</f>
        <v>2.1</v>
      </c>
      <c r="O40" s="15"/>
      <c r="P40"/>
      <c r="Q40"/>
      <c r="R40"/>
      <c r="S40" s="238"/>
      <c r="T40" s="59" t="s">
        <v>161</v>
      </c>
      <c r="U40" s="31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45316</v>
      </c>
    </row>
    <row r="6" spans="2:31" ht="16.2" thickBot="1" x14ac:dyDescent="0.35">
      <c r="B6" s="140" t="s">
        <v>2</v>
      </c>
      <c r="C6" s="139" t="str">
        <f>'2229'!C10</f>
        <v>MARIA ORELLANA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-10580.835533454107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152189.394</v>
      </c>
      <c r="E11" s="132">
        <f>D11*0.19</f>
        <v>28915.98486</v>
      </c>
      <c r="F11" s="131">
        <f>E11+D11</f>
        <v>181105.37886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95409.164466545888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53760.230787439614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77409.164466545888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98429.163212560379</v>
      </c>
      <c r="E13" s="221">
        <f>(D11/D12)-1</f>
        <v>1.8308917534549924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68409.164466545888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29409.164466545895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88704.380799275357</v>
      </c>
      <c r="F15" s="216">
        <f>E15-D12</f>
        <v>34944.150011835743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29409.164466545895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69409.164466545888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15750</v>
      </c>
      <c r="E19" s="123">
        <f>D19*0.19</f>
        <v>2992.5</v>
      </c>
      <c r="F19" s="120">
        <f>SUM(D19:E19)</f>
        <v>18742.5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8176.14</v>
      </c>
      <c r="E20" s="121">
        <f>D20*0.19</f>
        <v>1553.4666</v>
      </c>
      <c r="F20" s="120">
        <f>SUM(D20:E20)</f>
        <v>9729.606600000001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23926.14</v>
      </c>
      <c r="E21" s="116">
        <f>SUM(E18:E20)</f>
        <v>4545.9665999999997</v>
      </c>
      <c r="F21" s="115">
        <f>SUM(F18:F20)</f>
        <v>28472.106599999999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24370.018260000001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152189.394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23926.14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98429.163212560379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98429.163212560379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2024-01-25T16:15:13Z</cp:lastPrinted>
  <dcterms:created xsi:type="dcterms:W3CDTF">2013-03-18T13:35:42Z</dcterms:created>
  <dcterms:modified xsi:type="dcterms:W3CDTF">2024-01-25T16:15:25Z</dcterms:modified>
</cp:coreProperties>
</file>