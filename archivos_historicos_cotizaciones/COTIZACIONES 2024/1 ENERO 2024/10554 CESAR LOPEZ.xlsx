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3 ENERO 2024\"/>
    </mc:Choice>
  </mc:AlternateContent>
  <xr:revisionPtr revIDLastSave="0" documentId="13_ncr:1_{C8CA19F9-DFF0-4DE0-BC82-B180C384F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" l="1"/>
  <c r="L23" i="1"/>
  <c r="M23" i="1"/>
  <c r="N23" i="1"/>
  <c r="O23" i="1" s="1"/>
  <c r="M22" i="1"/>
  <c r="L22" i="1"/>
  <c r="K22" i="1"/>
  <c r="N22" i="1" l="1"/>
  <c r="O22" i="1" s="1"/>
  <c r="K21" i="1"/>
  <c r="J40" i="1"/>
  <c r="L21" i="1"/>
  <c r="L25" i="1" s="1"/>
  <c r="M21" i="1"/>
  <c r="N21" i="1" l="1"/>
  <c r="O21" i="1" s="1"/>
  <c r="O26" i="1" s="1"/>
  <c r="R27" i="1"/>
  <c r="U33" i="1"/>
  <c r="U34" i="1" s="1"/>
  <c r="N32" i="1" l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3" i="1" s="1"/>
  <c r="Q23" i="1" s="1"/>
  <c r="G23" i="1" s="1"/>
  <c r="H23" i="1" s="1"/>
  <c r="E15" i="3"/>
  <c r="P22" i="1" l="1"/>
  <c r="P21" i="1"/>
  <c r="F15" i="3"/>
  <c r="Q22" i="1" l="1"/>
  <c r="G22" i="1" s="1"/>
  <c r="Q21" i="1"/>
  <c r="G21" i="1" l="1"/>
  <c r="H21" i="1" s="1"/>
  <c r="H22" i="1"/>
  <c r="H25" i="1" l="1"/>
  <c r="H26" i="1" s="1"/>
  <c r="D11" i="3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<sst xmlns="http://schemas.openxmlformats.org/spreadsheetml/2006/main" count="238" uniqueCount="180">
  <si>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</si>
  <si>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</si>
  <si>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</si>
  <si>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</si>
  <si>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</si>
  <si>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</si>
  <si>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</si>
  <si>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</si>
  <si>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</si>
  <si>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</si>
  <si>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</si>
  <si>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</si>
  <si>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</si>
  <si>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</si>
  <si>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</si>
  <si>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</si>
  <si>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</si>
  <si>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</si>
  <si>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</si>
  <si>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</si>
  <si>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</si>
  <si>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</si>
  <si>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</si>
  <si>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</si>
  <si>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</si>
  <si>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</si>
  <si>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</si>
  <si>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</si>
  <si>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</si>
  <si>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</si>
  <si>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</si>
  <si>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</si>
  <si>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</si>
  <si>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</si>
  <si>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</si>
  <si>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</si>
  <si>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</si>
  <si>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</si>
  <si>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</si>
  <si>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</si>
  <si>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</si>
  <si>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</si>
  <si>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</si>
  <si>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</si>
  <si>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</si>
  <si>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</si>
  <si>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</si>
  <si>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</si>
  <si>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</si>
  <si>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</si>
  <si>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</si>
  <si>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</si>
  <si>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</si>
  <si>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</si>
  <si>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</si>
  <si>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</si>
  <si>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</si>
  <si>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</si>
  <si>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</si>
  <si>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</si>
  <si>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</si>
  <si>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</si>
  <si>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</si>
  <si>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</si>
  <si>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</si>
  <si>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</si>
  <si>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</si>
  <si>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</si>
  <si>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</si>
  <si>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</si>
  <si>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</si>
  <si>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</si>
  <si>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</si>
  <si>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</si>
  <si>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</si>
  <si>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</si>
  <si>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</si>
  <si>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</si>
  <si>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</si>
  <si>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</si>
  <si>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</si>
  <si>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</si>
  <si>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</si>
  <si>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</si>
  <si>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</si>
  <si>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</si>
  <si>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</si>
  <si>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</si>
  <si>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</si>
  <si>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</si>
  <si>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</si>
  <si>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</si>
  <si>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</si>
  <si>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</si>
  <si>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</si>
  <si>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</si>
  <si>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</si>
  <si>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</si>
  <si>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</si>
  <si>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</si>
  <si>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</si>
  <si>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</si>
  <si>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</si>
  <si>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</si>
  <si>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</si>
  <si>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</si>
  <si>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</si>
  <si>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</si>
  <si>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</si>
  <si>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</si>
  <si>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</si>
  <si>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</si>
  <si>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</si>
  <si>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</si>
  <si>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</si>
  <si>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</si>
  <si>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</si>
  <si>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</si>
  <si>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</si>
  <si>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</si>
  <si>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</si>
  <si>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</si>
  <si>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</si>
  <si>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</si>
  <si>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</si>
  <si>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</si>
  <si>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</si>
  <si>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</si>
  <si>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</si>
  <si>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</si>
  <si>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</si>
  <si>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</si>
  <si>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</si>
  <si>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</si>
  <si>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</si>
  <si>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</si>
  <si>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</si>
  <si>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</si>
  <si>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</si>
  <si>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</si>
  <si>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</si>
  <si>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</si>
  <si>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</si>
  <si>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</si>
  <si>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</si>
  <si>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</si>
  <si>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</si>
  <si>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</si>
  <si>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</si>
  <si>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</si>
  <si>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</si>
  <si>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</si>
  <si>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</si>
  <si>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</si>
  <si>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</si>
  <si>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</si>
  <si>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</si>
  <si>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</si>
  <si>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</si>
  <si>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</si>
  <si>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</si>
  <si>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</si>
  <si>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</si>
  <si>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</si>
  <si>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</si>
  <si>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</si>
  <si>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</si>
  <si>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</si>
  <si>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</si>
  <si>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SI</t>
  </si>
  <si>
    <t>CESAR LOPEZ</t>
  </si>
  <si>
    <t>CUBIERTA CON RESPALDO R2</t>
  </si>
  <si>
    <t>CUBIERTA SIN RESPALDO R2</t>
  </si>
  <si>
    <t>SEA WHITE 1502</t>
  </si>
  <si>
    <t>77,345,265-2</t>
  </si>
  <si>
    <t>CONSTRUCCION</t>
  </si>
  <si>
    <t>IVANOVICCONSTRUCCIONES@GMAIL.COM</t>
  </si>
  <si>
    <t>+56989237495</t>
  </si>
  <si>
    <t>MERCURIO 3315, LO ESPEJO</t>
  </si>
  <si>
    <t>IVANONIC CONSTRUCCIONES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</si>
</sst>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2" fillId="0" borderId="31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166" fontId="32" fillId="0" borderId="42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6" fontId="32" fillId="0" borderId="33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0" fontId="32" fillId="0" borderId="59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1626870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CORTADAS A LA MEDIDA Y ENCHAPADAS.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VANOVICCONSTRUCCIONE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4" zoomScale="93" zoomScaleNormal="93" workbookViewId="0">
      <selection activeCell="C11" sqref="C11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10554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179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 t="s">
        <v>174</v>
      </c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 t="s">
        <v>175</v>
      </c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 t="s">
        <v>176</v>
      </c>
      <c r="F14" s="29" t="s">
        <v>137</v>
      </c>
      <c r="G14" s="291" t="s">
        <v>169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177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 t="s">
        <v>178</v>
      </c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42" t="s">
        <v>148</v>
      </c>
      <c r="C19" s="343"/>
      <c r="D19" s="343"/>
      <c r="E19" s="343"/>
      <c r="F19" s="343"/>
      <c r="G19" s="343"/>
      <c r="H19" s="34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51" t="s">
        <v>7</v>
      </c>
      <c r="C20" s="352" t="s">
        <v>1</v>
      </c>
      <c r="D20" s="352" t="s">
        <v>10</v>
      </c>
      <c r="E20" s="352" t="s">
        <v>11</v>
      </c>
      <c r="F20" s="352" t="s">
        <v>8</v>
      </c>
      <c r="G20" s="352" t="s">
        <v>5</v>
      </c>
      <c r="H20" s="35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64603.581020590871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5">
        <v>1</v>
      </c>
      <c r="C21" s="346" t="s">
        <v>171</v>
      </c>
      <c r="D21" s="347">
        <v>2.3199999999999998</v>
      </c>
      <c r="E21" s="347">
        <v>0.52</v>
      </c>
      <c r="F21" s="348" t="s">
        <v>173</v>
      </c>
      <c r="G21" s="349">
        <f>Q21</f>
        <v>82617.453249776183</v>
      </c>
      <c r="H21" s="350">
        <f>G21*B21</f>
        <v>82617.453249776183</v>
      </c>
      <c r="I21" s="265"/>
      <c r="J21" s="47"/>
      <c r="K21" s="47">
        <f>B21</f>
        <v>1</v>
      </c>
      <c r="L21" s="39">
        <f t="shared" ref="L21" si="1">D21+L$19</f>
        <v>2.3699999999999997</v>
      </c>
      <c r="M21" s="39">
        <f t="shared" ref="M21" si="2">E21+M$19</f>
        <v>0.52</v>
      </c>
      <c r="N21" s="261">
        <f t="shared" ref="N21" si="3">L21*M21</f>
        <v>1.2323999999999999</v>
      </c>
      <c r="O21" s="259">
        <f t="shared" ref="O21" si="4">N21*K21</f>
        <v>1.2323999999999999</v>
      </c>
      <c r="P21" s="252">
        <f t="shared" ref="P21" si="5">P$20*N21</f>
        <v>79617.453249776183</v>
      </c>
      <c r="Q21" s="258">
        <f t="shared" ref="Q21" si="6">P21+Q$20</f>
        <v>82617.453249776183</v>
      </c>
      <c r="R21" s="309"/>
      <c r="S21" s="14"/>
      <c r="T21" s="9"/>
      <c r="W21" s="4"/>
    </row>
    <row r="22" spans="2:24" ht="17.399999999999999" x14ac:dyDescent="0.3">
      <c r="B22" s="324">
        <v>2</v>
      </c>
      <c r="C22" s="325" t="s">
        <v>172</v>
      </c>
      <c r="D22" s="326">
        <v>2.4</v>
      </c>
      <c r="E22" s="326">
        <v>0.25</v>
      </c>
      <c r="F22" s="329" t="s">
        <v>173</v>
      </c>
      <c r="G22" s="327">
        <f>Q22</f>
        <v>42569.693375111907</v>
      </c>
      <c r="H22" s="331">
        <f>G22*B22</f>
        <v>85139.386750223814</v>
      </c>
      <c r="I22" s="265"/>
      <c r="J22" s="47"/>
      <c r="K22" s="47">
        <f t="shared" ref="K22" si="7">B22</f>
        <v>2</v>
      </c>
      <c r="L22" s="39">
        <f t="shared" ref="L22" si="8">D22+L$19</f>
        <v>2.4499999999999997</v>
      </c>
      <c r="M22" s="39">
        <f t="shared" ref="M22" si="9">E22+M$19</f>
        <v>0.25</v>
      </c>
      <c r="N22" s="261">
        <f t="shared" ref="N22" si="10">L22*M22</f>
        <v>0.61249999999999993</v>
      </c>
      <c r="O22" s="259">
        <f t="shared" ref="O22" si="11">N22*K22</f>
        <v>1.2249999999999999</v>
      </c>
      <c r="P22" s="252">
        <f t="shared" ref="P22" si="12">P$20*N22</f>
        <v>39569.693375111907</v>
      </c>
      <c r="Q22" s="258">
        <f t="shared" ref="Q22" si="13">P22+Q$20</f>
        <v>42569.693375111907</v>
      </c>
      <c r="R22" s="309"/>
      <c r="S22" s="14"/>
      <c r="T22" s="9"/>
      <c r="W22" s="4"/>
    </row>
    <row r="23" spans="2:24" ht="18" thickBot="1" x14ac:dyDescent="0.35">
      <c r="B23" s="321">
        <v>1</v>
      </c>
      <c r="C23" s="328" t="s">
        <v>172</v>
      </c>
      <c r="D23" s="341">
        <v>1.0649999999999999</v>
      </c>
      <c r="E23" s="341">
        <v>0.25</v>
      </c>
      <c r="F23" s="330" t="s">
        <v>173</v>
      </c>
      <c r="G23" s="322">
        <f>Q23</f>
        <v>21008.248209489706</v>
      </c>
      <c r="H23" s="323">
        <f>G23*B23</f>
        <v>21008.248209489706</v>
      </c>
      <c r="I23" s="265"/>
      <c r="J23" s="47"/>
      <c r="K23" s="47">
        <f t="shared" ref="K23" si="14">B23</f>
        <v>1</v>
      </c>
      <c r="L23" s="39">
        <f t="shared" ref="L23" si="15">D23+L$19</f>
        <v>1.115</v>
      </c>
      <c r="M23" s="39">
        <f t="shared" ref="M23" si="16">E23+M$19</f>
        <v>0.25</v>
      </c>
      <c r="N23" s="261">
        <f t="shared" ref="N23" si="17">L23*M23</f>
        <v>0.27875</v>
      </c>
      <c r="O23" s="259">
        <f t="shared" ref="O23" si="18">N23*K23</f>
        <v>0.27875</v>
      </c>
      <c r="P23" s="252">
        <f t="shared" ref="P23" si="19">P$20*N23</f>
        <v>18008.248209489706</v>
      </c>
      <c r="Q23" s="258">
        <f t="shared" ref="Q23" si="20">P23+Q$20</f>
        <v>21008.248209489706</v>
      </c>
      <c r="R23" s="309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1" t="s">
        <v>29</v>
      </c>
      <c r="H25" s="312">
        <f>SUM(H21:H23)</f>
        <v>188765.08820948971</v>
      </c>
      <c r="I25" s="265"/>
      <c r="J25" s="47"/>
      <c r="K25" s="47"/>
      <c r="L25" s="39">
        <f>SUM(L21:L24)</f>
        <v>5.9349999999999996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H25*19%</f>
        <v>35865.366759803044</v>
      </c>
      <c r="I26" s="265"/>
      <c r="J26" s="47"/>
      <c r="K26" s="47"/>
      <c r="L26" s="39"/>
      <c r="M26" s="12"/>
      <c r="N26" s="12"/>
      <c r="O26" s="253">
        <f>SUM(O21:O22)</f>
        <v>2.4573999999999998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224630.45496929274</v>
      </c>
      <c r="I27" s="265"/>
      <c r="J27" s="47"/>
      <c r="K27" s="47"/>
      <c r="L27" s="39"/>
      <c r="M27" s="12"/>
      <c r="N27" s="12"/>
      <c r="O27" s="253">
        <f>O26</f>
        <v>2.4573999999999998</v>
      </c>
      <c r="P27" s="14"/>
      <c r="Q27" s="12"/>
      <c r="R27" s="239">
        <f>SUM(R21:R26)</f>
        <v>0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0.49147999999999997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2.9488799999999999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17" t="s">
        <v>22</v>
      </c>
      <c r="U30" s="314" t="s">
        <v>153</v>
      </c>
      <c r="V30" s="318">
        <v>44971</v>
      </c>
      <c r="W30" s="319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2.9488799999999999</v>
      </c>
      <c r="M31" s="12">
        <v>2500</v>
      </c>
      <c r="N31" s="12">
        <f t="shared" ref="N31:N36" si="21">L31*M31</f>
        <v>7372.2</v>
      </c>
      <c r="O31" s="14" t="s">
        <v>22</v>
      </c>
      <c r="P31" s="14"/>
      <c r="Q31" s="14"/>
      <c r="R31" s="241"/>
      <c r="S31" s="14"/>
      <c r="T31" s="317" t="s">
        <v>154</v>
      </c>
      <c r="U31" s="314">
        <v>3625</v>
      </c>
      <c r="V31" s="59" t="s">
        <v>155</v>
      </c>
      <c r="W31" s="319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0.8</v>
      </c>
      <c r="M32" s="12">
        <v>25000</v>
      </c>
      <c r="N32" s="12">
        <f t="shared" si="21"/>
        <v>20000</v>
      </c>
      <c r="O32" s="39" t="s">
        <v>32</v>
      </c>
      <c r="P32" s="42"/>
      <c r="Q32" s="14"/>
      <c r="R32" s="240"/>
      <c r="S32" s="14"/>
      <c r="T32" s="317"/>
      <c r="U32" s="59">
        <v>906.25</v>
      </c>
      <c r="V32" s="59" t="s">
        <v>156</v>
      </c>
      <c r="W32" s="319"/>
    </row>
    <row r="33" spans="2:23" s="230" customFormat="1" ht="17.399999999999999" x14ac:dyDescent="0.35">
      <c r="I33" s="262"/>
      <c r="J33" s="232"/>
      <c r="K33" s="250"/>
      <c r="L33" s="14"/>
      <c r="M33" s="250">
        <v>46500</v>
      </c>
      <c r="N33" s="12">
        <f t="shared" si="21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9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1</v>
      </c>
      <c r="M34" s="250">
        <v>41310</v>
      </c>
      <c r="N34" s="12">
        <f t="shared" si="21"/>
        <v>41310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9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21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>
        <v>2.3199999999999998</v>
      </c>
      <c r="M36" s="12">
        <v>1500</v>
      </c>
      <c r="N36" s="12">
        <f t="shared" si="21"/>
        <v>3479.9999999999995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72162.2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N37*2.2</f>
        <v>158756.84</v>
      </c>
      <c r="O38" s="14" t="s">
        <v>141</v>
      </c>
      <c r="P38" s="14"/>
      <c r="Q38" s="40">
        <f>O29/Q37</f>
        <v>0.79510353753235541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48209</v>
      </c>
      <c r="K39" s="250"/>
      <c r="L39" s="14"/>
      <c r="M39" s="12"/>
      <c r="N39" s="12">
        <f>N38/O27</f>
        <v>64603.581020590871</v>
      </c>
      <c r="O39" s="45" t="s">
        <v>25</v>
      </c>
      <c r="P39" s="14"/>
      <c r="Q39" s="14"/>
      <c r="R39"/>
      <c r="S39" s="238"/>
      <c r="T39" s="59" t="s">
        <v>159</v>
      </c>
      <c r="U39" s="314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40511.764705882357</v>
      </c>
      <c r="K40" s="250"/>
      <c r="L40" s="13"/>
      <c r="M40" s="14"/>
      <c r="N40" s="17">
        <f>N38/N37</f>
        <v>2.2000000000000002</v>
      </c>
      <c r="O40" s="15"/>
      <c r="P40"/>
      <c r="Q40"/>
      <c r="R40"/>
      <c r="S40" s="238"/>
      <c r="T40" s="59" t="s">
        <v>161</v>
      </c>
      <c r="U40" s="315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6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  <hyperlink ref="C14" r:id="rId2" xr:uid="{3FB03A12-48DD-40DC-B72C-4C3D76399051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IVANONIC CONSTRUCCIONES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10554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-15729.118068369056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188765.08820948971</v>
      </c>
      <c r="E11" s="132">
        <f>D11*0.19</f>
        <v>35865.366759803044</v>
      </c>
      <c r="F11" s="131">
        <f>E11+D11</f>
        <v>224630.45496929274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90260.881931630938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57206.290787439619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72260.881931630938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131558.79742205009</v>
      </c>
      <c r="E13" s="221">
        <f>(D11/D12)-1</f>
        <v>2.2997260547949305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63260.881931630945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24260.881931630945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94390.379799275368</v>
      </c>
      <c r="F15" s="216">
        <f>E15-D12</f>
        <v>37184.089011835749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24260.881931630945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64260.881931630945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7372.2</v>
      </c>
      <c r="E20" s="121">
        <f>D20*0.19</f>
        <v>1400.7180000000001</v>
      </c>
      <c r="F20" s="120">
        <f>SUM(D20:E20)</f>
        <v>8772.9179999999997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27372.2</v>
      </c>
      <c r="E21" s="116">
        <f>SUM(E18:E20)</f>
        <v>5200.7179999999998</v>
      </c>
      <c r="F21" s="115">
        <f>SUM(F18:F20)</f>
        <v>32572.917999999998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30664.648759803044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188765.08820948971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27372.2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131558.79742205009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131558.79742205009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2024-01-24T17:34:58Z</cp:lastPrinted>
  <dcterms:created xsi:type="dcterms:W3CDTF">2013-03-18T13:35:42Z</dcterms:created>
  <dcterms:modified xsi:type="dcterms:W3CDTF">2024-01-24T17:35:09Z</dcterms:modified>
</cp:coreProperties>
</file>