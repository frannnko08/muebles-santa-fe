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8B58D758-8902-4E04-BE3A-D1896693E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1" l="1"/>
  <c r="R21" i="1"/>
  <c r="O39" i="1"/>
  <c r="M27" i="1"/>
  <c r="L22" i="1"/>
  <c r="M22" i="1"/>
  <c r="N22" i="1"/>
  <c r="M23" i="1"/>
  <c r="O23" i="1" s="1"/>
  <c r="N23" i="1"/>
  <c r="M24" i="1"/>
  <c r="N24" i="1"/>
  <c r="O34" i="1"/>
  <c r="O35" i="1"/>
  <c r="H22" i="1"/>
  <c r="H23" i="1"/>
  <c r="H24" i="1"/>
  <c r="M21" i="1"/>
  <c r="O36" i="1"/>
  <c r="O37" i="1"/>
  <c r="N21" i="1"/>
  <c r="L21" i="1"/>
  <c r="H21" i="1"/>
  <c r="T38" i="1"/>
  <c r="T39" i="1" s="1"/>
  <c r="R38" i="1"/>
  <c r="O33" i="1"/>
  <c r="S27" i="1"/>
  <c r="S29" i="1" s="1"/>
  <c r="O24" i="1" l="1"/>
  <c r="P23" i="1"/>
  <c r="O22" i="1"/>
  <c r="P22" i="1" s="1"/>
  <c r="H27" i="1"/>
  <c r="P24" i="1"/>
  <c r="O21" i="1"/>
  <c r="P21" i="1" s="1"/>
  <c r="P27" i="1" l="1"/>
  <c r="P28" i="1" s="1"/>
  <c r="P29" i="1" s="1"/>
  <c r="P30" i="1" s="1"/>
  <c r="M32" i="1" s="1"/>
  <c r="O32" i="1" l="1"/>
  <c r="O38" i="1" s="1"/>
  <c r="R39" i="1"/>
  <c r="O41" i="1" l="1"/>
  <c r="O40" i="1"/>
  <c r="Q20" i="1" s="1"/>
  <c r="Q21" i="1" s="1"/>
  <c r="Q22" i="1" s="1"/>
  <c r="Q23" i="1" l="1"/>
  <c r="I39" i="1"/>
  <c r="R23" i="1" l="1"/>
  <c r="Q24" i="1"/>
  <c r="L16" i="1"/>
  <c r="R24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9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<sst xmlns="http://schemas.openxmlformats.org/spreadsheetml/2006/main" count="216" uniqueCount="167">
  <si>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</si>
  <si>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</si>
  <si>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</si>
  <si>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</si>
  <si>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</si>
  <si>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</si>
  <si>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</si>
  <si>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</si>
  <si>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</si>
  <si>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</si>
  <si>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</si>
  <si>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</si>
  <si>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</si>
  <si>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</si>
  <si>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</si>
  <si>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</si>
  <si>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</si>
  <si>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</si>
  <si>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</si>
  <si>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</si>
  <si>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</si>
  <si>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</si>
  <si>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</si>
  <si>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</si>
  <si>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</si>
  <si>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</si>
  <si>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</si>
  <si>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</si>
  <si>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</si>
  <si>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</si>
  <si>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</si>
  <si>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</si>
  <si>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</si>
  <si>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</si>
  <si>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</si>
  <si>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</si>
  <si>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</si>
  <si>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</si>
  <si>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</si>
  <si>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</si>
  <si>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</si>
  <si>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</si>
  <si>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</si>
  <si>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</si>
  <si>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</si>
  <si>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</si>
  <si>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</si>
  <si>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</si>
  <si>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</si>
  <si>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</si>
  <si>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</si>
  <si>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</si>
  <si>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</si>
  <si>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</si>
  <si>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</si>
  <si>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</si>
  <si>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</si>
  <si>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</si>
  <si>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</si>
  <si>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</si>
  <si>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</si>
  <si>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</si>
  <si>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</si>
  <si>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</si>
  <si>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</si>
  <si>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</si>
  <si>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</si>
  <si>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</si>
  <si>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</si>
  <si>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</si>
  <si>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</si>
  <si>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</si>
  <si>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</si>
  <si>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</si>
  <si>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</si>
  <si>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</si>
  <si>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</si>
  <si>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</si>
  <si>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</si>
  <si>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</si>
  <si>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</si>
  <si>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</si>
  <si>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</si>
  <si>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</si>
  <si>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</si>
  <si>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</si>
  <si>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</si>
  <si>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</si>
  <si>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</si>
  <si>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</si>
  <si>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</si>
  <si>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</si>
  <si>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</si>
  <si>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</si>
  <si>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</si>
  <si>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</si>
  <si>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</si>
  <si>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</si>
  <si>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</si>
  <si>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</si>
  <si>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</si>
  <si>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</si>
  <si>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</si>
  <si>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</si>
  <si>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</si>
  <si>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</si>
  <si>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</si>
  <si>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</si>
  <si>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</si>
  <si>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</si>
  <si>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</si>
  <si>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</si>
  <si>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</si>
  <si>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</si>
  <si>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</si>
  <si>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</si>
  <si>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</si>
  <si>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</si>
  <si>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</si>
  <si>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</si>
  <si>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</si>
  <si>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</si>
  <si>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</si>
  <si>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</si>
  <si>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</si>
  <si>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</si>
  <si>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</si>
  <si>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</si>
  <si>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</si>
  <si>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</si>
  <si>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</si>
  <si>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</si>
  <si>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</si>
  <si>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</si>
  <si>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</si>
  <si>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</si>
  <si>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</si>
  <si>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</si>
  <si>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</si>
  <si>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</si>
  <si>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</si>
  <si>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</si>
  <si>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</si>
  <si>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</si>
  <si>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</si>
  <si>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</si>
  <si>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</si>
  <si>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</si>
  <si>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</si>
  <si>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</si>
  <si>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</si>
  <si>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</si>
  <si>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</si>
  <si>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</si>
  <si>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</si>
  <si>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</si>
  <si>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</si>
  <si>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7 DIAS HABILES</t>
  </si>
  <si>
    <t>SI</t>
  </si>
  <si>
    <t>N° 10526</t>
  </si>
  <si>
    <t xml:space="preserve">MARCELA MENDOZA </t>
  </si>
  <si>
    <t>QUILICURA</t>
  </si>
  <si>
    <t>+56990950380</t>
  </si>
  <si>
    <t>CORTE 45°</t>
  </si>
  <si>
    <t>TAUPE 14811 SF</t>
  </si>
  <si>
    <t>CUBIERTA CON RESPALDO FRENTE 90° R8</t>
  </si>
  <si>
    <t>DESPACHO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</si>
</sst>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25</xdr:row>
      <xdr:rowOff>154981</xdr:rowOff>
    </xdr:from>
    <xdr:to>
      <xdr:col>5</xdr:col>
      <xdr:colOff>1724187</xdr:colOff>
      <xdr:row>29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CUBIERTAS</a:t>
          </a:r>
          <a:r>
            <a:rPr lang="es-CL" sz="1400" b="1" baseline="0"/>
            <a:t> SE ENTREGAN CON SOBRE MEDIDA EN EL LARGO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RESPALDO 10 CMS DESDE LA BASE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"/>
  <sheetViews>
    <sheetView tabSelected="1" topLeftCell="B4" zoomScale="118" zoomScaleNormal="118" workbookViewId="0">
      <selection activeCell="C25" sqref="C25"/>
    </sheetView>
  </sheetViews>
  <sheetFormatPr baseColWidth="10" defaultRowHeight="14.4" x14ac:dyDescent="0.3"/>
  <cols>
    <col min="1" max="1" width="6" customWidth="1"/>
    <col min="2" max="2" width="11.5546875" customWidth="1"/>
    <col min="3" max="3" width="30.10937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331"/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159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160</v>
      </c>
      <c r="D10" s="255"/>
      <c r="E10" s="255"/>
      <c r="F10" s="256" t="s">
        <v>0</v>
      </c>
      <c r="G10" s="257">
        <v>45300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/>
      <c r="D11" s="249"/>
      <c r="E11" s="249"/>
      <c r="F11" s="249" t="s">
        <v>125</v>
      </c>
      <c r="G11" s="272" t="s">
        <v>157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162</v>
      </c>
      <c r="D13" s="292"/>
      <c r="E13" s="249"/>
      <c r="F13" s="249" t="s">
        <v>140</v>
      </c>
      <c r="G13" s="249" t="s">
        <v>158</v>
      </c>
      <c r="H13" s="250"/>
      <c r="I13" s="249"/>
    </row>
    <row r="14" spans="2:23" ht="15.6" x14ac:dyDescent="0.3">
      <c r="B14" s="248" t="s">
        <v>139</v>
      </c>
      <c r="C14" s="304"/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161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9" t="s">
        <v>156</v>
      </c>
      <c r="G16" s="319"/>
      <c r="H16" s="320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1" t="s">
        <v>130</v>
      </c>
      <c r="C19" s="322"/>
      <c r="D19" s="322"/>
      <c r="E19" s="322"/>
      <c r="F19" s="322"/>
      <c r="G19" s="322"/>
      <c r="H19" s="323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O40</f>
        <v>105521.93960511034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1</v>
      </c>
      <c r="C21" s="315" t="s">
        <v>165</v>
      </c>
      <c r="D21" s="306">
        <v>1.9</v>
      </c>
      <c r="E21" s="306">
        <v>0.56000000000000005</v>
      </c>
      <c r="F21" s="307" t="s">
        <v>164</v>
      </c>
      <c r="G21" s="308">
        <v>118230</v>
      </c>
      <c r="H21" s="303">
        <f>G21*B21</f>
        <v>118230</v>
      </c>
      <c r="I21" s="298"/>
      <c r="J21" s="47"/>
      <c r="K21" s="47"/>
      <c r="L21" s="47">
        <f>B21</f>
        <v>1</v>
      </c>
      <c r="M21" s="39">
        <f>D21+M$19</f>
        <v>1.95</v>
      </c>
      <c r="N21" s="39">
        <f>E21</f>
        <v>0.56000000000000005</v>
      </c>
      <c r="O21" s="284">
        <f>M21*N21</f>
        <v>1.0920000000000001</v>
      </c>
      <c r="P21" s="274">
        <f>O21*L21</f>
        <v>1.0920000000000001</v>
      </c>
      <c r="Q21" s="266">
        <f>O21*Q20</f>
        <v>115229.95804878049</v>
      </c>
      <c r="R21" s="273">
        <f>Q21+R$20</f>
        <v>118229.95804878049</v>
      </c>
      <c r="S21" s="305"/>
      <c r="T21" s="14"/>
      <c r="U21" s="9"/>
      <c r="W21" s="4"/>
    </row>
    <row r="22" spans="2:24" ht="15" thickBot="1" x14ac:dyDescent="0.35">
      <c r="B22" s="7">
        <v>1</v>
      </c>
      <c r="C22" s="315" t="s">
        <v>165</v>
      </c>
      <c r="D22" s="306">
        <v>1.69</v>
      </c>
      <c r="E22" s="306">
        <v>0.56000000000000005</v>
      </c>
      <c r="F22" s="307" t="s">
        <v>164</v>
      </c>
      <c r="G22" s="308">
        <v>115280</v>
      </c>
      <c r="H22" s="303">
        <f t="shared" ref="H22:H24" si="0">G22*B22</f>
        <v>115280</v>
      </c>
      <c r="I22" s="298"/>
      <c r="J22" s="47"/>
      <c r="K22" s="47"/>
      <c r="L22" s="47">
        <f t="shared" ref="L22:L24" si="1">B22</f>
        <v>1</v>
      </c>
      <c r="M22" s="39">
        <f t="shared" ref="M22:M24" si="2">D22+M$19</f>
        <v>1.74</v>
      </c>
      <c r="N22" s="39">
        <f t="shared" ref="N22:N24" si="3">E22</f>
        <v>0.56000000000000005</v>
      </c>
      <c r="O22" s="284">
        <f t="shared" ref="O22:O24" si="4">M22*N22</f>
        <v>0.97440000000000004</v>
      </c>
      <c r="P22" s="274">
        <f t="shared" ref="P22:P24" si="5">O22*L22</f>
        <v>0.97440000000000004</v>
      </c>
      <c r="Q22" s="266">
        <f t="shared" ref="Q22:Q24" si="6">O22*Q21</f>
        <v>112280.07112273172</v>
      </c>
      <c r="R22" s="273">
        <f>Q22+R$20</f>
        <v>115280.07112273172</v>
      </c>
      <c r="S22" s="305"/>
      <c r="T22" s="14"/>
      <c r="U22" s="9"/>
      <c r="W22" s="4"/>
    </row>
    <row r="23" spans="2:24" ht="15" thickBot="1" x14ac:dyDescent="0.35">
      <c r="B23" s="7">
        <v>2</v>
      </c>
      <c r="C23" s="315" t="s">
        <v>163</v>
      </c>
      <c r="D23" s="306"/>
      <c r="E23" s="306"/>
      <c r="F23" s="307"/>
      <c r="G23" s="308">
        <v>15000</v>
      </c>
      <c r="H23" s="303">
        <f t="shared" si="0"/>
        <v>30000</v>
      </c>
      <c r="I23" s="298"/>
      <c r="J23" s="47"/>
      <c r="K23" s="47"/>
      <c r="L23" s="47"/>
      <c r="M23" s="39">
        <f t="shared" si="2"/>
        <v>0.05</v>
      </c>
      <c r="N23" s="39">
        <f t="shared" si="3"/>
        <v>0</v>
      </c>
      <c r="O23" s="284">
        <f t="shared" si="4"/>
        <v>0</v>
      </c>
      <c r="P23" s="274">
        <f t="shared" si="5"/>
        <v>0</v>
      </c>
      <c r="Q23" s="266">
        <f t="shared" si="6"/>
        <v>0</v>
      </c>
      <c r="R23" s="273">
        <f t="shared" ref="R22:R24" si="7">Q23+R22</f>
        <v>115280.07112273172</v>
      </c>
      <c r="S23" s="305"/>
      <c r="T23" s="14"/>
      <c r="U23" s="9"/>
      <c r="W23" s="4"/>
    </row>
    <row r="24" spans="2:24" x14ac:dyDescent="0.3">
      <c r="B24" s="7">
        <v>1</v>
      </c>
      <c r="C24" s="315" t="s">
        <v>166</v>
      </c>
      <c r="D24" s="306"/>
      <c r="E24" s="306"/>
      <c r="F24" s="307"/>
      <c r="G24" s="308">
        <v>25000</v>
      </c>
      <c r="H24" s="303">
        <f t="shared" si="0"/>
        <v>25000</v>
      </c>
      <c r="I24" s="298"/>
      <c r="J24" s="47"/>
      <c r="K24" s="47"/>
      <c r="L24" s="47"/>
      <c r="M24" s="39">
        <f t="shared" si="2"/>
        <v>0.05</v>
      </c>
      <c r="N24" s="39">
        <f t="shared" si="3"/>
        <v>0</v>
      </c>
      <c r="O24" s="284">
        <f t="shared" si="4"/>
        <v>0</v>
      </c>
      <c r="P24" s="274">
        <f t="shared" si="5"/>
        <v>0</v>
      </c>
      <c r="Q24" s="266">
        <f t="shared" si="6"/>
        <v>0</v>
      </c>
      <c r="R24" s="273">
        <f t="shared" si="7"/>
        <v>115280.07112273172</v>
      </c>
      <c r="S24" s="305"/>
      <c r="T24" s="14"/>
      <c r="U24" s="9"/>
      <c r="W24" s="4"/>
    </row>
    <row r="25" spans="2:24" x14ac:dyDescent="0.3">
      <c r="B25" s="5"/>
      <c r="C25" s="318"/>
      <c r="D25" s="22"/>
      <c r="E25" s="22"/>
      <c r="F25" s="6"/>
      <c r="G25" s="23"/>
      <c r="H25" s="300"/>
      <c r="I25" s="298"/>
      <c r="J25" s="47"/>
      <c r="K25" s="47"/>
      <c r="L25" s="47"/>
      <c r="M25" s="39"/>
      <c r="N25" s="39"/>
      <c r="O25" s="284"/>
      <c r="P25" s="274"/>
      <c r="Q25" s="266"/>
      <c r="R25" s="273"/>
      <c r="S25" s="305"/>
      <c r="T25" s="14"/>
      <c r="U25" s="9"/>
      <c r="W25" s="4"/>
    </row>
    <row r="26" spans="2:24" ht="15" thickBot="1" x14ac:dyDescent="0.35">
      <c r="B26" s="5"/>
      <c r="C26" s="5"/>
      <c r="D26" s="22"/>
      <c r="E26" s="22"/>
      <c r="F26" s="6"/>
      <c r="G26" s="23"/>
      <c r="H26" s="300"/>
      <c r="I26" s="298"/>
      <c r="J26" s="47"/>
      <c r="K26" s="47"/>
      <c r="L26" s="47"/>
      <c r="M26" s="39"/>
      <c r="N26" s="39"/>
      <c r="O26" s="284"/>
      <c r="P26" s="274"/>
      <c r="Q26" s="266"/>
      <c r="R26" s="273"/>
      <c r="S26" s="38"/>
      <c r="T26" s="14"/>
      <c r="U26" s="9"/>
      <c r="W26" s="4"/>
    </row>
    <row r="27" spans="2:24" s="230" customFormat="1" ht="17.399999999999999" x14ac:dyDescent="0.35">
      <c r="B27" s="295"/>
      <c r="E27" s="233"/>
      <c r="F27" s="234"/>
      <c r="G27" s="301" t="s">
        <v>30</v>
      </c>
      <c r="H27" s="302">
        <f>SUM(H21:H24)</f>
        <v>288510</v>
      </c>
      <c r="I27" s="287"/>
      <c r="J27" s="232"/>
      <c r="K27" s="264"/>
      <c r="L27" s="47"/>
      <c r="M27" s="39">
        <f>M21+M22</f>
        <v>3.69</v>
      </c>
      <c r="N27" s="12"/>
      <c r="O27" s="12"/>
      <c r="P27" s="267">
        <f>SUM(P21:P24)</f>
        <v>2.0664000000000002</v>
      </c>
      <c r="Q27" s="14"/>
      <c r="R27" s="12"/>
      <c r="S27" s="244">
        <f>SUM(S21:S26)</f>
        <v>0</v>
      </c>
      <c r="T27" s="14"/>
      <c r="U27" s="9"/>
      <c r="V27" s="231"/>
    </row>
    <row r="28" spans="2:24" s="230" customFormat="1" ht="17.399999999999999" x14ac:dyDescent="0.35">
      <c r="B28" s="235"/>
      <c r="C28" s="236"/>
      <c r="D28" s="237"/>
      <c r="E28" s="235" t="s">
        <v>127</v>
      </c>
      <c r="G28" s="238" t="s">
        <v>31</v>
      </c>
      <c r="H28" s="282"/>
      <c r="I28" s="287"/>
      <c r="K28" s="264"/>
      <c r="L28" s="47"/>
      <c r="M28" s="39"/>
      <c r="N28" s="12"/>
      <c r="O28" s="12"/>
      <c r="P28" s="267">
        <f>P27</f>
        <v>2.0664000000000002</v>
      </c>
      <c r="Q28" s="14"/>
      <c r="R28" s="12"/>
      <c r="S28" s="244"/>
      <c r="T28" s="14"/>
      <c r="U28" s="9"/>
    </row>
    <row r="29" spans="2:24" s="230" customFormat="1" ht="18" thickBot="1" x14ac:dyDescent="0.4">
      <c r="G29" s="239" t="s">
        <v>6</v>
      </c>
      <c r="H29" s="283">
        <f>H27+H28</f>
        <v>288510</v>
      </c>
      <c r="K29" s="264"/>
      <c r="L29" s="47"/>
      <c r="M29" s="14"/>
      <c r="N29" s="12"/>
      <c r="O29" s="12"/>
      <c r="P29" s="39">
        <f>P28*20%</f>
        <v>0.41328000000000009</v>
      </c>
      <c r="Q29" s="39" t="s">
        <v>134</v>
      </c>
      <c r="R29" s="42"/>
      <c r="S29" s="245">
        <f>S27+S28</f>
        <v>0</v>
      </c>
      <c r="T29" s="14"/>
      <c r="U29" s="9"/>
      <c r="W29" s="231"/>
    </row>
    <row r="30" spans="2:24" s="230" customFormat="1" ht="17.399999999999999" x14ac:dyDescent="0.35">
      <c r="K30" s="264"/>
      <c r="L30" s="47"/>
      <c r="M30" s="14"/>
      <c r="N30" s="12"/>
      <c r="O30" s="12"/>
      <c r="P30" s="46">
        <f>P28+P29</f>
        <v>2.4796800000000001</v>
      </c>
      <c r="Q30" s="14"/>
      <c r="R30" s="14"/>
      <c r="S30" s="243">
        <v>40</v>
      </c>
      <c r="T30" s="14"/>
      <c r="U30" s="9"/>
      <c r="W30" s="231"/>
    </row>
    <row r="31" spans="2:24" s="230" customFormat="1" ht="17.399999999999999" x14ac:dyDescent="0.35">
      <c r="B31" s="138"/>
      <c r="K31" s="264"/>
      <c r="L31" s="47"/>
      <c r="M31" s="14"/>
      <c r="N31" s="14"/>
      <c r="O31" s="14"/>
      <c r="P31" s="14"/>
      <c r="Q31" s="14"/>
      <c r="R31" s="14"/>
      <c r="S31" s="243"/>
      <c r="T31" s="14"/>
      <c r="U31" s="9"/>
    </row>
    <row r="32" spans="2:24" s="230" customFormat="1" ht="17.399999999999999" x14ac:dyDescent="0.35">
      <c r="E32" s="240"/>
      <c r="G32" s="241"/>
      <c r="H32" s="280"/>
      <c r="I32" s="280"/>
      <c r="K32" s="264"/>
      <c r="L32" s="47"/>
      <c r="M32" s="39">
        <f>P30</f>
        <v>2.4796800000000001</v>
      </c>
      <c r="N32" s="12">
        <v>3500</v>
      </c>
      <c r="O32" s="12">
        <f t="shared" ref="O32:O37" si="8">M32*N32</f>
        <v>8678.880000000001</v>
      </c>
      <c r="P32" s="14" t="s">
        <v>23</v>
      </c>
      <c r="Q32" s="14" t="s">
        <v>24</v>
      </c>
      <c r="R32" s="14"/>
      <c r="S32" s="246"/>
      <c r="T32" s="14"/>
      <c r="U32" s="9"/>
    </row>
    <row r="33" spans="2:21" s="230" customFormat="1" ht="18" thickBot="1" x14ac:dyDescent="0.4">
      <c r="G33" s="242"/>
      <c r="K33" s="264"/>
      <c r="L33" s="47"/>
      <c r="M33" s="263">
        <v>0.7</v>
      </c>
      <c r="N33" s="12">
        <v>25000</v>
      </c>
      <c r="O33" s="12">
        <f t="shared" si="8"/>
        <v>17500</v>
      </c>
      <c r="P33" s="39">
        <v>0</v>
      </c>
      <c r="Q33" s="42"/>
      <c r="R33" s="14"/>
      <c r="S33" s="245"/>
      <c r="T33" s="14"/>
      <c r="U33" s="9"/>
    </row>
    <row r="34" spans="2:21" s="230" customFormat="1" ht="17.399999999999999" x14ac:dyDescent="0.35">
      <c r="B34" s="275" t="s">
        <v>135</v>
      </c>
      <c r="C34" s="276"/>
      <c r="D34" s="276"/>
      <c r="E34" s="276"/>
      <c r="F34" s="276"/>
      <c r="G34" s="277"/>
      <c r="K34" s="12"/>
      <c r="L34" s="264"/>
      <c r="M34" s="14"/>
      <c r="N34" s="12">
        <v>65361</v>
      </c>
      <c r="O34" s="12">
        <f t="shared" si="8"/>
        <v>0</v>
      </c>
      <c r="P34" s="39" t="s">
        <v>32</v>
      </c>
      <c r="Q34" s="42"/>
      <c r="S34" s="245"/>
      <c r="T34" s="270"/>
    </row>
    <row r="35" spans="2:21" s="230" customFormat="1" ht="18" thickBot="1" x14ac:dyDescent="0.4">
      <c r="B35" s="316" t="s">
        <v>143</v>
      </c>
      <c r="C35" s="278"/>
      <c r="D35" s="278"/>
      <c r="E35" s="278"/>
      <c r="F35" s="278"/>
      <c r="G35" s="279"/>
      <c r="K35" s="12"/>
      <c r="L35" s="264"/>
      <c r="M35" s="14">
        <v>2</v>
      </c>
      <c r="N35" s="14">
        <v>33700</v>
      </c>
      <c r="O35" s="12">
        <f t="shared" si="8"/>
        <v>67400</v>
      </c>
      <c r="P35" s="14" t="s">
        <v>153</v>
      </c>
      <c r="Q35" s="17"/>
      <c r="S35" s="243"/>
      <c r="T35" s="270"/>
    </row>
    <row r="36" spans="2:21" ht="14.4" customHeight="1" x14ac:dyDescent="0.35">
      <c r="B36" s="24" t="s">
        <v>148</v>
      </c>
      <c r="C36" s="230"/>
      <c r="D36" s="230"/>
      <c r="E36" s="230"/>
      <c r="F36" s="230"/>
      <c r="K36" s="12"/>
      <c r="L36" s="264"/>
      <c r="M36" s="263"/>
      <c r="N36" s="12">
        <v>300</v>
      </c>
      <c r="O36" s="12">
        <f t="shared" si="8"/>
        <v>0</v>
      </c>
      <c r="P36" s="14" t="s">
        <v>34</v>
      </c>
      <c r="Q36" s="14"/>
      <c r="R36" s="230">
        <v>1.52</v>
      </c>
      <c r="S36" s="243"/>
      <c r="T36" s="243"/>
      <c r="U36" s="230"/>
    </row>
    <row r="37" spans="2:21" ht="17.399999999999999" x14ac:dyDescent="0.35">
      <c r="B37" s="24" t="s">
        <v>149</v>
      </c>
      <c r="K37" s="264"/>
      <c r="L37" s="264"/>
      <c r="M37" s="291">
        <v>3.69</v>
      </c>
      <c r="N37" s="12">
        <v>1500</v>
      </c>
      <c r="O37" s="12">
        <f t="shared" si="8"/>
        <v>5535</v>
      </c>
      <c r="P37" s="14" t="s">
        <v>25</v>
      </c>
      <c r="Q37" s="14"/>
      <c r="R37">
        <v>2.44</v>
      </c>
      <c r="T37" s="243">
        <v>1500</v>
      </c>
      <c r="U37" s="230"/>
    </row>
    <row r="38" spans="2:21" ht="17.399999999999999" x14ac:dyDescent="0.35">
      <c r="B38" s="29" t="s">
        <v>128</v>
      </c>
      <c r="F38" s="229" t="s">
        <v>17</v>
      </c>
      <c r="G38" s="23"/>
      <c r="K38" s="264"/>
      <c r="L38" s="264"/>
      <c r="M38" s="14"/>
      <c r="N38" s="12"/>
      <c r="O38" s="12">
        <f>SUM(O32:O37)</f>
        <v>99113.88</v>
      </c>
      <c r="P38" s="39" t="s">
        <v>26</v>
      </c>
      <c r="Q38" s="14"/>
      <c r="R38">
        <f>R36*R37</f>
        <v>3.7088000000000001</v>
      </c>
      <c r="T38" s="243">
        <f>S30*T37</f>
        <v>60000</v>
      </c>
      <c r="U38" s="230"/>
    </row>
    <row r="39" spans="2:21" ht="17.399999999999999" x14ac:dyDescent="0.35">
      <c r="C39" s="228"/>
      <c r="D39" s="22"/>
      <c r="E39" s="22"/>
      <c r="F39" s="21"/>
      <c r="G39" s="23"/>
      <c r="I39" t="e">
        <f>+A17:I3A1:I39</f>
        <v>#NAME?</v>
      </c>
      <c r="K39" s="264"/>
      <c r="L39" s="264"/>
      <c r="M39" s="268" t="s">
        <v>35</v>
      </c>
      <c r="N39" s="12"/>
      <c r="O39" s="269">
        <f>O38*2.2</f>
        <v>218050.53600000002</v>
      </c>
      <c r="P39" s="14" t="s">
        <v>154</v>
      </c>
      <c r="Q39" s="14"/>
      <c r="R39" s="40">
        <f>P30/R38</f>
        <v>0.66859361518550475</v>
      </c>
      <c r="T39" s="271" t="e">
        <f>T38/#REF!</f>
        <v>#REF!</v>
      </c>
      <c r="U39" s="230"/>
    </row>
    <row r="40" spans="2:21" ht="15" customHeight="1" x14ac:dyDescent="0.35">
      <c r="L40" s="264"/>
      <c r="M40" s="14"/>
      <c r="N40" s="12"/>
      <c r="O40" s="12">
        <f>O39/P28</f>
        <v>105521.93960511034</v>
      </c>
      <c r="P40" s="45" t="s">
        <v>27</v>
      </c>
      <c r="Q40" s="14"/>
      <c r="R40" s="14"/>
      <c r="T40" s="243"/>
      <c r="U40" s="230"/>
    </row>
    <row r="41" spans="2:21" ht="17.399999999999999" x14ac:dyDescent="0.35">
      <c r="L41" s="264"/>
      <c r="M41" s="13"/>
      <c r="N41" s="14"/>
      <c r="O41" s="17">
        <f>O39/O38</f>
        <v>2.2000000000000002</v>
      </c>
      <c r="P41" s="15"/>
      <c r="T41" s="243"/>
      <c r="U41" s="230"/>
    </row>
    <row r="42" spans="2:21" ht="17.399999999999999" x14ac:dyDescent="0.35">
      <c r="L42" s="12"/>
      <c r="M42" s="230"/>
      <c r="N42" s="230"/>
      <c r="O42" s="230"/>
      <c r="P42" s="230"/>
      <c r="Q42" s="230"/>
      <c r="R42" s="230"/>
      <c r="S42" s="230"/>
      <c r="T42" s="243"/>
      <c r="U42" s="230"/>
    </row>
    <row r="44" spans="2:21" x14ac:dyDescent="0.3">
      <c r="N44" s="54"/>
      <c r="O44" s="54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6" spans="14:19" x14ac:dyDescent="0.3">
      <c r="N56" s="43"/>
    </row>
    <row r="57" spans="14:19" x14ac:dyDescent="0.3">
      <c r="N57" s="43"/>
    </row>
    <row r="58" spans="14:19" x14ac:dyDescent="0.3">
      <c r="N58" s="6"/>
    </row>
    <row r="59" spans="14:19" x14ac:dyDescent="0.3">
      <c r="N59" s="6"/>
    </row>
  </sheetData>
  <mergeCells count="2">
    <mergeCell ref="F16:H16"/>
    <mergeCell ref="B19:H19"/>
  </mergeCells>
  <phoneticPr fontId="31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45300</v>
      </c>
    </row>
    <row r="6" spans="2:31" ht="16.2" thickBot="1" x14ac:dyDescent="0.35">
      <c r="B6" s="140" t="s">
        <v>2</v>
      </c>
      <c r="C6" s="139" t="str">
        <f>'2229'!C10</f>
        <v xml:space="preserve">MARCELA MENDOZA 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5" t="s">
        <v>100</v>
      </c>
      <c r="I7" s="326"/>
      <c r="J7" s="326"/>
      <c r="K7" s="327"/>
      <c r="N7" s="75"/>
      <c r="O7" s="32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-32043.125033454107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288510</v>
      </c>
      <c r="E11" s="132">
        <f>D11*0.19</f>
        <v>54816.9</v>
      </c>
      <c r="F11" s="131">
        <f>E11+D11</f>
        <v>343326.9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73946.874966545889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55946.874966545889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230175.90921256039</v>
      </c>
      <c r="E13" s="221">
        <f>(D11/D12)-1</f>
        <v>3.9458214931520184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46946.874966545889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7946.8749665458927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7946.8749665458927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47946.874966545889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49401.9</v>
      </c>
    </row>
    <row r="41" spans="2:16" ht="15" thickBot="1" x14ac:dyDescent="0.35">
      <c r="H41" s="328" t="s">
        <v>62</v>
      </c>
      <c r="I41" s="329"/>
      <c r="J41" s="329"/>
      <c r="K41" s="329"/>
      <c r="L41" s="329"/>
      <c r="M41" s="33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288510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230175.90921256039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230175.90921256039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2024-01-10T14:17:32Z</dcterms:modified>
</cp:coreProperties>
</file>