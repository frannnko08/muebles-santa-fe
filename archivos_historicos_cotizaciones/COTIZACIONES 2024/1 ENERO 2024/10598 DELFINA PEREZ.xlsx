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A18D9FF0-14C5-4FE0-BFC8-761FA6238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/>
  <c r="M21" i="1"/>
  <c r="L23" i="1" l="1"/>
  <c r="S21" i="1"/>
  <c r="R21" i="1"/>
  <c r="R25" i="1" s="1"/>
  <c r="N21" i="1"/>
  <c r="O21" i="1" s="1"/>
  <c r="U31" i="1"/>
  <c r="U32" i="1" s="1"/>
  <c r="O24" i="1" l="1"/>
  <c r="N30" i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G21" i="1" s="1"/>
  <c r="F15" i="3"/>
  <c r="Q21" i="1" l="1"/>
  <c r="H21" i="1" s="1"/>
  <c r="H23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<sst xmlns="http://schemas.openxmlformats.org/spreadsheetml/2006/main" count="228" uniqueCount="172">
  <si>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</si>
  <si>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</si>
  <si>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</si>
  <si>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</si>
  <si>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</si>
  <si>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</si>
  <si>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</si>
  <si>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</si>
  <si>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</si>
  <si>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</si>
  <si>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</si>
  <si>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</si>
  <si>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</si>
  <si>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</si>
  <si>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</si>
  <si>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</si>
  <si>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</si>
  <si>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</si>
  <si>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</si>
  <si>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</si>
  <si>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</si>
  <si>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</si>
  <si>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</si>
  <si>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</si>
  <si>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</si>
  <si>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</si>
  <si>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</si>
  <si>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</si>
  <si>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</si>
  <si>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</si>
  <si>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</si>
  <si>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</si>
  <si>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</si>
  <si>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</si>
  <si>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</si>
  <si>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</si>
  <si>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</si>
  <si>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</si>
  <si>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</si>
  <si>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</si>
  <si>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</si>
  <si>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</si>
  <si>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</si>
  <si>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</si>
  <si>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</si>
  <si>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</si>
  <si>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</si>
  <si>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</si>
  <si>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</si>
  <si>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</si>
  <si>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</si>
  <si>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</si>
  <si>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</si>
  <si>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</si>
  <si>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</si>
  <si>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</si>
  <si>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</si>
  <si>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</si>
  <si>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</si>
  <si>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</si>
  <si>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</si>
  <si>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</si>
  <si>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</si>
  <si>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</si>
  <si>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</si>
  <si>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</si>
  <si>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</si>
  <si>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</si>
  <si>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</si>
  <si>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</si>
  <si>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</si>
  <si>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</si>
  <si>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</si>
  <si>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</si>
  <si>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</si>
  <si>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</si>
  <si>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</si>
  <si>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</si>
  <si>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</si>
  <si>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</si>
  <si>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</si>
  <si>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</si>
  <si>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</si>
  <si>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</si>
  <si>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</si>
  <si>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</si>
  <si>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</si>
  <si>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</si>
  <si>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</si>
  <si>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</si>
  <si>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</si>
  <si>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</si>
  <si>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</si>
  <si>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</si>
  <si>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</si>
  <si>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</si>
  <si>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</si>
  <si>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</si>
  <si>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</si>
  <si>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</si>
  <si>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</si>
  <si>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</si>
  <si>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</si>
  <si>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</si>
  <si>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</si>
  <si>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</si>
  <si>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</si>
  <si>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</si>
  <si>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</si>
  <si>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</si>
  <si>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</si>
  <si>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</si>
  <si>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</si>
  <si>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</si>
  <si>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</si>
  <si>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</si>
  <si>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</si>
  <si>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</si>
  <si>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</si>
  <si>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</si>
  <si>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</si>
  <si>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</si>
  <si>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</si>
  <si>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</si>
  <si>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</si>
  <si>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</si>
  <si>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</si>
  <si>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</si>
  <si>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</si>
  <si>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</si>
  <si>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</si>
  <si>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</si>
  <si>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</si>
  <si>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</si>
  <si>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</si>
  <si>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</si>
  <si>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</si>
  <si>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</si>
  <si>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</si>
  <si>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</si>
  <si>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</si>
  <si>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</si>
  <si>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</si>
  <si>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</si>
  <si>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</si>
  <si>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</si>
  <si>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</si>
  <si>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</si>
  <si>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</si>
  <si>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</si>
  <si>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</si>
  <si>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</si>
  <si>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</si>
  <si>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</si>
  <si>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</si>
  <si>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</si>
  <si>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</si>
  <si>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</si>
  <si>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</si>
  <si>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</si>
  <si>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</si>
  <si>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</si>
  <si>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</si>
  <si>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</si>
  <si>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</si>
  <si>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</si>
  <si>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</si>
  <si>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DELFINA PÉREZ</t>
  </si>
  <si>
    <t>+569 8549 7987</t>
  </si>
  <si>
    <t>SANTIAGO</t>
  </si>
  <si>
    <t>CUBIERTA CON RESPALDO 90°</t>
  </si>
  <si>
    <t>CITRINO PP 3630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</si>
</sst>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22</xdr:row>
      <xdr:rowOff>9525</xdr:rowOff>
    </xdr:from>
    <xdr:to>
      <xdr:col>5</xdr:col>
      <xdr:colOff>1635064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167</v>
      </c>
      <c r="D10" s="243"/>
      <c r="E10" s="243"/>
      <c r="F10" s="244" t="s">
        <v>0</v>
      </c>
      <c r="G10" s="277">
        <v>45316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168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169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117524.35786435785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2</v>
      </c>
      <c r="C21" s="324" t="s">
        <v>170</v>
      </c>
      <c r="D21" s="325">
        <v>1.84</v>
      </c>
      <c r="E21" s="325">
        <v>0.5</v>
      </c>
      <c r="F21" s="324" t="s">
        <v>171</v>
      </c>
      <c r="G21" s="326">
        <f>P21</f>
        <v>122166.56999999999</v>
      </c>
      <c r="H21" s="327">
        <f>G21*B21</f>
        <v>244333.13999999998</v>
      </c>
      <c r="I21" s="265"/>
      <c r="J21" s="47"/>
      <c r="K21" s="47">
        <f>B21</f>
        <v>2</v>
      </c>
      <c r="L21" s="39">
        <f t="shared" ref="L21" si="1">D21+L$19</f>
        <v>1.8900000000000001</v>
      </c>
      <c r="M21" s="39">
        <f t="shared" ref="M21" si="2">E21+M$19</f>
        <v>0.55000000000000004</v>
      </c>
      <c r="N21" s="261">
        <f t="shared" ref="N21" si="3">L21*M21</f>
        <v>1.0395000000000001</v>
      </c>
      <c r="O21" s="259">
        <f t="shared" ref="O21" si="4">N21*K21</f>
        <v>2.0790000000000002</v>
      </c>
      <c r="P21" s="252">
        <f>P$20*N21</f>
        <v>122166.56999999999</v>
      </c>
      <c r="Q21" s="258">
        <f t="shared" ref="Q21" si="5">P21+Q$20</f>
        <v>125166.56999999999</v>
      </c>
      <c r="R21" s="309">
        <f>L21*K21*2</f>
        <v>7.5600000000000005</v>
      </c>
      <c r="S21" s="46">
        <f>M21*K21*2</f>
        <v>2.2000000000000002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29</v>
      </c>
      <c r="H23" s="311">
        <f>SUM(H21:H21)</f>
        <v>244333.13999999998</v>
      </c>
      <c r="I23" s="265"/>
      <c r="J23" s="47"/>
      <c r="K23" s="47"/>
      <c r="L23" s="39">
        <f>SUM(L21:L22)</f>
        <v>1.8900000000000001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/>
      <c r="I24" s="265"/>
      <c r="J24" s="47"/>
      <c r="K24" s="47"/>
      <c r="L24" s="39"/>
      <c r="M24" s="12"/>
      <c r="N24" s="12"/>
      <c r="O24" s="253">
        <f>SUM(O21:O21)</f>
        <v>2.0790000000000002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244333.13999999998</v>
      </c>
      <c r="I25" s="265"/>
      <c r="J25" s="47"/>
      <c r="K25" s="47"/>
      <c r="L25" s="39"/>
      <c r="M25" s="12"/>
      <c r="N25" s="12"/>
      <c r="O25" s="253">
        <f>O24</f>
        <v>2.0790000000000002</v>
      </c>
      <c r="P25" s="14"/>
      <c r="Q25" s="12"/>
      <c r="R25" s="239">
        <f>SUM(R21:R24)</f>
        <v>7.5600000000000005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0.41580000000000006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2.4948000000000001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6" t="s">
        <v>22</v>
      </c>
      <c r="U28" s="313" t="s">
        <v>153</v>
      </c>
      <c r="V28" s="317">
        <v>44971</v>
      </c>
      <c r="W28" s="31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2.4948000000000001</v>
      </c>
      <c r="M29" s="12">
        <v>3500</v>
      </c>
      <c r="N29" s="12">
        <f t="shared" ref="N29:N34" si="6">L29*M29</f>
        <v>8731.8000000000011</v>
      </c>
      <c r="O29" s="14" t="s">
        <v>22</v>
      </c>
      <c r="P29" s="14"/>
      <c r="Q29" s="14"/>
      <c r="R29" s="241"/>
      <c r="S29" s="14"/>
      <c r="T29" s="316" t="s">
        <v>154</v>
      </c>
      <c r="U29" s="313">
        <v>3625</v>
      </c>
      <c r="V29" s="59" t="s">
        <v>155</v>
      </c>
      <c r="W29" s="31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1.1000000000000001</v>
      </c>
      <c r="M30" s="12">
        <v>25000</v>
      </c>
      <c r="N30" s="12">
        <f t="shared" si="6"/>
        <v>27500.000000000004</v>
      </c>
      <c r="O30" s="39" t="s">
        <v>32</v>
      </c>
      <c r="P30" s="42"/>
      <c r="Q30" s="14"/>
      <c r="R30" s="240"/>
      <c r="S30" s="14"/>
      <c r="T30" s="316"/>
      <c r="U30" s="59">
        <v>906.25</v>
      </c>
      <c r="V30" s="59" t="s">
        <v>156</v>
      </c>
      <c r="W30" s="318"/>
    </row>
    <row r="31" spans="2:24" s="230" customFormat="1" ht="17.399999999999999" x14ac:dyDescent="0.35">
      <c r="I31" s="262"/>
      <c r="J31" s="232"/>
      <c r="K31" s="250"/>
      <c r="L31" s="14">
        <v>1</v>
      </c>
      <c r="M31" s="250">
        <v>70000</v>
      </c>
      <c r="N31" s="12">
        <f t="shared" si="6"/>
        <v>70000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/>
      <c r="M32" s="250">
        <v>46505</v>
      </c>
      <c r="N32" s="12">
        <f t="shared" si="6"/>
        <v>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6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6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106231.8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N35*2.3</f>
        <v>244333.13999999998</v>
      </c>
      <c r="O36" s="14" t="s">
        <v>141</v>
      </c>
      <c r="P36" s="14"/>
      <c r="Q36" s="40">
        <f>O27/Q35</f>
        <v>0.67267040552200175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83200</v>
      </c>
      <c r="K37" s="250"/>
      <c r="L37" s="14"/>
      <c r="M37" s="12"/>
      <c r="N37" s="12">
        <f>N36/O25</f>
        <v>117524.35786435785</v>
      </c>
      <c r="O37" s="45" t="s">
        <v>25</v>
      </c>
      <c r="P37" s="14"/>
      <c r="Q37" s="14"/>
      <c r="R37"/>
      <c r="S37" s="238"/>
      <c r="T37" s="59" t="s">
        <v>159</v>
      </c>
      <c r="U37" s="313">
        <v>43650</v>
      </c>
    </row>
    <row r="38" spans="2:23" s="230" customFormat="1" ht="17.399999999999999" x14ac:dyDescent="0.35">
      <c r="G38"/>
      <c r="J38" s="230">
        <f>J37/1.19</f>
        <v>69915.966386554632</v>
      </c>
      <c r="K38" s="250"/>
      <c r="L38" s="13"/>
      <c r="M38" s="14"/>
      <c r="N38" s="17">
        <f>N36/N35</f>
        <v>2.2999999999999998</v>
      </c>
      <c r="O38" s="15"/>
      <c r="P38"/>
      <c r="Q38"/>
      <c r="R38"/>
      <c r="S38" s="238"/>
      <c r="T38" s="59" t="s">
        <v>161</v>
      </c>
      <c r="U38" s="31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45316</v>
      </c>
    </row>
    <row r="6" spans="2:31" ht="16.2" thickBot="1" x14ac:dyDescent="0.35">
      <c r="B6" s="140" t="s">
        <v>2</v>
      </c>
      <c r="C6" s="139" t="str">
        <f>'2229'!C10</f>
        <v>DELFINA PÉREZ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-3304.0700334541034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244333.13999999998</v>
      </c>
      <c r="E11" s="132">
        <f>D11*0.19</f>
        <v>46423.296599999994</v>
      </c>
      <c r="F11" s="131">
        <f>E11+D11</f>
        <v>290756.43659999996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102685.9299665459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136065.89078743962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84685.929966545897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108267.24921256036</v>
      </c>
      <c r="E13" s="221">
        <f>(D11/D12)-1</f>
        <v>0.79569720659598708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75685.929966545897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36685.929966545897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224508.71979927536</v>
      </c>
      <c r="F15" s="216">
        <f>E15-D12</f>
        <v>88442.82901183574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36685.929966545897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76685.929966545897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70000</v>
      </c>
      <c r="E18" s="123">
        <f>D18*0.19</f>
        <v>13300</v>
      </c>
      <c r="F18" s="120">
        <f>SUM(D18:E18)</f>
        <v>83300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8731.8000000000011</v>
      </c>
      <c r="E20" s="121">
        <f>D20*0.19</f>
        <v>1659.0420000000001</v>
      </c>
      <c r="F20" s="120">
        <f>SUM(D20:E20)</f>
        <v>10390.842000000001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106231.8</v>
      </c>
      <c r="E21" s="116">
        <f>SUM(E18:E20)</f>
        <v>20184.042000000001</v>
      </c>
      <c r="F21" s="115">
        <f>SUM(F18:F20)</f>
        <v>126415.842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26239.254599999993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244333.13999999998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106231.8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108267.24921256036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108267.24921256036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2024-01-25T16:15:13Z</cp:lastPrinted>
  <dcterms:created xsi:type="dcterms:W3CDTF">2013-03-18T13:35:42Z</dcterms:created>
  <dcterms:modified xsi:type="dcterms:W3CDTF">2024-01-26T17:37:15Z</dcterms:modified>
</cp:coreProperties>
</file>