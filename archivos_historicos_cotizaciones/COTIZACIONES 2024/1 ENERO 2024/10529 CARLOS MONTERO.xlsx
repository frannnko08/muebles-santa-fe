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3B2FB7EC-1E1D-4A8B-A559-D869AD5E9A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N36" i="1"/>
  <c r="L29" i="1" l="1"/>
  <c r="H21" i="1"/>
  <c r="K21" i="1"/>
  <c r="J38" i="1"/>
  <c r="L21" i="1"/>
  <c r="L23" i="1" s="1"/>
  <c r="M21" i="1"/>
  <c r="N21" i="1" l="1"/>
  <c r="O21" i="1" s="1"/>
  <c r="O24" i="1" s="1"/>
  <c r="R25" i="1"/>
  <c r="U31" i="1"/>
  <c r="U32" i="1" s="1"/>
  <c r="N30" i="1" l="1"/>
  <c r="O25" i="1" l="1"/>
  <c r="O26" i="1"/>
  <c r="O27" i="1" s="1"/>
  <c r="M20" i="1"/>
  <c r="K20" i="1"/>
  <c r="N31" i="1" l="1"/>
  <c r="Q35" i="1"/>
  <c r="N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Q36" i="1"/>
  <c r="N35" i="1" l="1"/>
  <c r="D20" i="3"/>
  <c r="E20" i="3" s="1"/>
  <c r="E21" i="3" s="1"/>
  <c r="N38" i="1" l="1"/>
  <c r="D21" i="3"/>
  <c r="M43" i="3" s="1"/>
  <c r="D12" i="3" s="1"/>
  <c r="F20" i="3"/>
  <c r="F21" i="3" s="1"/>
  <c r="N37" i="1" l="1"/>
  <c r="P20" i="1" s="1"/>
  <c r="E15" i="3"/>
  <c r="P21" i="1" l="1"/>
  <c r="F15" i="3"/>
  <c r="Q21" i="1" l="1"/>
  <c r="H23" i="1" l="1"/>
  <c r="D11" i="3" l="1"/>
  <c r="X9" i="3" s="1"/>
  <c r="X15" i="3" s="1"/>
  <c r="H25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<sst xmlns="http://schemas.openxmlformats.org/spreadsheetml/2006/main" count="228" uniqueCount="173">
  <si>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</si>
  <si>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</si>
  <si>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</si>
  <si>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</si>
  <si>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</si>
  <si>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</si>
  <si>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</si>
  <si>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</si>
  <si>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</si>
  <si>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</si>
  <si>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</si>
  <si>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</si>
  <si>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</si>
  <si>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</si>
  <si>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</si>
  <si>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</si>
  <si>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</si>
  <si>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</si>
  <si>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</si>
  <si>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</si>
  <si>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</si>
  <si>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</si>
  <si>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</si>
  <si>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</si>
  <si>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</si>
  <si>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</si>
  <si>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</si>
  <si>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</si>
  <si>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</si>
  <si>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</si>
  <si>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</si>
  <si>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</si>
  <si>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</si>
  <si>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</si>
  <si>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</si>
  <si>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</si>
  <si>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</si>
  <si>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</si>
  <si>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</si>
  <si>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</si>
  <si>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</si>
  <si>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</si>
  <si>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</si>
  <si>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</si>
  <si>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</si>
  <si>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</si>
  <si>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</si>
  <si>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</si>
  <si>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</si>
  <si>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</si>
  <si>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</si>
  <si>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</si>
  <si>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</si>
  <si>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</si>
  <si>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</si>
  <si>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</si>
  <si>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</si>
  <si>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</si>
  <si>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</si>
  <si>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</si>
  <si>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</si>
  <si>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</si>
  <si>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</si>
  <si>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</si>
  <si>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</si>
  <si>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</si>
  <si>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</si>
  <si>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</si>
  <si>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</si>
  <si>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</si>
  <si>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</si>
  <si>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</si>
  <si>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</si>
  <si>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</si>
  <si>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</si>
  <si>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</si>
  <si>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</si>
  <si>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</si>
  <si>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</si>
  <si>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</si>
  <si>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</si>
  <si>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</si>
  <si>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</si>
  <si>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</si>
  <si>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</si>
  <si>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</si>
  <si>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</si>
  <si>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</si>
  <si>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</si>
  <si>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</si>
  <si>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</si>
  <si>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</si>
  <si>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</si>
  <si>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</si>
  <si>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</si>
  <si>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</si>
  <si>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</si>
  <si>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</si>
  <si>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</si>
  <si>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</si>
  <si>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</si>
  <si>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</si>
  <si>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</si>
  <si>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</si>
  <si>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</si>
  <si>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</si>
  <si>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</si>
  <si>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</si>
  <si>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</si>
  <si>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</si>
  <si>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</si>
  <si>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</si>
  <si>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</si>
  <si>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</si>
  <si>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</si>
  <si>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</si>
  <si>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</si>
  <si>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</si>
  <si>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</si>
  <si>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</si>
  <si>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</si>
  <si>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</si>
  <si>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</si>
  <si>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</si>
  <si>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</si>
  <si>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</si>
  <si>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</si>
  <si>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</si>
  <si>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</si>
  <si>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</si>
  <si>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</si>
  <si>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</si>
  <si>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</si>
  <si>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</si>
  <si>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</si>
  <si>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</si>
  <si>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</si>
  <si>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</si>
  <si>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</si>
  <si>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</si>
  <si>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</si>
  <si>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</si>
  <si>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</si>
  <si>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</si>
  <si>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</si>
  <si>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</si>
  <si>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</si>
  <si>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</si>
  <si>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</si>
  <si>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</si>
  <si>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</si>
  <si>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</si>
  <si>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</si>
  <si>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</si>
  <si>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</si>
  <si>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</si>
  <si>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</si>
  <si>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</si>
  <si>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</si>
  <si>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</si>
  <si>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</si>
  <si>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</si>
  <si>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</si>
  <si>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</si>
  <si>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</si>
  <si>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DURACION COTIZACION: 5 DIAS                            MJ</t>
  </si>
  <si>
    <t>ABONO 50% SALDO C/ENTREGA</t>
  </si>
  <si>
    <t>}</t>
  </si>
  <si>
    <t xml:space="preserve">CUBIERTA MESA 4 LADOS 180° </t>
  </si>
  <si>
    <t xml:space="preserve">CARLOS MONTERO </t>
  </si>
  <si>
    <t>+56995804572</t>
  </si>
  <si>
    <t>CLASSIC 3111 BRILLO PF8</t>
  </si>
  <si>
    <t>10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</si>
</sst>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1626870</xdr:colOff>
      <xdr:row>25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0050" y="5153025"/>
          <a:ext cx="6036945" cy="8286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  <a:r>
            <a:rPr lang="es-CL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</a:t>
          </a:r>
          <a:r>
            <a:rPr lang="es-CL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CUBIERTAS SE ENTREGAN DESPUNTADAS EN SUS ORILLAS, SE ENTREGA EL TAPACANTO PARA TERMINACIONES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DOBLE SUSTRATO DE 18MM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topLeftCell="A3" zoomScale="93" zoomScaleNormal="93" workbookViewId="0">
      <selection activeCell="I23" sqref="I23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10529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20" t="s">
        <v>164</v>
      </c>
      <c r="C10" s="279" t="s">
        <v>169</v>
      </c>
      <c r="D10" s="243"/>
      <c r="E10" s="243"/>
      <c r="F10" s="244" t="s">
        <v>0</v>
      </c>
      <c r="G10" s="277">
        <v>45300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3"/>
      <c r="F11" t="s">
        <v>124</v>
      </c>
      <c r="G11" s="289" t="s">
        <v>172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3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/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0" t="s">
        <v>170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3"/>
      <c r="F16" s="293" t="s">
        <v>130</v>
      </c>
      <c r="G16" s="294" t="s">
        <v>166</v>
      </c>
      <c r="H16" s="290"/>
    </row>
    <row r="17" spans="2:24" ht="15" thickBot="1" x14ac:dyDescent="0.35">
      <c r="B17" s="297" t="s">
        <v>13</v>
      </c>
      <c r="C17" s="298" t="s">
        <v>153</v>
      </c>
      <c r="D17" s="299"/>
      <c r="E17" s="300"/>
      <c r="F17" s="329" t="s">
        <v>165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N37</f>
        <v>94397.83783783784</v>
      </c>
      <c r="Q20" s="258">
        <v>5000</v>
      </c>
      <c r="R20" s="38"/>
      <c r="S20" s="14" t="s">
        <v>129</v>
      </c>
      <c r="T20" s="9"/>
      <c r="W20" s="4"/>
    </row>
    <row r="21" spans="2:24" ht="17.399999999999999" x14ac:dyDescent="0.3">
      <c r="B21" s="324">
        <v>4</v>
      </c>
      <c r="C21" s="325" t="s">
        <v>168</v>
      </c>
      <c r="D21" s="326">
        <v>1.8</v>
      </c>
      <c r="E21" s="326">
        <v>0.8</v>
      </c>
      <c r="F21" s="325" t="s">
        <v>171</v>
      </c>
      <c r="G21" s="327">
        <v>139709</v>
      </c>
      <c r="H21" s="328">
        <f>G21*B21</f>
        <v>558836</v>
      </c>
      <c r="I21" s="265"/>
      <c r="J21" s="47">
        <v>160745</v>
      </c>
      <c r="K21" s="47">
        <f>B21</f>
        <v>4</v>
      </c>
      <c r="L21" s="39">
        <f t="shared" ref="L21" si="1">D21+L$19</f>
        <v>1.85</v>
      </c>
      <c r="M21" s="39">
        <f t="shared" ref="M21" si="2">E21+M$19</f>
        <v>0.8</v>
      </c>
      <c r="N21" s="261">
        <f t="shared" ref="N21" si="3">L21*M21</f>
        <v>1.4800000000000002</v>
      </c>
      <c r="O21" s="259">
        <f t="shared" ref="O21" si="4">N21*K21</f>
        <v>5.9200000000000008</v>
      </c>
      <c r="P21" s="252">
        <f t="shared" ref="P21" si="5">P$20*N21</f>
        <v>139708.80000000002</v>
      </c>
      <c r="Q21" s="258">
        <f t="shared" ref="Q21" si="6">P21+Q$20</f>
        <v>144708.80000000002</v>
      </c>
      <c r="R21" s="309"/>
      <c r="S21" s="14"/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3"/>
      <c r="I22" s="233"/>
      <c r="J22" s="47"/>
      <c r="K22" s="47"/>
      <c r="L22" s="39"/>
      <c r="M22" s="39"/>
      <c r="N22" s="261"/>
      <c r="O22" s="259"/>
      <c r="P22" s="252"/>
      <c r="Q22" s="258"/>
      <c r="R22" s="309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1" t="s">
        <v>29</v>
      </c>
      <c r="H23" s="312">
        <f>SUM(H21:H22)</f>
        <v>558836</v>
      </c>
      <c r="I23" s="265"/>
      <c r="J23" s="47">
        <v>137572</v>
      </c>
      <c r="K23" s="47"/>
      <c r="L23" s="39">
        <f>L21</f>
        <v>1.85</v>
      </c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308" t="s">
        <v>52</v>
      </c>
      <c r="H24" s="305">
        <f>H23*19%</f>
        <v>106178.84</v>
      </c>
      <c r="I24" s="265"/>
      <c r="J24" s="47"/>
      <c r="K24" s="47"/>
      <c r="L24" s="39"/>
      <c r="M24" s="12"/>
      <c r="N24" s="12"/>
      <c r="O24" s="253">
        <f>SUM(O21:O21)</f>
        <v>5.9200000000000008</v>
      </c>
      <c r="P24" s="14"/>
      <c r="Q24" s="12"/>
      <c r="R24" s="239"/>
      <c r="S24" s="14"/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306">
        <f>H23+H24</f>
        <v>665014.84</v>
      </c>
      <c r="I25" s="265"/>
      <c r="J25" s="47"/>
      <c r="K25" s="47"/>
      <c r="L25" s="39"/>
      <c r="M25" s="12"/>
      <c r="N25" s="12"/>
      <c r="O25" s="253">
        <f>O24</f>
        <v>5.9200000000000008</v>
      </c>
      <c r="P25" s="14"/>
      <c r="Q25" s="12"/>
      <c r="R25" s="239">
        <f>SUM(R21:R24)</f>
        <v>0</v>
      </c>
      <c r="S25" s="14"/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1.1840000000000002</v>
      </c>
      <c r="P26" s="39" t="s">
        <v>131</v>
      </c>
      <c r="Q26" s="42"/>
      <c r="R26" s="240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7.104000000000001</v>
      </c>
      <c r="P27" s="14"/>
      <c r="Q27" s="14"/>
      <c r="R27" s="238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17" t="s">
        <v>22</v>
      </c>
      <c r="U28" s="314" t="s">
        <v>154</v>
      </c>
      <c r="V28" s="318">
        <v>44971</v>
      </c>
      <c r="W28" s="319"/>
    </row>
    <row r="29" spans="2:24" ht="17.399999999999999" x14ac:dyDescent="0.35">
      <c r="B29" s="235"/>
      <c r="C29" s="236"/>
      <c r="D29" s="237"/>
      <c r="E29" s="235"/>
      <c r="F29" s="230"/>
      <c r="G29" s="230"/>
      <c r="I29" s="265"/>
      <c r="J29" s="47"/>
      <c r="K29" s="47"/>
      <c r="L29" s="39">
        <f>O27*2</f>
        <v>14.208000000000002</v>
      </c>
      <c r="M29" s="12">
        <v>2000</v>
      </c>
      <c r="N29" s="12">
        <f t="shared" ref="N29:N34" si="7">L29*M29</f>
        <v>28416.000000000004</v>
      </c>
      <c r="O29" s="14" t="s">
        <v>22</v>
      </c>
      <c r="P29" s="14"/>
      <c r="Q29" s="14"/>
      <c r="R29" s="241"/>
      <c r="S29" s="14"/>
      <c r="T29" s="317" t="s">
        <v>155</v>
      </c>
      <c r="U29" s="314">
        <v>3625</v>
      </c>
      <c r="V29" s="59" t="s">
        <v>156</v>
      </c>
      <c r="W29" s="319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4</v>
      </c>
      <c r="M30" s="12">
        <v>25000</v>
      </c>
      <c r="N30" s="12">
        <f t="shared" si="7"/>
        <v>100000</v>
      </c>
      <c r="O30" s="39" t="s">
        <v>32</v>
      </c>
      <c r="P30" s="42"/>
      <c r="Q30" s="14"/>
      <c r="R30" s="240"/>
      <c r="S30" s="14"/>
      <c r="T30" s="317"/>
      <c r="U30" s="59">
        <v>906.25</v>
      </c>
      <c r="V30" s="59" t="s">
        <v>157</v>
      </c>
      <c r="W30" s="319"/>
    </row>
    <row r="31" spans="2:24" s="230" customFormat="1" ht="17.399999999999999" x14ac:dyDescent="0.35">
      <c r="I31" s="262"/>
      <c r="J31" s="232"/>
      <c r="K31" s="250"/>
      <c r="L31" s="14"/>
      <c r="M31" s="250">
        <v>78650</v>
      </c>
      <c r="N31" s="12">
        <f t="shared" si="7"/>
        <v>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19" t="s">
        <v>158</v>
      </c>
      <c r="W31" s="59"/>
    </row>
    <row r="32" spans="2:24" s="230" customFormat="1" ht="17.399999999999999" x14ac:dyDescent="0.35">
      <c r="B32" s="24" t="s">
        <v>152</v>
      </c>
      <c r="I32" s="262"/>
      <c r="J32" s="232"/>
      <c r="K32" s="250"/>
      <c r="L32" s="14">
        <v>4</v>
      </c>
      <c r="M32" s="250">
        <v>31400</v>
      </c>
      <c r="N32" s="12">
        <f t="shared" si="7"/>
        <v>125600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19" t="s">
        <v>159</v>
      </c>
      <c r="W32" s="59"/>
    </row>
    <row r="33" spans="2:23" s="230" customFormat="1" ht="17.399999999999999" x14ac:dyDescent="0.35">
      <c r="B33" s="24" t="s">
        <v>145</v>
      </c>
      <c r="C33"/>
      <c r="D33"/>
      <c r="E33"/>
      <c r="F33"/>
      <c r="I33" s="262"/>
      <c r="K33" s="250"/>
      <c r="L33" s="249"/>
      <c r="M33" s="250">
        <v>300</v>
      </c>
      <c r="N33" s="12">
        <f t="shared" si="7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399999999999999" x14ac:dyDescent="0.35">
      <c r="B34" s="29" t="s">
        <v>126</v>
      </c>
      <c r="C34"/>
      <c r="D34"/>
      <c r="E34"/>
      <c r="F34" s="229" t="s">
        <v>16</v>
      </c>
      <c r="I34" s="304"/>
      <c r="K34" s="250"/>
      <c r="L34" s="266"/>
      <c r="M34" s="12">
        <v>1500</v>
      </c>
      <c r="N34" s="12">
        <f t="shared" si="7"/>
        <v>0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399999999999999" x14ac:dyDescent="0.35">
      <c r="K35" s="250"/>
      <c r="L35" s="14"/>
      <c r="M35" s="12"/>
      <c r="N35" s="12">
        <f>SUM(N29:N34)</f>
        <v>254016</v>
      </c>
      <c r="O35" s="39" t="s">
        <v>24</v>
      </c>
      <c r="P35" s="14"/>
      <c r="Q35">
        <f>Q33*Q34</f>
        <v>3.7088000000000001</v>
      </c>
      <c r="R35"/>
      <c r="S35" s="238"/>
      <c r="W35" s="231"/>
    </row>
    <row r="36" spans="2:23" s="230" customFormat="1" ht="17.399999999999999" x14ac:dyDescent="0.35">
      <c r="K36" s="250"/>
      <c r="L36" s="254" t="s">
        <v>34</v>
      </c>
      <c r="M36" s="12"/>
      <c r="N36" s="255">
        <f>N35*2.2</f>
        <v>558835.20000000007</v>
      </c>
      <c r="O36" s="14" t="s">
        <v>141</v>
      </c>
      <c r="P36" s="14"/>
      <c r="Q36" s="40">
        <f>O27/Q35</f>
        <v>1.915444348576359</v>
      </c>
      <c r="R36"/>
      <c r="S36" s="257"/>
    </row>
    <row r="37" spans="2:23" s="230" customFormat="1" ht="17.399999999999999" x14ac:dyDescent="0.35">
      <c r="G37"/>
      <c r="H37" s="260"/>
      <c r="I37" s="260"/>
      <c r="J37" s="230">
        <v>44960</v>
      </c>
      <c r="K37" s="250"/>
      <c r="L37" s="14"/>
      <c r="M37" s="12"/>
      <c r="N37" s="12">
        <f>N36/O25</f>
        <v>94397.83783783784</v>
      </c>
      <c r="O37" s="45" t="s">
        <v>25</v>
      </c>
      <c r="P37" s="14"/>
      <c r="Q37" s="14"/>
      <c r="R37"/>
      <c r="S37" s="238"/>
      <c r="T37" s="59" t="s">
        <v>160</v>
      </c>
      <c r="U37" s="314">
        <v>43650</v>
      </c>
    </row>
    <row r="38" spans="2:23" s="230" customFormat="1" ht="17.399999999999999" x14ac:dyDescent="0.35">
      <c r="G38"/>
      <c r="H38" s="230" t="s">
        <v>167</v>
      </c>
      <c r="J38" s="230">
        <f>J37/1.19</f>
        <v>37781.512605042015</v>
      </c>
      <c r="K38" s="250"/>
      <c r="L38" s="13"/>
      <c r="M38" s="14"/>
      <c r="N38" s="17">
        <f>N36/N35</f>
        <v>2.2000000000000002</v>
      </c>
      <c r="O38" s="15"/>
      <c r="P38"/>
      <c r="Q38"/>
      <c r="R38"/>
      <c r="S38" s="238"/>
      <c r="T38" s="59" t="s">
        <v>162</v>
      </c>
      <c r="U38" s="315" t="s">
        <v>161</v>
      </c>
      <c r="V38" s="59">
        <v>2.4</v>
      </c>
    </row>
    <row r="39" spans="2:23" s="230" customFormat="1" ht="17.399999999999999" x14ac:dyDescent="0.35">
      <c r="G39" s="23"/>
      <c r="K39" s="12"/>
      <c r="S39" s="238"/>
      <c r="T39" s="59" t="s">
        <v>163</v>
      </c>
      <c r="U39" s="316">
        <v>395.37</v>
      </c>
    </row>
    <row r="40" spans="2:23" s="230" customFormat="1" ht="17.399999999999999" x14ac:dyDescent="0.35">
      <c r="B40"/>
      <c r="C40" s="228"/>
      <c r="D40" s="22"/>
      <c r="E40" s="22"/>
      <c r="F40" s="21"/>
      <c r="G40" s="23"/>
      <c r="K40" s="12"/>
      <c r="S40" s="238"/>
      <c r="T40" s="59" t="s">
        <v>158</v>
      </c>
      <c r="U40" s="59">
        <v>474.45</v>
      </c>
    </row>
    <row r="41" spans="2:23" ht="14.4" customHeight="1" x14ac:dyDescent="0.3">
      <c r="K41" s="12"/>
      <c r="T41" s="59"/>
      <c r="U41" s="59"/>
    </row>
    <row r="42" spans="2:23" x14ac:dyDescent="0.3">
      <c r="K42" s="250"/>
    </row>
    <row r="43" spans="2:23" x14ac:dyDescent="0.3">
      <c r="K43" s="250"/>
      <c r="S43" s="270"/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27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149</v>
      </c>
    </row>
    <row r="73" spans="3:3" x14ac:dyDescent="0.3">
      <c r="C73" t="s">
        <v>148</v>
      </c>
    </row>
    <row r="76" spans="3:3" x14ac:dyDescent="0.3">
      <c r="C76" t="s">
        <v>148</v>
      </c>
    </row>
    <row r="153" spans="3:3" x14ac:dyDescent="0.3">
      <c r="C153" t="s">
        <v>148</v>
      </c>
    </row>
    <row r="154" spans="3:3" x14ac:dyDescent="0.3">
      <c r="C154" t="s">
        <v>150</v>
      </c>
    </row>
    <row r="155" spans="3:3" x14ac:dyDescent="0.3">
      <c r="C155" t="s">
        <v>151</v>
      </c>
    </row>
    <row r="580" spans="3:3" x14ac:dyDescent="0.3">
      <c r="C580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45300</v>
      </c>
    </row>
    <row r="6" spans="2:31" ht="16.2" thickBot="1" x14ac:dyDescent="0.35">
      <c r="B6" s="140" t="s">
        <v>2</v>
      </c>
      <c r="C6" s="139" t="str">
        <f>'2229'!C10</f>
        <v xml:space="preserve">CARLOS MONTERO 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10529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-49620.558366787445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558836</v>
      </c>
      <c r="E11" s="132">
        <f>D11*0.19</f>
        <v>106178.84</v>
      </c>
      <c r="F11" s="131">
        <f>E11+D11</f>
        <v>665014.84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56369.441633212555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158250.09078743961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38369.441633212555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400585.90921256039</v>
      </c>
      <c r="E13" s="221">
        <f>(D11/D12)-1</f>
        <v>2.5313471052008718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29369.441633212555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-9630.5583667874453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261112.64979927533</v>
      </c>
      <c r="F15" s="216">
        <f>E15-D12</f>
        <v>102862.55901183572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-9630.5583667874453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30369.441633212555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100000</v>
      </c>
      <c r="E19" s="123">
        <f>D19*0.19</f>
        <v>19000</v>
      </c>
      <c r="F19" s="120">
        <f>SUM(D19:E19)</f>
        <v>119000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28416.000000000004</v>
      </c>
      <c r="E20" s="121">
        <f>D20*0.19</f>
        <v>5399.0400000000009</v>
      </c>
      <c r="F20" s="120">
        <f>SUM(D20:E20)</f>
        <v>33815.040000000008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128416</v>
      </c>
      <c r="E21" s="116">
        <f>SUM(E18:E20)</f>
        <v>24399.040000000001</v>
      </c>
      <c r="F21" s="115">
        <f>SUM(F18:F20)</f>
        <v>152815.04000000001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81779.799999999988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558836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128416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400585.90921256039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400585.90921256039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2024-01-10T15:35:44Z</cp:lastPrinted>
  <dcterms:created xsi:type="dcterms:W3CDTF">2013-03-18T13:35:42Z</dcterms:created>
  <dcterms:modified xsi:type="dcterms:W3CDTF">2024-01-10T15:43:08Z</dcterms:modified>
</cp:coreProperties>
</file>