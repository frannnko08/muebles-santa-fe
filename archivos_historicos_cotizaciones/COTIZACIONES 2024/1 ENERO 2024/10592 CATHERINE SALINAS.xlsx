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13 ENERO 2024\"/>
    </mc:Choice>
  </mc:AlternateContent>
  <xr:revisionPtr revIDLastSave="0" documentId="13_ncr:1_{6E3C0A05-4522-4334-B211-E57A98CA9D4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L22" i="1"/>
  <c r="K22" i="1"/>
  <c r="N22" i="1" l="1"/>
  <c r="O22" i="1" s="1"/>
  <c r="K21" i="1"/>
  <c r="J40" i="1"/>
  <c r="L21" i="1"/>
  <c r="L25" i="1" s="1"/>
  <c r="L36" i="1" s="1"/>
  <c r="M21" i="1"/>
  <c r="N21" i="1" l="1"/>
  <c r="O21" i="1" s="1"/>
  <c r="O26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G21" i="1" s="1"/>
  <c r="F15" i="3"/>
  <c r="Q22" i="1" l="1"/>
  <c r="G22" i="1"/>
  <c r="Q21" i="1"/>
  <c r="H21" i="1" s="1"/>
  <c r="H22" i="1" l="1"/>
  <c r="H25" i="1" s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<sst xmlns="http://schemas.openxmlformats.org/spreadsheetml/2006/main" count="232" uniqueCount="175">
  <si>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</si>
  <si>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</si>
  <si>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</si>
  <si>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</si>
  <si>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</si>
  <si>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</si>
  <si>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</si>
  <si>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</si>
  <si>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</si>
  <si>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</si>
  <si>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</si>
  <si>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</si>
  <si>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</si>
  <si>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</si>
  <si>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</si>
  <si>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</si>
  <si>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</si>
  <si>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</si>
  <si>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</si>
  <si>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</si>
  <si>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</si>
  <si>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</si>
  <si>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</si>
  <si>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</si>
  <si>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</si>
  <si>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</si>
  <si>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</si>
  <si>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</si>
  <si>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</si>
  <si>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</si>
  <si>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</si>
  <si>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</si>
  <si>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</si>
  <si>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</si>
  <si>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</si>
  <si>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</si>
  <si>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</si>
  <si>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</si>
  <si>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</si>
  <si>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</si>
  <si>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</si>
  <si>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</si>
  <si>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</si>
  <si>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</si>
  <si>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</si>
  <si>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</si>
  <si>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</si>
  <si>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</si>
  <si>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</si>
  <si>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</si>
  <si>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</si>
  <si>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</si>
  <si>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</si>
  <si>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</si>
  <si>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</si>
  <si>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</si>
  <si>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</si>
  <si>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</si>
  <si>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</si>
  <si>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</si>
  <si>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</si>
  <si>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</si>
  <si>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</si>
  <si>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</si>
  <si>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</si>
  <si>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</si>
  <si>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</si>
  <si>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</si>
  <si>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</si>
  <si>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</si>
  <si>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</si>
  <si>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</si>
  <si>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</si>
  <si>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</si>
  <si>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</si>
  <si>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</si>
  <si>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</si>
  <si>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</si>
  <si>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</si>
  <si>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</si>
  <si>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</si>
  <si>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</si>
  <si>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</si>
  <si>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</si>
  <si>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</si>
  <si>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</si>
  <si>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</si>
  <si>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</si>
  <si>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</si>
  <si>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</si>
  <si>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</si>
  <si>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</si>
  <si>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</si>
  <si>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</si>
  <si>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</si>
  <si>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</si>
  <si>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</si>
  <si>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</si>
  <si>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</si>
  <si>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</si>
  <si>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</si>
  <si>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</si>
  <si>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</si>
  <si>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</si>
  <si>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</si>
  <si>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</si>
  <si>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</si>
  <si>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</si>
  <si>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</si>
  <si>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</si>
  <si>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</si>
  <si>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</si>
  <si>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</si>
  <si>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</si>
  <si>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</si>
  <si>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</si>
  <si>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</si>
  <si>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</si>
  <si>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</si>
  <si>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</si>
  <si>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</si>
  <si>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</si>
  <si>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</si>
  <si>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</si>
  <si>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</si>
  <si>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</si>
  <si>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</si>
  <si>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</si>
  <si>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</si>
  <si>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</si>
  <si>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</si>
  <si>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</si>
  <si>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</si>
  <si>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</si>
  <si>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</si>
  <si>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</si>
  <si>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</si>
  <si>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</si>
  <si>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</si>
  <si>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</si>
  <si>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</si>
  <si>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</si>
  <si>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</si>
  <si>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</si>
  <si>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</si>
  <si>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</si>
  <si>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</si>
  <si>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</si>
  <si>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</si>
  <si>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</si>
  <si>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</si>
  <si>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</si>
  <si>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</si>
  <si>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</si>
  <si>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</si>
  <si>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</si>
  <si>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</si>
  <si>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</si>
  <si>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</si>
  <si>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</si>
  <si>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</si>
  <si>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</si>
  <si>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</si>
  <si>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</si>
  <si>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</si>
  <si>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</si>
  <si>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</si>
  <si>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</si>
  <si>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</si>
  <si>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CUBIERTA CON RESPALDO R6</t>
  </si>
  <si>
    <t>SERVICIO DE INSTALACION</t>
  </si>
  <si>
    <t>+569 96559090</t>
  </si>
  <si>
    <t>SI</t>
  </si>
  <si>
    <t>JUAN GALEGUILLOS</t>
  </si>
  <si>
    <t>NATURAL 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</si>
</sst>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5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1626870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SERVICIO DE INSTALACION INCLUYE DESPACHO, DESMONTURA DE CUBIERTAS ANTIGUAS E INSTALACION DE LAS NUEVAS, TODOS LOS CORTES QUE SEAN NECESARIOS, TALES COMO, DESFONDADOS, CORTES 45°, CORTES A LA MEDIDA Y ENCHAPADOS.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C23" sqref="C23:F23"/>
    </sheetView>
  </sheetViews>
  <sheetFormatPr baseColWidth="10" defaultRowHeight="15" x14ac:dyDescent="0.25"/>
  <cols>
    <col min="1" max="1" width="6" customWidth="1"/>
    <col min="2" max="2" width="10.5703125" customWidth="1"/>
    <col min="3" max="3" width="52.7109375" customWidth="1"/>
    <col min="4" max="4" width="11.140625" customWidth="1"/>
    <col min="5" max="5" width="10.5703125" customWidth="1"/>
    <col min="6" max="6" width="33.8554687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301" t="s">
        <v>127</v>
      </c>
      <c r="C8" s="302"/>
      <c r="D8" s="303">
        <v>10591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20" t="s">
        <v>163</v>
      </c>
      <c r="C10" s="279" t="s">
        <v>173</v>
      </c>
      <c r="D10" s="243"/>
      <c r="E10" s="243"/>
      <c r="F10" s="244" t="s">
        <v>0</v>
      </c>
      <c r="G10" s="277">
        <v>45310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25">
      <c r="B14" s="288" t="s">
        <v>140</v>
      </c>
      <c r="C14" s="307"/>
      <c r="F14" s="29" t="s">
        <v>137</v>
      </c>
      <c r="G14" s="291" t="s">
        <v>172</v>
      </c>
      <c r="H14" s="290"/>
      <c r="J14" s="29"/>
      <c r="P14" s="20"/>
      <c r="Q14" s="26" t="s">
        <v>18</v>
      </c>
      <c r="R14" s="20"/>
    </row>
    <row r="15" spans="2:23" ht="15.75" x14ac:dyDescent="0.25">
      <c r="B15" s="246" t="s">
        <v>4</v>
      </c>
      <c r="C15" s="310" t="s">
        <v>171</v>
      </c>
      <c r="D15" s="295"/>
      <c r="E15" s="247"/>
      <c r="F15" s="247" t="s">
        <v>135</v>
      </c>
      <c r="G15" s="296" t="s">
        <v>172</v>
      </c>
      <c r="H15" s="248"/>
    </row>
    <row r="16" spans="2:23" ht="16.5" x14ac:dyDescent="0.3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.75" thickBot="1" x14ac:dyDescent="0.3">
      <c r="B17" s="297" t="s">
        <v>13</v>
      </c>
      <c r="C17" s="298" t="s">
        <v>167</v>
      </c>
      <c r="D17" s="299"/>
      <c r="E17" s="300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89859.440559440554</v>
      </c>
      <c r="Q20" s="258">
        <v>3000</v>
      </c>
      <c r="R20" s="38"/>
      <c r="S20" s="14" t="s">
        <v>129</v>
      </c>
      <c r="T20" s="9"/>
      <c r="W20" s="4"/>
    </row>
    <row r="21" spans="2:24" ht="17.25" x14ac:dyDescent="0.25">
      <c r="B21" s="324">
        <v>1</v>
      </c>
      <c r="C21" s="325" t="s">
        <v>169</v>
      </c>
      <c r="D21" s="326">
        <v>1.5</v>
      </c>
      <c r="E21" s="326">
        <v>0.55000000000000004</v>
      </c>
      <c r="F21" s="349" t="s">
        <v>174</v>
      </c>
      <c r="G21" s="327">
        <f>P21</f>
        <v>76605.173076923093</v>
      </c>
      <c r="H21" s="328">
        <f>G21*B21</f>
        <v>76605.173076923093</v>
      </c>
      <c r="I21" s="265"/>
      <c r="J21" s="47"/>
      <c r="K21" s="47">
        <f>B21</f>
        <v>1</v>
      </c>
      <c r="L21" s="39">
        <f t="shared" ref="L21" si="1">D21+L$19</f>
        <v>1.55</v>
      </c>
      <c r="M21" s="39">
        <f t="shared" ref="M21" si="2">E21+M$19</f>
        <v>0.55000000000000004</v>
      </c>
      <c r="N21" s="261">
        <f t="shared" ref="N21" si="3">L21*M21</f>
        <v>0.85250000000000015</v>
      </c>
      <c r="O21" s="259">
        <f t="shared" ref="O21" si="4">N21*K21</f>
        <v>0.85250000000000015</v>
      </c>
      <c r="P21" s="252">
        <f t="shared" ref="P21" si="5">P$20*N21</f>
        <v>76605.173076923093</v>
      </c>
      <c r="Q21" s="258">
        <f t="shared" ref="Q21" si="6">P21+Q$20</f>
        <v>79605.173076923093</v>
      </c>
      <c r="R21" s="309"/>
      <c r="S21" s="14"/>
      <c r="T21" s="9"/>
      <c r="W21" s="4"/>
    </row>
    <row r="22" spans="2:24" ht="17.25" x14ac:dyDescent="0.25">
      <c r="B22" s="344">
        <v>1</v>
      </c>
      <c r="C22" s="345" t="s">
        <v>169</v>
      </c>
      <c r="D22" s="346">
        <v>1</v>
      </c>
      <c r="E22" s="346">
        <v>0.55000000000000004</v>
      </c>
      <c r="F22" s="349" t="s">
        <v>174</v>
      </c>
      <c r="G22" s="347">
        <f>P22</f>
        <v>51893.826923076929</v>
      </c>
      <c r="H22" s="351">
        <f>G22*B22</f>
        <v>51893.826923076929</v>
      </c>
      <c r="I22" s="265"/>
      <c r="J22" s="47"/>
      <c r="K22" s="47">
        <f t="shared" ref="K22" si="7">B22</f>
        <v>1</v>
      </c>
      <c r="L22" s="39">
        <f t="shared" ref="L22" si="8">D22+L$19</f>
        <v>1.05</v>
      </c>
      <c r="M22" s="39">
        <f t="shared" ref="M22" si="9">E22+M$19</f>
        <v>0.55000000000000004</v>
      </c>
      <c r="N22" s="261">
        <f t="shared" ref="N22" si="10">L22*M22</f>
        <v>0.57750000000000012</v>
      </c>
      <c r="O22" s="259">
        <f t="shared" ref="O22" si="11">N22*K22</f>
        <v>0.57750000000000012</v>
      </c>
      <c r="P22" s="252">
        <f t="shared" ref="P22" si="12">P$20*N22</f>
        <v>51893.826923076929</v>
      </c>
      <c r="Q22" s="258">
        <f t="shared" ref="Q22" si="13">P22+Q$20</f>
        <v>54893.826923076929</v>
      </c>
      <c r="R22" s="309"/>
      <c r="S22" s="14"/>
      <c r="T22" s="9"/>
      <c r="W22" s="4"/>
    </row>
    <row r="23" spans="2:24" ht="18" thickBot="1" x14ac:dyDescent="0.3">
      <c r="B23" s="329">
        <v>1</v>
      </c>
      <c r="C23" s="348" t="s">
        <v>170</v>
      </c>
      <c r="D23" s="348"/>
      <c r="E23" s="348"/>
      <c r="F23" s="350"/>
      <c r="G23" s="330">
        <v>120000</v>
      </c>
      <c r="H23" s="331">
        <v>120000</v>
      </c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8" thickBot="1" x14ac:dyDescent="0.3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25" x14ac:dyDescent="0.25">
      <c r="B25" s="286"/>
      <c r="C25" s="286"/>
      <c r="D25" s="287"/>
      <c r="E25" s="287"/>
      <c r="F25" s="286"/>
      <c r="G25" s="311" t="s">
        <v>29</v>
      </c>
      <c r="H25" s="312">
        <f>SUM(H21:H23)</f>
        <v>248499.00000000003</v>
      </c>
      <c r="I25" s="265"/>
      <c r="J25" s="47"/>
      <c r="K25" s="47"/>
      <c r="L25" s="39">
        <f>SUM(L21:L24)</f>
        <v>2.6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25" x14ac:dyDescent="0.25">
      <c r="B26" s="280"/>
      <c r="C26" s="283"/>
      <c r="D26" s="284"/>
      <c r="E26" s="284"/>
      <c r="F26" s="285"/>
      <c r="G26" s="308" t="s">
        <v>52</v>
      </c>
      <c r="H26" s="305">
        <f>H25*19%</f>
        <v>47214.810000000005</v>
      </c>
      <c r="I26" s="265"/>
      <c r="J26" s="47"/>
      <c r="K26" s="47"/>
      <c r="L26" s="39"/>
      <c r="M26" s="12"/>
      <c r="N26" s="12"/>
      <c r="O26" s="253">
        <f>SUM(O21:O22)</f>
        <v>1.4300000000000002</v>
      </c>
      <c r="P26" s="14"/>
      <c r="Q26" s="12"/>
      <c r="R26" s="239"/>
      <c r="S26" s="14"/>
      <c r="T26" s="9"/>
      <c r="W26" s="4"/>
    </row>
    <row r="27" spans="2:24" ht="18" thickBot="1" x14ac:dyDescent="0.3">
      <c r="B27" s="276"/>
      <c r="C27" s="282"/>
      <c r="D27" s="272"/>
      <c r="E27" s="272"/>
      <c r="F27" s="273"/>
      <c r="G27" s="281" t="s">
        <v>6</v>
      </c>
      <c r="H27" s="306">
        <f>H25+H26</f>
        <v>295713.81000000006</v>
      </c>
      <c r="I27" s="265"/>
      <c r="J27" s="47"/>
      <c r="K27" s="47"/>
      <c r="L27" s="39"/>
      <c r="M27" s="12"/>
      <c r="N27" s="12"/>
      <c r="O27" s="253">
        <f>O26</f>
        <v>1.4300000000000002</v>
      </c>
      <c r="P27" s="14"/>
      <c r="Q27" s="12"/>
      <c r="R27" s="239">
        <f>SUM(R21:R26)</f>
        <v>0</v>
      </c>
      <c r="S27" s="14"/>
      <c r="T27" s="9"/>
      <c r="W27" s="4"/>
    </row>
    <row r="28" spans="2:24" ht="17.25" x14ac:dyDescent="0.25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0.28600000000000003</v>
      </c>
      <c r="P28" s="39" t="s">
        <v>131</v>
      </c>
      <c r="Q28" s="42"/>
      <c r="R28" s="240"/>
      <c r="S28" s="14"/>
      <c r="T28" s="9"/>
      <c r="W28" s="4"/>
    </row>
    <row r="29" spans="2:24" ht="17.25" x14ac:dyDescent="0.25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1.7160000000000002</v>
      </c>
      <c r="P29" s="14"/>
      <c r="Q29" s="14"/>
      <c r="R29" s="238">
        <v>40</v>
      </c>
      <c r="S29" s="14"/>
      <c r="T29" s="9"/>
      <c r="W29" s="4"/>
    </row>
    <row r="30" spans="2:24" ht="17.25" x14ac:dyDescent="0.3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7" t="s">
        <v>22</v>
      </c>
      <c r="U30" s="314" t="s">
        <v>153</v>
      </c>
      <c r="V30" s="318">
        <v>44971</v>
      </c>
      <c r="W30" s="319"/>
    </row>
    <row r="31" spans="2:24" ht="17.25" x14ac:dyDescent="0.3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1.7160000000000002</v>
      </c>
      <c r="M31" s="12">
        <v>2500</v>
      </c>
      <c r="N31" s="12">
        <f t="shared" ref="N31:N36" si="14">L31*M31</f>
        <v>4290.0000000000009</v>
      </c>
      <c r="O31" s="14" t="s">
        <v>22</v>
      </c>
      <c r="P31" s="14"/>
      <c r="Q31" s="14"/>
      <c r="R31" s="241"/>
      <c r="S31" s="14"/>
      <c r="T31" s="317" t="s">
        <v>154</v>
      </c>
      <c r="U31" s="314">
        <v>3625</v>
      </c>
      <c r="V31" s="59" t="s">
        <v>155</v>
      </c>
      <c r="W31" s="319"/>
    </row>
    <row r="32" spans="2:24" ht="17.25" x14ac:dyDescent="0.3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14"/>
        <v>12500</v>
      </c>
      <c r="O32" s="39" t="s">
        <v>32</v>
      </c>
      <c r="P32" s="42"/>
      <c r="Q32" s="14"/>
      <c r="R32" s="240"/>
      <c r="S32" s="14"/>
      <c r="T32" s="317"/>
      <c r="U32" s="59">
        <v>906.25</v>
      </c>
      <c r="V32" s="59" t="s">
        <v>156</v>
      </c>
      <c r="W32" s="319"/>
    </row>
    <row r="33" spans="2:23" s="230" customFormat="1" ht="17.25" x14ac:dyDescent="0.3">
      <c r="I33" s="262"/>
      <c r="J33" s="232"/>
      <c r="K33" s="250"/>
      <c r="L33" s="14"/>
      <c r="M33" s="250">
        <v>46500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9" t="s">
        <v>157</v>
      </c>
      <c r="W33" s="59"/>
    </row>
    <row r="34" spans="2:23" s="230" customFormat="1" ht="17.25" x14ac:dyDescent="0.3">
      <c r="B34" s="24" t="s">
        <v>152</v>
      </c>
      <c r="I34" s="262"/>
      <c r="J34" s="232"/>
      <c r="K34" s="250"/>
      <c r="L34" s="14">
        <v>1</v>
      </c>
      <c r="M34" s="250">
        <v>40500</v>
      </c>
      <c r="N34" s="12">
        <f t="shared" si="14"/>
        <v>40500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9" t="s">
        <v>158</v>
      </c>
      <c r="W34" s="59"/>
    </row>
    <row r="35" spans="2:23" s="230" customFormat="1" ht="17.25" x14ac:dyDescent="0.3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25" x14ac:dyDescent="0.3">
      <c r="B36" s="29" t="s">
        <v>126</v>
      </c>
      <c r="C36"/>
      <c r="D36"/>
      <c r="E36"/>
      <c r="F36" s="229" t="s">
        <v>16</v>
      </c>
      <c r="I36" s="304"/>
      <c r="K36" s="250"/>
      <c r="L36" s="266">
        <f>L25</f>
        <v>2.6</v>
      </c>
      <c r="M36" s="12">
        <v>1500</v>
      </c>
      <c r="N36" s="12">
        <f t="shared" si="14"/>
        <v>3900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25" x14ac:dyDescent="0.3">
      <c r="K37" s="250"/>
      <c r="L37" s="14"/>
      <c r="M37" s="12"/>
      <c r="N37" s="12">
        <f>SUM(N31:N36)</f>
        <v>61190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25" x14ac:dyDescent="0.3">
      <c r="K38" s="250"/>
      <c r="L38" s="254" t="s">
        <v>34</v>
      </c>
      <c r="M38" s="12"/>
      <c r="N38" s="255">
        <f>N37*2.1</f>
        <v>128499</v>
      </c>
      <c r="O38" s="14" t="s">
        <v>141</v>
      </c>
      <c r="P38" s="14"/>
      <c r="Q38" s="40">
        <f>O29/Q37</f>
        <v>0.46268334771354619</v>
      </c>
      <c r="R38"/>
      <c r="S38" s="257"/>
    </row>
    <row r="39" spans="2:23" s="230" customFormat="1" ht="17.25" x14ac:dyDescent="0.3">
      <c r="G39"/>
      <c r="H39" s="260"/>
      <c r="I39" s="260"/>
      <c r="J39" s="230">
        <v>48209</v>
      </c>
      <c r="K39" s="250"/>
      <c r="L39" s="14"/>
      <c r="M39" s="12"/>
      <c r="N39" s="12">
        <f>N38/O27</f>
        <v>89859.440559440554</v>
      </c>
      <c r="O39" s="45" t="s">
        <v>25</v>
      </c>
      <c r="P39" s="14"/>
      <c r="Q39" s="14"/>
      <c r="R39"/>
      <c r="S39" s="238"/>
      <c r="T39" s="59" t="s">
        <v>159</v>
      </c>
      <c r="U39" s="314">
        <v>43650</v>
      </c>
    </row>
    <row r="40" spans="2:23" s="230" customFormat="1" ht="17.25" x14ac:dyDescent="0.3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2.1</v>
      </c>
      <c r="O40" s="15"/>
      <c r="P40"/>
      <c r="Q40"/>
      <c r="R40"/>
      <c r="S40" s="238"/>
      <c r="T40" s="59" t="s">
        <v>161</v>
      </c>
      <c r="U40" s="315" t="s">
        <v>160</v>
      </c>
      <c r="V40" s="59">
        <v>2.4</v>
      </c>
    </row>
    <row r="41" spans="2:23" s="230" customFormat="1" ht="17.25" x14ac:dyDescent="0.3">
      <c r="G41" s="23"/>
      <c r="K41" s="12"/>
      <c r="S41" s="238"/>
      <c r="T41" s="59" t="s">
        <v>162</v>
      </c>
      <c r="U41" s="316">
        <v>395.37</v>
      </c>
    </row>
    <row r="42" spans="2:23" s="230" customFormat="1" ht="17.25" x14ac:dyDescent="0.3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5" customHeight="1" x14ac:dyDescent="0.25">
      <c r="K43" s="12"/>
      <c r="T43" s="59"/>
      <c r="U43" s="59"/>
    </row>
    <row r="44" spans="2:23" x14ac:dyDescent="0.25">
      <c r="K44" s="250"/>
    </row>
    <row r="45" spans="2:23" x14ac:dyDescent="0.25">
      <c r="K45" s="250"/>
      <c r="S45" s="270"/>
    </row>
    <row r="46" spans="2:23" x14ac:dyDescent="0.25">
      <c r="K46" s="250"/>
    </row>
    <row r="47" spans="2:23" ht="15" customHeight="1" x14ac:dyDescent="0.25"/>
    <row r="49" spans="14:19" x14ac:dyDescent="0.25">
      <c r="N49">
        <v>40935</v>
      </c>
      <c r="O49" t="s">
        <v>17</v>
      </c>
      <c r="P49" t="s">
        <v>27</v>
      </c>
    </row>
    <row r="51" spans="14:19" x14ac:dyDescent="0.25">
      <c r="N51" s="54"/>
      <c r="O51" s="54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0" spans="14:19" x14ac:dyDescent="0.25">
      <c r="R60" s="18"/>
      <c r="S60" s="18"/>
    </row>
    <row r="63" spans="14:19" x14ac:dyDescent="0.25">
      <c r="N63" s="43"/>
    </row>
    <row r="64" spans="14:19" x14ac:dyDescent="0.25">
      <c r="N64" s="43"/>
    </row>
    <row r="65" spans="3:14" x14ac:dyDescent="0.25">
      <c r="N65" s="6"/>
    </row>
    <row r="66" spans="3:14" x14ac:dyDescent="0.25">
      <c r="N66" s="6"/>
    </row>
    <row r="74" spans="3:14" x14ac:dyDescent="0.25">
      <c r="C74" t="s">
        <v>149</v>
      </c>
    </row>
    <row r="75" spans="3:14" x14ac:dyDescent="0.25">
      <c r="C75" t="s">
        <v>148</v>
      </c>
    </row>
    <row r="78" spans="3:14" x14ac:dyDescent="0.25">
      <c r="C78" t="s">
        <v>148</v>
      </c>
    </row>
    <row r="155" spans="3:3" x14ac:dyDescent="0.25">
      <c r="C155" t="s">
        <v>148</v>
      </c>
    </row>
    <row r="156" spans="3:3" x14ac:dyDescent="0.25">
      <c r="C156" t="s">
        <v>150</v>
      </c>
    </row>
    <row r="157" spans="3:3" x14ac:dyDescent="0.25">
      <c r="C157" t="s">
        <v>151</v>
      </c>
    </row>
    <row r="582" spans="3:3" x14ac:dyDescent="0.25">
      <c r="C582" t="s">
        <v>148</v>
      </c>
    </row>
  </sheetData>
  <mergeCells count="3">
    <mergeCell ref="F17:H17"/>
    <mergeCell ref="B19:H19"/>
    <mergeCell ref="C23:F23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45310</v>
      </c>
    </row>
    <row r="6" spans="2:31" ht="16.5" thickBot="1" x14ac:dyDescent="0.3">
      <c r="B6" s="140" t="s">
        <v>2</v>
      </c>
      <c r="C6" s="139" t="str">
        <f>'2229'!C10</f>
        <v>JUAN GALEGUILLOS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>
        <f>'2229'!D8</f>
        <v>10591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-28594.875033454111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'2229'!H25</f>
        <v>248499.00000000003</v>
      </c>
      <c r="E11" s="132">
        <f>D11*0.19</f>
        <v>47214.810000000005</v>
      </c>
      <c r="F11" s="131">
        <f>E11+D11</f>
        <v>295713.81000000006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77395.124966545889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46624.090787439614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59395.124966545889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201874.90921256042</v>
      </c>
      <c r="E13" s="221">
        <f>(D11/D12)-1</f>
        <v>4.3298412001836803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50395.124966545889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11395.124966545889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76929.749799275363</v>
      </c>
      <c r="F15" s="216">
        <f>E15-D12</f>
        <v>30305.659011835749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11395.124966545889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51395.124966545889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'2229'!N31</f>
        <v>4290.0000000000009</v>
      </c>
      <c r="E20" s="121">
        <f>D20*0.19</f>
        <v>815.10000000000014</v>
      </c>
      <c r="F20" s="120">
        <f>SUM(D20:E20)</f>
        <v>5105.1000000000013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16790</v>
      </c>
      <c r="E21" s="116">
        <f>SUM(E18:E20)</f>
        <v>3190.1000000000004</v>
      </c>
      <c r="F21" s="115">
        <f>SUM(F18:F20)</f>
        <v>19980.100000000002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44024.710000000006</v>
      </c>
    </row>
    <row r="41" spans="2:16" ht="15.75" thickBot="1" x14ac:dyDescent="0.3">
      <c r="H41" s="341" t="s">
        <v>61</v>
      </c>
      <c r="I41" s="342"/>
      <c r="J41" s="342"/>
      <c r="K41" s="342"/>
      <c r="L41" s="342"/>
      <c r="M41" s="343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248499.00000000003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16790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201874.90921256042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201874.90921256042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2024-01-19T15:29:11Z</cp:lastPrinted>
  <dcterms:created xsi:type="dcterms:W3CDTF">2013-03-18T13:35:42Z</dcterms:created>
  <dcterms:modified xsi:type="dcterms:W3CDTF">2024-01-19T17:19:31Z</dcterms:modified>
</cp:coreProperties>
</file>