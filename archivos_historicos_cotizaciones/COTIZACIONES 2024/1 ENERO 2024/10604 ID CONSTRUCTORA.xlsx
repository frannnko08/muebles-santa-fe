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C1B9BEB-E83C-4625-A543-9B7F46559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K23" i="1"/>
  <c r="K24" i="1"/>
  <c r="K21" i="1"/>
  <c r="M22" i="1"/>
  <c r="N22" i="1" s="1"/>
  <c r="L22" i="1"/>
  <c r="J40" i="1"/>
  <c r="L21" i="1"/>
  <c r="M21" i="1"/>
  <c r="L23" i="1"/>
  <c r="M23" i="1"/>
  <c r="L24" i="1"/>
  <c r="M24" i="1"/>
  <c r="N24" i="1" l="1"/>
  <c r="O24" i="1"/>
  <c r="N23" i="1"/>
  <c r="O23" i="1" s="1"/>
  <c r="N21" i="1"/>
  <c r="O21" i="1" s="1"/>
  <c r="L27" i="1" l="1"/>
  <c r="O28" i="1" l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P22" i="1" s="1"/>
  <c r="Q22" i="1" s="1"/>
  <c r="E15" i="3"/>
  <c r="P21" i="1" l="1"/>
  <c r="Q21" i="1" s="1"/>
  <c r="H21" i="1" s="1"/>
  <c r="P24" i="1"/>
  <c r="Q24" i="1" s="1"/>
  <c r="H24" i="1" s="1"/>
  <c r="P23" i="1"/>
  <c r="Q23" i="1" s="1"/>
  <c r="H23" i="1" s="1"/>
  <c r="F15" i="3"/>
  <c r="H27" i="1" l="1"/>
  <c r="R29" i="1"/>
  <c r="H28" i="1" l="1"/>
  <c r="H29" i="1" s="1"/>
  <c r="D11" i="3" l="1"/>
  <c r="X9" i="3" s="1"/>
  <c r="X15" i="3" s="1"/>
  <c r="E13" i="3" l="1"/>
  <c r="D13" i="3"/>
  <c r="X13" i="3"/>
  <c r="M42" i="3"/>
  <c r="M46" i="3" s="1"/>
  <c r="M49" i="3" s="1"/>
  <c r="X11" i="3"/>
  <c r="E11" i="3"/>
  <c r="D40" i="3" s="1"/>
  <c r="X16" i="3"/>
  <c r="X12" i="3"/>
  <c r="X14" i="3"/>
  <c r="F11" i="3" l="1"/>
</calcChain>
</file>

<file path=xl/sharedStrings.xml><?xml version="1.0" encoding="utf-8"?>
<sst xmlns="http://schemas.openxmlformats.org/spreadsheetml/2006/main" count="227" uniqueCount="167">
  <si>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</si>
  <si>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</si>
  <si>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</si>
  <si>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</si>
  <si>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</si>
  <si>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</si>
  <si>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</si>
  <si>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</si>
  <si>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</si>
  <si>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</si>
  <si>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</si>
  <si>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</si>
  <si>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</si>
  <si>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</si>
  <si>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</si>
  <si>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</si>
  <si>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</si>
  <si>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</si>
  <si>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</si>
  <si>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</si>
  <si>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</si>
  <si>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</si>
  <si>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</si>
  <si>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</si>
  <si>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</si>
  <si>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</si>
  <si>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</si>
  <si>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</si>
  <si>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</si>
  <si>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</si>
  <si>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</si>
  <si>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</si>
  <si>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</si>
  <si>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</si>
  <si>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</si>
  <si>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</si>
  <si>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</si>
  <si>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</si>
  <si>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</si>
  <si>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</si>
  <si>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</si>
  <si>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</si>
  <si>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</si>
  <si>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</si>
  <si>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</si>
  <si>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</si>
  <si>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</si>
  <si>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</si>
  <si>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</si>
  <si>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</si>
  <si>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</si>
  <si>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</si>
  <si>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</si>
  <si>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</si>
  <si>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</si>
  <si>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</si>
  <si>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</si>
  <si>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</si>
  <si>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</si>
  <si>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</si>
  <si>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</si>
  <si>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</si>
  <si>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</si>
  <si>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</si>
  <si>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</si>
  <si>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</si>
  <si>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</si>
  <si>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</si>
  <si>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</si>
  <si>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</si>
  <si>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</si>
  <si>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</si>
  <si>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</si>
  <si>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</si>
  <si>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</si>
  <si>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</si>
  <si>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</si>
  <si>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</si>
  <si>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</si>
  <si>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</si>
  <si>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</si>
  <si>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</si>
  <si>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</si>
  <si>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</si>
  <si>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</si>
  <si>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</si>
  <si>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</si>
  <si>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</si>
  <si>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</si>
  <si>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</si>
  <si>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</si>
  <si>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</si>
  <si>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</si>
  <si>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</si>
  <si>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</si>
  <si>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</si>
  <si>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</si>
  <si>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</si>
  <si>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</si>
  <si>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</si>
  <si>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</si>
  <si>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</si>
  <si>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</si>
  <si>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</si>
  <si>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</si>
  <si>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</si>
  <si>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</si>
  <si>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</si>
  <si>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</si>
  <si>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</si>
  <si>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</si>
  <si>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</si>
  <si>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</si>
  <si>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</si>
  <si>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</si>
  <si>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</si>
  <si>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</si>
  <si>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</si>
  <si>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</si>
  <si>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</si>
  <si>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</si>
  <si>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</si>
  <si>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</si>
  <si>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</si>
  <si>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</si>
  <si>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</si>
  <si>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</si>
  <si>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</si>
  <si>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</si>
  <si>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</si>
  <si>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</si>
  <si>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</si>
  <si>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</si>
  <si>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</si>
  <si>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</si>
  <si>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</si>
  <si>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</si>
  <si>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</si>
  <si>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</si>
  <si>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</si>
  <si>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</si>
  <si>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</si>
  <si>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</si>
  <si>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</si>
  <si>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</si>
  <si>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</si>
  <si>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</si>
  <si>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</si>
  <si>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</si>
  <si>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</si>
  <si>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</si>
  <si>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</si>
  <si>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</si>
  <si>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</si>
  <si>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</si>
  <si>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 xml:space="preserve">ID CONSTRUCTORA </t>
  </si>
  <si>
    <t>adolfo.torres@ldconstructora.cl</t>
  </si>
  <si>
    <t>+56978004186</t>
  </si>
  <si>
    <t xml:space="preserve">PALACIO RIESCO 4387, HUECHURABA </t>
  </si>
  <si>
    <t>CORNISAS 1 LADO 180°</t>
  </si>
  <si>
    <t>7 DIAS HABILES</t>
  </si>
  <si>
    <t>DURACION COTIZACION: 5 DIAS                            F.DONOSO</t>
  </si>
  <si>
    <t>96528140-1</t>
  </si>
  <si>
    <t>ORDEN DE COMPRA:</t>
  </si>
  <si>
    <t>ANGELO PALACIOS</t>
  </si>
  <si>
    <t>SI A BODEGA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</si>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</sst>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167" fontId="0" fillId="2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5</xdr:col>
      <xdr:colOff>1764030</xdr:colOff>
      <xdr:row>29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REGRUESO INTERIOR 2</a:t>
          </a:r>
          <a:r>
            <a:rPr lang="es-CL" sz="1200" b="1" baseline="0"/>
            <a:t> CMS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1518043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olfo.torres@ldconstructora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Normal="100" workbookViewId="0">
      <selection activeCell="O22" sqref="O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2" t="s">
        <v>128</v>
      </c>
      <c r="C8" s="303"/>
      <c r="D8" s="304">
        <v>10604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3" t="s">
        <v>2</v>
      </c>
      <c r="C10" s="280" t="s">
        <v>155</v>
      </c>
      <c r="D10" s="244"/>
      <c r="E10" s="244"/>
      <c r="F10" s="245" t="s">
        <v>0</v>
      </c>
      <c r="G10" s="278">
        <v>45322</v>
      </c>
      <c r="H10" s="246"/>
      <c r="J10" s="1"/>
      <c r="Q10" s="2"/>
      <c r="R10" s="3"/>
      <c r="S10" s="3"/>
      <c r="T10" s="4"/>
      <c r="U10" s="2"/>
      <c r="V10" s="3"/>
    </row>
    <row r="11" spans="2:23" ht="16.8" x14ac:dyDescent="0.4">
      <c r="B11" s="289" t="s">
        <v>12</v>
      </c>
      <c r="C11" s="314" t="s">
        <v>162</v>
      </c>
      <c r="F11" t="s">
        <v>125</v>
      </c>
      <c r="G11" s="290" t="s">
        <v>160</v>
      </c>
      <c r="H11" s="291"/>
      <c r="P11" s="19"/>
      <c r="Q11" s="25" t="s">
        <v>19</v>
      </c>
      <c r="R11" s="19"/>
    </row>
    <row r="12" spans="2:23" ht="16.8" x14ac:dyDescent="0.4">
      <c r="B12" s="247" t="s">
        <v>147</v>
      </c>
      <c r="C12" s="314"/>
      <c r="D12" s="248"/>
      <c r="E12" s="248"/>
      <c r="F12" s="248" t="s">
        <v>129</v>
      </c>
      <c r="G12" s="279" t="s">
        <v>137</v>
      </c>
      <c r="H12" s="249"/>
      <c r="P12" s="19"/>
      <c r="Q12" s="25"/>
      <c r="R12" s="19"/>
    </row>
    <row r="13" spans="2:23" x14ac:dyDescent="0.3">
      <c r="B13" s="247" t="s">
        <v>148</v>
      </c>
      <c r="C13" t="s">
        <v>164</v>
      </c>
      <c r="D13" s="248"/>
      <c r="E13" s="248"/>
      <c r="F13" s="248" t="s">
        <v>163</v>
      </c>
      <c r="G13" s="279"/>
      <c r="H13" s="249"/>
      <c r="P13" s="19"/>
      <c r="Q13" s="25"/>
      <c r="R13" s="19"/>
    </row>
    <row r="14" spans="2:23" x14ac:dyDescent="0.3">
      <c r="B14" s="289" t="s">
        <v>141</v>
      </c>
      <c r="C14" s="308" t="s">
        <v>156</v>
      </c>
      <c r="F14" s="29" t="s">
        <v>138</v>
      </c>
      <c r="G14" s="292"/>
      <c r="H14" s="291"/>
      <c r="J14" s="29"/>
      <c r="P14" s="20"/>
      <c r="Q14" s="26" t="s">
        <v>18</v>
      </c>
      <c r="R14" s="20"/>
    </row>
    <row r="15" spans="2:23" ht="15.6" x14ac:dyDescent="0.3">
      <c r="B15" s="247" t="s">
        <v>4</v>
      </c>
      <c r="C15" s="311" t="s">
        <v>157</v>
      </c>
      <c r="D15" s="296"/>
      <c r="E15" s="248"/>
      <c r="F15" s="248" t="s">
        <v>136</v>
      </c>
      <c r="G15" s="297" t="s">
        <v>165</v>
      </c>
      <c r="H15" s="249"/>
    </row>
    <row r="16" spans="2:23" ht="16.8" x14ac:dyDescent="0.4">
      <c r="B16" s="293" t="s">
        <v>3</v>
      </c>
      <c r="C16" s="314" t="s">
        <v>158</v>
      </c>
      <c r="F16" s="294" t="s">
        <v>131</v>
      </c>
      <c r="G16" s="295"/>
      <c r="H16" s="291"/>
    </row>
    <row r="17" spans="2:24" ht="15" thickBot="1" x14ac:dyDescent="0.35">
      <c r="B17" s="298" t="s">
        <v>13</v>
      </c>
      <c r="C17" s="299" t="s">
        <v>154</v>
      </c>
      <c r="D17" s="300"/>
      <c r="E17" s="301"/>
      <c r="F17" s="325" t="s">
        <v>161</v>
      </c>
      <c r="G17" s="325"/>
      <c r="H17" s="326"/>
      <c r="I17" s="264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5"/>
      <c r="J19" s="5"/>
      <c r="K19" s="251"/>
      <c r="L19" s="14">
        <v>0.05</v>
      </c>
      <c r="M19" s="14"/>
      <c r="N19" s="14"/>
      <c r="O19" s="252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6"/>
      <c r="J20" s="47"/>
      <c r="K20" s="269" t="str">
        <f>B20</f>
        <v>UNIDAD</v>
      </c>
      <c r="L20" s="268" t="s">
        <v>133</v>
      </c>
      <c r="M20" s="39" t="str">
        <f>E20</f>
        <v>ANCHO</v>
      </c>
      <c r="N20" s="262" t="s">
        <v>134</v>
      </c>
      <c r="O20" s="260" t="s">
        <v>17</v>
      </c>
      <c r="P20" s="253">
        <f>N41</f>
        <v>128742.37995824635</v>
      </c>
      <c r="Q20" s="259">
        <v>6000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4</v>
      </c>
      <c r="C21" s="315" t="s">
        <v>159</v>
      </c>
      <c r="D21" s="316">
        <v>1.6</v>
      </c>
      <c r="E21" s="316">
        <v>0.28000000000000003</v>
      </c>
      <c r="F21" s="315" t="s">
        <v>166</v>
      </c>
      <c r="G21" s="317">
        <v>38709</v>
      </c>
      <c r="H21" s="318">
        <f t="shared" ref="H21:H24" si="0">G21*B21</f>
        <v>154836</v>
      </c>
      <c r="I21" s="266"/>
      <c r="J21" s="47">
        <v>8</v>
      </c>
      <c r="K21" s="47">
        <f>B21</f>
        <v>4</v>
      </c>
      <c r="L21" s="39">
        <f t="shared" ref="L21:M24" si="1">D21+L$19</f>
        <v>1.6500000000000001</v>
      </c>
      <c r="M21" s="39">
        <f t="shared" si="1"/>
        <v>0.28000000000000003</v>
      </c>
      <c r="N21" s="262">
        <f t="shared" ref="N21:N24" si="2">L21*M21</f>
        <v>0.46200000000000008</v>
      </c>
      <c r="O21" s="260">
        <f t="shared" ref="O21:O24" si="3">N21*K21</f>
        <v>1.8480000000000003</v>
      </c>
      <c r="P21" s="253">
        <f t="shared" ref="P21:P24" si="4">P$20*N21</f>
        <v>59478.979540709828</v>
      </c>
      <c r="Q21" s="259">
        <f t="shared" ref="Q21:Q24" si="5">P21+Q$20</f>
        <v>65478.979540709828</v>
      </c>
      <c r="R21" s="310"/>
      <c r="S21" s="14"/>
      <c r="T21" s="9"/>
      <c r="W21" s="4"/>
    </row>
    <row r="22" spans="2:24" ht="17.399999999999999" x14ac:dyDescent="0.3">
      <c r="B22" s="323">
        <v>56</v>
      </c>
      <c r="C22" s="315" t="s">
        <v>159</v>
      </c>
      <c r="D22" s="316">
        <v>1.6</v>
      </c>
      <c r="E22" s="316">
        <v>0.2</v>
      </c>
      <c r="F22" s="315" t="s">
        <v>166</v>
      </c>
      <c r="G22" s="317">
        <v>30507</v>
      </c>
      <c r="H22" s="318">
        <f t="shared" si="0"/>
        <v>1708392</v>
      </c>
      <c r="I22" s="266"/>
      <c r="J22" s="47"/>
      <c r="K22" s="47">
        <f t="shared" ref="K22:K24" si="6">B22</f>
        <v>56</v>
      </c>
      <c r="L22" s="39">
        <f t="shared" si="1"/>
        <v>1.6500000000000001</v>
      </c>
      <c r="M22" s="39">
        <f t="shared" si="1"/>
        <v>0.2</v>
      </c>
      <c r="N22" s="262">
        <f t="shared" si="2"/>
        <v>0.33000000000000007</v>
      </c>
      <c r="O22" s="260">
        <v>0</v>
      </c>
      <c r="P22" s="253">
        <f t="shared" si="4"/>
        <v>42484.985386221306</v>
      </c>
      <c r="Q22" s="259">
        <f t="shared" si="5"/>
        <v>48484.985386221306</v>
      </c>
      <c r="R22" s="310"/>
      <c r="S22" s="14"/>
      <c r="T22" s="9"/>
      <c r="W22" s="4"/>
    </row>
    <row r="23" spans="2:24" ht="17.399999999999999" x14ac:dyDescent="0.3">
      <c r="B23" s="323">
        <v>4</v>
      </c>
      <c r="C23" s="315" t="s">
        <v>159</v>
      </c>
      <c r="D23" s="316">
        <v>2.1</v>
      </c>
      <c r="E23" s="316">
        <v>0.2</v>
      </c>
      <c r="F23" s="315" t="s">
        <v>166</v>
      </c>
      <c r="G23" s="317">
        <v>36771</v>
      </c>
      <c r="H23" s="318">
        <f t="shared" si="0"/>
        <v>147084</v>
      </c>
      <c r="I23" s="266"/>
      <c r="J23" s="324">
        <v>3</v>
      </c>
      <c r="K23" s="47">
        <f t="shared" si="6"/>
        <v>4</v>
      </c>
      <c r="L23" s="39">
        <f t="shared" si="1"/>
        <v>2.15</v>
      </c>
      <c r="M23" s="39">
        <f t="shared" si="1"/>
        <v>0.2</v>
      </c>
      <c r="N23" s="262">
        <f t="shared" si="2"/>
        <v>0.43</v>
      </c>
      <c r="O23" s="260">
        <f t="shared" si="3"/>
        <v>1.72</v>
      </c>
      <c r="P23" s="253">
        <f t="shared" si="4"/>
        <v>55359.22338204593</v>
      </c>
      <c r="Q23" s="259">
        <f t="shared" si="5"/>
        <v>61359.22338204593</v>
      </c>
      <c r="R23" s="310"/>
      <c r="S23" s="14"/>
      <c r="T23" s="9"/>
      <c r="W23" s="4"/>
    </row>
    <row r="24" spans="2:24" ht="17.399999999999999" x14ac:dyDescent="0.3">
      <c r="B24" s="323">
        <v>24</v>
      </c>
      <c r="C24" s="315" t="s">
        <v>159</v>
      </c>
      <c r="D24" s="316">
        <v>2.4</v>
      </c>
      <c r="E24" s="316">
        <v>0.2</v>
      </c>
      <c r="F24" s="315" t="s">
        <v>166</v>
      </c>
      <c r="G24" s="317">
        <v>40449</v>
      </c>
      <c r="H24" s="318">
        <f t="shared" si="0"/>
        <v>970776</v>
      </c>
      <c r="I24" s="266"/>
      <c r="J24" s="47"/>
      <c r="K24" s="47">
        <f t="shared" si="6"/>
        <v>24</v>
      </c>
      <c r="L24" s="39">
        <f t="shared" si="1"/>
        <v>2.4499999999999997</v>
      </c>
      <c r="M24" s="39">
        <f t="shared" si="1"/>
        <v>0.2</v>
      </c>
      <c r="N24" s="262">
        <f t="shared" si="2"/>
        <v>0.49</v>
      </c>
      <c r="O24" s="260">
        <f t="shared" si="3"/>
        <v>11.76</v>
      </c>
      <c r="P24" s="253">
        <f t="shared" si="4"/>
        <v>63083.766179540711</v>
      </c>
      <c r="Q24" s="259">
        <f t="shared" si="5"/>
        <v>69083.766179540718</v>
      </c>
      <c r="R24" s="310"/>
      <c r="S24" s="14"/>
      <c r="T24" s="9"/>
      <c r="W24" s="4"/>
    </row>
    <row r="25" spans="2:24" ht="17.399999999999999" x14ac:dyDescent="0.3">
      <c r="B25" s="287"/>
      <c r="C25" s="287"/>
      <c r="D25" s="288"/>
      <c r="E25" s="288" t="s">
        <v>149</v>
      </c>
      <c r="F25" s="287"/>
      <c r="G25" s="322"/>
      <c r="H25" s="322"/>
      <c r="I25" s="266"/>
      <c r="J25" s="47"/>
      <c r="K25" s="47"/>
      <c r="L25" s="39"/>
      <c r="M25" s="39"/>
      <c r="N25" s="262"/>
      <c r="O25" s="260"/>
      <c r="P25" s="253"/>
      <c r="Q25" s="259"/>
      <c r="R25" s="310"/>
      <c r="S25" s="14"/>
      <c r="T25" s="9"/>
      <c r="W25" s="4"/>
    </row>
    <row r="26" spans="2:24" ht="18" thickBot="1" x14ac:dyDescent="0.35">
      <c r="B26" s="287"/>
      <c r="C26" s="287"/>
      <c r="D26" s="288"/>
      <c r="E26" s="288"/>
      <c r="F26" s="287"/>
      <c r="G26" s="266"/>
      <c r="H26" s="233"/>
      <c r="I26" s="233"/>
      <c r="J26" s="47"/>
      <c r="K26" s="47"/>
      <c r="L26" s="39"/>
      <c r="M26" s="39"/>
      <c r="N26" s="262"/>
      <c r="O26" s="260"/>
      <c r="P26" s="253"/>
      <c r="Q26" s="259"/>
      <c r="R26" s="310"/>
      <c r="S26" s="14"/>
      <c r="T26" s="9"/>
      <c r="W26" s="4"/>
    </row>
    <row r="27" spans="2:24" ht="17.399999999999999" x14ac:dyDescent="0.3">
      <c r="B27" s="287"/>
      <c r="C27" s="287"/>
      <c r="D27" s="288"/>
      <c r="E27" s="288"/>
      <c r="F27" s="287"/>
      <c r="G27" s="312" t="s">
        <v>30</v>
      </c>
      <c r="H27" s="313">
        <f>SUM(H21:H26)</f>
        <v>2981088</v>
      </c>
      <c r="I27" s="266"/>
      <c r="J27" s="47"/>
      <c r="K27" s="47"/>
      <c r="L27" s="39">
        <f>SUM(L21:L26)</f>
        <v>7.9</v>
      </c>
      <c r="M27" s="39"/>
      <c r="N27" s="262"/>
      <c r="O27" s="260"/>
      <c r="P27" s="253"/>
      <c r="Q27" s="259"/>
      <c r="R27" s="310"/>
      <c r="S27" s="14"/>
      <c r="T27" s="9"/>
      <c r="W27" s="4"/>
    </row>
    <row r="28" spans="2:24" ht="17.399999999999999" x14ac:dyDescent="0.3">
      <c r="B28" s="281"/>
      <c r="C28" s="284"/>
      <c r="D28" s="285"/>
      <c r="E28" s="285"/>
      <c r="F28" s="286"/>
      <c r="G28" s="309" t="s">
        <v>53</v>
      </c>
      <c r="H28" s="306">
        <f>H27*0.19</f>
        <v>566406.72</v>
      </c>
      <c r="I28" s="266"/>
      <c r="J28" s="47"/>
      <c r="K28" s="47"/>
      <c r="L28" s="39"/>
      <c r="M28" s="12"/>
      <c r="N28" s="12"/>
      <c r="O28" s="254">
        <f>SUM(O21:O24)</f>
        <v>15.327999999999999</v>
      </c>
      <c r="P28" s="14"/>
      <c r="Q28" s="12"/>
      <c r="R28" s="239"/>
      <c r="S28" s="14"/>
      <c r="T28" s="9"/>
      <c r="W28" s="4"/>
    </row>
    <row r="29" spans="2:24" ht="18" thickBot="1" x14ac:dyDescent="0.35">
      <c r="B29" s="277"/>
      <c r="C29" s="283"/>
      <c r="D29" s="273"/>
      <c r="E29" s="273"/>
      <c r="F29" s="274"/>
      <c r="G29" s="282" t="s">
        <v>6</v>
      </c>
      <c r="H29" s="307">
        <f>H27+H28</f>
        <v>3547494.7199999997</v>
      </c>
      <c r="I29" s="266"/>
      <c r="J29" s="47"/>
      <c r="K29" s="47"/>
      <c r="L29" s="39"/>
      <c r="M29" s="12"/>
      <c r="N29" s="12"/>
      <c r="O29" s="254">
        <f>O28</f>
        <v>15.327999999999999</v>
      </c>
      <c r="P29" s="14"/>
      <c r="Q29" s="12"/>
      <c r="R29" s="239">
        <f>SUM(R21:R28)</f>
        <v>0</v>
      </c>
      <c r="S29" s="14"/>
      <c r="T29" s="9"/>
      <c r="W29" s="4"/>
    </row>
    <row r="30" spans="2:24" ht="17.399999999999999" x14ac:dyDescent="0.3">
      <c r="B30" s="277"/>
      <c r="C30" s="272"/>
      <c r="D30" s="273"/>
      <c r="E30" s="273"/>
      <c r="F30" s="274"/>
      <c r="I30" s="266"/>
      <c r="J30" s="47"/>
      <c r="K30" s="47"/>
      <c r="L30" s="14"/>
      <c r="M30" s="12"/>
      <c r="N30" s="12"/>
      <c r="O30" s="39">
        <f>O29*20%</f>
        <v>3.0655999999999999</v>
      </c>
      <c r="P30" s="39" t="s">
        <v>132</v>
      </c>
      <c r="Q30" s="42"/>
      <c r="R30" s="240"/>
      <c r="S30" s="14"/>
      <c r="T30" s="9"/>
      <c r="W30" s="4"/>
    </row>
    <row r="31" spans="2:24" ht="17.399999999999999" x14ac:dyDescent="0.3">
      <c r="B31" s="272"/>
      <c r="C31" s="272"/>
      <c r="D31" s="273"/>
      <c r="E31" s="273"/>
      <c r="F31" s="274"/>
      <c r="G31" s="275"/>
      <c r="H31" s="276"/>
      <c r="I31" s="266"/>
      <c r="J31" s="47"/>
      <c r="K31" s="47"/>
      <c r="L31" s="14"/>
      <c r="M31" s="12"/>
      <c r="N31" s="12"/>
      <c r="O31" s="46">
        <f>O29+O30</f>
        <v>18.393599999999999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70"/>
      <c r="C32" s="230"/>
      <c r="D32" s="230"/>
      <c r="E32" s="233"/>
      <c r="F32" s="234"/>
      <c r="G32" s="230"/>
      <c r="H32" s="276"/>
      <c r="I32" s="266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9"/>
      <c r="W32" s="4"/>
    </row>
    <row r="33" spans="2:23" ht="17.399999999999999" x14ac:dyDescent="0.35">
      <c r="B33" s="235"/>
      <c r="C33" s="236"/>
      <c r="D33" s="237"/>
      <c r="E33" s="235"/>
      <c r="F33" s="230"/>
      <c r="G33" s="230"/>
      <c r="I33" s="266"/>
      <c r="J33" s="47"/>
      <c r="K33" s="47"/>
      <c r="L33" s="39">
        <f>O31*1</f>
        <v>18.393599999999999</v>
      </c>
      <c r="M33" s="12">
        <v>2500</v>
      </c>
      <c r="N33" s="12">
        <f t="shared" ref="N33:N38" si="7">L33*M33</f>
        <v>45984</v>
      </c>
      <c r="O33" s="14" t="s">
        <v>22</v>
      </c>
      <c r="P33" s="14" t="s">
        <v>23</v>
      </c>
      <c r="Q33" s="14"/>
      <c r="R33" s="241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6"/>
      <c r="J34" s="47"/>
      <c r="K34" s="47"/>
      <c r="L34" s="250">
        <v>12</v>
      </c>
      <c r="M34" s="12">
        <v>25500</v>
      </c>
      <c r="N34" s="12">
        <f t="shared" si="7"/>
        <v>306000</v>
      </c>
      <c r="O34" s="39" t="s">
        <v>33</v>
      </c>
      <c r="P34" s="42"/>
      <c r="Q34" s="14"/>
      <c r="R34" s="240"/>
      <c r="S34" s="14"/>
      <c r="T34" s="9"/>
      <c r="W34" s="4"/>
    </row>
    <row r="35" spans="2:23" s="230" customFormat="1" ht="17.399999999999999" x14ac:dyDescent="0.35">
      <c r="I35" s="263"/>
      <c r="J35" s="232"/>
      <c r="K35" s="251"/>
      <c r="L35" s="14"/>
      <c r="M35" s="251">
        <v>54000</v>
      </c>
      <c r="N35" s="12">
        <f t="shared" si="7"/>
        <v>0</v>
      </c>
      <c r="O35" s="39" t="s">
        <v>32</v>
      </c>
      <c r="P35" s="42"/>
      <c r="R35" s="240"/>
      <c r="S35" s="257"/>
      <c r="V35" s="231"/>
    </row>
    <row r="36" spans="2:23" s="230" customFormat="1" ht="17.399999999999999" x14ac:dyDescent="0.35">
      <c r="B36" s="24" t="s">
        <v>153</v>
      </c>
      <c r="I36" s="263"/>
      <c r="J36" s="232"/>
      <c r="K36" s="251"/>
      <c r="L36" s="14">
        <v>23</v>
      </c>
      <c r="M36" s="251">
        <v>22000</v>
      </c>
      <c r="N36" s="12">
        <f t="shared" si="7"/>
        <v>506000</v>
      </c>
      <c r="O36" s="14" t="s">
        <v>143</v>
      </c>
      <c r="P36" s="17"/>
      <c r="R36" s="238"/>
      <c r="S36" s="257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3"/>
      <c r="K37" s="251"/>
      <c r="L37" s="250"/>
      <c r="M37" s="251">
        <v>300</v>
      </c>
      <c r="N37" s="12">
        <f t="shared" si="7"/>
        <v>0</v>
      </c>
      <c r="O37" s="14" t="s">
        <v>34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5"/>
      <c r="K38" s="251"/>
      <c r="L38" s="267"/>
      <c r="M38" s="12">
        <v>1500</v>
      </c>
      <c r="N38" s="12">
        <f t="shared" si="7"/>
        <v>0</v>
      </c>
      <c r="O38" s="14" t="s">
        <v>24</v>
      </c>
      <c r="P38" s="14"/>
      <c r="Q38">
        <v>2.44</v>
      </c>
      <c r="R38"/>
      <c r="S38" s="238">
        <v>1500</v>
      </c>
      <c r="W38" s="231"/>
    </row>
    <row r="39" spans="2:23" s="230" customFormat="1" ht="17.399999999999999" x14ac:dyDescent="0.35">
      <c r="J39" s="230">
        <v>64060</v>
      </c>
      <c r="K39" s="251"/>
      <c r="L39" s="14"/>
      <c r="M39" s="12"/>
      <c r="N39" s="12">
        <f>SUM(N33:N38)</f>
        <v>857984</v>
      </c>
      <c r="O39" s="39" t="s">
        <v>25</v>
      </c>
      <c r="P39" s="14"/>
      <c r="Q39">
        <f>Q37*Q38</f>
        <v>3.7088000000000001</v>
      </c>
      <c r="R39"/>
      <c r="S39" s="238">
        <f>R31*S38</f>
        <v>60000</v>
      </c>
      <c r="W39" s="231"/>
    </row>
    <row r="40" spans="2:23" s="230" customFormat="1" ht="17.399999999999999" x14ac:dyDescent="0.35">
      <c r="J40" s="230">
        <f>J39/1.19</f>
        <v>53831.932773109249</v>
      </c>
      <c r="K40" s="251"/>
      <c r="L40" s="255" t="s">
        <v>35</v>
      </c>
      <c r="M40" s="12"/>
      <c r="N40" s="256">
        <f>N39*2.3</f>
        <v>1973363.2</v>
      </c>
      <c r="O40" s="14" t="s">
        <v>142</v>
      </c>
      <c r="P40" s="14"/>
      <c r="Q40" s="46">
        <f>O29/Q39</f>
        <v>4.132873166522864</v>
      </c>
      <c r="R40"/>
      <c r="S40" s="258" t="e">
        <f>S39/#REF!</f>
        <v>#REF!</v>
      </c>
    </row>
    <row r="41" spans="2:23" s="230" customFormat="1" ht="17.399999999999999" x14ac:dyDescent="0.35">
      <c r="G41"/>
      <c r="H41" s="261"/>
      <c r="I41" s="261"/>
      <c r="K41" s="251"/>
      <c r="L41" s="14"/>
      <c r="M41" s="12"/>
      <c r="N41" s="12">
        <f>N40/O29</f>
        <v>128742.37995824635</v>
      </c>
      <c r="O41" s="45" t="s">
        <v>26</v>
      </c>
      <c r="P41" s="14"/>
      <c r="Q41" s="14"/>
      <c r="R41"/>
      <c r="S41" s="238"/>
    </row>
    <row r="42" spans="2:23" s="230" customFormat="1" ht="17.399999999999999" x14ac:dyDescent="0.35">
      <c r="G42"/>
      <c r="K42" s="251"/>
      <c r="L42" s="13"/>
      <c r="M42" s="14"/>
      <c r="N42" s="17">
        <f>N40/N39</f>
        <v>2.2999999999999998</v>
      </c>
      <c r="O42" s="15"/>
      <c r="P42"/>
      <c r="Q42"/>
      <c r="R42"/>
      <c r="S42" s="238"/>
    </row>
    <row r="43" spans="2:23" s="230" customFormat="1" ht="17.399999999999999" x14ac:dyDescent="0.35">
      <c r="G43" s="23"/>
      <c r="K43" s="12"/>
      <c r="S43" s="238"/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>
        <v>1.83</v>
      </c>
    </row>
    <row r="45" spans="2:23" ht="14.4" customHeight="1" x14ac:dyDescent="0.3">
      <c r="K45" s="12"/>
      <c r="S45">
        <v>2.5</v>
      </c>
    </row>
    <row r="46" spans="2:23" x14ac:dyDescent="0.3">
      <c r="K46" s="251"/>
      <c r="S46">
        <f>S44*S45</f>
        <v>4.5750000000000002</v>
      </c>
    </row>
    <row r="47" spans="2:23" x14ac:dyDescent="0.3">
      <c r="K47" s="251"/>
      <c r="S47" s="271">
        <f>O31/S46</f>
        <v>4.0204590163934419</v>
      </c>
    </row>
    <row r="48" spans="2:23" x14ac:dyDescent="0.3">
      <c r="K48" s="251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  <hyperlink ref="C14" r:id="rId2" display="mailto:adolfo.torres@ldconstructora.cl" xr:uid="{A183D51D-30F6-409E-9CD4-71101ADC691E}"/>
  </hyperlinks>
  <pageMargins left="0.23622047244094491" right="0.23622047244094491" top="0.74803149606299213" bottom="0.74803149606299213" header="0.31496062992125984" footer="0.31496062992125984"/>
  <pageSetup scale="7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45322</v>
      </c>
    </row>
    <row r="6" spans="2:31" ht="16.2" thickBot="1" x14ac:dyDescent="0.35">
      <c r="B6" s="140" t="s">
        <v>2</v>
      </c>
      <c r="C6" s="139" t="str">
        <f>'2229'!C10</f>
        <v xml:space="preserve">ID CONSTRUCTORA 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10604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-391848.02503345412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2981088</v>
      </c>
      <c r="E11" s="132">
        <f>D11*0.19</f>
        <v>566406.72</v>
      </c>
      <c r="F11" s="131">
        <f>E11+D11</f>
        <v>3547494.7199999997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-285858.02503345412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381818.09078743961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-303858.02503345412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2599269.9092125604</v>
      </c>
      <c r="E13" s="221">
        <f>(D11/D12)-1</f>
        <v>6.8076132900145616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-312858.02503345412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-351858.02503345412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629999.84979927528</v>
      </c>
      <c r="F15" s="216">
        <f>E15-D12</f>
        <v>248181.75901183567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-351858.02503345412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-311858.02503345412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306000</v>
      </c>
      <c r="E19" s="123">
        <f>D19*0.19</f>
        <v>58140</v>
      </c>
      <c r="F19" s="120">
        <f>SUM(D19:E19)</f>
        <v>364140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45984</v>
      </c>
      <c r="E20" s="121">
        <f>D20*0.19</f>
        <v>8736.9600000000009</v>
      </c>
      <c r="F20" s="120">
        <f>SUM(D20:E20)</f>
        <v>54720.959999999999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351984</v>
      </c>
      <c r="E21" s="116">
        <f>SUM(E18:E20)</f>
        <v>66876.960000000006</v>
      </c>
      <c r="F21" s="115">
        <f>SUM(F18:F20)</f>
        <v>418860.96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499529.75999999995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2981088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351984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2599269.9092125604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2599269.9092125604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2024-01-31T21:41:48Z</cp:lastPrinted>
  <dcterms:created xsi:type="dcterms:W3CDTF">2013-03-18T13:35:42Z</dcterms:created>
  <dcterms:modified xsi:type="dcterms:W3CDTF">2024-01-31T21:53:57Z</dcterms:modified>
</cp:coreProperties>
</file>