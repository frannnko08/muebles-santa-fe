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27E38AB2-CF96-4D1D-B524-A87A1A0EF9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N38" i="1"/>
  <c r="O26" i="1"/>
  <c r="K22" i="1"/>
  <c r="L22" i="1"/>
  <c r="M22" i="1"/>
  <c r="N22" i="1"/>
  <c r="O22" i="1" s="1"/>
  <c r="R22" i="1"/>
  <c r="K23" i="1"/>
  <c r="L23" i="1"/>
  <c r="M23" i="1"/>
  <c r="N23" i="1"/>
  <c r="O23" i="1" s="1"/>
  <c r="R23" i="1"/>
  <c r="K21" i="1"/>
  <c r="J40" i="1"/>
  <c r="L21" i="1"/>
  <c r="L25" i="1" s="1"/>
  <c r="M21" i="1"/>
  <c r="S21" i="1" l="1"/>
  <c r="R21" i="1"/>
  <c r="N21" i="1"/>
  <c r="O21" i="1" s="1"/>
  <c r="R27" i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3" i="1" l="1"/>
  <c r="Q23" i="1" s="1"/>
  <c r="G23" i="1" s="1"/>
  <c r="H23" i="1" s="1"/>
  <c r="P22" i="1"/>
  <c r="Q22" i="1" s="1"/>
  <c r="G22" i="1" s="1"/>
  <c r="H22" i="1" s="1"/>
  <c r="P21" i="1"/>
  <c r="F15" i="3"/>
  <c r="Q21" i="1" l="1"/>
  <c r="G21" i="1" s="1"/>
  <c r="H21" i="1" s="1"/>
  <c r="H26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<sst xmlns="http://schemas.openxmlformats.org/spreadsheetml/2006/main" count="233" uniqueCount="173">
  <si>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</si>
  <si>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</si>
  <si>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</si>
  <si>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</si>
  <si>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</si>
  <si>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</si>
  <si>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</si>
  <si>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</si>
  <si>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</si>
  <si>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</si>
  <si>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</si>
  <si>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</si>
  <si>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</si>
  <si>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</si>
  <si>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</si>
  <si>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</si>
  <si>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</si>
  <si>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</si>
  <si>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</si>
  <si>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</si>
  <si>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</si>
  <si>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</si>
  <si>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</si>
  <si>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</si>
  <si>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</si>
  <si>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</si>
  <si>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</si>
  <si>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</si>
  <si>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</si>
  <si>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</si>
  <si>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</si>
  <si>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</si>
  <si>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</si>
  <si>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</si>
  <si>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</si>
  <si>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</si>
  <si>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</si>
  <si>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</si>
  <si>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</si>
  <si>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</si>
  <si>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</si>
  <si>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</si>
  <si>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</si>
  <si>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</si>
  <si>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</si>
  <si>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</si>
  <si>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</si>
  <si>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</si>
  <si>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</si>
  <si>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</si>
  <si>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</si>
  <si>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</si>
  <si>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</si>
  <si>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</si>
  <si>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</si>
  <si>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</si>
  <si>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</si>
  <si>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</si>
  <si>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</si>
  <si>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</si>
  <si>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</si>
  <si>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</si>
  <si>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</si>
  <si>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</si>
  <si>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</si>
  <si>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</si>
  <si>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</si>
  <si>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</si>
  <si>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</si>
  <si>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</si>
  <si>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</si>
  <si>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</si>
  <si>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</si>
  <si>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</si>
  <si>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</si>
  <si>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</si>
  <si>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</si>
  <si>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</si>
  <si>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</si>
  <si>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</si>
  <si>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</si>
  <si>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</si>
  <si>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</si>
  <si>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</si>
  <si>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</si>
  <si>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</si>
  <si>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</si>
  <si>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</si>
  <si>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</si>
  <si>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</si>
  <si>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</si>
  <si>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</si>
  <si>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</si>
  <si>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</si>
  <si>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</si>
  <si>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</si>
  <si>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</si>
  <si>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</si>
  <si>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</si>
  <si>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</si>
  <si>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</si>
  <si>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</si>
  <si>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</si>
  <si>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</si>
  <si>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</si>
  <si>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</si>
  <si>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</si>
  <si>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</si>
  <si>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</si>
  <si>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</si>
  <si>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</si>
  <si>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</si>
  <si>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</si>
  <si>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</si>
  <si>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</si>
  <si>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</si>
  <si>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</si>
  <si>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</si>
  <si>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</si>
  <si>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</si>
  <si>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</si>
  <si>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</si>
  <si>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</si>
  <si>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</si>
  <si>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</si>
  <si>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</si>
  <si>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</si>
  <si>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</si>
  <si>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</si>
  <si>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</si>
  <si>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</si>
  <si>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</si>
  <si>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</si>
  <si>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</si>
  <si>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</si>
  <si>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</si>
  <si>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</si>
  <si>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</si>
  <si>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</si>
  <si>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</si>
  <si>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</si>
  <si>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</si>
  <si>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</si>
  <si>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</si>
  <si>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</si>
  <si>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</si>
  <si>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</si>
  <si>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</si>
  <si>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</si>
  <si>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</si>
  <si>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</si>
  <si>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</si>
  <si>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</si>
  <si>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</si>
  <si>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</si>
  <si>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</si>
  <si>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</si>
  <si>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</si>
  <si>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</si>
  <si>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</si>
  <si>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</si>
  <si>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</si>
  <si>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</si>
  <si>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</si>
  <si>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</si>
  <si>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</si>
  <si>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</si>
  <si>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</si>
  <si>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PAULA CAMPOS</t>
  </si>
  <si>
    <r>
      <t>  56</t>
    </r>
    <r>
      <rPr>
        <i/>
        <sz val="11"/>
        <color theme="1"/>
        <rFont val="Arial"/>
        <family val="2"/>
      </rPr>
      <t>99678 7142</t>
    </r>
  </si>
  <si>
    <t>5 DIAS HABILES</t>
  </si>
  <si>
    <t>CUBIERTA CON RESPALDO FRENTE 90° R8</t>
  </si>
  <si>
    <t>LUNAR MARBLE 10493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</si>
</sst>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i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6" fillId="0" borderId="0" xfId="0" applyFont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DE 7 CMS DESDE SU BASE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3" zoomScale="93" zoomScaleNormal="93" workbookViewId="0">
      <selection activeCell="A26" sqref="A26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10550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168</v>
      </c>
      <c r="D10" s="243"/>
      <c r="E10" s="243"/>
      <c r="F10" s="244" t="s">
        <v>0</v>
      </c>
      <c r="G10" s="277">
        <v>45312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8" t="s">
        <v>169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45628.447953991141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3">
        <v>1</v>
      </c>
      <c r="C21" s="324" t="s">
        <v>171</v>
      </c>
      <c r="D21" s="325">
        <v>2.7450000000000001</v>
      </c>
      <c r="E21" s="325">
        <v>0.6</v>
      </c>
      <c r="F21" s="324" t="s">
        <v>172</v>
      </c>
      <c r="G21" s="326">
        <f>Q21</f>
        <v>81220.848327527026</v>
      </c>
      <c r="H21" s="327">
        <f>G21*B21</f>
        <v>81220.848327527026</v>
      </c>
      <c r="I21" s="265"/>
      <c r="J21" s="47"/>
      <c r="K21" s="47">
        <f>B21</f>
        <v>1</v>
      </c>
      <c r="L21" s="39">
        <f t="shared" ref="L21" si="1">D21+L$19</f>
        <v>2.7650000000000001</v>
      </c>
      <c r="M21" s="39">
        <f t="shared" ref="M21" si="2">E21+M$19</f>
        <v>0.62</v>
      </c>
      <c r="N21" s="261">
        <f t="shared" ref="N21" si="3">L21*M21</f>
        <v>1.7143000000000002</v>
      </c>
      <c r="O21" s="259">
        <f t="shared" ref="O21" si="4">N21*K21</f>
        <v>1.7143000000000002</v>
      </c>
      <c r="P21" s="252">
        <f t="shared" ref="P21" si="5">P$20*N21</f>
        <v>78220.848327527026</v>
      </c>
      <c r="Q21" s="258">
        <f t="shared" ref="Q21" si="6">P21+Q$20</f>
        <v>81220.848327527026</v>
      </c>
      <c r="R21" s="309">
        <f>L21*K21*2</f>
        <v>5.53</v>
      </c>
      <c r="S21" s="46">
        <f>M21*K21*2</f>
        <v>1.24</v>
      </c>
      <c r="T21" s="9"/>
      <c r="W21" s="4"/>
    </row>
    <row r="22" spans="2:24" ht="18" thickBot="1" x14ac:dyDescent="0.35">
      <c r="B22" s="323">
        <v>1</v>
      </c>
      <c r="C22" s="324" t="s">
        <v>171</v>
      </c>
      <c r="D22" s="325">
        <v>1.595</v>
      </c>
      <c r="E22" s="325">
        <v>0.35</v>
      </c>
      <c r="F22" s="324" t="s">
        <v>172</v>
      </c>
      <c r="G22" s="326">
        <f t="shared" ref="G22:G23" si="7">Q22</f>
        <v>30265.279074907408</v>
      </c>
      <c r="H22" s="327">
        <f t="shared" ref="H22:H23" si="8">G22*B22</f>
        <v>30265.279074907408</v>
      </c>
      <c r="I22" s="265"/>
      <c r="J22" s="47"/>
      <c r="K22" s="47">
        <f t="shared" ref="K22:K23" si="9">B22</f>
        <v>1</v>
      </c>
      <c r="L22" s="39">
        <f t="shared" ref="L22:L23" si="10">D22+L$19</f>
        <v>1.615</v>
      </c>
      <c r="M22" s="39">
        <f t="shared" ref="M22:M23" si="11">E22+M$19</f>
        <v>0.37</v>
      </c>
      <c r="N22" s="261">
        <f t="shared" ref="N22:N23" si="12">L22*M22</f>
        <v>0.59755000000000003</v>
      </c>
      <c r="O22" s="259">
        <f t="shared" ref="O22:O23" si="13">N22*K22</f>
        <v>0.59755000000000003</v>
      </c>
      <c r="P22" s="252">
        <f t="shared" ref="P22:P23" si="14">P$20*N22</f>
        <v>27265.279074907408</v>
      </c>
      <c r="Q22" s="258">
        <f t="shared" ref="Q22:Q23" si="15">P22+Q$20</f>
        <v>30265.279074907408</v>
      </c>
      <c r="R22" s="309">
        <f t="shared" ref="R22:R23" si="16">L22*K22*2</f>
        <v>3.23</v>
      </c>
      <c r="S22" s="46"/>
      <c r="T22" s="9"/>
      <c r="W22" s="4"/>
    </row>
    <row r="23" spans="2:24" ht="17.399999999999999" x14ac:dyDescent="0.3">
      <c r="B23" s="323">
        <v>1</v>
      </c>
      <c r="C23" s="324" t="s">
        <v>171</v>
      </c>
      <c r="D23" s="325">
        <v>1.093</v>
      </c>
      <c r="E23" s="325">
        <v>0.28999999999999998</v>
      </c>
      <c r="F23" s="324" t="s">
        <v>172</v>
      </c>
      <c r="G23" s="326">
        <f t="shared" si="7"/>
        <v>18743.183397565561</v>
      </c>
      <c r="H23" s="327">
        <f t="shared" si="8"/>
        <v>18743.183397565561</v>
      </c>
      <c r="I23" s="265"/>
      <c r="J23" s="47"/>
      <c r="K23" s="47">
        <f t="shared" si="9"/>
        <v>1</v>
      </c>
      <c r="L23" s="39">
        <f t="shared" si="10"/>
        <v>1.113</v>
      </c>
      <c r="M23" s="39">
        <f t="shared" si="11"/>
        <v>0.31</v>
      </c>
      <c r="N23" s="261">
        <f t="shared" si="12"/>
        <v>0.34503</v>
      </c>
      <c r="O23" s="259">
        <f t="shared" si="13"/>
        <v>0.34503</v>
      </c>
      <c r="P23" s="252">
        <f t="shared" si="14"/>
        <v>15743.183397565563</v>
      </c>
      <c r="Q23" s="258">
        <f t="shared" si="15"/>
        <v>18743.183397565561</v>
      </c>
      <c r="R23" s="309">
        <f t="shared" si="16"/>
        <v>2.226</v>
      </c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0" t="s">
        <v>29</v>
      </c>
      <c r="H25" s="311">
        <f>SUM(H21:H23)</f>
        <v>130229.31079999999</v>
      </c>
      <c r="I25" s="265"/>
      <c r="J25" s="47"/>
      <c r="K25" s="47"/>
      <c r="L25" s="39">
        <f>SUM(L21:L24)</f>
        <v>5.4930000000000003</v>
      </c>
      <c r="M25" s="39"/>
      <c r="N25" s="261"/>
      <c r="O25" s="259"/>
      <c r="P25" s="252"/>
      <c r="Q25" s="258"/>
      <c r="R25" s="30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8" t="s">
        <v>52</v>
      </c>
      <c r="H26" s="305">
        <f>H25*19%</f>
        <v>24743.569051999999</v>
      </c>
      <c r="I26" s="265"/>
      <c r="J26" s="47"/>
      <c r="K26" s="47"/>
      <c r="L26" s="39"/>
      <c r="M26" s="12"/>
      <c r="N26" s="12"/>
      <c r="O26" s="253">
        <f>SUM(O21:O23)</f>
        <v>2.6568800000000001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6">
        <f>H25+H26</f>
        <v>154972.87985199998</v>
      </c>
      <c r="I27" s="265"/>
      <c r="J27" s="47"/>
      <c r="K27" s="47"/>
      <c r="L27" s="39"/>
      <c r="M27" s="12"/>
      <c r="N27" s="12"/>
      <c r="O27" s="253">
        <f>O26</f>
        <v>2.6568800000000001</v>
      </c>
      <c r="P27" s="14"/>
      <c r="Q27" s="12"/>
      <c r="R27" s="239">
        <f>SUM(R21:R26)</f>
        <v>10.986000000000001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0.53137600000000007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3.188256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6" t="s">
        <v>22</v>
      </c>
      <c r="U30" s="313" t="s">
        <v>153</v>
      </c>
      <c r="V30" s="317">
        <v>44971</v>
      </c>
      <c r="W30" s="31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3.188256</v>
      </c>
      <c r="M31" s="12">
        <v>3500</v>
      </c>
      <c r="N31" s="12">
        <f t="shared" ref="N31:N36" si="17">L31*M31</f>
        <v>11158.896000000001</v>
      </c>
      <c r="O31" s="14" t="s">
        <v>22</v>
      </c>
      <c r="P31" s="14"/>
      <c r="Q31" s="14"/>
      <c r="R31" s="241"/>
      <c r="S31" s="14"/>
      <c r="T31" s="316" t="s">
        <v>154</v>
      </c>
      <c r="U31" s="313">
        <v>3625</v>
      </c>
      <c r="V31" s="59" t="s">
        <v>155</v>
      </c>
      <c r="W31" s="31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0.6</v>
      </c>
      <c r="M32" s="12">
        <v>23850</v>
      </c>
      <c r="N32" s="12">
        <f t="shared" si="17"/>
        <v>14310</v>
      </c>
      <c r="O32" s="39" t="s">
        <v>32</v>
      </c>
      <c r="P32" s="42"/>
      <c r="Q32" s="14"/>
      <c r="R32" s="240"/>
      <c r="S32" s="14"/>
      <c r="T32" s="316"/>
      <c r="U32" s="59">
        <v>906.25</v>
      </c>
      <c r="V32" s="59" t="s">
        <v>156</v>
      </c>
      <c r="W32" s="318"/>
    </row>
    <row r="33" spans="2:23" s="230" customFormat="1" ht="17.399999999999999" x14ac:dyDescent="0.35">
      <c r="I33" s="262"/>
      <c r="J33" s="232"/>
      <c r="K33" s="250"/>
      <c r="L33" s="14"/>
      <c r="M33" s="250">
        <v>46500</v>
      </c>
      <c r="N33" s="12">
        <f t="shared" si="17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8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19000</v>
      </c>
      <c r="N34" s="12">
        <f t="shared" si="17"/>
        <v>19000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8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7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4"/>
      <c r="K36" s="250"/>
      <c r="L36" s="266">
        <v>5.4930000000000003</v>
      </c>
      <c r="M36" s="12">
        <v>1500</v>
      </c>
      <c r="N36" s="12">
        <f t="shared" si="17"/>
        <v>8239.5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52708.396000000001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N37*2.3</f>
        <v>121229.31079999999</v>
      </c>
      <c r="O38" s="14" t="s">
        <v>141</v>
      </c>
      <c r="P38" s="14"/>
      <c r="Q38" s="40">
        <f>O29/Q37</f>
        <v>0.85964624676445212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48209</v>
      </c>
      <c r="K39" s="250"/>
      <c r="L39" s="14"/>
      <c r="M39" s="12"/>
      <c r="N39" s="12">
        <f>N38/O27</f>
        <v>45628.447953991141</v>
      </c>
      <c r="O39" s="45" t="s">
        <v>25</v>
      </c>
      <c r="P39" s="14"/>
      <c r="Q39" s="14"/>
      <c r="R39"/>
      <c r="S39" s="238"/>
      <c r="T39" s="59" t="s">
        <v>159</v>
      </c>
      <c r="U39" s="313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40511.764705882357</v>
      </c>
      <c r="K40" s="250"/>
      <c r="L40" s="13"/>
      <c r="M40" s="14"/>
      <c r="N40" s="17">
        <f>N38/N37</f>
        <v>2.2999999999999998</v>
      </c>
      <c r="O40" s="15"/>
      <c r="P40"/>
      <c r="Q40"/>
      <c r="R40"/>
      <c r="S40" s="238"/>
      <c r="T40" s="59" t="s">
        <v>161</v>
      </c>
      <c r="U40" s="314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45312</v>
      </c>
    </row>
    <row r="6" spans="2:31" ht="16.2" thickBot="1" x14ac:dyDescent="0.35">
      <c r="B6" s="140" t="s">
        <v>2</v>
      </c>
      <c r="C6" s="139" t="str">
        <f>'2229'!C10</f>
        <v>PAULA CAMPOS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10550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-6496.5637667874398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130229.31079999999</v>
      </c>
      <c r="E11" s="132">
        <f>D11*0.19</f>
        <v>24743.569051999999</v>
      </c>
      <c r="F11" s="131">
        <f>E11+D11</f>
        <v>154972.87985199998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99493.43623321256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55302.986787439615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81493.43623321256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74926.324012560377</v>
      </c>
      <c r="E13" s="221">
        <f>(D11/D12)-1</f>
        <v>1.3548332262874743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72493.43623321256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33493.43623321256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91249.928199275353</v>
      </c>
      <c r="F15" s="216">
        <f>E15-D12</f>
        <v>35946.941411835738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33493.43623321256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73493.43623321256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14310</v>
      </c>
      <c r="E19" s="123">
        <f>D19*0.19</f>
        <v>2718.9</v>
      </c>
      <c r="F19" s="120">
        <f>SUM(D19:E19)</f>
        <v>17028.900000000001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11158.896000000001</v>
      </c>
      <c r="E20" s="121">
        <f>D20*0.19</f>
        <v>2120.1902400000004</v>
      </c>
      <c r="F20" s="120">
        <f>SUM(D20:E20)</f>
        <v>13279.086240000001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25468.896000000001</v>
      </c>
      <c r="E21" s="116">
        <f>SUM(E18:E20)</f>
        <v>4839.0902400000004</v>
      </c>
      <c r="F21" s="115">
        <f>SUM(F18:F20)</f>
        <v>30307.986240000002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19904.478811999998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130229.31079999999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25468.896000000001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74926.324012560377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74926.324012560377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2024-01-23T01:54:22Z</cp:lastPrinted>
  <dcterms:created xsi:type="dcterms:W3CDTF">2013-03-18T13:35:42Z</dcterms:created>
  <dcterms:modified xsi:type="dcterms:W3CDTF">2024-01-23T02:06:30Z</dcterms:modified>
</cp:coreProperties>
</file>