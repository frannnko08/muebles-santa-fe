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3 ENERO 2024\"/>
    </mc:Choice>
  </mc:AlternateContent>
  <xr:revisionPtr revIDLastSave="0" documentId="13_ncr:1_{1B0E04E9-61B1-47B9-B16B-471ABF2337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7" i="1" l="1"/>
  <c r="K22" i="1"/>
  <c r="L22" i="1"/>
  <c r="R22" i="1" s="1"/>
  <c r="M22" i="1"/>
  <c r="K21" i="1"/>
  <c r="J39" i="1"/>
  <c r="L21" i="1"/>
  <c r="L24" i="1" s="1"/>
  <c r="M21" i="1"/>
  <c r="N22" i="1" l="1"/>
  <c r="O22" i="1" s="1"/>
  <c r="S21" i="1"/>
  <c r="R21" i="1"/>
  <c r="R26" i="1" s="1"/>
  <c r="N21" i="1"/>
  <c r="O21" i="1" s="1"/>
  <c r="U32" i="1"/>
  <c r="U33" i="1" s="1"/>
  <c r="O25" i="1" l="1"/>
  <c r="N31" i="1"/>
  <c r="O26" i="1" l="1"/>
  <c r="O27" i="1" s="1"/>
  <c r="O28" i="1" s="1"/>
  <c r="L30" i="1" s="1"/>
  <c r="M20" i="1"/>
  <c r="K20" i="1"/>
  <c r="N32" i="1" l="1"/>
  <c r="Q36" i="1"/>
  <c r="N3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N30" i="1" l="1"/>
  <c r="Q37" i="1"/>
  <c r="N36" i="1" l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2" i="1" l="1"/>
  <c r="Q22" i="1" s="1"/>
  <c r="G22" i="1" s="1"/>
  <c r="H22" i="1" s="1"/>
  <c r="P21" i="1"/>
  <c r="F15" i="3"/>
  <c r="Q21" i="1" l="1"/>
  <c r="G21" i="1" s="1"/>
  <c r="H21" i="1" s="1"/>
  <c r="H24" i="1" s="1"/>
  <c r="H25" i="1" l="1"/>
  <c r="D11" i="3" l="1"/>
  <c r="X9" i="3" s="1"/>
  <c r="X15" i="3" s="1"/>
  <c r="H26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<sst xmlns="http://schemas.openxmlformats.org/spreadsheetml/2006/main" count="231" uniqueCount="173">
  <si>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</si>
  <si>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</si>
  <si>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</si>
  <si>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</si>
  <si>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</si>
  <si>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</si>
  <si>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</si>
  <si>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</si>
  <si>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</si>
  <si>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</si>
  <si>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</si>
  <si>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</si>
  <si>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</si>
  <si>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</si>
  <si>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</si>
  <si>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</si>
  <si>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</si>
  <si>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</si>
  <si>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</si>
  <si>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</si>
  <si>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</si>
  <si>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</si>
  <si>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</si>
  <si>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</si>
  <si>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</si>
  <si>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</si>
  <si>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</si>
  <si>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</si>
  <si>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</si>
  <si>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</si>
  <si>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</si>
  <si>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</si>
  <si>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</si>
  <si>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</si>
  <si>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</si>
  <si>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</si>
  <si>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</si>
  <si>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</si>
  <si>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</si>
  <si>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</si>
  <si>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</si>
  <si>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</si>
  <si>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</si>
  <si>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</si>
  <si>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</si>
  <si>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</si>
  <si>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</si>
  <si>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</si>
  <si>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</si>
  <si>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</si>
  <si>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</si>
  <si>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</si>
  <si>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</si>
  <si>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</si>
  <si>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</si>
  <si>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</si>
  <si>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</si>
  <si>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</si>
  <si>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</si>
  <si>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</si>
  <si>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</si>
  <si>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</si>
  <si>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</si>
  <si>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</si>
  <si>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</si>
  <si>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</si>
  <si>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</si>
  <si>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</si>
  <si>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</si>
  <si>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</si>
  <si>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</si>
  <si>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</si>
  <si>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</si>
  <si>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</si>
  <si>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</si>
  <si>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</si>
  <si>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</si>
  <si>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</si>
  <si>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</si>
  <si>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</si>
  <si>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</si>
  <si>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</si>
  <si>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</si>
  <si>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</si>
  <si>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</si>
  <si>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</si>
  <si>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</si>
  <si>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</si>
  <si>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</si>
  <si>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</si>
  <si>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</si>
  <si>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</si>
  <si>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</si>
  <si>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</si>
  <si>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</si>
  <si>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</si>
  <si>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</si>
  <si>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</si>
  <si>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</si>
  <si>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</si>
  <si>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</si>
  <si>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</si>
  <si>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</si>
  <si>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</si>
  <si>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</si>
  <si>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</si>
  <si>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</si>
  <si>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</si>
  <si>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</si>
  <si>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</si>
  <si>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</si>
  <si>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</si>
  <si>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</si>
  <si>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</si>
  <si>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</si>
  <si>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</si>
  <si>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</si>
  <si>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</si>
  <si>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</si>
  <si>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</si>
  <si>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</si>
  <si>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</si>
  <si>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</si>
  <si>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</si>
  <si>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</si>
  <si>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</si>
  <si>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</si>
  <si>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</si>
  <si>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</si>
  <si>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</si>
  <si>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</si>
  <si>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</si>
  <si>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</si>
  <si>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</si>
  <si>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</si>
  <si>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</si>
  <si>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</si>
  <si>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</si>
  <si>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</si>
  <si>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</si>
  <si>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</si>
  <si>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</si>
  <si>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</si>
  <si>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</si>
  <si>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</si>
  <si>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</si>
  <si>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</si>
  <si>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</si>
  <si>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</si>
  <si>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</si>
  <si>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</si>
  <si>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</si>
  <si>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</si>
  <si>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</si>
  <si>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</si>
  <si>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</si>
  <si>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</si>
  <si>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</si>
  <si>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</si>
  <si>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</si>
  <si>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</si>
  <si>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</si>
  <si>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</si>
  <si>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</si>
  <si>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</si>
  <si>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</si>
  <si>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</si>
  <si>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</si>
  <si>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DAVID LOPEZ</t>
  </si>
  <si>
    <r>
      <t>  56</t>
    </r>
    <r>
      <rPr>
        <i/>
        <sz val="11"/>
        <color theme="1"/>
        <rFont val="Arial"/>
        <family val="2"/>
      </rPr>
      <t>95032 1880</t>
    </r>
  </si>
  <si>
    <t>5 DIAS HABILES</t>
  </si>
  <si>
    <t>CUBIERTA CON RESPALDO 90° R8</t>
  </si>
  <si>
    <t>BLANCO OPACO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</si>
</sst>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i/>
      <sz val="11"/>
      <color theme="1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6" fillId="0" borderId="0" xfId="0" applyFont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23</xdr:row>
      <xdr:rowOff>9525</xdr:rowOff>
    </xdr:from>
    <xdr:to>
      <xdr:col>5</xdr:col>
      <xdr:colOff>1594096</xdr:colOff>
      <xdr:row>26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 LAS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, , 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zoomScale="93" zoomScaleNormal="93" workbookViewId="0">
      <selection activeCell="A38" sqref="A38"/>
    </sheetView>
  </sheetViews>
  <sheetFormatPr baseColWidth="10" defaultRowHeight="14.4" x14ac:dyDescent="0.3"/>
  <cols>
    <col min="1" max="1" width="6" customWidth="1"/>
    <col min="2" max="2" width="10.5546875" customWidth="1"/>
    <col min="3" max="3" width="52.664062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03">
        <v>10594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9" t="s">
        <v>163</v>
      </c>
      <c r="C10" s="279" t="s">
        <v>168</v>
      </c>
      <c r="D10" s="243"/>
      <c r="E10" s="243"/>
      <c r="F10" s="244" t="s">
        <v>0</v>
      </c>
      <c r="G10" s="277">
        <v>45315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2"/>
      <c r="F11" t="s">
        <v>124</v>
      </c>
      <c r="G11" s="289" t="s">
        <v>170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7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8" t="s">
        <v>169</v>
      </c>
      <c r="D15" s="295"/>
      <c r="E15" s="247"/>
      <c r="F15" s="247" t="s">
        <v>135</v>
      </c>
      <c r="G15" s="296" t="s">
        <v>136</v>
      </c>
      <c r="H15" s="248"/>
    </row>
    <row r="16" spans="2:23" ht="16.8" x14ac:dyDescent="0.4">
      <c r="B16" s="292" t="s">
        <v>3</v>
      </c>
      <c r="C16" s="312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167</v>
      </c>
      <c r="D17" s="299"/>
      <c r="E17" s="300"/>
      <c r="F17" s="329" t="s">
        <v>166</v>
      </c>
      <c r="G17" s="329"/>
      <c r="H17" s="330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1" t="s">
        <v>148</v>
      </c>
      <c r="C19" s="332"/>
      <c r="D19" s="332"/>
      <c r="E19" s="332"/>
      <c r="F19" s="332"/>
      <c r="G19" s="332"/>
      <c r="H19" s="333"/>
      <c r="I19" s="264"/>
      <c r="J19" s="5"/>
      <c r="K19" s="250"/>
      <c r="L19" s="14">
        <v>0.02</v>
      </c>
      <c r="M19" s="14">
        <v>0.02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20" t="s">
        <v>7</v>
      </c>
      <c r="C20" s="321" t="s">
        <v>1</v>
      </c>
      <c r="D20" s="321" t="s">
        <v>10</v>
      </c>
      <c r="E20" s="321" t="s">
        <v>11</v>
      </c>
      <c r="F20" s="321" t="s">
        <v>8</v>
      </c>
      <c r="G20" s="321" t="s">
        <v>5</v>
      </c>
      <c r="H20" s="32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N38</f>
        <v>54856.907844630623</v>
      </c>
      <c r="Q20" s="258">
        <v>3000</v>
      </c>
      <c r="R20" s="38"/>
      <c r="S20" s="14" t="s">
        <v>129</v>
      </c>
      <c r="T20" s="9"/>
      <c r="W20" s="4"/>
    </row>
    <row r="21" spans="2:24" ht="18" thickBot="1" x14ac:dyDescent="0.35">
      <c r="B21" s="323">
        <v>1</v>
      </c>
      <c r="C21" s="324" t="s">
        <v>171</v>
      </c>
      <c r="D21" s="325">
        <v>1.5</v>
      </c>
      <c r="E21" s="325">
        <v>0.5</v>
      </c>
      <c r="F21" s="324" t="s">
        <v>172</v>
      </c>
      <c r="G21" s="326">
        <f>Q21</f>
        <v>46358.899960396047</v>
      </c>
      <c r="H21" s="327">
        <f>G21*B21</f>
        <v>46358.899960396047</v>
      </c>
      <c r="I21" s="265"/>
      <c r="J21" s="47"/>
      <c r="K21" s="47">
        <f>B21</f>
        <v>1</v>
      </c>
      <c r="L21" s="39">
        <f t="shared" ref="L21" si="1">D21+L$19</f>
        <v>1.52</v>
      </c>
      <c r="M21" s="39">
        <f t="shared" ref="M21" si="2">E21+M$19</f>
        <v>0.52</v>
      </c>
      <c r="N21" s="261">
        <f t="shared" ref="N21" si="3">L21*M21</f>
        <v>0.79039999999999999</v>
      </c>
      <c r="O21" s="259">
        <f t="shared" ref="O21" si="4">N21*K21</f>
        <v>0.79039999999999999</v>
      </c>
      <c r="P21" s="252">
        <f t="shared" ref="P21" si="5">P$20*N21</f>
        <v>43358.899960396047</v>
      </c>
      <c r="Q21" s="258">
        <f t="shared" ref="Q21" si="6">P21+Q$20</f>
        <v>46358.899960396047</v>
      </c>
      <c r="R21" s="309">
        <f>L21*K21*2</f>
        <v>3.04</v>
      </c>
      <c r="S21" s="46">
        <f>M21*K21*2</f>
        <v>1.04</v>
      </c>
      <c r="T21" s="9"/>
      <c r="W21" s="4"/>
    </row>
    <row r="22" spans="2:24" ht="17.399999999999999" x14ac:dyDescent="0.3">
      <c r="B22" s="323">
        <v>1</v>
      </c>
      <c r="C22" s="324" t="s">
        <v>171</v>
      </c>
      <c r="D22" s="325">
        <v>2.5</v>
      </c>
      <c r="E22" s="325">
        <v>0.5</v>
      </c>
      <c r="F22" s="324" t="s">
        <v>172</v>
      </c>
      <c r="G22" s="326">
        <f t="shared" ref="G22" si="7">Q22</f>
        <v>74884.492039603967</v>
      </c>
      <c r="H22" s="327">
        <f t="shared" ref="H22" si="8">G22*B22</f>
        <v>74884.492039603967</v>
      </c>
      <c r="I22" s="265"/>
      <c r="J22" s="47"/>
      <c r="K22" s="47">
        <f t="shared" ref="K22" si="9">B22</f>
        <v>1</v>
      </c>
      <c r="L22" s="39">
        <f t="shared" ref="L22" si="10">D22+L$19</f>
        <v>2.52</v>
      </c>
      <c r="M22" s="39">
        <f t="shared" ref="M22" si="11">E22+M$19</f>
        <v>0.52</v>
      </c>
      <c r="N22" s="261">
        <f t="shared" ref="N22" si="12">L22*M22</f>
        <v>1.3104</v>
      </c>
      <c r="O22" s="259">
        <f t="shared" ref="O22" si="13">N22*K22</f>
        <v>1.3104</v>
      </c>
      <c r="P22" s="252">
        <f t="shared" ref="P22" si="14">P$20*N22</f>
        <v>71884.492039603967</v>
      </c>
      <c r="Q22" s="258">
        <f t="shared" ref="Q22" si="15">P22+Q$20</f>
        <v>74884.492039603967</v>
      </c>
      <c r="R22" s="309">
        <f t="shared" ref="R22" si="16">L22*K22*2</f>
        <v>5.04</v>
      </c>
      <c r="S22" s="46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3"/>
      <c r="I23" s="233"/>
      <c r="J23" s="47"/>
      <c r="K23" s="47"/>
      <c r="L23" s="39"/>
      <c r="M23" s="39"/>
      <c r="N23" s="261"/>
      <c r="O23" s="259"/>
      <c r="P23" s="252"/>
      <c r="Q23" s="258"/>
      <c r="R23" s="309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10" t="s">
        <v>29</v>
      </c>
      <c r="H24" s="311">
        <f>SUM(H21:H22)</f>
        <v>121243.39200000002</v>
      </c>
      <c r="I24" s="265"/>
      <c r="J24" s="47"/>
      <c r="K24" s="47"/>
      <c r="L24" s="39">
        <f>SUM(L21:L23)</f>
        <v>4.04</v>
      </c>
      <c r="M24" s="39"/>
      <c r="N24" s="261"/>
      <c r="O24" s="259"/>
      <c r="P24" s="252"/>
      <c r="Q24" s="258"/>
      <c r="R24" s="309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8" t="s">
        <v>52</v>
      </c>
      <c r="H25" s="305">
        <f>H24*19%</f>
        <v>23036.244480000005</v>
      </c>
      <c r="I25" s="265"/>
      <c r="J25" s="47"/>
      <c r="K25" s="47"/>
      <c r="L25" s="39"/>
      <c r="M25" s="12"/>
      <c r="N25" s="12"/>
      <c r="O25" s="253">
        <f>SUM(O21:O22)</f>
        <v>2.1008</v>
      </c>
      <c r="P25" s="14"/>
      <c r="Q25" s="12"/>
      <c r="R25" s="239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6">
        <f>H24+H25</f>
        <v>144279.63648000002</v>
      </c>
      <c r="I26" s="265"/>
      <c r="J26" s="47"/>
      <c r="K26" s="47"/>
      <c r="L26" s="39"/>
      <c r="M26" s="12"/>
      <c r="N26" s="12"/>
      <c r="O26" s="253">
        <f>O25</f>
        <v>2.1008</v>
      </c>
      <c r="P26" s="14"/>
      <c r="Q26" s="12"/>
      <c r="R26" s="239">
        <f>SUM(R21:R25)</f>
        <v>8.08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0.42016000000000003</v>
      </c>
      <c r="P27" s="39" t="s">
        <v>131</v>
      </c>
      <c r="Q27" s="42"/>
      <c r="R27" s="240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47"/>
      <c r="K28" s="47"/>
      <c r="L28" s="14"/>
      <c r="M28" s="12"/>
      <c r="N28" s="12"/>
      <c r="O28" s="46">
        <f>O26+O27</f>
        <v>2.5209600000000001</v>
      </c>
      <c r="P28" s="14"/>
      <c r="Q28" s="14"/>
      <c r="R28" s="238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3"/>
      <c r="F29" s="234"/>
      <c r="G29" s="230"/>
      <c r="H29" s="275"/>
      <c r="I29" s="265"/>
      <c r="J29" s="47"/>
      <c r="K29" s="47"/>
      <c r="L29" s="14"/>
      <c r="M29" s="14"/>
      <c r="N29" s="14"/>
      <c r="O29" s="14"/>
      <c r="P29" s="14"/>
      <c r="Q29" s="14"/>
      <c r="R29" s="238"/>
      <c r="S29" s="14"/>
      <c r="T29" s="316" t="s">
        <v>22</v>
      </c>
      <c r="U29" s="313" t="s">
        <v>153</v>
      </c>
      <c r="V29" s="317">
        <v>44971</v>
      </c>
      <c r="W29" s="318"/>
    </row>
    <row r="30" spans="2:24" ht="17.399999999999999" x14ac:dyDescent="0.35">
      <c r="B30" s="235"/>
      <c r="C30" s="236"/>
      <c r="D30" s="237"/>
      <c r="E30" s="235"/>
      <c r="F30" s="230"/>
      <c r="G30" s="230"/>
      <c r="I30" s="265"/>
      <c r="J30" s="47"/>
      <c r="K30" s="47"/>
      <c r="L30" s="39">
        <f>O28</f>
        <v>2.5209600000000001</v>
      </c>
      <c r="M30" s="12">
        <v>3500</v>
      </c>
      <c r="N30" s="12">
        <f t="shared" ref="N30:N35" si="17">L30*M30</f>
        <v>8823.36</v>
      </c>
      <c r="O30" s="14" t="s">
        <v>22</v>
      </c>
      <c r="P30" s="14"/>
      <c r="Q30" s="14"/>
      <c r="R30" s="241"/>
      <c r="S30" s="14"/>
      <c r="T30" s="316" t="s">
        <v>154</v>
      </c>
      <c r="U30" s="313">
        <v>3625</v>
      </c>
      <c r="V30" s="59" t="s">
        <v>155</v>
      </c>
      <c r="W30" s="318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0.7</v>
      </c>
      <c r="M31" s="12">
        <v>25000</v>
      </c>
      <c r="N31" s="12">
        <f t="shared" si="17"/>
        <v>17500</v>
      </c>
      <c r="O31" s="39" t="s">
        <v>32</v>
      </c>
      <c r="P31" s="42"/>
      <c r="Q31" s="14"/>
      <c r="R31" s="240"/>
      <c r="S31" s="14"/>
      <c r="T31" s="316"/>
      <c r="U31" s="59">
        <v>906.25</v>
      </c>
      <c r="V31" s="59" t="s">
        <v>156</v>
      </c>
      <c r="W31" s="318"/>
    </row>
    <row r="32" spans="2:24" s="230" customFormat="1" ht="17.399999999999999" x14ac:dyDescent="0.35">
      <c r="I32" s="262"/>
      <c r="J32" s="232"/>
      <c r="K32" s="250"/>
      <c r="L32" s="14"/>
      <c r="M32" s="250">
        <v>46500</v>
      </c>
      <c r="N32" s="12">
        <f t="shared" si="17"/>
        <v>0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18" t="s">
        <v>157</v>
      </c>
      <c r="W32" s="59"/>
    </row>
    <row r="33" spans="2:23" s="230" customFormat="1" ht="17.399999999999999" x14ac:dyDescent="0.35">
      <c r="B33" s="24" t="s">
        <v>152</v>
      </c>
      <c r="I33" s="262"/>
      <c r="J33" s="232"/>
      <c r="K33" s="250"/>
      <c r="L33" s="14">
        <v>1</v>
      </c>
      <c r="M33" s="250">
        <v>20000</v>
      </c>
      <c r="N33" s="12">
        <f t="shared" si="17"/>
        <v>20000</v>
      </c>
      <c r="O33" s="14" t="s">
        <v>142</v>
      </c>
      <c r="P33" s="17"/>
      <c r="R33" s="238"/>
      <c r="S33" s="256"/>
      <c r="T33" s="59"/>
      <c r="U33" s="59">
        <f>U31+U32</f>
        <v>1087.5</v>
      </c>
      <c r="V33" s="318" t="s">
        <v>158</v>
      </c>
      <c r="W33" s="59"/>
    </row>
    <row r="34" spans="2:23" s="230" customFormat="1" ht="17.399999999999999" x14ac:dyDescent="0.35">
      <c r="B34" s="24" t="s">
        <v>145</v>
      </c>
      <c r="C34"/>
      <c r="D34"/>
      <c r="E34"/>
      <c r="F34"/>
      <c r="I34" s="262"/>
      <c r="K34" s="250"/>
      <c r="L34" s="249"/>
      <c r="M34" s="250">
        <v>300</v>
      </c>
      <c r="N34" s="12">
        <f t="shared" si="17"/>
        <v>0</v>
      </c>
      <c r="O34" s="14" t="s">
        <v>33</v>
      </c>
      <c r="P34" s="14"/>
      <c r="Q34" s="230">
        <v>1.52</v>
      </c>
      <c r="R34" s="238"/>
      <c r="S34" s="238"/>
    </row>
    <row r="35" spans="2:23" s="230" customFormat="1" ht="17.399999999999999" x14ac:dyDescent="0.35">
      <c r="B35" s="29" t="s">
        <v>126</v>
      </c>
      <c r="C35"/>
      <c r="D35"/>
      <c r="E35"/>
      <c r="F35" s="229" t="s">
        <v>16</v>
      </c>
      <c r="I35" s="304"/>
      <c r="K35" s="250"/>
      <c r="L35" s="266">
        <v>4.04</v>
      </c>
      <c r="M35" s="12">
        <v>1500</v>
      </c>
      <c r="N35" s="12">
        <f t="shared" si="17"/>
        <v>6060</v>
      </c>
      <c r="O35" s="14" t="s">
        <v>23</v>
      </c>
      <c r="P35" s="14"/>
      <c r="Q35">
        <v>2.44</v>
      </c>
      <c r="R35"/>
      <c r="S35" s="238"/>
      <c r="W35" s="231"/>
    </row>
    <row r="36" spans="2:23" s="230" customFormat="1" ht="17.399999999999999" x14ac:dyDescent="0.35">
      <c r="K36" s="250"/>
      <c r="L36" s="14"/>
      <c r="M36" s="12"/>
      <c r="N36" s="12">
        <f>SUM(N30:N35)</f>
        <v>52383.360000000001</v>
      </c>
      <c r="O36" s="39" t="s">
        <v>24</v>
      </c>
      <c r="P36" s="14"/>
      <c r="Q36">
        <f>Q34*Q35</f>
        <v>3.7088000000000001</v>
      </c>
      <c r="R36"/>
      <c r="S36" s="238"/>
      <c r="W36" s="231"/>
    </row>
    <row r="37" spans="2:23" s="230" customFormat="1" ht="17.399999999999999" x14ac:dyDescent="0.35">
      <c r="K37" s="250"/>
      <c r="L37" s="254" t="s">
        <v>34</v>
      </c>
      <c r="M37" s="12"/>
      <c r="N37" s="255">
        <f>N36*2.2</f>
        <v>115243.39200000001</v>
      </c>
      <c r="O37" s="14" t="s">
        <v>141</v>
      </c>
      <c r="P37" s="14"/>
      <c r="Q37" s="40">
        <f>O28/Q36</f>
        <v>0.67972389991371873</v>
      </c>
      <c r="R37"/>
      <c r="S37" s="257"/>
    </row>
    <row r="38" spans="2:23" s="230" customFormat="1" ht="17.399999999999999" x14ac:dyDescent="0.35">
      <c r="G38"/>
      <c r="H38" s="260"/>
      <c r="I38" s="260"/>
      <c r="J38" s="230">
        <v>48209</v>
      </c>
      <c r="K38" s="250"/>
      <c r="L38" s="14"/>
      <c r="M38" s="12"/>
      <c r="N38" s="12">
        <f>N37/O26</f>
        <v>54856.907844630623</v>
      </c>
      <c r="O38" s="45" t="s">
        <v>25</v>
      </c>
      <c r="P38" s="14"/>
      <c r="Q38" s="14"/>
      <c r="R38"/>
      <c r="S38" s="238"/>
      <c r="T38" s="59" t="s">
        <v>159</v>
      </c>
      <c r="U38" s="313">
        <v>43650</v>
      </c>
    </row>
    <row r="39" spans="2:23" s="230" customFormat="1" ht="17.399999999999999" x14ac:dyDescent="0.35">
      <c r="G39"/>
      <c r="H39" s="230" t="s">
        <v>165</v>
      </c>
      <c r="J39" s="230">
        <f>J38/1.19</f>
        <v>40511.764705882357</v>
      </c>
      <c r="K39" s="250"/>
      <c r="L39" s="13"/>
      <c r="M39" s="14"/>
      <c r="N39" s="17">
        <f>N37/N36</f>
        <v>2.2000000000000002</v>
      </c>
      <c r="O39" s="15"/>
      <c r="P39"/>
      <c r="Q39"/>
      <c r="R39"/>
      <c r="S39" s="238"/>
      <c r="T39" s="59" t="s">
        <v>161</v>
      </c>
      <c r="U39" s="314" t="s">
        <v>160</v>
      </c>
      <c r="V39" s="59">
        <v>2.4</v>
      </c>
    </row>
    <row r="40" spans="2:23" s="230" customFormat="1" ht="17.399999999999999" x14ac:dyDescent="0.35">
      <c r="G40" s="23"/>
      <c r="K40" s="12"/>
      <c r="S40" s="238"/>
      <c r="T40" s="59" t="s">
        <v>162</v>
      </c>
      <c r="U40" s="315">
        <v>395.37</v>
      </c>
    </row>
    <row r="41" spans="2:23" s="230" customFormat="1" ht="17.399999999999999" x14ac:dyDescent="0.35">
      <c r="B41"/>
      <c r="C41" s="228"/>
      <c r="D41" s="22"/>
      <c r="E41" s="22"/>
      <c r="F41" s="21"/>
      <c r="G41" s="23"/>
      <c r="K41" s="12"/>
      <c r="S41" s="238"/>
      <c r="T41" s="59" t="s">
        <v>157</v>
      </c>
      <c r="U41" s="59">
        <v>474.45</v>
      </c>
    </row>
    <row r="42" spans="2:23" ht="14.4" customHeight="1" x14ac:dyDescent="0.3">
      <c r="K42" s="12"/>
      <c r="T42" s="59"/>
      <c r="U42" s="59"/>
    </row>
    <row r="43" spans="2:23" x14ac:dyDescent="0.3">
      <c r="K43" s="250"/>
    </row>
    <row r="44" spans="2:23" x14ac:dyDescent="0.3">
      <c r="K44" s="250"/>
      <c r="S44" s="270"/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27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149</v>
      </c>
    </row>
    <row r="74" spans="3:14" x14ac:dyDescent="0.3">
      <c r="C74" t="s">
        <v>148</v>
      </c>
    </row>
    <row r="77" spans="3:14" x14ac:dyDescent="0.3">
      <c r="C77" t="s">
        <v>148</v>
      </c>
    </row>
    <row r="154" spans="3:3" x14ac:dyDescent="0.3">
      <c r="C154" t="s">
        <v>148</v>
      </c>
    </row>
    <row r="155" spans="3:3" x14ac:dyDescent="0.3">
      <c r="C155" t="s">
        <v>150</v>
      </c>
    </row>
    <row r="156" spans="3:3" x14ac:dyDescent="0.3">
      <c r="C156" t="s">
        <v>151</v>
      </c>
    </row>
    <row r="581" spans="3:3" x14ac:dyDescent="0.3">
      <c r="C581" t="s">
        <v>148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45315</v>
      </c>
    </row>
    <row r="6" spans="2:31" ht="16.2" thickBot="1" x14ac:dyDescent="0.35">
      <c r="B6" s="140" t="s">
        <v>2</v>
      </c>
      <c r="C6" s="139" t="str">
        <f>'2229'!C10</f>
        <v>DAVID LOPEZ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5" t="s">
        <v>99</v>
      </c>
      <c r="I7" s="336"/>
      <c r="J7" s="336"/>
      <c r="K7" s="337"/>
      <c r="N7" s="75"/>
      <c r="O7" s="334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10594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4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-4763.933033454111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'2229'!H24</f>
        <v>121243.39200000002</v>
      </c>
      <c r="E11" s="132">
        <f>D11*0.19</f>
        <v>23036.244480000005</v>
      </c>
      <c r="F11" s="131">
        <f>E11+D11</f>
        <v>144279.63648000002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101226.06696654588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56157.450787439615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83226.066966545884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65085.941212560407</v>
      </c>
      <c r="E13" s="221">
        <f>(D11/D12)-1</f>
        <v>1.1589903084973683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74226.066966545884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35226.066966545892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92659.793799275358</v>
      </c>
      <c r="F15" s="216">
        <f>E15-D12</f>
        <v>36502.343011835743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35226.066966545892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75226.066966545884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'2229'!N31</f>
        <v>17500</v>
      </c>
      <c r="E19" s="123">
        <f>D19*0.19</f>
        <v>3325</v>
      </c>
      <c r="F19" s="120">
        <f>SUM(D19:E19)</f>
        <v>20825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8823.36</v>
      </c>
      <c r="E20" s="121">
        <f>D20*0.19</f>
        <v>1676.4384000000002</v>
      </c>
      <c r="F20" s="120">
        <f>SUM(D20:E20)</f>
        <v>10499.798400000001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26323.360000000001</v>
      </c>
      <c r="E21" s="116">
        <f>SUM(E18:E20)</f>
        <v>5001.4384</v>
      </c>
      <c r="F21" s="115">
        <f>SUM(F18:F20)</f>
        <v>31324.7984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18034.806080000006</v>
      </c>
    </row>
    <row r="41" spans="2:16" ht="15" thickBot="1" x14ac:dyDescent="0.35">
      <c r="H41" s="338" t="s">
        <v>61</v>
      </c>
      <c r="I41" s="339"/>
      <c r="J41" s="339"/>
      <c r="K41" s="339"/>
      <c r="L41" s="339"/>
      <c r="M41" s="340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121243.39200000002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26323.360000000001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65085.941212560407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65085.941212560407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2024-01-24T19:51:52Z</cp:lastPrinted>
  <dcterms:created xsi:type="dcterms:W3CDTF">2013-03-18T13:35:42Z</dcterms:created>
  <dcterms:modified xsi:type="dcterms:W3CDTF">2024-01-24T22:25:22Z</dcterms:modified>
</cp:coreProperties>
</file>