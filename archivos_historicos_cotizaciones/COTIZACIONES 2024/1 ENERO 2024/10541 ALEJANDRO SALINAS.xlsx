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36BAC997-FD6B-46D7-9609-F3A3460243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J22" i="1"/>
  <c r="J23" i="1"/>
  <c r="J24" i="1"/>
  <c r="J25" i="1"/>
  <c r="J26" i="1"/>
  <c r="J27" i="1"/>
  <c r="J28" i="1"/>
  <c r="J29" i="1"/>
  <c r="I25" i="1"/>
  <c r="I26" i="1"/>
  <c r="I27" i="1"/>
  <c r="I28" i="1"/>
  <c r="I29" i="1"/>
  <c r="X29" i="1"/>
  <c r="W29" i="1"/>
  <c r="V29" i="1"/>
  <c r="V28" i="1"/>
  <c r="X28" i="1" s="1"/>
  <c r="U31" i="1"/>
  <c r="T33" i="1" s="1"/>
  <c r="X27" i="1"/>
  <c r="W27" i="1"/>
  <c r="V27" i="1"/>
  <c r="X26" i="1"/>
  <c r="W26" i="1"/>
  <c r="V26" i="1"/>
  <c r="X25" i="1"/>
  <c r="V25" i="1"/>
  <c r="I24" i="1"/>
  <c r="X24" i="1"/>
  <c r="W24" i="1"/>
  <c r="V24" i="1"/>
  <c r="I23" i="1"/>
  <c r="X23" i="1"/>
  <c r="V23" i="1"/>
  <c r="I22" i="1"/>
  <c r="I21" i="1"/>
  <c r="W22" i="1"/>
  <c r="X22" i="1" s="1"/>
  <c r="V22" i="1"/>
  <c r="X21" i="1"/>
  <c r="W21" i="1"/>
  <c r="V21" i="1"/>
  <c r="T38" i="1"/>
  <c r="T31" i="1"/>
  <c r="U29" i="1"/>
  <c r="T29" i="1"/>
  <c r="T28" i="1"/>
  <c r="U27" i="1"/>
  <c r="T27" i="1"/>
  <c r="U26" i="1"/>
  <c r="T26" i="1"/>
  <c r="T25" i="1"/>
  <c r="U24" i="1"/>
  <c r="T24" i="1"/>
  <c r="T23" i="1"/>
  <c r="U22" i="1"/>
  <c r="T22" i="1"/>
  <c r="U21" i="1"/>
  <c r="T21" i="1"/>
  <c r="Q28" i="1"/>
  <c r="Q22" i="1"/>
  <c r="Q23" i="1"/>
  <c r="Q25" i="1"/>
  <c r="P28" i="1"/>
  <c r="M29" i="1"/>
  <c r="M22" i="1"/>
  <c r="M23" i="1"/>
  <c r="M24" i="1"/>
  <c r="M25" i="1"/>
  <c r="M26" i="1"/>
  <c r="M27" i="1"/>
  <c r="M28" i="1"/>
  <c r="M21" i="1"/>
  <c r="N22" i="1"/>
  <c r="O22" i="1"/>
  <c r="N23" i="1"/>
  <c r="P23" i="1" s="1"/>
  <c r="O23" i="1"/>
  <c r="N24" i="1"/>
  <c r="O24" i="1"/>
  <c r="N25" i="1"/>
  <c r="P25" i="1" s="1"/>
  <c r="O25" i="1"/>
  <c r="N26" i="1"/>
  <c r="O26" i="1"/>
  <c r="P26" i="1" s="1"/>
  <c r="Q26" i="1" s="1"/>
  <c r="N27" i="1"/>
  <c r="O27" i="1"/>
  <c r="P27" i="1" s="1"/>
  <c r="Q27" i="1" s="1"/>
  <c r="N28" i="1"/>
  <c r="O28" i="1"/>
  <c r="N29" i="1"/>
  <c r="O29" i="1"/>
  <c r="L46" i="1"/>
  <c r="N21" i="1"/>
  <c r="O21" i="1"/>
  <c r="T34" i="1" l="1"/>
  <c r="T35" i="1" s="1"/>
  <c r="P24" i="1"/>
  <c r="Q24" i="1" s="1"/>
  <c r="P29" i="1"/>
  <c r="Q29" i="1" s="1"/>
  <c r="P22" i="1"/>
  <c r="N31" i="1"/>
  <c r="P21" i="1"/>
  <c r="Q21" i="1" s="1"/>
  <c r="W39" i="1"/>
  <c r="W40" i="1" s="1"/>
  <c r="Q32" i="1" l="1"/>
  <c r="P38" i="1"/>
  <c r="Q33" i="1" l="1"/>
  <c r="Q34" i="1" s="1"/>
  <c r="Q35" i="1" s="1"/>
  <c r="O20" i="1"/>
  <c r="M20" i="1"/>
  <c r="P39" i="1" l="1"/>
  <c r="S43" i="1"/>
  <c r="P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42" i="1"/>
  <c r="P41" i="1"/>
  <c r="F18" i="3" l="1"/>
  <c r="P37" i="1" l="1"/>
  <c r="S44" i="1"/>
  <c r="P43" i="1" l="1"/>
  <c r="P44" i="1" s="1"/>
  <c r="D20" i="3"/>
  <c r="E20" i="3" s="1"/>
  <c r="E21" i="3" s="1"/>
  <c r="P46" i="1" l="1"/>
  <c r="D21" i="3"/>
  <c r="M43" i="3" s="1"/>
  <c r="D12" i="3" s="1"/>
  <c r="F20" i="3"/>
  <c r="F21" i="3" s="1"/>
  <c r="P45" i="1" l="1"/>
  <c r="R20" i="1" s="1"/>
  <c r="E15" i="3"/>
  <c r="R23" i="1" l="1"/>
  <c r="S23" i="1" s="1"/>
  <c r="R27" i="1"/>
  <c r="S27" i="1" s="1"/>
  <c r="R22" i="1"/>
  <c r="S22" i="1" s="1"/>
  <c r="R26" i="1"/>
  <c r="S26" i="1" s="1"/>
  <c r="R24" i="1"/>
  <c r="S24" i="1" s="1"/>
  <c r="R28" i="1"/>
  <c r="S28" i="1" s="1"/>
  <c r="R25" i="1"/>
  <c r="S25" i="1" s="1"/>
  <c r="R29" i="1"/>
  <c r="S29" i="1" s="1"/>
  <c r="R21" i="1"/>
  <c r="F15" i="3"/>
  <c r="S21" i="1" l="1"/>
  <c r="J21" i="1" s="1"/>
  <c r="J32" i="1" l="1"/>
  <c r="D11" i="3" l="1"/>
  <c r="X9" i="3" s="1"/>
  <c r="X15" i="3" s="1"/>
  <c r="J33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<sst xmlns="http://schemas.openxmlformats.org/spreadsheetml/2006/main" count="267" uniqueCount="181">
  <si>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</si>
  <si>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</si>
  <si>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</si>
  <si>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</si>
  <si>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</si>
  <si>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</si>
  <si>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</si>
  <si>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</si>
  <si>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</si>
  <si>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</si>
  <si>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</si>
  <si>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</si>
  <si>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</si>
  <si>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</si>
  <si>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</si>
  <si>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</si>
  <si>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</si>
  <si>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</si>
  <si>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</si>
  <si>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</si>
  <si>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</si>
  <si>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</si>
  <si>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</si>
  <si>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</si>
  <si>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</si>
  <si>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</si>
  <si>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</si>
  <si>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</si>
  <si>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</si>
  <si>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</si>
  <si>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</si>
  <si>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</si>
  <si>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</si>
  <si>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</si>
  <si>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</si>
  <si>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</si>
  <si>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</si>
  <si>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</si>
  <si>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</si>
  <si>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</si>
  <si>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</si>
  <si>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</si>
  <si>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</si>
  <si>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</si>
  <si>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</si>
  <si>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</si>
  <si>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</si>
  <si>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</si>
  <si>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</si>
  <si>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</si>
  <si>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</si>
  <si>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</si>
  <si>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</si>
  <si>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</si>
  <si>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</si>
  <si>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</si>
  <si>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</si>
  <si>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</si>
  <si>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</si>
  <si>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</si>
  <si>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</si>
  <si>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</si>
  <si>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</si>
  <si>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</si>
  <si>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</si>
  <si>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</si>
  <si>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</si>
  <si>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</si>
  <si>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</si>
  <si>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</si>
  <si>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</si>
  <si>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</si>
  <si>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</si>
  <si>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</si>
  <si>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</si>
  <si>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</si>
  <si>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</si>
  <si>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</si>
  <si>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</si>
  <si>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</si>
  <si>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</si>
  <si>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</si>
  <si>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</si>
  <si>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</si>
  <si>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</si>
  <si>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</si>
  <si>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</si>
  <si>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</si>
  <si>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</si>
  <si>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</si>
  <si>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</si>
  <si>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</si>
  <si>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</si>
  <si>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</si>
  <si>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</si>
  <si>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</si>
  <si>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</si>
  <si>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</si>
  <si>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</si>
  <si>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</si>
  <si>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</si>
  <si>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</si>
  <si>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</si>
  <si>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</si>
  <si>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</si>
  <si>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</si>
  <si>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</si>
  <si>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</si>
  <si>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</si>
  <si>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</si>
  <si>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</si>
  <si>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</si>
  <si>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</si>
  <si>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</si>
  <si>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</si>
  <si>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</si>
  <si>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</si>
  <si>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</si>
  <si>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</si>
  <si>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</si>
  <si>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</si>
  <si>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</si>
  <si>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</si>
  <si>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</si>
  <si>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</si>
  <si>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</si>
  <si>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</si>
  <si>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</si>
  <si>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</si>
  <si>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</si>
  <si>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</si>
  <si>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</si>
  <si>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</si>
  <si>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</si>
  <si>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</si>
  <si>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</si>
  <si>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</si>
  <si>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</si>
  <si>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</si>
  <si>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</si>
  <si>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</si>
  <si>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</si>
  <si>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</si>
  <si>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</si>
  <si>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</si>
  <si>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</si>
  <si>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</si>
  <si>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</si>
  <si>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</si>
  <si>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</si>
  <si>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</si>
  <si>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</si>
  <si>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</si>
  <si>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</si>
  <si>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</si>
  <si>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</si>
  <si>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</si>
  <si>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</si>
  <si>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</si>
  <si>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</si>
  <si>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</si>
  <si>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</si>
  <si>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</si>
  <si>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</si>
  <si>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</si>
  <si>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</si>
  <si>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</si>
  <si>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</si>
  <si>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ALEJANDRO SALINAS</t>
  </si>
  <si>
    <t>SI</t>
  </si>
  <si>
    <t>ENCHAPE RECTO 1 CARA CUBIERTA</t>
  </si>
  <si>
    <t>ENCHAPE RECTO 2 CARAS LATERALES</t>
  </si>
  <si>
    <t>ENCHAPE RECTO 2 CARAS INTERMEDIO</t>
  </si>
  <si>
    <t>ENCHAPE RECTO 1 CARA FRONTAL</t>
  </si>
  <si>
    <t>ENCHAPE RECTO 1 CARA PUERTAS MELAMIL 1 CARA</t>
  </si>
  <si>
    <t>1 LADO</t>
  </si>
  <si>
    <t>NEGRO OPACO</t>
  </si>
  <si>
    <t>MELAMIL 18MM</t>
  </si>
  <si>
    <t>PERDIDA</t>
  </si>
  <si>
    <t>VALOR M/L</t>
  </si>
  <si>
    <t>+569 9483 1373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</si>
</sst>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3" fillId="20" borderId="0" xfId="0" applyFont="1" applyFill="1" applyBorder="1" applyAlignment="1">
      <alignment horizontal="center"/>
    </xf>
    <xf numFmtId="167" fontId="37" fillId="0" borderId="0" xfId="0" applyNumberFormat="1" applyFont="1"/>
    <xf numFmtId="41" fontId="0" fillId="0" borderId="0" xfId="4" applyFont="1" applyAlignment="1">
      <alignment horizontal="center"/>
    </xf>
    <xf numFmtId="41" fontId="0" fillId="0" borderId="0" xfId="4" applyFont="1"/>
    <xf numFmtId="166" fontId="32" fillId="0" borderId="36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</xdr:colOff>
      <xdr:row>35</xdr:row>
      <xdr:rowOff>26670</xdr:rowOff>
    </xdr:from>
    <xdr:to>
      <xdr:col>9</xdr:col>
      <xdr:colOff>1034435</xdr:colOff>
      <xdr:row>38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8</xdr:col>
      <xdr:colOff>222885</xdr:colOff>
      <xdr:row>37</xdr:row>
      <xdr:rowOff>154305</xdr:rowOff>
    </xdr:from>
    <xdr:to>
      <xdr:col>9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7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7</xdr:col>
      <xdr:colOff>1626870</xdr:colOff>
      <xdr:row>33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TAPACANTO PVC 1MM NEGRO OPACO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588"/>
  <sheetViews>
    <sheetView tabSelected="1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9.109375" bestFit="1" customWidth="1"/>
    <col min="5" max="5" width="10.33203125" customWidth="1"/>
    <col min="6" max="7" width="10.5546875" customWidth="1"/>
    <col min="8" max="8" width="25.44140625" customWidth="1"/>
    <col min="9" max="9" width="14" customWidth="1"/>
    <col min="10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H2" s="242" t="s">
        <v>142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H3" s="59" t="s">
        <v>138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H4" s="59" t="s">
        <v>143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H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H6" s="59" t="s">
        <v>15</v>
      </c>
      <c r="P6" s="33" t="s">
        <v>20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H7" s="59" t="s">
        <v>124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301" t="s">
        <v>126</v>
      </c>
      <c r="C8" s="302"/>
      <c r="D8" s="303">
        <v>10541</v>
      </c>
      <c r="E8" s="341"/>
      <c r="H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320" t="s">
        <v>162</v>
      </c>
      <c r="C10" s="279" t="s">
        <v>168</v>
      </c>
      <c r="D10" s="243"/>
      <c r="E10" s="243"/>
      <c r="F10" s="243"/>
      <c r="G10" s="243"/>
      <c r="H10" s="244" t="s">
        <v>0</v>
      </c>
      <c r="I10" s="277">
        <v>45308</v>
      </c>
      <c r="J10" s="245"/>
      <c r="L10" s="1"/>
      <c r="S10" s="2"/>
      <c r="T10" s="3"/>
      <c r="U10" s="3"/>
      <c r="V10" s="4"/>
      <c r="W10" s="2"/>
      <c r="X10" s="3"/>
    </row>
    <row r="11" spans="2:25" ht="16.8" x14ac:dyDescent="0.4">
      <c r="B11" s="288" t="s">
        <v>12</v>
      </c>
      <c r="C11" s="313"/>
      <c r="H11" t="s">
        <v>123</v>
      </c>
      <c r="I11" s="289" t="s">
        <v>167</v>
      </c>
      <c r="J11" s="290"/>
      <c r="R11" s="19"/>
      <c r="S11" s="25" t="s">
        <v>19</v>
      </c>
      <c r="T11" s="19"/>
    </row>
    <row r="12" spans="2:25" ht="16.8" x14ac:dyDescent="0.4">
      <c r="B12" s="246" t="s">
        <v>145</v>
      </c>
      <c r="C12" s="313"/>
      <c r="D12" s="247"/>
      <c r="E12" s="247"/>
      <c r="F12" s="247"/>
      <c r="G12" s="247"/>
      <c r="H12" s="247" t="s">
        <v>127</v>
      </c>
      <c r="I12" s="278" t="s">
        <v>135</v>
      </c>
      <c r="J12" s="248"/>
      <c r="R12" s="19"/>
      <c r="S12" s="25"/>
      <c r="T12" s="19"/>
    </row>
    <row r="13" spans="2:25" x14ac:dyDescent="0.3">
      <c r="B13" s="246" t="s">
        <v>146</v>
      </c>
      <c r="D13" s="247"/>
      <c r="E13" s="247"/>
      <c r="F13" s="247"/>
      <c r="G13" s="247"/>
      <c r="H13" s="247"/>
      <c r="I13" s="278"/>
      <c r="J13" s="248"/>
      <c r="R13" s="19"/>
      <c r="S13" s="25"/>
      <c r="T13" s="19"/>
    </row>
    <row r="14" spans="2:25" x14ac:dyDescent="0.3">
      <c r="B14" s="288" t="s">
        <v>139</v>
      </c>
      <c r="C14" s="307"/>
      <c r="H14" s="29" t="s">
        <v>136</v>
      </c>
      <c r="I14" s="291" t="s">
        <v>169</v>
      </c>
      <c r="J14" s="290"/>
      <c r="L14" s="29"/>
      <c r="R14" s="20"/>
      <c r="S14" s="26" t="s">
        <v>18</v>
      </c>
      <c r="T14" s="20"/>
    </row>
    <row r="15" spans="2:25" ht="15.6" x14ac:dyDescent="0.3">
      <c r="B15" s="246" t="s">
        <v>4</v>
      </c>
      <c r="C15" s="310" t="s">
        <v>180</v>
      </c>
      <c r="D15" s="295"/>
      <c r="E15" s="295"/>
      <c r="F15" s="247"/>
      <c r="G15" s="247"/>
      <c r="H15" s="247" t="s">
        <v>134</v>
      </c>
      <c r="I15" s="296" t="s">
        <v>135</v>
      </c>
      <c r="J15" s="248"/>
    </row>
    <row r="16" spans="2:25" ht="16.8" x14ac:dyDescent="0.4">
      <c r="B16" s="292" t="s">
        <v>3</v>
      </c>
      <c r="C16" s="313"/>
      <c r="H16" s="293" t="s">
        <v>129</v>
      </c>
      <c r="I16" s="294" t="s">
        <v>163</v>
      </c>
      <c r="J16" s="290"/>
    </row>
    <row r="17" spans="2:26" ht="15" thickBot="1" x14ac:dyDescent="0.35">
      <c r="B17" s="297" t="s">
        <v>13</v>
      </c>
      <c r="C17" s="298" t="s">
        <v>166</v>
      </c>
      <c r="D17" s="299"/>
      <c r="E17" s="299"/>
      <c r="F17" s="300"/>
      <c r="G17" s="300"/>
      <c r="H17" s="329" t="s">
        <v>165</v>
      </c>
      <c r="I17" s="329"/>
      <c r="J17" s="330"/>
      <c r="K17" s="263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x14ac:dyDescent="0.3">
      <c r="B19" s="331" t="s">
        <v>147</v>
      </c>
      <c r="C19" s="332"/>
      <c r="D19" s="332"/>
      <c r="E19" s="332"/>
      <c r="F19" s="332"/>
      <c r="G19" s="332"/>
      <c r="H19" s="332"/>
      <c r="I19" s="332"/>
      <c r="J19" s="333"/>
      <c r="K19" s="264"/>
      <c r="L19" s="5"/>
      <c r="M19" s="250"/>
      <c r="N19" s="14">
        <v>0.02</v>
      </c>
      <c r="O19" s="14">
        <v>0.02</v>
      </c>
      <c r="P19" s="14"/>
      <c r="Q19" s="251" t="s">
        <v>6</v>
      </c>
      <c r="R19" s="36" t="s">
        <v>21</v>
      </c>
      <c r="S19" s="37" t="s">
        <v>133</v>
      </c>
      <c r="T19" s="10" t="s">
        <v>137</v>
      </c>
      <c r="V19" s="9"/>
      <c r="W19" s="9"/>
      <c r="Y19" s="6"/>
      <c r="Z19" s="6"/>
    </row>
    <row r="20" spans="2:26" ht="18" thickBot="1" x14ac:dyDescent="0.35">
      <c r="B20" s="321" t="s">
        <v>7</v>
      </c>
      <c r="C20" s="322" t="s">
        <v>1</v>
      </c>
      <c r="D20" s="322" t="s">
        <v>10</v>
      </c>
      <c r="E20" s="322" t="s">
        <v>133</v>
      </c>
      <c r="F20" s="322" t="s">
        <v>11</v>
      </c>
      <c r="G20" s="322" t="s">
        <v>133</v>
      </c>
      <c r="H20" s="322" t="s">
        <v>8</v>
      </c>
      <c r="I20" s="322" t="s">
        <v>5</v>
      </c>
      <c r="J20" s="323" t="s">
        <v>6</v>
      </c>
      <c r="K20" s="265"/>
      <c r="L20" s="47"/>
      <c r="M20" s="268" t="str">
        <f>B20</f>
        <v>UNIDAD</v>
      </c>
      <c r="N20" s="267" t="s">
        <v>131</v>
      </c>
      <c r="O20" s="39" t="str">
        <f t="shared" ref="O20" si="0">F20</f>
        <v>ANCHO</v>
      </c>
      <c r="P20" s="261" t="s">
        <v>132</v>
      </c>
      <c r="Q20" s="259" t="s">
        <v>17</v>
      </c>
      <c r="R20" s="252">
        <f>P45</f>
        <v>52892.189619404766</v>
      </c>
      <c r="S20" s="258">
        <v>3000</v>
      </c>
      <c r="T20" s="38"/>
      <c r="U20" s="14" t="s">
        <v>128</v>
      </c>
      <c r="V20" s="9"/>
      <c r="Y20" s="4"/>
    </row>
    <row r="21" spans="2:26" ht="18" thickBot="1" x14ac:dyDescent="0.35">
      <c r="B21" s="324">
        <v>1</v>
      </c>
      <c r="C21" s="325" t="s">
        <v>170</v>
      </c>
      <c r="D21" s="345">
        <v>2.04</v>
      </c>
      <c r="E21" s="345" t="s">
        <v>169</v>
      </c>
      <c r="F21" s="345">
        <v>0.6</v>
      </c>
      <c r="G21" s="326" t="s">
        <v>169</v>
      </c>
      <c r="H21" s="325" t="s">
        <v>176</v>
      </c>
      <c r="I21" s="327">
        <f>R21+X$21</f>
        <v>83393.904581903771</v>
      </c>
      <c r="J21" s="328">
        <f>I21*B21</f>
        <v>83393.904581903771</v>
      </c>
      <c r="K21" s="265"/>
      <c r="L21" s="47">
        <v>1</v>
      </c>
      <c r="M21" s="47">
        <f>B21</f>
        <v>1</v>
      </c>
      <c r="N21" s="39">
        <f t="shared" ref="N21" si="1">D21+N$19</f>
        <v>2.06</v>
      </c>
      <c r="O21" s="39">
        <f t="shared" ref="O21" si="2">F21+O$19</f>
        <v>0.62</v>
      </c>
      <c r="P21" s="261">
        <f t="shared" ref="P21" si="3">N21*O21</f>
        <v>1.2772000000000001</v>
      </c>
      <c r="Q21" s="259">
        <f t="shared" ref="Q21" si="4">P21*M21</f>
        <v>1.2772000000000001</v>
      </c>
      <c r="R21" s="252">
        <f t="shared" ref="R21" si="5">R$20*P21</f>
        <v>67553.904581903771</v>
      </c>
      <c r="S21" s="258">
        <f t="shared" ref="S21" si="6">R21+S$20</f>
        <v>70553.904581903771</v>
      </c>
      <c r="T21" s="309">
        <f>D21*M21*2</f>
        <v>4.08</v>
      </c>
      <c r="U21" s="46">
        <f>F21*M21*2</f>
        <v>1.2</v>
      </c>
      <c r="V21" s="343">
        <f>T21*S20</f>
        <v>12240</v>
      </c>
      <c r="W21" s="344">
        <f>U21*S20</f>
        <v>3600</v>
      </c>
      <c r="X21" s="344">
        <f>V21+W21</f>
        <v>15840</v>
      </c>
      <c r="Y21" s="4"/>
    </row>
    <row r="22" spans="2:26" ht="18" thickBot="1" x14ac:dyDescent="0.35">
      <c r="B22" s="324">
        <v>2</v>
      </c>
      <c r="C22" s="325" t="s">
        <v>171</v>
      </c>
      <c r="D22" s="345">
        <v>0.93</v>
      </c>
      <c r="E22" s="345" t="s">
        <v>169</v>
      </c>
      <c r="F22" s="345">
        <v>0.6</v>
      </c>
      <c r="G22" s="326" t="s">
        <v>175</v>
      </c>
      <c r="H22" s="325" t="s">
        <v>176</v>
      </c>
      <c r="I22" s="327">
        <f>R22+X22</f>
        <v>46273.499685829411</v>
      </c>
      <c r="J22" s="328">
        <f t="shared" ref="J22:J29" si="7">I22*B22</f>
        <v>92546.999371658821</v>
      </c>
      <c r="K22" s="265"/>
      <c r="L22" s="47">
        <v>1</v>
      </c>
      <c r="M22" s="342">
        <f t="shared" ref="M22:M28" si="8">B22</f>
        <v>2</v>
      </c>
      <c r="N22" s="39">
        <f t="shared" ref="N22:N29" si="9">D22+N$19</f>
        <v>0.95000000000000007</v>
      </c>
      <c r="O22" s="39">
        <f t="shared" ref="O22:O29" si="10">F22+O$19</f>
        <v>0.62</v>
      </c>
      <c r="P22" s="261">
        <f t="shared" ref="P22:P29" si="11">N22*O22</f>
        <v>0.58900000000000008</v>
      </c>
      <c r="Q22" s="259">
        <f>P22*M22</f>
        <v>1.1780000000000002</v>
      </c>
      <c r="R22" s="252">
        <f t="shared" ref="R22:R29" si="12">R$20*P22</f>
        <v>31153.499685829411</v>
      </c>
      <c r="S22" s="258">
        <f t="shared" ref="S22:S29" si="13">R22+S$20</f>
        <v>34153.499685829411</v>
      </c>
      <c r="T22" s="309">
        <f>N22*M22*2</f>
        <v>3.8000000000000003</v>
      </c>
      <c r="U22" s="46">
        <f>O22*M22</f>
        <v>1.24</v>
      </c>
      <c r="V22" s="9">
        <f>T22*S20</f>
        <v>11400</v>
      </c>
      <c r="W22" s="344">
        <f>U22*S20</f>
        <v>3720</v>
      </c>
      <c r="X22" s="344">
        <f>V22+W22</f>
        <v>15120</v>
      </c>
      <c r="Y22" s="4"/>
    </row>
    <row r="23" spans="2:26" ht="18" thickBot="1" x14ac:dyDescent="0.35">
      <c r="B23" s="324">
        <v>1</v>
      </c>
      <c r="C23" s="325" t="s">
        <v>172</v>
      </c>
      <c r="D23" s="345">
        <v>2</v>
      </c>
      <c r="E23" s="345" t="s">
        <v>175</v>
      </c>
      <c r="F23" s="345">
        <v>0.6</v>
      </c>
      <c r="G23" s="326" t="s">
        <v>135</v>
      </c>
      <c r="H23" s="325" t="s">
        <v>176</v>
      </c>
      <c r="I23" s="327">
        <f>R23+X23</f>
        <v>72302.178279342523</v>
      </c>
      <c r="J23" s="328">
        <f t="shared" si="7"/>
        <v>72302.178279342523</v>
      </c>
      <c r="K23" s="265"/>
      <c r="L23" s="47"/>
      <c r="M23" s="342">
        <f t="shared" si="8"/>
        <v>1</v>
      </c>
      <c r="N23" s="39">
        <f t="shared" si="9"/>
        <v>2.02</v>
      </c>
      <c r="O23" s="39">
        <f t="shared" si="10"/>
        <v>0.62</v>
      </c>
      <c r="P23" s="261">
        <f t="shared" si="11"/>
        <v>1.2524</v>
      </c>
      <c r="Q23" s="259">
        <f>P23*M23</f>
        <v>1.2524</v>
      </c>
      <c r="R23" s="252">
        <f t="shared" si="12"/>
        <v>66242.178279342523</v>
      </c>
      <c r="S23" s="258">
        <f t="shared" si="13"/>
        <v>69242.178279342523</v>
      </c>
      <c r="T23" s="309">
        <f>N23*M23</f>
        <v>2.02</v>
      </c>
      <c r="U23" s="14"/>
      <c r="V23" s="9">
        <f>T23*S20</f>
        <v>6060</v>
      </c>
      <c r="X23" s="344">
        <f>V23+W23</f>
        <v>6060</v>
      </c>
      <c r="Y23" s="4"/>
    </row>
    <row r="24" spans="2:26" ht="18" thickBot="1" x14ac:dyDescent="0.35">
      <c r="B24" s="324">
        <v>1</v>
      </c>
      <c r="C24" s="325" t="s">
        <v>170</v>
      </c>
      <c r="D24" s="345">
        <v>1.2</v>
      </c>
      <c r="E24" s="345" t="s">
        <v>169</v>
      </c>
      <c r="F24" s="345">
        <v>0.66500000000000004</v>
      </c>
      <c r="G24" s="326" t="s">
        <v>169</v>
      </c>
      <c r="H24" s="325" t="s">
        <v>176</v>
      </c>
      <c r="I24" s="327">
        <f>R24+X24</f>
        <v>55512.002864936563</v>
      </c>
      <c r="J24" s="328">
        <f t="shared" si="7"/>
        <v>55512.002864936563</v>
      </c>
      <c r="K24" s="265"/>
      <c r="L24" s="47"/>
      <c r="M24" s="47">
        <f t="shared" si="8"/>
        <v>1</v>
      </c>
      <c r="N24" s="39">
        <f t="shared" si="9"/>
        <v>1.22</v>
      </c>
      <c r="O24" s="39">
        <f t="shared" si="10"/>
        <v>0.68500000000000005</v>
      </c>
      <c r="P24" s="261">
        <f t="shared" si="11"/>
        <v>0.8357</v>
      </c>
      <c r="Q24" s="259">
        <f t="shared" ref="Q22:Q29" si="14">P24*M24</f>
        <v>0.8357</v>
      </c>
      <c r="R24" s="252">
        <f t="shared" si="12"/>
        <v>44202.002864936563</v>
      </c>
      <c r="S24" s="258">
        <f t="shared" si="13"/>
        <v>47202.002864936563</v>
      </c>
      <c r="T24" s="309">
        <f>D24*M24*2</f>
        <v>2.4</v>
      </c>
      <c r="U24" s="46">
        <f>O24*M24*2</f>
        <v>1.37</v>
      </c>
      <c r="V24" s="9">
        <f>T24*S20</f>
        <v>7200</v>
      </c>
      <c r="W24">
        <f>U24*S20</f>
        <v>4110</v>
      </c>
      <c r="X24" s="344">
        <f>V24+W24</f>
        <v>11310</v>
      </c>
      <c r="Y24" s="4"/>
    </row>
    <row r="25" spans="2:26" ht="18" thickBot="1" x14ac:dyDescent="0.35">
      <c r="B25" s="324">
        <v>2</v>
      </c>
      <c r="C25" s="325" t="s">
        <v>171</v>
      </c>
      <c r="D25" s="345">
        <v>0.66500000000000004</v>
      </c>
      <c r="E25" s="345" t="s">
        <v>169</v>
      </c>
      <c r="F25" s="345">
        <v>0.8</v>
      </c>
      <c r="G25" s="326" t="s">
        <v>135</v>
      </c>
      <c r="H25" s="325" t="s">
        <v>176</v>
      </c>
      <c r="I25" s="327">
        <f>R25+X25</f>
        <v>37929.542909219657</v>
      </c>
      <c r="J25" s="328">
        <f t="shared" si="7"/>
        <v>75859.085818439315</v>
      </c>
      <c r="K25" s="265"/>
      <c r="L25" s="47"/>
      <c r="M25" s="342">
        <f t="shared" si="8"/>
        <v>2</v>
      </c>
      <c r="N25" s="39">
        <f t="shared" si="9"/>
        <v>0.68500000000000005</v>
      </c>
      <c r="O25" s="39">
        <f t="shared" si="10"/>
        <v>0.82000000000000006</v>
      </c>
      <c r="P25" s="261">
        <f t="shared" si="11"/>
        <v>0.56170000000000009</v>
      </c>
      <c r="Q25" s="259">
        <f>P25*M25</f>
        <v>1.1234000000000002</v>
      </c>
      <c r="R25" s="252">
        <f t="shared" si="12"/>
        <v>29709.542909219661</v>
      </c>
      <c r="S25" s="258">
        <f t="shared" si="13"/>
        <v>32709.542909219661</v>
      </c>
      <c r="T25" s="309">
        <f>N25*M25*2</f>
        <v>2.74</v>
      </c>
      <c r="U25" s="14"/>
      <c r="V25" s="9">
        <f>T25*S20</f>
        <v>8220</v>
      </c>
      <c r="X25" s="344">
        <f>V25+W25</f>
        <v>8220</v>
      </c>
      <c r="Y25" s="4"/>
    </row>
    <row r="26" spans="2:26" ht="18" thickBot="1" x14ac:dyDescent="0.35">
      <c r="B26" s="324">
        <v>1</v>
      </c>
      <c r="C26" s="325" t="s">
        <v>173</v>
      </c>
      <c r="D26" s="345">
        <v>1.2</v>
      </c>
      <c r="E26" s="345" t="s">
        <v>169</v>
      </c>
      <c r="F26" s="345">
        <v>0.9</v>
      </c>
      <c r="G26" s="326" t="s">
        <v>169</v>
      </c>
      <c r="H26" s="325" t="s">
        <v>176</v>
      </c>
      <c r="I26" s="327">
        <f>R26+X26</f>
        <v>72206.193628819921</v>
      </c>
      <c r="J26" s="328">
        <f t="shared" si="7"/>
        <v>72206.193628819921</v>
      </c>
      <c r="K26" s="265"/>
      <c r="L26" s="47"/>
      <c r="M26" s="47">
        <f t="shared" si="8"/>
        <v>1</v>
      </c>
      <c r="N26" s="39">
        <f t="shared" si="9"/>
        <v>1.22</v>
      </c>
      <c r="O26" s="39">
        <f t="shared" si="10"/>
        <v>0.92</v>
      </c>
      <c r="P26" s="261">
        <f t="shared" si="11"/>
        <v>1.1224000000000001</v>
      </c>
      <c r="Q26" s="259">
        <f t="shared" si="14"/>
        <v>1.1224000000000001</v>
      </c>
      <c r="R26" s="252">
        <f t="shared" si="12"/>
        <v>59366.193628819914</v>
      </c>
      <c r="S26" s="258">
        <f t="shared" si="13"/>
        <v>62366.193628819914</v>
      </c>
      <c r="T26" s="309">
        <f>N26*M26*2</f>
        <v>2.44</v>
      </c>
      <c r="U26" s="46">
        <f>O26*M26*2</f>
        <v>1.84</v>
      </c>
      <c r="V26" s="9">
        <f>T26*S20</f>
        <v>7320</v>
      </c>
      <c r="W26">
        <f>U26*S20</f>
        <v>5520</v>
      </c>
      <c r="X26" s="344">
        <f>V26+W26</f>
        <v>12840</v>
      </c>
      <c r="Y26" s="4"/>
    </row>
    <row r="27" spans="2:26" ht="18" thickBot="1" x14ac:dyDescent="0.35">
      <c r="B27" s="324">
        <v>1</v>
      </c>
      <c r="C27" s="325" t="s">
        <v>170</v>
      </c>
      <c r="D27" s="345">
        <v>1.2</v>
      </c>
      <c r="E27" s="345" t="s">
        <v>169</v>
      </c>
      <c r="F27" s="345">
        <v>0.43</v>
      </c>
      <c r="G27" s="326" t="s">
        <v>169</v>
      </c>
      <c r="H27" s="325" t="s">
        <v>176</v>
      </c>
      <c r="I27" s="327">
        <f>R27+X27</f>
        <v>38937.81210105322</v>
      </c>
      <c r="J27" s="328">
        <f t="shared" si="7"/>
        <v>38937.81210105322</v>
      </c>
      <c r="K27" s="265"/>
      <c r="L27" s="47"/>
      <c r="M27" s="47">
        <f t="shared" si="8"/>
        <v>1</v>
      </c>
      <c r="N27" s="39">
        <f t="shared" si="9"/>
        <v>1.22</v>
      </c>
      <c r="O27" s="39">
        <f t="shared" si="10"/>
        <v>0.45</v>
      </c>
      <c r="P27" s="261">
        <f t="shared" si="11"/>
        <v>0.54900000000000004</v>
      </c>
      <c r="Q27" s="259">
        <f t="shared" si="14"/>
        <v>0.54900000000000004</v>
      </c>
      <c r="R27" s="252">
        <f t="shared" si="12"/>
        <v>29037.81210105322</v>
      </c>
      <c r="S27" s="258">
        <f t="shared" si="13"/>
        <v>32037.81210105322</v>
      </c>
      <c r="T27" s="309">
        <f>N27*M27*2</f>
        <v>2.44</v>
      </c>
      <c r="U27" s="46">
        <f>F27*M27*2</f>
        <v>0.86</v>
      </c>
      <c r="V27" s="9">
        <f>T27*S20</f>
        <v>7320</v>
      </c>
      <c r="W27">
        <f>U27*S20</f>
        <v>2580</v>
      </c>
      <c r="X27" s="344">
        <f>V27+W27</f>
        <v>9900</v>
      </c>
      <c r="Y27" s="4"/>
    </row>
    <row r="28" spans="2:26" ht="18" thickBot="1" x14ac:dyDescent="0.35">
      <c r="B28" s="324">
        <v>4</v>
      </c>
      <c r="C28" s="325" t="s">
        <v>171</v>
      </c>
      <c r="D28" s="345">
        <v>0.96</v>
      </c>
      <c r="E28" s="345" t="s">
        <v>169</v>
      </c>
      <c r="F28" s="345">
        <v>0.43</v>
      </c>
      <c r="G28" s="326" t="s">
        <v>135</v>
      </c>
      <c r="H28" s="325" t="s">
        <v>176</v>
      </c>
      <c r="I28" s="327">
        <f>R28+X28</f>
        <v>46845.455622157504</v>
      </c>
      <c r="J28" s="328">
        <f t="shared" si="7"/>
        <v>187381.82248863002</v>
      </c>
      <c r="K28" s="265"/>
      <c r="L28" s="47"/>
      <c r="M28" s="342">
        <f t="shared" si="8"/>
        <v>4</v>
      </c>
      <c r="N28" s="39">
        <f t="shared" si="9"/>
        <v>0.98</v>
      </c>
      <c r="O28" s="39">
        <f t="shared" si="10"/>
        <v>0.45</v>
      </c>
      <c r="P28" s="261">
        <f>N28*O28</f>
        <v>0.441</v>
      </c>
      <c r="Q28" s="259">
        <f>P28*M28</f>
        <v>1.764</v>
      </c>
      <c r="R28" s="252">
        <f t="shared" si="12"/>
        <v>23325.4556221575</v>
      </c>
      <c r="S28" s="258">
        <f t="shared" si="13"/>
        <v>26325.4556221575</v>
      </c>
      <c r="T28" s="309">
        <f>N28*M28*2</f>
        <v>7.84</v>
      </c>
      <c r="U28" s="46"/>
      <c r="V28" s="9">
        <f>T28*S20</f>
        <v>23520</v>
      </c>
      <c r="X28" s="344">
        <f>V28+W28</f>
        <v>23520</v>
      </c>
      <c r="Y28" s="4"/>
    </row>
    <row r="29" spans="2:26" ht="17.399999999999999" x14ac:dyDescent="0.3">
      <c r="B29" s="324">
        <v>3</v>
      </c>
      <c r="C29" s="325" t="s">
        <v>174</v>
      </c>
      <c r="D29" s="345">
        <v>0.77</v>
      </c>
      <c r="E29" s="345" t="s">
        <v>169</v>
      </c>
      <c r="F29" s="345">
        <v>0.37</v>
      </c>
      <c r="G29" s="326" t="s">
        <v>169</v>
      </c>
      <c r="H29" s="325" t="s">
        <v>176</v>
      </c>
      <c r="I29" s="327">
        <f>R29+X29</f>
        <v>37536.08362173861</v>
      </c>
      <c r="J29" s="328">
        <f t="shared" si="7"/>
        <v>112608.25086521583</v>
      </c>
      <c r="K29" s="265"/>
      <c r="L29" s="47"/>
      <c r="M29" s="47">
        <f>B29</f>
        <v>3</v>
      </c>
      <c r="N29" s="39">
        <f t="shared" si="9"/>
        <v>0.79</v>
      </c>
      <c r="O29" s="39">
        <f t="shared" si="10"/>
        <v>0.39</v>
      </c>
      <c r="P29" s="261">
        <f t="shared" si="11"/>
        <v>0.30810000000000004</v>
      </c>
      <c r="Q29" s="259">
        <f t="shared" si="14"/>
        <v>0.92430000000000012</v>
      </c>
      <c r="R29" s="252">
        <f t="shared" si="12"/>
        <v>16296.083621738611</v>
      </c>
      <c r="S29" s="258">
        <f t="shared" si="13"/>
        <v>19296.08362173861</v>
      </c>
      <c r="T29" s="309">
        <f>N29*M29*2</f>
        <v>4.74</v>
      </c>
      <c r="U29" s="46">
        <f>O29*M29*2</f>
        <v>2.34</v>
      </c>
      <c r="V29" s="9">
        <f>T29*S20</f>
        <v>14220</v>
      </c>
      <c r="W29">
        <f>U29*S20</f>
        <v>7020</v>
      </c>
      <c r="X29" s="344">
        <f>V29+W29</f>
        <v>21240</v>
      </c>
      <c r="Y29" s="4"/>
    </row>
    <row r="30" spans="2:26" ht="18" thickBot="1" x14ac:dyDescent="0.35">
      <c r="B30" s="286"/>
      <c r="C30" s="286"/>
      <c r="D30" s="287"/>
      <c r="E30" s="287"/>
      <c r="F30" s="287"/>
      <c r="G30" s="287"/>
      <c r="H30" s="286"/>
      <c r="I30" s="265"/>
      <c r="J30" s="233"/>
      <c r="K30" s="233"/>
      <c r="L30" s="47"/>
      <c r="M30" s="47"/>
      <c r="N30" s="39"/>
      <c r="O30" s="39"/>
      <c r="P30" s="261"/>
      <c r="Q30" s="259"/>
      <c r="R30" s="252"/>
      <c r="S30" s="258"/>
      <c r="T30" s="309"/>
      <c r="U30" s="14"/>
      <c r="V30" s="9"/>
      <c r="Y30" s="4"/>
    </row>
    <row r="31" spans="2:26" ht="17.399999999999999" x14ac:dyDescent="0.3">
      <c r="B31" s="286"/>
      <c r="C31" s="286"/>
      <c r="D31" s="287"/>
      <c r="E31" s="287"/>
      <c r="F31" s="287"/>
      <c r="G31" s="287"/>
      <c r="H31" s="286"/>
      <c r="I31" s="311" t="s">
        <v>29</v>
      </c>
      <c r="J31" s="312">
        <f>SUM(J21:J30)</f>
        <v>790748.24999999988</v>
      </c>
      <c r="K31" s="265"/>
      <c r="L31" s="47"/>
      <c r="M31" s="47"/>
      <c r="N31" s="39">
        <f>SUM(N21:N30)</f>
        <v>11.145000000000003</v>
      </c>
      <c r="O31" s="39"/>
      <c r="P31" s="261"/>
      <c r="Q31" s="259"/>
      <c r="R31" s="252"/>
      <c r="S31" s="258"/>
      <c r="T31" s="309">
        <f>SUM(T21:T30)</f>
        <v>32.5</v>
      </c>
      <c r="U31" s="46">
        <f>SUM(U21:U30)</f>
        <v>8.8500000000000014</v>
      </c>
      <c r="V31" s="9"/>
      <c r="Y31" s="4"/>
    </row>
    <row r="32" spans="2:26" ht="17.399999999999999" x14ac:dyDescent="0.3">
      <c r="B32" s="280"/>
      <c r="C32" s="283"/>
      <c r="D32" s="284"/>
      <c r="E32" s="284"/>
      <c r="F32" s="284"/>
      <c r="G32" s="284"/>
      <c r="H32" s="285"/>
      <c r="I32" s="308" t="s">
        <v>51</v>
      </c>
      <c r="J32" s="305">
        <f>J31*19%</f>
        <v>150242.16749999998</v>
      </c>
      <c r="K32" s="265"/>
      <c r="L32" s="47"/>
      <c r="M32" s="47"/>
      <c r="N32" s="39"/>
      <c r="O32" s="12"/>
      <c r="P32" s="12"/>
      <c r="Q32" s="253">
        <f>SUM(Q21:Q30)</f>
        <v>10.026400000000001</v>
      </c>
      <c r="R32" s="14"/>
      <c r="S32" s="12"/>
      <c r="T32" s="239"/>
      <c r="U32" s="14"/>
      <c r="V32" s="9"/>
      <c r="Y32" s="4"/>
    </row>
    <row r="33" spans="2:25" ht="18" thickBot="1" x14ac:dyDescent="0.35">
      <c r="B33" s="276"/>
      <c r="C33" s="282"/>
      <c r="D33" s="272"/>
      <c r="E33" s="272"/>
      <c r="F33" s="272"/>
      <c r="G33" s="272"/>
      <c r="H33" s="273"/>
      <c r="I33" s="281" t="s">
        <v>6</v>
      </c>
      <c r="J33" s="306">
        <f>J31+J32</f>
        <v>940990.41749999986</v>
      </c>
      <c r="K33" s="265"/>
      <c r="L33" s="47"/>
      <c r="M33" s="47"/>
      <c r="N33" s="39"/>
      <c r="O33" s="12"/>
      <c r="P33" s="12"/>
      <c r="Q33" s="253">
        <f>Q32</f>
        <v>10.026400000000001</v>
      </c>
      <c r="R33" s="14"/>
      <c r="S33" s="12"/>
      <c r="T33" s="239">
        <f>T31+U31</f>
        <v>41.35</v>
      </c>
      <c r="U33" s="14"/>
      <c r="V33" s="9"/>
      <c r="Y33" s="4"/>
    </row>
    <row r="34" spans="2:25" ht="17.399999999999999" x14ac:dyDescent="0.3">
      <c r="B34" s="276"/>
      <c r="C34" s="271"/>
      <c r="D34" s="272"/>
      <c r="E34" s="272"/>
      <c r="F34" s="272"/>
      <c r="G34" s="272"/>
      <c r="H34" s="273"/>
      <c r="K34" s="265"/>
      <c r="L34" s="47"/>
      <c r="M34" s="47"/>
      <c r="N34" s="14"/>
      <c r="O34" s="12"/>
      <c r="P34" s="12"/>
      <c r="Q34" s="39">
        <f>Q33*20%</f>
        <v>2.0052800000000004</v>
      </c>
      <c r="R34" s="39" t="s">
        <v>130</v>
      </c>
      <c r="S34" s="42"/>
      <c r="T34" s="240">
        <f>T33*20%</f>
        <v>8.2700000000000014</v>
      </c>
      <c r="U34" s="14" t="s">
        <v>178</v>
      </c>
      <c r="V34" s="9"/>
      <c r="Y34" s="4"/>
    </row>
    <row r="35" spans="2:25" ht="17.399999999999999" x14ac:dyDescent="0.3">
      <c r="B35" s="271"/>
      <c r="C35" s="271"/>
      <c r="D35" s="272"/>
      <c r="E35" s="272"/>
      <c r="F35" s="272"/>
      <c r="G35" s="272"/>
      <c r="H35" s="273"/>
      <c r="I35" s="274"/>
      <c r="J35" s="275"/>
      <c r="K35" s="265"/>
      <c r="L35" s="47"/>
      <c r="M35" s="47"/>
      <c r="N35" s="14"/>
      <c r="O35" s="12"/>
      <c r="P35" s="12"/>
      <c r="Q35" s="46">
        <f>Q33+Q34</f>
        <v>12.031680000000001</v>
      </c>
      <c r="R35" s="14"/>
      <c r="S35" s="14"/>
      <c r="T35" s="239">
        <f>T33+T34</f>
        <v>49.620000000000005</v>
      </c>
      <c r="U35" s="14"/>
      <c r="V35" s="9"/>
      <c r="Y35" s="4"/>
    </row>
    <row r="36" spans="2:25" ht="17.399999999999999" x14ac:dyDescent="0.35">
      <c r="B36" s="269"/>
      <c r="C36" s="230"/>
      <c r="D36" s="230"/>
      <c r="E36" s="230"/>
      <c r="F36" s="233"/>
      <c r="G36" s="233"/>
      <c r="H36" s="234"/>
      <c r="I36" s="230"/>
      <c r="J36" s="275"/>
      <c r="K36" s="265"/>
      <c r="L36" s="47"/>
      <c r="M36" s="47"/>
      <c r="N36" s="14"/>
      <c r="O36" s="14"/>
      <c r="P36" s="14"/>
      <c r="Q36" s="14"/>
      <c r="R36" s="14"/>
      <c r="S36" s="14"/>
      <c r="T36" s="238"/>
      <c r="U36" s="14"/>
      <c r="V36" s="317" t="s">
        <v>22</v>
      </c>
      <c r="W36" s="314" t="s">
        <v>152</v>
      </c>
      <c r="X36" s="318">
        <v>44971</v>
      </c>
      <c r="Y36" s="319"/>
    </row>
    <row r="37" spans="2:25" ht="17.399999999999999" x14ac:dyDescent="0.35">
      <c r="B37" s="235"/>
      <c r="C37" s="236"/>
      <c r="D37" s="237"/>
      <c r="E37" s="237"/>
      <c r="F37" s="235"/>
      <c r="G37" s="235"/>
      <c r="H37" s="230"/>
      <c r="I37" s="230"/>
      <c r="K37" s="265"/>
      <c r="L37" s="47"/>
      <c r="M37" s="47"/>
      <c r="N37" s="39">
        <v>18.413</v>
      </c>
      <c r="O37" s="12">
        <v>2500</v>
      </c>
      <c r="P37" s="12">
        <f t="shared" ref="P37:P42" si="15">N37*O37</f>
        <v>46032.5</v>
      </c>
      <c r="Q37" s="14" t="s">
        <v>22</v>
      </c>
      <c r="R37" s="14"/>
      <c r="S37" s="14"/>
      <c r="T37" s="241">
        <v>1500</v>
      </c>
      <c r="U37" s="14" t="s">
        <v>179</v>
      </c>
      <c r="V37" s="317" t="s">
        <v>153</v>
      </c>
      <c r="W37" s="314">
        <v>3625</v>
      </c>
      <c r="X37" s="59" t="s">
        <v>154</v>
      </c>
      <c r="Y37" s="319"/>
    </row>
    <row r="38" spans="2:25" ht="17.399999999999999" x14ac:dyDescent="0.35">
      <c r="B38" s="230"/>
      <c r="C38" s="230"/>
      <c r="D38" s="230"/>
      <c r="E38" s="230"/>
      <c r="F38" s="230"/>
      <c r="G38" s="230"/>
      <c r="H38" s="230"/>
      <c r="I38" s="230"/>
      <c r="K38" s="265"/>
      <c r="L38" s="47"/>
      <c r="M38" s="47"/>
      <c r="N38" s="249">
        <v>3</v>
      </c>
      <c r="O38" s="12">
        <v>25000</v>
      </c>
      <c r="P38" s="12">
        <f t="shared" si="15"/>
        <v>75000</v>
      </c>
      <c r="Q38" s="39" t="s">
        <v>31</v>
      </c>
      <c r="R38" s="42"/>
      <c r="S38" s="14"/>
      <c r="T38" s="240">
        <f>T37*50</f>
        <v>75000</v>
      </c>
      <c r="U38" s="14"/>
      <c r="V38" s="317"/>
      <c r="W38" s="59">
        <v>906.25</v>
      </c>
      <c r="X38" s="59" t="s">
        <v>155</v>
      </c>
      <c r="Y38" s="319"/>
    </row>
    <row r="39" spans="2:25" s="230" customFormat="1" ht="17.399999999999999" x14ac:dyDescent="0.35">
      <c r="K39" s="262"/>
      <c r="L39" s="232"/>
      <c r="M39" s="250"/>
      <c r="N39" s="14">
        <v>0.3</v>
      </c>
      <c r="O39" s="250">
        <v>45000</v>
      </c>
      <c r="P39" s="12">
        <f t="shared" si="15"/>
        <v>13500</v>
      </c>
      <c r="Q39" s="39" t="s">
        <v>177</v>
      </c>
      <c r="R39" s="42"/>
      <c r="T39" s="240"/>
      <c r="U39" s="256"/>
      <c r="V39" s="59"/>
      <c r="W39" s="59">
        <f>W38*20%</f>
        <v>181.25</v>
      </c>
      <c r="X39" s="319" t="s">
        <v>156</v>
      </c>
      <c r="Y39" s="59"/>
    </row>
    <row r="40" spans="2:25" s="230" customFormat="1" ht="17.399999999999999" x14ac:dyDescent="0.35">
      <c r="B40" s="24" t="s">
        <v>151</v>
      </c>
      <c r="K40" s="262"/>
      <c r="L40" s="232"/>
      <c r="M40" s="250"/>
      <c r="N40" s="14">
        <v>4</v>
      </c>
      <c r="O40" s="250">
        <v>29500</v>
      </c>
      <c r="P40" s="12">
        <f t="shared" si="15"/>
        <v>118000</v>
      </c>
      <c r="Q40" s="14" t="s">
        <v>141</v>
      </c>
      <c r="R40" s="17"/>
      <c r="T40" s="238"/>
      <c r="U40" s="256"/>
      <c r="V40" s="59"/>
      <c r="W40" s="59">
        <f>W38+W39</f>
        <v>1087.5</v>
      </c>
      <c r="X40" s="319" t="s">
        <v>157</v>
      </c>
      <c r="Y40" s="59"/>
    </row>
    <row r="41" spans="2:25" s="230" customFormat="1" ht="17.399999999999999" x14ac:dyDescent="0.35">
      <c r="B41" s="24" t="s">
        <v>144</v>
      </c>
      <c r="C41"/>
      <c r="D41"/>
      <c r="E41"/>
      <c r="F41"/>
      <c r="G41"/>
      <c r="H41"/>
      <c r="K41" s="262"/>
      <c r="M41" s="250"/>
      <c r="N41" s="249"/>
      <c r="O41" s="250">
        <v>300</v>
      </c>
      <c r="P41" s="12">
        <f t="shared" si="15"/>
        <v>0</v>
      </c>
      <c r="Q41" s="14" t="s">
        <v>32</v>
      </c>
      <c r="R41" s="14"/>
      <c r="S41" s="230">
        <v>1.52</v>
      </c>
      <c r="T41" s="238"/>
      <c r="U41" s="238"/>
    </row>
    <row r="42" spans="2:25" s="230" customFormat="1" ht="17.399999999999999" x14ac:dyDescent="0.35">
      <c r="B42" s="29" t="s">
        <v>125</v>
      </c>
      <c r="C42"/>
      <c r="D42"/>
      <c r="E42"/>
      <c r="F42"/>
      <c r="G42"/>
      <c r="H42" s="229" t="s">
        <v>16</v>
      </c>
      <c r="K42" s="304"/>
      <c r="M42" s="250"/>
      <c r="N42" s="266"/>
      <c r="O42" s="12">
        <v>1500</v>
      </c>
      <c r="P42" s="12">
        <f t="shared" si="15"/>
        <v>0</v>
      </c>
      <c r="Q42" s="14" t="s">
        <v>23</v>
      </c>
      <c r="R42" s="14"/>
      <c r="S42">
        <v>2.44</v>
      </c>
      <c r="T42"/>
      <c r="U42" s="238"/>
      <c r="Y42" s="231"/>
    </row>
    <row r="43" spans="2:25" s="230" customFormat="1" ht="17.399999999999999" x14ac:dyDescent="0.35">
      <c r="M43" s="250"/>
      <c r="N43" s="14"/>
      <c r="O43" s="12"/>
      <c r="P43" s="12">
        <f>SUM(P37:P42)</f>
        <v>252532.5</v>
      </c>
      <c r="Q43" s="39" t="s">
        <v>24</v>
      </c>
      <c r="R43" s="14"/>
      <c r="S43">
        <f>S41*S42</f>
        <v>3.7088000000000001</v>
      </c>
      <c r="T43"/>
      <c r="U43" s="238"/>
      <c r="Y43" s="231"/>
    </row>
    <row r="44" spans="2:25" s="230" customFormat="1" ht="17.399999999999999" x14ac:dyDescent="0.35">
      <c r="M44" s="250"/>
      <c r="N44" s="254" t="s">
        <v>33</v>
      </c>
      <c r="O44" s="12"/>
      <c r="P44" s="255">
        <f>P43*2.1</f>
        <v>530318.25</v>
      </c>
      <c r="Q44" s="14" t="s">
        <v>140</v>
      </c>
      <c r="R44" s="14"/>
      <c r="S44" s="40">
        <f>Q35/S43</f>
        <v>3.2440897325280416</v>
      </c>
      <c r="T44"/>
      <c r="U44" s="257"/>
    </row>
    <row r="45" spans="2:25" s="230" customFormat="1" ht="17.399999999999999" x14ac:dyDescent="0.35">
      <c r="I45"/>
      <c r="J45" s="260"/>
      <c r="K45" s="260"/>
      <c r="L45" s="230">
        <v>35060</v>
      </c>
      <c r="M45" s="250"/>
      <c r="N45" s="14"/>
      <c r="O45" s="12"/>
      <c r="P45" s="12">
        <f>P44/Q33</f>
        <v>52892.189619404766</v>
      </c>
      <c r="Q45" s="45" t="s">
        <v>25</v>
      </c>
      <c r="R45" s="14"/>
      <c r="S45" s="14"/>
      <c r="T45"/>
      <c r="U45" s="238"/>
      <c r="V45" s="59" t="s">
        <v>158</v>
      </c>
      <c r="W45" s="314">
        <v>43650</v>
      </c>
    </row>
    <row r="46" spans="2:25" s="230" customFormat="1" ht="17.399999999999999" x14ac:dyDescent="0.35">
      <c r="I46"/>
      <c r="J46" s="230" t="s">
        <v>164</v>
      </c>
      <c r="L46" s="230">
        <f>L45/1.19</f>
        <v>29462.18487394958</v>
      </c>
      <c r="M46" s="250"/>
      <c r="N46" s="13"/>
      <c r="O46" s="14"/>
      <c r="P46" s="17">
        <f>P44/P43</f>
        <v>2.1</v>
      </c>
      <c r="Q46" s="15"/>
      <c r="R46"/>
      <c r="S46"/>
      <c r="T46"/>
      <c r="U46" s="238"/>
      <c r="V46" s="59" t="s">
        <v>160</v>
      </c>
      <c r="W46" s="315" t="s">
        <v>159</v>
      </c>
      <c r="X46" s="59">
        <v>2.4</v>
      </c>
    </row>
    <row r="47" spans="2:25" s="230" customFormat="1" ht="17.399999999999999" x14ac:dyDescent="0.35">
      <c r="I47" s="23"/>
      <c r="M47" s="12"/>
      <c r="U47" s="238"/>
      <c r="V47" s="59" t="s">
        <v>161</v>
      </c>
      <c r="W47" s="316">
        <v>395.37</v>
      </c>
    </row>
    <row r="48" spans="2:25" s="230" customFormat="1" ht="17.399999999999999" x14ac:dyDescent="0.35">
      <c r="B48"/>
      <c r="C48" s="228"/>
      <c r="D48" s="22"/>
      <c r="E48" s="22"/>
      <c r="F48" s="22"/>
      <c r="G48" s="22"/>
      <c r="H48" s="21"/>
      <c r="I48" s="23"/>
      <c r="M48" s="12"/>
      <c r="U48" s="238"/>
      <c r="V48" s="59" t="s">
        <v>156</v>
      </c>
      <c r="W48" s="59">
        <v>474.45</v>
      </c>
    </row>
    <row r="49" spans="13:23" ht="14.4" customHeight="1" x14ac:dyDescent="0.3">
      <c r="M49" s="12"/>
      <c r="V49" s="59"/>
      <c r="W49" s="59"/>
    </row>
    <row r="50" spans="13:23" x14ac:dyDescent="0.3">
      <c r="M50" s="250"/>
    </row>
    <row r="51" spans="13:23" x14ac:dyDescent="0.3">
      <c r="M51" s="250"/>
      <c r="U51" s="270"/>
    </row>
    <row r="52" spans="13:23" x14ac:dyDescent="0.3">
      <c r="M52" s="250"/>
    </row>
    <row r="53" spans="13:23" ht="15" customHeight="1" x14ac:dyDescent="0.3"/>
    <row r="55" spans="13:23" x14ac:dyDescent="0.3">
      <c r="P55">
        <v>40935</v>
      </c>
      <c r="Q55" t="s">
        <v>17</v>
      </c>
      <c r="R55" t="s">
        <v>27</v>
      </c>
    </row>
    <row r="57" spans="13:23" x14ac:dyDescent="0.3">
      <c r="P57" s="54"/>
      <c r="Q57" s="54"/>
    </row>
    <row r="58" spans="13:23" x14ac:dyDescent="0.3">
      <c r="T58" s="18"/>
      <c r="U58" s="18"/>
    </row>
    <row r="59" spans="13:23" x14ac:dyDescent="0.3">
      <c r="T59" s="18"/>
      <c r="U59" s="18"/>
    </row>
    <row r="60" spans="13:23" x14ac:dyDescent="0.3">
      <c r="T60" s="18"/>
      <c r="U60" s="18"/>
    </row>
    <row r="61" spans="13:23" x14ac:dyDescent="0.3">
      <c r="T61" s="18"/>
      <c r="U61" s="18"/>
    </row>
    <row r="62" spans="13:23" x14ac:dyDescent="0.3">
      <c r="T62" s="18"/>
      <c r="U62" s="18"/>
    </row>
    <row r="63" spans="13:23" x14ac:dyDescent="0.3">
      <c r="T63" s="18"/>
      <c r="U63" s="18"/>
    </row>
    <row r="64" spans="13:23" x14ac:dyDescent="0.3">
      <c r="T64" s="18"/>
      <c r="U64" s="18"/>
    </row>
    <row r="65" spans="3:21" x14ac:dyDescent="0.3">
      <c r="T65" s="18"/>
      <c r="U65" s="18"/>
    </row>
    <row r="66" spans="3:21" x14ac:dyDescent="0.3">
      <c r="T66" s="18"/>
      <c r="U66" s="18"/>
    </row>
    <row r="69" spans="3:21" x14ac:dyDescent="0.3">
      <c r="P69" s="43"/>
    </row>
    <row r="70" spans="3:21" x14ac:dyDescent="0.3">
      <c r="P70" s="43"/>
    </row>
    <row r="71" spans="3:21" x14ac:dyDescent="0.3">
      <c r="P71" s="6"/>
    </row>
    <row r="72" spans="3:21" x14ac:dyDescent="0.3">
      <c r="P72" s="6"/>
    </row>
    <row r="80" spans="3:21" x14ac:dyDescent="0.3">
      <c r="C80" t="s">
        <v>148</v>
      </c>
    </row>
    <row r="81" spans="3:3" x14ac:dyDescent="0.3">
      <c r="C81" t="s">
        <v>147</v>
      </c>
    </row>
    <row r="84" spans="3:3" x14ac:dyDescent="0.3">
      <c r="C84" t="s">
        <v>147</v>
      </c>
    </row>
    <row r="161" spans="3:3" x14ac:dyDescent="0.3">
      <c r="C161" t="s">
        <v>147</v>
      </c>
    </row>
    <row r="162" spans="3:3" x14ac:dyDescent="0.3">
      <c r="C162" t="s">
        <v>149</v>
      </c>
    </row>
    <row r="163" spans="3:3" x14ac:dyDescent="0.3">
      <c r="C163" t="s">
        <v>150</v>
      </c>
    </row>
    <row r="588" spans="3:3" x14ac:dyDescent="0.3">
      <c r="C588" t="s">
        <v>147</v>
      </c>
    </row>
  </sheetData>
  <mergeCells count="2">
    <mergeCell ref="H17:J17"/>
    <mergeCell ref="B19:J19"/>
  </mergeCells>
  <phoneticPr fontId="34" type="noConversion"/>
  <hyperlinks>
    <hyperlink ref="H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'2229'!I10</f>
        <v>45308</v>
      </c>
    </row>
    <row r="6" spans="2:31" ht="16.2" thickBot="1" x14ac:dyDescent="0.35">
      <c r="B6" s="140" t="s">
        <v>2</v>
      </c>
      <c r="C6" s="139" t="str">
        <f>'2229'!C10</f>
        <v>ALEJANDRO SALINAS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98</v>
      </c>
      <c r="I7" s="336"/>
      <c r="J7" s="336"/>
      <c r="K7" s="337"/>
      <c r="N7" s="75"/>
      <c r="O7" s="3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>
        <f>'2229'!D8</f>
        <v>10541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-86590.562533454082</v>
      </c>
    </row>
    <row r="10" spans="2:31" ht="16.2" thickBot="1" x14ac:dyDescent="0.35">
      <c r="D10" s="218" t="s">
        <v>29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'2229'!J31</f>
        <v>790748.24999999988</v>
      </c>
      <c r="E11" s="132">
        <f>D11*0.19</f>
        <v>150242.16749999998</v>
      </c>
      <c r="F11" s="131">
        <f>E11+D11</f>
        <v>940990.41749999986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19399.437466545918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164366.59078743961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1399.4374665459181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626381.65921256028</v>
      </c>
      <c r="E13" s="221">
        <f>(D11/D12)-1</f>
        <v>3.8108818599431977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-7600.5625334540819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29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-46600.562533454082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271204.87479927536</v>
      </c>
      <c r="F15" s="216">
        <f>E15-D12</f>
        <v>106838.28401183576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-46600.562533454082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-6600.5625334540819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29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'2229'!P39</f>
        <v>13500</v>
      </c>
      <c r="E18" s="123">
        <f>D18*0.19</f>
        <v>2565</v>
      </c>
      <c r="F18" s="120">
        <f>SUM(D18:E18)</f>
        <v>16065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'2229'!P38</f>
        <v>75000</v>
      </c>
      <c r="E19" s="123">
        <f>D19*0.19</f>
        <v>14250</v>
      </c>
      <c r="F19" s="120">
        <f>SUM(D19:E19)</f>
        <v>89250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'2229'!P37</f>
        <v>46032.5</v>
      </c>
      <c r="E20" s="121">
        <f>D20*0.19</f>
        <v>8746.1749999999993</v>
      </c>
      <c r="F20" s="120">
        <f>SUM(D20:E20)</f>
        <v>54778.675000000003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134532.5</v>
      </c>
      <c r="E21" s="116">
        <f>SUM(E18:E20)</f>
        <v>25561.174999999999</v>
      </c>
      <c r="F21" s="115">
        <f>SUM(F18:F20)</f>
        <v>160093.67499999999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124680.99249999998</v>
      </c>
    </row>
    <row r="41" spans="2:16" ht="15" thickBot="1" x14ac:dyDescent="0.35">
      <c r="H41" s="338" t="s">
        <v>60</v>
      </c>
      <c r="I41" s="339"/>
      <c r="J41" s="339"/>
      <c r="K41" s="339"/>
      <c r="L41" s="339"/>
      <c r="M41" s="3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790748.24999999988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134532.5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626381.65921256028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626381.65921256028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2024-01-15T13:35:36Z</cp:lastPrinted>
  <dcterms:created xsi:type="dcterms:W3CDTF">2013-03-18T13:35:42Z</dcterms:created>
  <dcterms:modified xsi:type="dcterms:W3CDTF">2024-01-17T19:19:59Z</dcterms:modified>
</cp:coreProperties>
</file>