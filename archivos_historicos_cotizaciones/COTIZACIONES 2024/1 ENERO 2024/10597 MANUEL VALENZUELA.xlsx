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7D8D05D-2225-43C9-B50F-948160036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22" i="1"/>
  <c r="L22" i="1"/>
  <c r="R22" i="1" s="1"/>
  <c r="M22" i="1"/>
  <c r="K21" i="1"/>
  <c r="J39" i="1"/>
  <c r="L21" i="1"/>
  <c r="M21" i="1"/>
  <c r="L24" i="1" l="1"/>
  <c r="N22" i="1"/>
  <c r="O22" i="1" s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P22" i="1"/>
  <c r="F15" i="3"/>
  <c r="Q22" i="1" l="1"/>
  <c r="G22" i="1"/>
  <c r="Q21" i="1"/>
  <c r="H21" i="1" s="1"/>
  <c r="H22" i="1" l="1"/>
  <c r="H24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<sst xmlns="http://schemas.openxmlformats.org/spreadsheetml/2006/main" count="230" uniqueCount="172">
  <si>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</si>
  <si>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</si>
  <si>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</si>
  <si>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</si>
  <si>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</si>
  <si>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</si>
  <si>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</si>
  <si>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</si>
  <si>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</si>
  <si>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</si>
  <si>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</si>
  <si>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</si>
  <si>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</si>
  <si>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</si>
  <si>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</si>
  <si>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</si>
  <si>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</si>
  <si>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</si>
  <si>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</si>
  <si>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</si>
  <si>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</si>
  <si>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</si>
  <si>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</si>
  <si>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</si>
  <si>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</si>
  <si>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</si>
  <si>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</si>
  <si>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</si>
  <si>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</si>
  <si>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</si>
  <si>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</si>
  <si>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</si>
  <si>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</si>
  <si>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</si>
  <si>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</si>
  <si>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</si>
  <si>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</si>
  <si>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</si>
  <si>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</si>
  <si>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</si>
  <si>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</si>
  <si>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</si>
  <si>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</si>
  <si>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</si>
  <si>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</si>
  <si>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</si>
  <si>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</si>
  <si>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</si>
  <si>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</si>
  <si>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</si>
  <si>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</si>
  <si>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</si>
  <si>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</si>
  <si>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</si>
  <si>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</si>
  <si>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</si>
  <si>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</si>
  <si>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</si>
  <si>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</si>
  <si>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</si>
  <si>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</si>
  <si>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</si>
  <si>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</si>
  <si>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</si>
  <si>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</si>
  <si>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</si>
  <si>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</si>
  <si>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</si>
  <si>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</si>
  <si>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</si>
  <si>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</si>
  <si>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</si>
  <si>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</si>
  <si>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</si>
  <si>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</si>
  <si>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</si>
  <si>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</si>
  <si>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</si>
  <si>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</si>
  <si>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</si>
  <si>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</si>
  <si>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</si>
  <si>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</si>
  <si>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</si>
  <si>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</si>
  <si>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</si>
  <si>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</si>
  <si>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</si>
  <si>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</si>
  <si>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</si>
  <si>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</si>
  <si>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</si>
  <si>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</si>
  <si>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</si>
  <si>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</si>
  <si>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</si>
  <si>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</si>
  <si>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</si>
  <si>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</si>
  <si>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</si>
  <si>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</si>
  <si>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</si>
  <si>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</si>
  <si>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</si>
  <si>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</si>
  <si>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</si>
  <si>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</si>
  <si>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</si>
  <si>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</si>
  <si>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</si>
  <si>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</si>
  <si>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</si>
  <si>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</si>
  <si>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</si>
  <si>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</si>
  <si>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</si>
  <si>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</si>
  <si>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</si>
  <si>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</si>
  <si>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</si>
  <si>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</si>
  <si>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</si>
  <si>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</si>
  <si>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</si>
  <si>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</si>
  <si>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</si>
  <si>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</si>
  <si>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</si>
  <si>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</si>
  <si>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</si>
  <si>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</si>
  <si>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</si>
  <si>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</si>
  <si>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</si>
  <si>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</si>
  <si>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</si>
  <si>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</si>
  <si>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</si>
  <si>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</si>
  <si>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</si>
  <si>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</si>
  <si>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</si>
  <si>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</si>
  <si>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</si>
  <si>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</si>
  <si>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</si>
  <si>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</si>
  <si>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</si>
  <si>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</si>
  <si>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</si>
  <si>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</si>
  <si>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</si>
  <si>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</si>
  <si>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</si>
  <si>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</si>
  <si>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</si>
  <si>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</si>
  <si>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</si>
  <si>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</si>
  <si>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</si>
  <si>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</si>
  <si>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</si>
  <si>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</si>
  <si>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</si>
  <si>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</si>
  <si>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</si>
  <si>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</si>
  <si>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MANUEL VALENZUELA</t>
  </si>
  <si>
    <t>569 6115 5758</t>
  </si>
  <si>
    <t>RANCAGUA</t>
  </si>
  <si>
    <t>CUBIERTA SIN RESPALDO FALDON 5 CMS</t>
  </si>
  <si>
    <t>HARD ROCK MAPLE  0791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</si>
</sst>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23</xdr:row>
      <xdr:rowOff>9525</xdr:rowOff>
    </xdr:from>
    <xdr:to>
      <xdr:col>5</xdr:col>
      <xdr:colOff>1635064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167</v>
      </c>
      <c r="D10" s="243"/>
      <c r="E10" s="243"/>
      <c r="F10" s="244" t="s">
        <v>0</v>
      </c>
      <c r="G10" s="277">
        <v>45316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3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3" t="s">
        <v>168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169</v>
      </c>
      <c r="D17" s="299"/>
      <c r="E17" s="300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78659.999999999985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170</v>
      </c>
      <c r="D21" s="325">
        <v>3.1</v>
      </c>
      <c r="E21" s="325">
        <v>0.6</v>
      </c>
      <c r="F21" s="324" t="s">
        <v>171</v>
      </c>
      <c r="G21" s="326">
        <f>P21</f>
        <v>161056.34999999995</v>
      </c>
      <c r="H21" s="327">
        <f>G21*B21</f>
        <v>161056.34999999995</v>
      </c>
      <c r="I21" s="265"/>
      <c r="J21" s="47"/>
      <c r="K21" s="47">
        <f>B21</f>
        <v>1</v>
      </c>
      <c r="L21" s="39">
        <f t="shared" ref="L21" si="1">D21+L$19</f>
        <v>3.15</v>
      </c>
      <c r="M21" s="39">
        <f t="shared" ref="M21" si="2">E21+M$19</f>
        <v>0.65</v>
      </c>
      <c r="N21" s="261">
        <f t="shared" ref="N21" si="3">L21*M21</f>
        <v>2.0474999999999999</v>
      </c>
      <c r="O21" s="259">
        <f t="shared" ref="O21" si="4">N21*K21</f>
        <v>2.0474999999999999</v>
      </c>
      <c r="P21" s="252">
        <f>P$20*N21</f>
        <v>161056.34999999995</v>
      </c>
      <c r="Q21" s="258">
        <f t="shared" ref="Q21" si="5">P21+Q$20</f>
        <v>164056.34999999995</v>
      </c>
      <c r="R21" s="309">
        <f>L21*K21*2</f>
        <v>6.3</v>
      </c>
      <c r="S21" s="46">
        <f>M21*K21*2</f>
        <v>1.3</v>
      </c>
      <c r="T21" s="9"/>
      <c r="W21" s="4"/>
    </row>
    <row r="22" spans="2:24" ht="17.399999999999999" x14ac:dyDescent="0.3">
      <c r="B22" s="330">
        <v>1</v>
      </c>
      <c r="C22" s="324" t="s">
        <v>170</v>
      </c>
      <c r="D22" s="328">
        <v>1.8</v>
      </c>
      <c r="E22" s="328">
        <v>0.6</v>
      </c>
      <c r="F22" s="324" t="s">
        <v>171</v>
      </c>
      <c r="G22" s="329">
        <f>P22</f>
        <v>94588.65</v>
      </c>
      <c r="H22" s="331">
        <f t="shared" ref="H22" si="6">G22*B22</f>
        <v>94588.65</v>
      </c>
      <c r="I22" s="265"/>
      <c r="J22" s="47"/>
      <c r="K22" s="47">
        <f t="shared" ref="K22" si="7">B22</f>
        <v>1</v>
      </c>
      <c r="L22" s="39">
        <f t="shared" ref="L22" si="8">D22+L$19</f>
        <v>1.85</v>
      </c>
      <c r="M22" s="39">
        <f t="shared" ref="M22" si="9">E22+M$19</f>
        <v>0.65</v>
      </c>
      <c r="N22" s="261">
        <f t="shared" ref="N22" si="10">L22*M22</f>
        <v>1.2025000000000001</v>
      </c>
      <c r="O22" s="259">
        <f t="shared" ref="O22" si="11">N22*K22</f>
        <v>1.2025000000000001</v>
      </c>
      <c r="P22" s="252">
        <f t="shared" ref="P22" si="12">P$20*N22</f>
        <v>94588.65</v>
      </c>
      <c r="Q22" s="258">
        <f t="shared" ref="Q22" si="13">P22+Q$20</f>
        <v>97588.65</v>
      </c>
      <c r="R22" s="309">
        <f t="shared" ref="R22" si="14">L22*K22*2</f>
        <v>3.7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255644.99999999994</v>
      </c>
      <c r="I24" s="265"/>
      <c r="J24" s="47"/>
      <c r="K24" s="47"/>
      <c r="L24" s="39">
        <f>SUM(L21:L23)</f>
        <v>5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/>
      <c r="I25" s="265"/>
      <c r="J25" s="47"/>
      <c r="K25" s="47"/>
      <c r="L25" s="39"/>
      <c r="M25" s="12"/>
      <c r="N25" s="12"/>
      <c r="O25" s="253">
        <f>SUM(O21:O22)</f>
        <v>3.25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255644.99999999994</v>
      </c>
      <c r="I26" s="265"/>
      <c r="J26" s="47"/>
      <c r="K26" s="47"/>
      <c r="L26" s="39"/>
      <c r="M26" s="12"/>
      <c r="N26" s="12"/>
      <c r="O26" s="253">
        <f>O25</f>
        <v>3.25</v>
      </c>
      <c r="P26" s="14"/>
      <c r="Q26" s="12"/>
      <c r="R26" s="239">
        <f>SUM(R21:R25)</f>
        <v>10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0.65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3.9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3.9</v>
      </c>
      <c r="M30" s="12">
        <v>3500</v>
      </c>
      <c r="N30" s="12">
        <f t="shared" ref="N30:N35" si="15">L30*M30</f>
        <v>13650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1.1000000000000001</v>
      </c>
      <c r="M31" s="12">
        <v>25000</v>
      </c>
      <c r="N31" s="12">
        <f t="shared" si="15"/>
        <v>27500.000000000004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70000</v>
      </c>
      <c r="N32" s="12">
        <f t="shared" si="15"/>
        <v>70000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46505</v>
      </c>
      <c r="N33" s="12">
        <f t="shared" si="15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5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111150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255644.99999999997</v>
      </c>
      <c r="O37" s="14" t="s">
        <v>141</v>
      </c>
      <c r="P37" s="14"/>
      <c r="Q37" s="40">
        <f>O28/Q36</f>
        <v>1.051553062985332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83200</v>
      </c>
      <c r="K38" s="250"/>
      <c r="L38" s="14"/>
      <c r="M38" s="12"/>
      <c r="N38" s="12">
        <f>N37/O26</f>
        <v>78659.999999999985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69915.966386554632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45316</v>
      </c>
    </row>
    <row r="6" spans="2:31" ht="16.2" thickBot="1" x14ac:dyDescent="0.35">
      <c r="B6" s="140" t="s">
        <v>2</v>
      </c>
      <c r="C6" s="139" t="str">
        <f>'2229'!C10</f>
        <v>MANUEL VALENZUELA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-3836.8750334541014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255644.99999999994</v>
      </c>
      <c r="E11" s="132">
        <f>D11*0.19</f>
        <v>48572.549999999988</v>
      </c>
      <c r="F11" s="131">
        <f>E11+D11</f>
        <v>304217.54999999993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102153.1249665459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140984.09078743961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84153.124966545904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114660.90921256033</v>
      </c>
      <c r="E13" s="221">
        <f>(D11/D12)-1</f>
        <v>0.81328970220784358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75153.124966545904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36153.124966545896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232623.74979927533</v>
      </c>
      <c r="F15" s="216">
        <f>E15-D12</f>
        <v>91639.659011835727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36153.124966545896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76153.124966545904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70000</v>
      </c>
      <c r="E18" s="123">
        <f>D18*0.19</f>
        <v>13300</v>
      </c>
      <c r="F18" s="120">
        <f>SUM(D18:E18)</f>
        <v>83300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13650</v>
      </c>
      <c r="E20" s="121">
        <f>D20*0.19</f>
        <v>2593.5</v>
      </c>
      <c r="F20" s="120">
        <f>SUM(D20:E20)</f>
        <v>16243.5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111150</v>
      </c>
      <c r="E21" s="116">
        <f>SUM(E18:E20)</f>
        <v>21118.5</v>
      </c>
      <c r="F21" s="115">
        <f>SUM(F18:F20)</f>
        <v>132268.5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27454.049999999988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255644.99999999994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111150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114660.90921256033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114660.90921256033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2024-01-25T16:15:13Z</cp:lastPrinted>
  <dcterms:created xsi:type="dcterms:W3CDTF">2013-03-18T13:35:42Z</dcterms:created>
  <dcterms:modified xsi:type="dcterms:W3CDTF">2024-01-25T18:02:41Z</dcterms:modified>
</cp:coreProperties>
</file>