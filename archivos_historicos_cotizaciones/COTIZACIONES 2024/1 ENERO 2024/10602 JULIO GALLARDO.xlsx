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44DD2CAB-0BC1-4213-8B89-EABE88AEDC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H21" i="1" l="1"/>
  <c r="K21" i="1"/>
  <c r="J38" i="1"/>
  <c r="L21" i="1"/>
  <c r="L23" i="1" s="1"/>
  <c r="M21" i="1"/>
  <c r="N21" i="1" l="1"/>
  <c r="O21" i="1" s="1"/>
  <c r="O24" i="1" s="1"/>
  <c r="R25" i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H23" i="1" l="1"/>
  <c r="H24" i="1" s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<sst xmlns="http://schemas.openxmlformats.org/spreadsheetml/2006/main" count="229" uniqueCount="173">
  <si>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</si>
  <si>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</si>
  <si>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</si>
  <si>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</si>
  <si>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</si>
  <si>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</si>
  <si>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</si>
  <si>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</si>
  <si>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</si>
  <si>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</si>
  <si>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</si>
  <si>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</si>
  <si>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</si>
  <si>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</si>
  <si>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</si>
  <si>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</si>
  <si>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</si>
  <si>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</si>
  <si>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</si>
  <si>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</si>
  <si>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</si>
  <si>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</si>
  <si>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</si>
  <si>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</si>
  <si>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</si>
  <si>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</si>
  <si>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</si>
  <si>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</si>
  <si>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</si>
  <si>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</si>
  <si>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</si>
  <si>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</si>
  <si>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</si>
  <si>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</si>
  <si>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</si>
  <si>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</si>
  <si>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</si>
  <si>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</si>
  <si>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</si>
  <si>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</si>
  <si>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</si>
  <si>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</si>
  <si>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</si>
  <si>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</si>
  <si>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</si>
  <si>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</si>
  <si>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</si>
  <si>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</si>
  <si>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</si>
  <si>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</si>
  <si>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</si>
  <si>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</si>
  <si>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</si>
  <si>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</si>
  <si>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</si>
  <si>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</si>
  <si>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</si>
  <si>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</si>
  <si>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</si>
  <si>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</si>
  <si>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</si>
  <si>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</si>
  <si>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</si>
  <si>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</si>
  <si>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</si>
  <si>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</si>
  <si>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</si>
  <si>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</si>
  <si>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</si>
  <si>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</si>
  <si>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</si>
  <si>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</si>
  <si>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</si>
  <si>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</si>
  <si>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</si>
  <si>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</si>
  <si>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</si>
  <si>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</si>
  <si>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</si>
  <si>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</si>
  <si>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</si>
  <si>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</si>
  <si>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</si>
  <si>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</si>
  <si>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</si>
  <si>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</si>
  <si>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</si>
  <si>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</si>
  <si>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</si>
  <si>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</si>
  <si>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</si>
  <si>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</si>
  <si>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</si>
  <si>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</si>
  <si>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</si>
  <si>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</si>
  <si>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</si>
  <si>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</si>
  <si>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</si>
  <si>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</si>
  <si>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</si>
  <si>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</si>
  <si>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</si>
  <si>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</si>
  <si>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</si>
  <si>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</si>
  <si>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</si>
  <si>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</si>
  <si>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</si>
  <si>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</si>
  <si>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</si>
  <si>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</si>
  <si>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</si>
  <si>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</si>
  <si>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</si>
  <si>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</si>
  <si>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</si>
  <si>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</si>
  <si>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</si>
  <si>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</si>
  <si>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</si>
  <si>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</si>
  <si>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</si>
  <si>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</si>
  <si>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</si>
  <si>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</si>
  <si>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</si>
  <si>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</si>
  <si>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</si>
  <si>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</si>
  <si>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</si>
  <si>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</si>
  <si>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</si>
  <si>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</si>
  <si>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</si>
  <si>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</si>
  <si>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</si>
  <si>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</si>
  <si>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</si>
  <si>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</si>
  <si>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</si>
  <si>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</si>
  <si>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</si>
  <si>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</si>
  <si>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</si>
  <si>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</si>
  <si>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</si>
  <si>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</si>
  <si>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</si>
  <si>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</si>
  <si>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</si>
  <si>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</si>
  <si>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</si>
  <si>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</si>
  <si>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</si>
  <si>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</si>
  <si>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</si>
  <si>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</si>
  <si>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</si>
  <si>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</si>
  <si>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</si>
  <si>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</si>
  <si>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</si>
  <si>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</si>
  <si>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</si>
  <si>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</si>
  <si>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</si>
  <si>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</si>
  <si>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JULIO GALLARDO</t>
  </si>
  <si>
    <t>+569 2722 3247</t>
  </si>
  <si>
    <t>SKELETON MARBLE BRILLO</t>
  </si>
  <si>
    <t>CUB MESA FRENTE 90° R8 4 LADOS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</si>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</sst>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10602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168</v>
      </c>
      <c r="D10" s="243"/>
      <c r="E10" s="243"/>
      <c r="F10" s="244" t="s">
        <v>0</v>
      </c>
      <c r="G10" s="277">
        <v>45321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50050.243902439019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5" t="s">
        <v>171</v>
      </c>
      <c r="D21" s="326">
        <v>2</v>
      </c>
      <c r="E21" s="326">
        <v>1</v>
      </c>
      <c r="F21" s="325" t="s">
        <v>170</v>
      </c>
      <c r="G21" s="327">
        <v>105603</v>
      </c>
      <c r="H21" s="328">
        <f>G21*B21</f>
        <v>105603</v>
      </c>
      <c r="I21" s="265"/>
      <c r="J21" s="47"/>
      <c r="K21" s="47">
        <f>B21</f>
        <v>1</v>
      </c>
      <c r="L21" s="39">
        <f t="shared" ref="L21" si="1">D21+L$19</f>
        <v>2.0499999999999998</v>
      </c>
      <c r="M21" s="39">
        <f t="shared" ref="M21" si="2">E21+M$19</f>
        <v>1</v>
      </c>
      <c r="N21" s="261">
        <f t="shared" ref="N21" si="3">L21*M21</f>
        <v>2.0499999999999998</v>
      </c>
      <c r="O21" s="259">
        <f t="shared" ref="O21" si="4">N21*K21</f>
        <v>2.0499999999999998</v>
      </c>
      <c r="P21" s="252">
        <f t="shared" ref="P21" si="5">P$20*N21</f>
        <v>102602.99999999999</v>
      </c>
      <c r="Q21" s="258">
        <f t="shared" ref="Q21" si="6">P21+Q$20</f>
        <v>105602.99999999999</v>
      </c>
      <c r="R21" s="309"/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1" t="s">
        <v>29</v>
      </c>
      <c r="H23" s="312">
        <f>SUM(H21:H22)</f>
        <v>105603</v>
      </c>
      <c r="I23" s="265"/>
      <c r="J23" s="47"/>
      <c r="K23" s="47"/>
      <c r="L23" s="39">
        <f>SUM(L21:L22)</f>
        <v>2.0499999999999998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20064.57</v>
      </c>
      <c r="I24" s="265"/>
      <c r="J24" s="47"/>
      <c r="K24" s="47"/>
      <c r="L24" s="39"/>
      <c r="M24" s="12"/>
      <c r="N24" s="12"/>
      <c r="O24" s="253">
        <f>SUM(O21:O21)</f>
        <v>2.0499999999999998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125667.57</v>
      </c>
      <c r="I25" s="265"/>
      <c r="J25" s="47"/>
      <c r="K25" s="47"/>
      <c r="L25" s="39"/>
      <c r="M25" s="12"/>
      <c r="N25" s="12"/>
      <c r="O25" s="253">
        <f>O24</f>
        <v>2.0499999999999998</v>
      </c>
      <c r="P25" s="14"/>
      <c r="Q25" s="12"/>
      <c r="R25" s="239">
        <f>SUM(R21:R24)</f>
        <v>0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0.41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2.46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7" t="s">
        <v>22</v>
      </c>
      <c r="U28" s="314" t="s">
        <v>153</v>
      </c>
      <c r="V28" s="318">
        <v>44971</v>
      </c>
      <c r="W28" s="319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2.46</v>
      </c>
      <c r="M29" s="12">
        <v>3500</v>
      </c>
      <c r="N29" s="12">
        <f t="shared" ref="N29:N34" si="7">L29*M29</f>
        <v>8610</v>
      </c>
      <c r="O29" s="14" t="s">
        <v>22</v>
      </c>
      <c r="P29" s="14"/>
      <c r="Q29" s="14"/>
      <c r="R29" s="241"/>
      <c r="S29" s="14"/>
      <c r="T29" s="317" t="s">
        <v>154</v>
      </c>
      <c r="U29" s="314">
        <v>3625</v>
      </c>
      <c r="V29" s="59" t="s">
        <v>155</v>
      </c>
      <c r="W29" s="319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0.7</v>
      </c>
      <c r="M30" s="12">
        <v>25000</v>
      </c>
      <c r="N30" s="12">
        <f t="shared" si="7"/>
        <v>17500</v>
      </c>
      <c r="O30" s="39" t="s">
        <v>32</v>
      </c>
      <c r="P30" s="42"/>
      <c r="Q30" s="14"/>
      <c r="R30" s="240"/>
      <c r="S30" s="14"/>
      <c r="T30" s="317"/>
      <c r="U30" s="59">
        <v>906.25</v>
      </c>
      <c r="V30" s="59" t="s">
        <v>156</v>
      </c>
      <c r="W30" s="319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9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18500</v>
      </c>
      <c r="N32" s="12">
        <f t="shared" si="7"/>
        <v>18500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9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44610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N35*2.3</f>
        <v>102602.99999999999</v>
      </c>
      <c r="O36" s="14" t="s">
        <v>141</v>
      </c>
      <c r="P36" s="14"/>
      <c r="Q36" s="40">
        <f>O27/Q35</f>
        <v>0.66328731665228646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50050.243902439019</v>
      </c>
      <c r="O37" s="45" t="s">
        <v>25</v>
      </c>
      <c r="P37" s="14"/>
      <c r="Q37" s="14"/>
      <c r="R37"/>
      <c r="S37" s="238"/>
      <c r="T37" s="59" t="s">
        <v>159</v>
      </c>
      <c r="U37" s="314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2.2999999999999998</v>
      </c>
      <c r="O38" s="15"/>
      <c r="P38"/>
      <c r="Q38"/>
      <c r="R38"/>
      <c r="S38" s="238"/>
      <c r="T38" s="59" t="s">
        <v>161</v>
      </c>
      <c r="U38" s="315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6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45321</v>
      </c>
    </row>
    <row r="6" spans="2:31" ht="16.2" thickBot="1" x14ac:dyDescent="0.35">
      <c r="B6" s="140" t="s">
        <v>2</v>
      </c>
      <c r="C6" s="139" t="str">
        <f>'2229'!C10</f>
        <v>JULIO GALLARDO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10602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-2215.875033454106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105603</v>
      </c>
      <c r="E11" s="132">
        <f>D11*0.19</f>
        <v>20064.57</v>
      </c>
      <c r="F11" s="131">
        <f>E11+D11</f>
        <v>125667.57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103774.12496654589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55944.090787439614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85774.124966545889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49658.909212560386</v>
      </c>
      <c r="E13" s="221">
        <f>(D11/D12)-1</f>
        <v>0.88765244932195131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76774.124966545889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37774.124966545896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92307.749799275363</v>
      </c>
      <c r="F15" s="216">
        <f>E15-D12</f>
        <v>36363.659011835749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37774.124966545896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77774.124966545889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8610</v>
      </c>
      <c r="E20" s="121">
        <f>D20*0.19</f>
        <v>1635.9</v>
      </c>
      <c r="F20" s="120">
        <f>SUM(D20:E20)</f>
        <v>10245.9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26110</v>
      </c>
      <c r="E21" s="116">
        <f>SUM(E18:E20)</f>
        <v>4960.8999999999996</v>
      </c>
      <c r="F21" s="115">
        <f>SUM(F18:F20)</f>
        <v>31070.9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15103.67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105603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26110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49658.909212560386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49658.909212560386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2024-01-10T18:48:46Z</cp:lastPrinted>
  <dcterms:created xsi:type="dcterms:W3CDTF">2013-03-18T13:35:42Z</dcterms:created>
  <dcterms:modified xsi:type="dcterms:W3CDTF">2024-01-30T15:06:17Z</dcterms:modified>
</cp:coreProperties>
</file>