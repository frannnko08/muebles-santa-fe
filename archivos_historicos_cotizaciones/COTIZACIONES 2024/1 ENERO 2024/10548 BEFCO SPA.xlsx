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3F92A0B4-2428-4D1E-A9F1-28A527ABC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R21" i="1"/>
  <c r="K21" i="1"/>
  <c r="J38" i="1"/>
  <c r="L21" i="1"/>
  <c r="L23" i="1" s="1"/>
  <c r="M21" i="1"/>
  <c r="N21" i="1" l="1"/>
  <c r="O21" i="1" s="1"/>
  <c r="O24" i="1" s="1"/>
  <c r="R25" i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G21" i="1" s="1"/>
  <c r="H21" i="1" s="1"/>
  <c r="H23" i="1" s="1"/>
  <c r="H24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<sst xmlns="http://schemas.openxmlformats.org/spreadsheetml/2006/main" count="230" uniqueCount="175">
  <si>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</si>
  <si>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</si>
  <si>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</si>
  <si>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</si>
  <si>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</si>
  <si>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</si>
  <si>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</si>
  <si>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</si>
  <si>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</si>
  <si>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</si>
  <si>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</si>
  <si>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</si>
  <si>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</si>
  <si>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</si>
  <si>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</si>
  <si>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</si>
  <si>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</si>
  <si>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</si>
  <si>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</si>
  <si>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</si>
  <si>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</si>
  <si>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</si>
  <si>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</si>
  <si>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</si>
  <si>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</si>
  <si>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</si>
  <si>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</si>
  <si>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</si>
  <si>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</si>
  <si>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</si>
  <si>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</si>
  <si>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</si>
  <si>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</si>
  <si>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</si>
  <si>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</si>
  <si>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</si>
  <si>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</si>
  <si>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</si>
  <si>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</si>
  <si>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</si>
  <si>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</si>
  <si>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</si>
  <si>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</si>
  <si>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</si>
  <si>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</si>
  <si>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</si>
  <si>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</si>
  <si>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</si>
  <si>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</si>
  <si>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</si>
  <si>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</si>
  <si>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</si>
  <si>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</si>
  <si>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</si>
  <si>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</si>
  <si>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</si>
  <si>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</si>
  <si>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</si>
  <si>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</si>
  <si>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</si>
  <si>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</si>
  <si>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</si>
  <si>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</si>
  <si>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</si>
  <si>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</si>
  <si>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</si>
  <si>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</si>
  <si>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</si>
  <si>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</si>
  <si>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</si>
  <si>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</si>
  <si>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</si>
  <si>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</si>
  <si>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</si>
  <si>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</si>
  <si>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</si>
  <si>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</si>
  <si>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</si>
  <si>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</si>
  <si>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</si>
  <si>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</si>
  <si>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</si>
  <si>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</si>
  <si>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</si>
  <si>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</si>
  <si>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</si>
  <si>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</si>
  <si>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</si>
  <si>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</si>
  <si>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</si>
  <si>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</si>
  <si>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</si>
  <si>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</si>
  <si>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</si>
  <si>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</si>
  <si>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</si>
  <si>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</si>
  <si>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</si>
  <si>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</si>
  <si>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</si>
  <si>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</si>
  <si>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</si>
  <si>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</si>
  <si>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</si>
  <si>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</si>
  <si>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</si>
  <si>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</si>
  <si>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</si>
  <si>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</si>
  <si>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</si>
  <si>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</si>
  <si>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</si>
  <si>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</si>
  <si>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</si>
  <si>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</si>
  <si>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</si>
  <si>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</si>
  <si>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</si>
  <si>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</si>
  <si>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</si>
  <si>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</si>
  <si>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</si>
  <si>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</si>
  <si>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</si>
  <si>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</si>
  <si>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</si>
  <si>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</si>
  <si>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</si>
  <si>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</si>
  <si>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</si>
  <si>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</si>
  <si>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</si>
  <si>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</si>
  <si>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</si>
  <si>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</si>
  <si>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</si>
  <si>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</si>
  <si>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</si>
  <si>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</si>
  <si>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</si>
  <si>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</si>
  <si>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</si>
  <si>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</si>
  <si>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</si>
  <si>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</si>
  <si>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</si>
  <si>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</si>
  <si>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</si>
  <si>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</si>
  <si>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</si>
  <si>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</si>
  <si>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</si>
  <si>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</si>
  <si>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</si>
  <si>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</si>
  <si>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</si>
  <si>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</si>
  <si>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</si>
  <si>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</si>
  <si>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</si>
  <si>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</si>
  <si>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</si>
  <si>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</si>
  <si>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</si>
  <si>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</si>
  <si>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</si>
  <si>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</si>
  <si>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</si>
  <si>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r>
      <t>  56</t>
    </r>
    <r>
      <rPr>
        <i/>
        <sz val="11"/>
        <color theme="1"/>
        <rFont val="Arial"/>
        <family val="2"/>
      </rPr>
      <t>990625902</t>
    </r>
  </si>
  <si>
    <t>15 DIAS HABILES</t>
  </si>
  <si>
    <t>SI</t>
  </si>
  <si>
    <t>BEFCO SPA</t>
  </si>
  <si>
    <t>JUAN PABLO MENDOZA</t>
  </si>
  <si>
    <t>CUBIERTA ENCHAPE RECTO 1 CARA MDF 25MM</t>
  </si>
  <si>
    <t>QUEENS 1934 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</si>
</sst>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CONSIDERA ENCHAPE MISMA LAMINA POR SUS CUATRO CANTOS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25MM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13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10548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171</v>
      </c>
      <c r="D10" s="243"/>
      <c r="E10" s="243"/>
      <c r="F10" s="244" t="s">
        <v>0</v>
      </c>
      <c r="G10" s="277">
        <v>45312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172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170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168</v>
      </c>
      <c r="D15" s="295"/>
      <c r="E15" s="247"/>
      <c r="F15" s="247" t="s">
        <v>135</v>
      </c>
      <c r="G15" s="296" t="s">
        <v>170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89247.308909995467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150</v>
      </c>
      <c r="C21" s="324" t="s">
        <v>173</v>
      </c>
      <c r="D21" s="325">
        <v>1.3</v>
      </c>
      <c r="E21" s="325">
        <v>0.65</v>
      </c>
      <c r="F21" s="324" t="s">
        <v>174</v>
      </c>
      <c r="G21" s="326">
        <f>Q21</f>
        <v>81930.319999999992</v>
      </c>
      <c r="H21" s="327">
        <f>G21*B21</f>
        <v>12289547.999999998</v>
      </c>
      <c r="I21" s="265"/>
      <c r="J21" s="47"/>
      <c r="K21" s="47">
        <f>B21</f>
        <v>150</v>
      </c>
      <c r="L21" s="39">
        <f t="shared" ref="L21" si="1">D21+L$19</f>
        <v>1.32</v>
      </c>
      <c r="M21" s="39">
        <f t="shared" ref="M21" si="2">E21+M$19</f>
        <v>0.67</v>
      </c>
      <c r="N21" s="261">
        <f t="shared" ref="N21" si="3">L21*M21</f>
        <v>0.88440000000000007</v>
      </c>
      <c r="O21" s="259">
        <f t="shared" ref="O21" si="4">N21*K21</f>
        <v>132.66000000000003</v>
      </c>
      <c r="P21" s="252">
        <f t="shared" ref="P21" si="5">P$20*N21</f>
        <v>78930.319999999992</v>
      </c>
      <c r="Q21" s="258">
        <f t="shared" ref="Q21" si="6">P21+Q$20</f>
        <v>81930.319999999992</v>
      </c>
      <c r="R21" s="309">
        <f>L21*K21*2</f>
        <v>396</v>
      </c>
      <c r="S21" s="46">
        <f>M21*K21*2</f>
        <v>201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 t="s">
        <v>29</v>
      </c>
      <c r="H23" s="311">
        <f>SUM(H21:H21)</f>
        <v>12289547.999999998</v>
      </c>
      <c r="I23" s="265"/>
      <c r="J23" s="47"/>
      <c r="K23" s="47"/>
      <c r="L23" s="39">
        <f>SUM(L21:L22)</f>
        <v>1.32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2335014.1199999996</v>
      </c>
      <c r="I24" s="265"/>
      <c r="J24" s="47"/>
      <c r="K24" s="47"/>
      <c r="L24" s="39"/>
      <c r="M24" s="12"/>
      <c r="N24" s="12"/>
      <c r="O24" s="253">
        <f>SUM(O21:O21)</f>
        <v>132.66000000000003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14624562.119999997</v>
      </c>
      <c r="I25" s="265"/>
      <c r="J25" s="47"/>
      <c r="K25" s="47"/>
      <c r="L25" s="39"/>
      <c r="M25" s="12"/>
      <c r="N25" s="12"/>
      <c r="O25" s="253">
        <f>O24</f>
        <v>132.66000000000003</v>
      </c>
      <c r="P25" s="14"/>
      <c r="Q25" s="12"/>
      <c r="R25" s="239">
        <f>SUM(R21:R24)</f>
        <v>396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26.532000000000007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159.19200000000004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6" t="s">
        <v>22</v>
      </c>
      <c r="U28" s="313" t="s">
        <v>153</v>
      </c>
      <c r="V28" s="317">
        <v>44971</v>
      </c>
      <c r="W28" s="31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159.19200000000004</v>
      </c>
      <c r="M29" s="12">
        <v>2500</v>
      </c>
      <c r="N29" s="12">
        <f t="shared" ref="N29:N34" si="7">L29*M29</f>
        <v>397980.00000000012</v>
      </c>
      <c r="O29" s="14" t="s">
        <v>22</v>
      </c>
      <c r="P29" s="14"/>
      <c r="Q29" s="14"/>
      <c r="R29" s="241"/>
      <c r="S29" s="14"/>
      <c r="T29" s="316" t="s">
        <v>154</v>
      </c>
      <c r="U29" s="313">
        <v>3625</v>
      </c>
      <c r="V29" s="59" t="s">
        <v>155</v>
      </c>
      <c r="W29" s="31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50</v>
      </c>
      <c r="M30" s="12">
        <v>35798</v>
      </c>
      <c r="N30" s="12">
        <f t="shared" si="7"/>
        <v>1789900</v>
      </c>
      <c r="O30" s="39" t="s">
        <v>32</v>
      </c>
      <c r="P30" s="42"/>
      <c r="Q30" s="14"/>
      <c r="R30" s="240"/>
      <c r="S30" s="14"/>
      <c r="T30" s="316"/>
      <c r="U30" s="59">
        <v>906.25</v>
      </c>
      <c r="V30" s="59" t="s">
        <v>156</v>
      </c>
      <c r="W30" s="318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75</v>
      </c>
      <c r="M32" s="250">
        <v>46000</v>
      </c>
      <c r="N32" s="12">
        <f t="shared" si="7"/>
        <v>3450000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/>
      <c r="M34" s="12">
        <v>1500</v>
      </c>
      <c r="N34" s="12">
        <f t="shared" si="7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5637880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N35*2.1</f>
        <v>11839548</v>
      </c>
      <c r="O36" s="14" t="s">
        <v>141</v>
      </c>
      <c r="P36" s="14"/>
      <c r="Q36" s="40">
        <f>O27/Q35</f>
        <v>42.92277825711821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89247.308909995467</v>
      </c>
      <c r="O37" s="45" t="s">
        <v>25</v>
      </c>
      <c r="P37" s="14"/>
      <c r="Q37" s="14"/>
      <c r="R37"/>
      <c r="S37" s="238"/>
      <c r="T37" s="59" t="s">
        <v>159</v>
      </c>
      <c r="U37" s="31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2.1</v>
      </c>
      <c r="O38" s="15"/>
      <c r="P38"/>
      <c r="Q38"/>
      <c r="R38"/>
      <c r="S38" s="238"/>
      <c r="T38" s="59" t="s">
        <v>161</v>
      </c>
      <c r="U38" s="31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45312</v>
      </c>
    </row>
    <row r="6" spans="2:31" ht="16.2" thickBot="1" x14ac:dyDescent="0.35">
      <c r="B6" s="140" t="s">
        <v>2</v>
      </c>
      <c r="C6" s="139" t="str">
        <f>'2229'!C10</f>
        <v>BEFCO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10548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-1438386.6250334538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12289547.999999998</v>
      </c>
      <c r="E11" s="132">
        <f>D11*0.19</f>
        <v>2335014.1199999996</v>
      </c>
      <c r="F11" s="131">
        <f>E11+D11</f>
        <v>14624562.119999997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-1332396.6250334538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2217714.0907874396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-1350396.6250334538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10071833.909212559</v>
      </c>
      <c r="E13" s="221">
        <f>(D11/D12)-1</f>
        <v>4.5415384927442881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-1359396.6250334538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-1398396.6250334538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3659228.2497992753</v>
      </c>
      <c r="F15" s="216">
        <f>E15-D12</f>
        <v>1441514.1590118357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-1398396.6250334538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-1358396.6250334538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1789900</v>
      </c>
      <c r="E19" s="123">
        <f>D19*0.19</f>
        <v>340081</v>
      </c>
      <c r="F19" s="120">
        <f>SUM(D19:E19)</f>
        <v>2129981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397980.00000000012</v>
      </c>
      <c r="E20" s="121">
        <f>D20*0.19</f>
        <v>75616.200000000026</v>
      </c>
      <c r="F20" s="120">
        <f>SUM(D20:E20)</f>
        <v>473596.20000000013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2187880</v>
      </c>
      <c r="E21" s="116">
        <f>SUM(E18:E20)</f>
        <v>415697.2</v>
      </c>
      <c r="F21" s="115">
        <f>SUM(F18:F20)</f>
        <v>2603577.2000000002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1919316.9199999997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12289547.999999998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2187880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10071833.909212559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10071833.909212559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2024-01-23T01:54:22Z</cp:lastPrinted>
  <dcterms:created xsi:type="dcterms:W3CDTF">2013-03-18T13:35:42Z</dcterms:created>
  <dcterms:modified xsi:type="dcterms:W3CDTF">2024-01-23T01:55:13Z</dcterms:modified>
</cp:coreProperties>
</file>