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652E50E6-20E3-4946-907E-D3CC3DD3EF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N25" i="1" s="1"/>
  <c r="O25" i="1" s="1"/>
  <c r="M25" i="1"/>
  <c r="R25" i="1"/>
  <c r="K24" i="1"/>
  <c r="K25" i="1"/>
  <c r="H25" i="1" l="1"/>
  <c r="H22" i="1"/>
  <c r="H23" i="1"/>
  <c r="H24" i="1"/>
  <c r="H21" i="1"/>
  <c r="L22" i="1"/>
  <c r="R22" i="1" s="1"/>
  <c r="M22" i="1"/>
  <c r="L23" i="1"/>
  <c r="M23" i="1"/>
  <c r="L24" i="1"/>
  <c r="M24" i="1"/>
  <c r="L21" i="1"/>
  <c r="L29" i="1" s="1"/>
  <c r="M21" i="1"/>
  <c r="N24" i="1" l="1"/>
  <c r="O24" i="1" s="1"/>
  <c r="N23" i="1"/>
  <c r="O23" i="1" s="1"/>
  <c r="N22" i="1"/>
  <c r="O22" i="1" s="1"/>
  <c r="R24" i="1"/>
  <c r="R23" i="1"/>
  <c r="H27" i="1"/>
  <c r="H28" i="1" s="1"/>
  <c r="R21" i="1"/>
  <c r="N21" i="1"/>
  <c r="O21" i="1" s="1"/>
  <c r="J45" i="1"/>
  <c r="N36" i="1"/>
  <c r="O30" i="1" l="1"/>
  <c r="U38" i="1"/>
  <c r="O31" i="1" l="1"/>
  <c r="S48" i="1"/>
  <c r="O32" i="1" l="1"/>
  <c r="O33" i="1" s="1"/>
  <c r="M20" i="1"/>
  <c r="K20" i="1"/>
  <c r="N37" i="1" l="1"/>
  <c r="Q41" i="1"/>
  <c r="Q42" i="1" s="1"/>
  <c r="N38" i="1" l="1"/>
  <c r="S41" i="1" l="1"/>
  <c r="S4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0" i="1"/>
  <c r="F18" i="3" l="1"/>
  <c r="L35" i="1" l="1"/>
  <c r="N35" i="1" l="1"/>
  <c r="S49" i="1"/>
  <c r="N41" i="1" l="1"/>
  <c r="N42" i="1" s="1"/>
  <c r="D20" i="3"/>
  <c r="E20" i="3" s="1"/>
  <c r="E21" i="3" s="1"/>
  <c r="N44" i="1" l="1"/>
  <c r="D21" i="3"/>
  <c r="M43" i="3" s="1"/>
  <c r="D12" i="3" s="1"/>
  <c r="F20" i="3"/>
  <c r="F21" i="3" s="1"/>
  <c r="N43" i="1" l="1"/>
  <c r="P20" i="1" s="1"/>
  <c r="P25" i="1" s="1"/>
  <c r="Q25" i="1" s="1"/>
  <c r="E15" i="3"/>
  <c r="P22" i="1" l="1"/>
  <c r="Q22" i="1" s="1"/>
  <c r="P23" i="1"/>
  <c r="Q23" i="1" s="1"/>
  <c r="P24" i="1"/>
  <c r="Q24" i="1" s="1"/>
  <c r="P21" i="1"/>
  <c r="F15" i="3"/>
  <c r="Q21" i="1" l="1"/>
  <c r="R31" i="1"/>
  <c r="H29" i="1" l="1"/>
  <c r="D11" i="3" s="1"/>
  <c r="X9" i="3" l="1"/>
  <c r="D13" i="3"/>
  <c r="E13" i="3"/>
  <c r="E11" i="3"/>
  <c r="D40" i="3" s="1"/>
  <c r="M42" i="3"/>
  <c r="M46" i="3" s="1"/>
  <c r="M49" i="3" s="1"/>
  <c r="F11" i="3" l="1"/>
  <c r="X15" i="3"/>
  <c r="X13" i="3"/>
  <c r="X12" i="3"/>
  <c r="X16" i="3"/>
  <c r="X14" i="3"/>
  <c r="X11" i="3"/>
</calcChain>
</file>

<file path=xl/sharedStrings.xml><?xml version="1.0" encoding="utf-8"?>
<sst xmlns="http://schemas.openxmlformats.org/spreadsheetml/2006/main" count="226" uniqueCount="170">
  <si>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</si>
  <si>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</si>
  <si>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</si>
  <si>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</si>
  <si>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</si>
  <si>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</si>
  <si>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</si>
  <si>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</si>
  <si>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</si>
  <si>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</si>
  <si>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</si>
  <si>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</si>
  <si>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</si>
  <si>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</si>
  <si>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</si>
  <si>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</si>
  <si>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</si>
  <si>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</si>
  <si>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</si>
  <si>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</si>
  <si>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</si>
  <si>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</si>
  <si>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</si>
  <si>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</si>
  <si>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</si>
  <si>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</si>
  <si>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</si>
  <si>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</si>
  <si>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</si>
  <si>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</si>
  <si>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</si>
  <si>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</si>
  <si>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</si>
  <si>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</si>
  <si>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</si>
  <si>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</si>
  <si>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</si>
  <si>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</si>
  <si>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</si>
  <si>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</si>
  <si>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</si>
  <si>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</si>
  <si>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</si>
  <si>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</si>
  <si>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</si>
  <si>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</si>
  <si>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</si>
  <si>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</si>
  <si>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</si>
  <si>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</si>
  <si>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</si>
  <si>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</si>
  <si>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</si>
  <si>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</si>
  <si>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</si>
  <si>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</si>
  <si>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</si>
  <si>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</si>
  <si>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</si>
  <si>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</si>
  <si>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</si>
  <si>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</si>
  <si>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</si>
  <si>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</si>
  <si>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</si>
  <si>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</si>
  <si>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</si>
  <si>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</si>
  <si>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</si>
  <si>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</si>
  <si>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</si>
  <si>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</si>
  <si>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</si>
  <si>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</si>
  <si>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</si>
  <si>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</si>
  <si>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</si>
  <si>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</si>
  <si>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</si>
  <si>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</si>
  <si>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</si>
  <si>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</si>
  <si>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</si>
  <si>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</si>
  <si>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</si>
  <si>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</si>
  <si>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</si>
  <si>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</si>
  <si>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</si>
  <si>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</si>
  <si>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</si>
  <si>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</si>
  <si>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</si>
  <si>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</si>
  <si>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</si>
  <si>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</si>
  <si>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</si>
  <si>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</si>
  <si>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</si>
  <si>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</si>
  <si>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</si>
  <si>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</si>
  <si>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</si>
  <si>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</si>
  <si>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</si>
  <si>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</si>
  <si>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</si>
  <si>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</si>
  <si>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</si>
  <si>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</si>
  <si>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</si>
  <si>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</si>
  <si>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</si>
  <si>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</si>
  <si>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</si>
  <si>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</si>
  <si>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</si>
  <si>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</si>
  <si>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</si>
  <si>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</si>
  <si>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</si>
  <si>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</si>
  <si>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</si>
  <si>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</si>
  <si>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</si>
  <si>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</si>
  <si>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</si>
  <si>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</si>
  <si>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</si>
  <si>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</si>
  <si>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</si>
  <si>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</si>
  <si>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</si>
  <si>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</si>
  <si>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</si>
  <si>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</si>
  <si>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</si>
  <si>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</si>
  <si>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</si>
  <si>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</si>
  <si>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</si>
  <si>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</si>
  <si>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</si>
  <si>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</si>
  <si>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</si>
  <si>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</si>
  <si>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</si>
  <si>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</si>
  <si>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</si>
  <si>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</si>
  <si>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</si>
  <si>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</si>
  <si>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</si>
  <si>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ABONO 50% SALDO C/E</t>
  </si>
  <si>
    <t>ZACALO</t>
  </si>
  <si>
    <t>MDF18MM</t>
  </si>
  <si>
    <t>O</t>
  </si>
  <si>
    <t xml:space="preserve">NO </t>
  </si>
  <si>
    <t>CUENTA CORRIENTE BANCO SANTANDER Nº 87316181 A NOMBRE DE MUEBLES SANTA FE SPA</t>
  </si>
  <si>
    <t xml:space="preserve">IVA </t>
  </si>
  <si>
    <t>DURACION COTIZACION: 5 DIAS                           FERNANDO DONOSO</t>
  </si>
  <si>
    <t>+5699581 9251</t>
  </si>
  <si>
    <t>PADRE HURTADO</t>
  </si>
  <si>
    <t>LUIS ALBERTO ROJAS</t>
  </si>
  <si>
    <t>5 DIAS HABILES</t>
  </si>
  <si>
    <t>CUB S/R R2</t>
  </si>
  <si>
    <t>E/RECTO 1 CARA 18MM</t>
  </si>
  <si>
    <t>TECA 7919 TX</t>
  </si>
  <si>
    <t>PUERTA POSTFORMADA R2</t>
  </si>
  <si>
    <t>QUARZITE SNOW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</si>
</sst>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2"/>
      <color rgb="FF5133AB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8" borderId="7" xfId="6" applyFont="1" applyFill="1" applyBorder="1" applyAlignment="1">
      <alignment horizontal="right"/>
    </xf>
    <xf numFmtId="42" fontId="0" fillId="9" borderId="10" xfId="6" applyFont="1" applyFill="1" applyBorder="1" applyAlignment="1">
      <alignment horizontal="right"/>
    </xf>
    <xf numFmtId="42" fontId="0" fillId="9" borderId="14" xfId="6" applyFont="1" applyFill="1" applyBorder="1" applyAlignment="1">
      <alignment horizontal="right"/>
    </xf>
    <xf numFmtId="9" fontId="0" fillId="0" borderId="0" xfId="1" applyFont="1"/>
    <xf numFmtId="42" fontId="7" fillId="8" borderId="7" xfId="6" applyFont="1" applyFill="1" applyBorder="1"/>
    <xf numFmtId="0" fontId="13" fillId="8" borderId="18" xfId="0" applyFont="1" applyFill="1" applyBorder="1" applyAlignment="1">
      <alignment horizontal="center"/>
    </xf>
    <xf numFmtId="41" fontId="14" fillId="8" borderId="19" xfId="4" applyFont="1" applyFill="1" applyBorder="1"/>
    <xf numFmtId="42" fontId="0" fillId="9" borderId="20" xfId="6" applyFont="1" applyFill="1" applyBorder="1" applyAlignment="1">
      <alignment horizontal="right"/>
    </xf>
    <xf numFmtId="42" fontId="7" fillId="10" borderId="7" xfId="0" applyNumberFormat="1" applyFont="1" applyFill="1" applyBorder="1"/>
    <xf numFmtId="0" fontId="7" fillId="10" borderId="19" xfId="0" applyFont="1" applyFill="1" applyBorder="1" applyAlignment="1">
      <alignment horizontal="center"/>
    </xf>
    <xf numFmtId="0" fontId="7" fillId="9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0" borderId="7" xfId="6" applyFont="1" applyFill="1" applyBorder="1" applyAlignment="1">
      <alignment horizontal="right"/>
    </xf>
    <xf numFmtId="0" fontId="7" fillId="10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0" borderId="2" xfId="0" applyFont="1" applyFill="1" applyBorder="1"/>
    <xf numFmtId="42" fontId="0" fillId="0" borderId="29" xfId="6" applyFont="1" applyBorder="1" applyAlignment="1">
      <alignment horizontal="center"/>
    </xf>
    <xf numFmtId="42" fontId="7" fillId="11" borderId="7" xfId="6" applyFont="1" applyFill="1" applyBorder="1"/>
    <xf numFmtId="41" fontId="7" fillId="11" borderId="18" xfId="0" applyNumberFormat="1" applyFont="1" applyFill="1" applyBorder="1" applyAlignment="1">
      <alignment horizontal="left" indent="1"/>
    </xf>
    <xf numFmtId="42" fontId="7" fillId="11" borderId="18" xfId="0" applyNumberFormat="1" applyFont="1" applyFill="1" applyBorder="1"/>
    <xf numFmtId="0" fontId="7" fillId="11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1" borderId="7" xfId="0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/>
    </xf>
    <xf numFmtId="41" fontId="7" fillId="11" borderId="18" xfId="4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/>
    </xf>
    <xf numFmtId="0" fontId="7" fillId="11" borderId="19" xfId="0" applyFont="1" applyFill="1" applyBorder="1"/>
    <xf numFmtId="42" fontId="7" fillId="12" borderId="7" xfId="6" applyFont="1" applyFill="1" applyBorder="1"/>
    <xf numFmtId="42" fontId="7" fillId="12" borderId="18" xfId="6" applyFont="1" applyFill="1" applyBorder="1"/>
    <xf numFmtId="42" fontId="0" fillId="12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4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42" fontId="7" fillId="8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42" fontId="2" fillId="8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0" borderId="2" xfId="0" quotePrefix="1" applyFill="1" applyBorder="1" applyAlignment="1">
      <alignment horizontal="left"/>
    </xf>
    <xf numFmtId="0" fontId="0" fillId="10" borderId="9" xfId="0" quotePrefix="1" applyFill="1" applyBorder="1" applyAlignment="1">
      <alignment horizontal="left"/>
    </xf>
    <xf numFmtId="0" fontId="0" fillId="10" borderId="8" xfId="0" quotePrefix="1" applyFill="1" applyBorder="1" applyAlignment="1">
      <alignment horizontal="left"/>
    </xf>
    <xf numFmtId="0" fontId="0" fillId="9" borderId="17" xfId="0" quotePrefix="1" applyFill="1" applyBorder="1" applyAlignment="1">
      <alignment horizontal="left"/>
    </xf>
    <xf numFmtId="0" fontId="0" fillId="9" borderId="16" xfId="0" quotePrefix="1" applyFill="1" applyBorder="1" applyAlignment="1">
      <alignment horizontal="left"/>
    </xf>
    <xf numFmtId="0" fontId="0" fillId="9" borderId="15" xfId="0" quotePrefix="1" applyFill="1" applyBorder="1" applyAlignment="1">
      <alignment horizontal="left"/>
    </xf>
    <xf numFmtId="0" fontId="0" fillId="9" borderId="23" xfId="0" quotePrefix="1" applyFill="1" applyBorder="1" applyAlignment="1">
      <alignment horizontal="left"/>
    </xf>
    <xf numFmtId="0" fontId="0" fillId="9" borderId="22" xfId="0" quotePrefix="1" applyFill="1" applyBorder="1" applyAlignment="1">
      <alignment horizontal="left"/>
    </xf>
    <xf numFmtId="0" fontId="0" fillId="9" borderId="21" xfId="0" quotePrefix="1" applyFill="1" applyBorder="1" applyAlignment="1">
      <alignment horizontal="left"/>
    </xf>
    <xf numFmtId="0" fontId="0" fillId="9" borderId="13" xfId="0" quotePrefix="1" applyFill="1" applyBorder="1" applyAlignment="1">
      <alignment horizontal="left"/>
    </xf>
    <xf numFmtId="0" fontId="0" fillId="9" borderId="12" xfId="0" quotePrefix="1" applyFill="1" applyBorder="1" applyAlignment="1">
      <alignment horizontal="left"/>
    </xf>
    <xf numFmtId="0" fontId="0" fillId="9" borderId="11" xfId="0" quotePrefix="1" applyFill="1" applyBorder="1" applyAlignment="1">
      <alignment horizontal="left"/>
    </xf>
    <xf numFmtId="0" fontId="7" fillId="8" borderId="2" xfId="0" quotePrefix="1" applyFont="1" applyFill="1" applyBorder="1" applyAlignment="1">
      <alignment horizontal="left"/>
    </xf>
    <xf numFmtId="0" fontId="7" fillId="8" borderId="9" xfId="0" quotePrefix="1" applyFont="1" applyFill="1" applyBorder="1" applyAlignment="1">
      <alignment horizontal="left"/>
    </xf>
    <xf numFmtId="0" fontId="7" fillId="8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8" borderId="9" xfId="0" applyFont="1" applyFill="1" applyBorder="1"/>
    <xf numFmtId="0" fontId="7" fillId="0" borderId="13" xfId="0" applyFont="1" applyBorder="1" applyAlignment="1">
      <alignment horizontal="center"/>
    </xf>
    <xf numFmtId="0" fontId="7" fillId="8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8" borderId="47" xfId="0" applyFont="1" applyFill="1" applyBorder="1" applyAlignment="1">
      <alignment horizontal="center"/>
    </xf>
    <xf numFmtId="0" fontId="7" fillId="8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6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3" borderId="19" xfId="0" applyFont="1" applyFill="1" applyBorder="1" applyAlignment="1">
      <alignment horizontal="center"/>
    </xf>
    <xf numFmtId="0" fontId="5" fillId="13" borderId="18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0" borderId="0" xfId="0" applyFont="1"/>
    <xf numFmtId="1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7" borderId="0" xfId="0" applyFont="1" applyFill="1" applyAlignment="1">
      <alignment shrinkToFit="1"/>
    </xf>
    <xf numFmtId="167" fontId="3" fillId="17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2" applyNumberFormat="1" applyFont="1" applyFill="1" applyBorder="1" applyAlignment="1">
      <alignment horizontal="center" vertic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2" fillId="18" borderId="2" xfId="0" applyFont="1" applyFill="1" applyBorder="1" applyAlignment="1">
      <alignment horizontal="left" indent="1"/>
    </xf>
    <xf numFmtId="0" fontId="21" fillId="18" borderId="9" xfId="0" applyFont="1" applyFill="1" applyBorder="1"/>
    <xf numFmtId="0" fontId="21" fillId="18" borderId="3" xfId="0" applyFont="1" applyFill="1" applyBorder="1" applyAlignment="1">
      <alignment horizontal="center"/>
    </xf>
    <xf numFmtId="42" fontId="20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167" fontId="29" fillId="0" borderId="0" xfId="0" applyNumberFormat="1" applyFont="1"/>
    <xf numFmtId="167" fontId="0" fillId="0" borderId="0" xfId="0" applyNumberFormat="1" applyAlignment="1">
      <alignment horizontal="center"/>
    </xf>
    <xf numFmtId="0" fontId="0" fillId="12" borderId="0" xfId="0" applyFill="1"/>
    <xf numFmtId="0" fontId="26" fillId="12" borderId="0" xfId="0" applyFont="1" applyFill="1" applyAlignment="1">
      <alignment horizontal="left"/>
    </xf>
    <xf numFmtId="0" fontId="4" fillId="12" borderId="0" xfId="0" applyFont="1" applyFill="1"/>
    <xf numFmtId="0" fontId="26" fillId="12" borderId="0" xfId="0" applyFont="1" applyFill="1"/>
    <xf numFmtId="0" fontId="13" fillId="12" borderId="0" xfId="0" applyFont="1" applyFill="1"/>
    <xf numFmtId="0" fontId="27" fillId="12" borderId="0" xfId="0" applyFont="1" applyFill="1"/>
    <xf numFmtId="0" fontId="0" fillId="19" borderId="0" xfId="0" applyFill="1"/>
    <xf numFmtId="14" fontId="26" fillId="19" borderId="0" xfId="0" applyNumberFormat="1" applyFont="1" applyFill="1" applyAlignment="1">
      <alignment horizontal="left"/>
    </xf>
    <xf numFmtId="0" fontId="7" fillId="19" borderId="0" xfId="0" applyFont="1" applyFill="1"/>
    <xf numFmtId="0" fontId="26" fillId="19" borderId="0" xfId="0" applyFont="1" applyFill="1" applyAlignment="1">
      <alignment horizontal="left"/>
    </xf>
    <xf numFmtId="0" fontId="26" fillId="19" borderId="0" xfId="0" applyFont="1" applyFill="1"/>
    <xf numFmtId="0" fontId="7" fillId="12" borderId="46" xfId="0" applyFont="1" applyFill="1" applyBorder="1"/>
    <xf numFmtId="0" fontId="0" fillId="12" borderId="46" xfId="0" applyFill="1" applyBorder="1" applyAlignment="1">
      <alignment horizontal="left"/>
    </xf>
    <xf numFmtId="14" fontId="26" fillId="12" borderId="46" xfId="0" applyNumberFormat="1" applyFont="1" applyFill="1" applyBorder="1" applyAlignment="1">
      <alignment horizontal="left"/>
    </xf>
    <xf numFmtId="0" fontId="0" fillId="12" borderId="53" xfId="0" applyFill="1" applyBorder="1"/>
    <xf numFmtId="0" fontId="0" fillId="19" borderId="55" xfId="0" applyFill="1" applyBorder="1"/>
    <xf numFmtId="0" fontId="0" fillId="12" borderId="55" xfId="0" applyFill="1" applyBorder="1"/>
    <xf numFmtId="0" fontId="6" fillId="12" borderId="54" xfId="0" applyFont="1" applyFill="1" applyBorder="1"/>
    <xf numFmtId="0" fontId="10" fillId="0" borderId="0" xfId="0" applyFont="1" applyAlignment="1">
      <alignment horizontal="center"/>
    </xf>
    <xf numFmtId="0" fontId="5" fillId="19" borderId="0" xfId="0" applyFont="1" applyFill="1"/>
    <xf numFmtId="0" fontId="7" fillId="12" borderId="0" xfId="0" applyFont="1" applyFill="1"/>
    <xf numFmtId="0" fontId="7" fillId="19" borderId="37" xfId="3" applyFont="1" applyFill="1" applyBorder="1" applyAlignment="1">
      <alignment horizontal="left"/>
    </xf>
    <xf numFmtId="0" fontId="7" fillId="19" borderId="37" xfId="0" applyFont="1" applyFill="1" applyBorder="1"/>
    <xf numFmtId="0" fontId="33" fillId="19" borderId="0" xfId="0" applyFont="1" applyFill="1"/>
    <xf numFmtId="0" fontId="0" fillId="12" borderId="47" xfId="0" applyFill="1" applyBorder="1"/>
    <xf numFmtId="0" fontId="0" fillId="19" borderId="54" xfId="0" applyFill="1" applyBorder="1"/>
    <xf numFmtId="0" fontId="0" fillId="12" borderId="54" xfId="0" applyFill="1" applyBorder="1"/>
    <xf numFmtId="0" fontId="0" fillId="19" borderId="44" xfId="0" applyFill="1" applyBorder="1"/>
    <xf numFmtId="0" fontId="19" fillId="18" borderId="25" xfId="0" applyFont="1" applyFill="1" applyBorder="1" applyAlignment="1">
      <alignment horizontal="center" vertical="center"/>
    </xf>
    <xf numFmtId="0" fontId="19" fillId="18" borderId="42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8" fillId="12" borderId="0" xfId="3" applyFill="1"/>
    <xf numFmtId="42" fontId="30" fillId="0" borderId="0" xfId="8" applyFont="1" applyFill="1" applyBorder="1"/>
    <xf numFmtId="3" fontId="10" fillId="0" borderId="0" xfId="0" applyNumberFormat="1" applyFont="1" applyAlignment="1">
      <alignment horizontal="center"/>
    </xf>
    <xf numFmtId="0" fontId="34" fillId="0" borderId="0" xfId="0" applyFont="1" applyAlignment="1">
      <alignment horizontal="left" vertical="center"/>
    </xf>
    <xf numFmtId="0" fontId="1" fillId="0" borderId="0" xfId="0" applyFont="1"/>
    <xf numFmtId="0" fontId="16" fillId="0" borderId="0" xfId="3" applyFont="1" applyFill="1" applyBorder="1" applyAlignment="1">
      <alignment vertical="center"/>
    </xf>
    <xf numFmtId="1" fontId="29" fillId="0" borderId="0" xfId="0" applyNumberFormat="1" applyFont="1" applyAlignment="1">
      <alignment horizontal="center" vertical="center"/>
    </xf>
    <xf numFmtId="42" fontId="1" fillId="0" borderId="0" xfId="8" applyFont="1" applyFill="1" applyBorder="1" applyAlignment="1">
      <alignment horizontal="center" vertical="center"/>
    </xf>
    <xf numFmtId="42" fontId="1" fillId="0" borderId="28" xfId="8" applyFont="1" applyFill="1" applyBorder="1" applyAlignment="1">
      <alignment horizontal="center" vertical="center"/>
    </xf>
    <xf numFmtId="42" fontId="1" fillId="0" borderId="27" xfId="8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42" fontId="1" fillId="0" borderId="20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42" fontId="1" fillId="0" borderId="29" xfId="8" applyFont="1" applyFill="1" applyBorder="1"/>
    <xf numFmtId="1" fontId="35" fillId="0" borderId="28" xfId="0" applyNumberFormat="1" applyFont="1" applyBorder="1" applyAlignment="1">
      <alignment horizontal="center" vertical="center"/>
    </xf>
    <xf numFmtId="166" fontId="35" fillId="0" borderId="36" xfId="0" applyNumberFormat="1" applyFont="1" applyBorder="1" applyAlignment="1">
      <alignment horizontal="center" vertical="center"/>
    </xf>
    <xf numFmtId="42" fontId="1" fillId="0" borderId="36" xfId="8" applyFont="1" applyFill="1" applyBorder="1" applyAlignment="1">
      <alignment horizontal="center" vertical="center"/>
    </xf>
    <xf numFmtId="0" fontId="0" fillId="16" borderId="0" xfId="0" applyFill="1"/>
    <xf numFmtId="166" fontId="36" fillId="0" borderId="36" xfId="0" applyNumberFormat="1" applyFont="1" applyBorder="1" applyAlignment="1">
      <alignment horizontal="center" vertical="center"/>
    </xf>
    <xf numFmtId="0" fontId="32" fillId="0" borderId="0" xfId="3" quotePrefix="1" applyFont="1" applyFill="1" applyBorder="1"/>
    <xf numFmtId="0" fontId="37" fillId="0" borderId="0" xfId="0" applyFont="1"/>
    <xf numFmtId="0" fontId="26" fillId="20" borderId="37" xfId="3" applyFont="1" applyFill="1" applyBorder="1" applyAlignment="1">
      <alignment horizontal="left"/>
    </xf>
    <xf numFmtId="0" fontId="17" fillId="19" borderId="37" xfId="0" applyFont="1" applyFill="1" applyBorder="1" applyAlignment="1">
      <alignment horizontal="left"/>
    </xf>
    <xf numFmtId="0" fontId="17" fillId="19" borderId="56" xfId="0" applyFont="1" applyFill="1" applyBorder="1" applyAlignment="1">
      <alignment horizontal="left"/>
    </xf>
    <xf numFmtId="0" fontId="4" fillId="5" borderId="28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0" borderId="48" xfId="0" applyFont="1" applyFill="1" applyBorder="1" applyAlignment="1">
      <alignment horizontal="center"/>
    </xf>
    <xf numFmtId="0" fontId="7" fillId="10" borderId="51" xfId="0" applyFont="1" applyFill="1" applyBorder="1" applyAlignment="1">
      <alignment horizontal="center"/>
    </xf>
    <xf numFmtId="0" fontId="7" fillId="10" borderId="52" xfId="0" applyFont="1" applyFill="1" applyBorder="1" applyAlignment="1">
      <alignment horizontal="center"/>
    </xf>
    <xf numFmtId="0" fontId="7" fillId="15" borderId="2" xfId="0" applyFont="1" applyFill="1" applyBorder="1" applyAlignment="1">
      <alignment horizontal="center"/>
    </xf>
    <xf numFmtId="0" fontId="7" fillId="15" borderId="9" xfId="0" applyFont="1" applyFill="1" applyBorder="1" applyAlignment="1">
      <alignment horizontal="center"/>
    </xf>
    <xf numFmtId="0" fontId="7" fillId="15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33</xdr:row>
      <xdr:rowOff>28575</xdr:rowOff>
    </xdr:from>
    <xdr:to>
      <xdr:col>8</xdr:col>
      <xdr:colOff>234240</xdr:colOff>
      <xdr:row>36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62925" y="71532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32</xdr:row>
      <xdr:rowOff>209550</xdr:rowOff>
    </xdr:from>
    <xdr:to>
      <xdr:col>5</xdr:col>
      <xdr:colOff>1733550</xdr:colOff>
      <xdr:row>36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00050" y="5905500"/>
          <a:ext cx="67818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r>
            <a:rPr lang="es-CL" sz="1200" b="1"/>
            <a:t>UNA</a:t>
          </a:r>
          <a:r>
            <a:rPr lang="es-CL" sz="1200" b="1" baseline="0"/>
            <a:t> VEZ ACEPTADO EL PRESUPUESTO ENVIAR COMROBANTE AL WHATSAPP. </a:t>
          </a:r>
          <a:endParaRPr lang="es-CL" sz="1200" b="1"/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22861</xdr:colOff>
      <xdr:row>25</xdr:row>
      <xdr:rowOff>240030</xdr:rowOff>
    </xdr:from>
    <xdr:to>
      <xdr:col>5</xdr:col>
      <xdr:colOff>1792605</xdr:colOff>
      <xdr:row>30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721" y="5513070"/>
          <a:ext cx="6547484" cy="94869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LAS PUERTAS SE ENTREGAN</a:t>
          </a:r>
          <a:r>
            <a:rPr lang="es-CL" sz="1400" b="1" baseline="0"/>
            <a:t> ENCHAPADAS CON TAPACANTO PVC 0,4MM LO MAS PARECIDO A LA LAMINA</a:t>
          </a:r>
        </a:p>
        <a:p>
          <a:pPr algn="l"/>
          <a:r>
            <a:rPr lang="es-CL" sz="1400" b="1" u="sng" baseline="0">
              <a:solidFill>
                <a:srgbClr val="FF0000"/>
              </a:solidFill>
            </a:rPr>
            <a:t>SUSTRATO MDF MELAMIL 18MM TRASCARA BLANCA </a:t>
          </a:r>
        </a:p>
        <a:p>
          <a:pPr algn="l"/>
          <a:r>
            <a:rPr lang="es-CL" sz="1200" b="1" u="none" baseline="0">
              <a:solidFill>
                <a:sysClr val="windowText" lastClr="000000"/>
              </a:solidFill>
            </a:rPr>
            <a:t>CUB DE 1300X630 REGRUESADA AMBOS LADOS Y CUBIERTA DE 440X630 REGRUESADA LADO IZQ.</a:t>
          </a:r>
        </a:p>
      </xdr:txBody>
    </xdr:sp>
    <xdr:clientData/>
  </xdr:twoCellAnchor>
  <xdr:twoCellAnchor editAs="oneCell">
    <xdr:from>
      <xdr:col>1</xdr:col>
      <xdr:colOff>7620</xdr:colOff>
      <xdr:row>0</xdr:row>
      <xdr:rowOff>0</xdr:rowOff>
    </xdr:from>
    <xdr:to>
      <xdr:col>2</xdr:col>
      <xdr:colOff>860818</xdr:colOff>
      <xdr:row>6</xdr:row>
      <xdr:rowOff>20955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" y="0"/>
          <a:ext cx="1519948" cy="1183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6"/>
  <sheetViews>
    <sheetView tabSelected="1" topLeftCell="A11" zoomScaleNormal="100" workbookViewId="0">
      <selection activeCell="F23" sqref="F23"/>
    </sheetView>
  </sheetViews>
  <sheetFormatPr baseColWidth="10" defaultRowHeight="14.4" x14ac:dyDescent="0.3"/>
  <cols>
    <col min="1" max="1" width="5.88671875" customWidth="1"/>
    <col min="2" max="2" width="10" customWidth="1"/>
    <col min="3" max="3" width="38" customWidth="1"/>
    <col min="4" max="4" width="11.109375" customWidth="1"/>
    <col min="5" max="5" width="10.5546875" customWidth="1"/>
    <col min="6" max="6" width="34.44140625" customWidth="1"/>
    <col min="7" max="7" width="14" customWidth="1"/>
    <col min="8" max="8" width="15.44140625" customWidth="1"/>
    <col min="9" max="9" width="13.44140625" customWidth="1"/>
    <col min="11" max="11" width="9.5546875" style="17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6" t="s">
        <v>144</v>
      </c>
      <c r="P2" s="1"/>
      <c r="Q2" s="1"/>
      <c r="R2" s="2"/>
      <c r="S2" s="2"/>
      <c r="T2" s="1"/>
      <c r="U2" s="1"/>
      <c r="V2" s="2"/>
      <c r="W2" s="3"/>
    </row>
    <row r="3" spans="2:23" x14ac:dyDescent="0.3">
      <c r="F3" s="55" t="s">
        <v>140</v>
      </c>
      <c r="P3" s="1"/>
      <c r="Q3" s="1"/>
      <c r="R3" s="2"/>
      <c r="S3" s="2"/>
      <c r="T3" s="1"/>
      <c r="U3" s="1"/>
      <c r="V3" s="2"/>
      <c r="W3" s="3"/>
    </row>
    <row r="4" spans="2:23" x14ac:dyDescent="0.3">
      <c r="F4" s="55" t="s">
        <v>145</v>
      </c>
      <c r="P4" s="1"/>
      <c r="Q4" s="1"/>
      <c r="R4" s="2"/>
      <c r="S4" s="2"/>
      <c r="T4" s="1"/>
      <c r="U4" s="1"/>
      <c r="V4" s="2"/>
      <c r="W4" s="3"/>
    </row>
    <row r="5" spans="2:23" x14ac:dyDescent="0.3">
      <c r="F5" s="55" t="s">
        <v>14</v>
      </c>
      <c r="P5" s="1"/>
      <c r="Q5" s="1"/>
      <c r="R5" s="2"/>
      <c r="S5" s="2"/>
      <c r="T5" s="1"/>
      <c r="U5" s="1"/>
      <c r="V5" s="2"/>
      <c r="W5" s="3"/>
    </row>
    <row r="6" spans="2:23" ht="15.6" x14ac:dyDescent="0.3">
      <c r="F6" s="55" t="s">
        <v>15</v>
      </c>
      <c r="N6" s="30" t="s">
        <v>20</v>
      </c>
      <c r="P6" s="1"/>
      <c r="Q6" s="1"/>
      <c r="R6" s="2"/>
      <c r="S6" s="2"/>
      <c r="T6" s="1"/>
      <c r="U6" s="1"/>
      <c r="V6" s="2"/>
    </row>
    <row r="7" spans="2:23" ht="15" thickBot="1" x14ac:dyDescent="0.35">
      <c r="F7" s="55" t="s">
        <v>126</v>
      </c>
      <c r="P7" s="1"/>
      <c r="Q7" s="1"/>
      <c r="R7" s="2"/>
      <c r="S7" s="2"/>
      <c r="T7" s="1"/>
      <c r="U7" s="1"/>
      <c r="V7" s="2"/>
    </row>
    <row r="8" spans="2:23" ht="21.6" thickBot="1" x14ac:dyDescent="0.45">
      <c r="B8" s="274" t="s">
        <v>128</v>
      </c>
      <c r="C8" s="275"/>
      <c r="D8" s="276">
        <v>10603</v>
      </c>
      <c r="F8" s="55"/>
      <c r="J8" s="299"/>
      <c r="Q8" s="1"/>
      <c r="R8" s="2"/>
      <c r="S8" s="2"/>
      <c r="T8" s="1"/>
      <c r="U8" s="1"/>
      <c r="V8" s="2"/>
    </row>
    <row r="9" spans="2:23" ht="15" thickBot="1" x14ac:dyDescent="0.35">
      <c r="J9" s="71"/>
      <c r="Q9" s="1"/>
      <c r="R9" s="2"/>
      <c r="S9" s="2"/>
      <c r="T9" s="3"/>
      <c r="U9" s="1"/>
      <c r="V9" s="2"/>
    </row>
    <row r="10" spans="2:23" x14ac:dyDescent="0.3">
      <c r="B10" s="305" t="s">
        <v>2</v>
      </c>
      <c r="C10" s="292" t="s">
        <v>163</v>
      </c>
      <c r="D10" s="292"/>
      <c r="E10" s="292"/>
      <c r="F10" s="293" t="s">
        <v>0</v>
      </c>
      <c r="G10" s="294">
        <v>45322</v>
      </c>
      <c r="H10" s="295"/>
      <c r="Q10" s="1"/>
      <c r="R10" s="2"/>
      <c r="S10" s="2"/>
      <c r="T10" s="3"/>
      <c r="U10" s="1"/>
      <c r="V10" s="2"/>
    </row>
    <row r="11" spans="2:23" ht="15.6" x14ac:dyDescent="0.3">
      <c r="B11" s="306" t="s">
        <v>12</v>
      </c>
      <c r="C11" s="300"/>
      <c r="D11" s="289"/>
      <c r="E11" s="289"/>
      <c r="F11" s="287" t="s">
        <v>125</v>
      </c>
      <c r="G11" s="288" t="s">
        <v>164</v>
      </c>
      <c r="H11" s="296"/>
      <c r="L11">
        <v>225990</v>
      </c>
      <c r="P11" s="18"/>
      <c r="Q11" s="23" t="s">
        <v>19</v>
      </c>
      <c r="R11" s="18"/>
    </row>
    <row r="12" spans="2:23" x14ac:dyDescent="0.3">
      <c r="B12" s="307" t="s">
        <v>147</v>
      </c>
      <c r="C12" s="301"/>
      <c r="D12" s="301"/>
      <c r="E12" s="301"/>
      <c r="F12" s="281" t="s">
        <v>129</v>
      </c>
      <c r="G12" s="282" t="s">
        <v>157</v>
      </c>
      <c r="H12" s="297"/>
      <c r="L12" s="329"/>
      <c r="P12" s="18"/>
      <c r="Q12" s="23"/>
      <c r="R12" s="18"/>
    </row>
    <row r="13" spans="2:23" x14ac:dyDescent="0.3">
      <c r="B13" s="306" t="s">
        <v>148</v>
      </c>
      <c r="C13" s="289"/>
      <c r="D13" s="289"/>
      <c r="E13" s="289"/>
      <c r="F13" s="287"/>
      <c r="G13" s="290"/>
      <c r="H13" s="296"/>
      <c r="P13" s="18"/>
      <c r="Q13" s="23"/>
      <c r="R13" s="18"/>
    </row>
    <row r="14" spans="2:23" x14ac:dyDescent="0.3">
      <c r="B14" s="307" t="s">
        <v>141</v>
      </c>
      <c r="C14" s="312"/>
      <c r="D14" s="301"/>
      <c r="E14" s="301"/>
      <c r="F14" s="283" t="s">
        <v>138</v>
      </c>
      <c r="G14" s="284" t="s">
        <v>137</v>
      </c>
      <c r="H14" s="297"/>
      <c r="P14" s="19"/>
      <c r="Q14" s="24" t="s">
        <v>18</v>
      </c>
      <c r="R14" s="19"/>
    </row>
    <row r="15" spans="2:23" ht="15.6" x14ac:dyDescent="0.3">
      <c r="B15" s="306" t="s">
        <v>4</v>
      </c>
      <c r="C15" s="331" t="s">
        <v>161</v>
      </c>
      <c r="D15" s="304"/>
      <c r="E15" s="289"/>
      <c r="F15" s="287" t="s">
        <v>136</v>
      </c>
      <c r="G15" s="291" t="s">
        <v>137</v>
      </c>
      <c r="H15" s="296"/>
      <c r="J15" s="134"/>
      <c r="K15"/>
    </row>
    <row r="16" spans="2:23" ht="16.8" x14ac:dyDescent="0.4">
      <c r="B16" s="298" t="s">
        <v>3</v>
      </c>
      <c r="C16" s="332"/>
      <c r="D16" s="301"/>
      <c r="E16" s="301"/>
      <c r="F16" s="285" t="s">
        <v>131</v>
      </c>
      <c r="G16" s="286" t="s">
        <v>153</v>
      </c>
      <c r="H16" s="297"/>
    </row>
    <row r="17" spans="2:24" ht="15" thickBot="1" x14ac:dyDescent="0.35">
      <c r="B17" s="308" t="s">
        <v>13</v>
      </c>
      <c r="C17" s="333" t="s">
        <v>162</v>
      </c>
      <c r="D17" s="302"/>
      <c r="E17" s="303"/>
      <c r="F17" s="334" t="s">
        <v>160</v>
      </c>
      <c r="G17" s="334"/>
      <c r="H17" s="335"/>
      <c r="I17" s="251"/>
      <c r="J17">
        <v>142784</v>
      </c>
      <c r="S17" s="5"/>
      <c r="T17" s="5"/>
    </row>
    <row r="18" spans="2:24" ht="15.75" customHeight="1" thickBot="1" x14ac:dyDescent="0.35">
      <c r="B18" s="272"/>
      <c r="H18" s="273"/>
      <c r="I18" s="44"/>
      <c r="J18" s="4">
        <v>85767</v>
      </c>
      <c r="U18" s="8"/>
      <c r="W18" s="5"/>
      <c r="X18" s="5"/>
    </row>
    <row r="19" spans="2:24" ht="20.100000000000001" customHeight="1" x14ac:dyDescent="0.3">
      <c r="B19" s="336" t="s">
        <v>149</v>
      </c>
      <c r="C19" s="337"/>
      <c r="D19" s="337"/>
      <c r="E19" s="337"/>
      <c r="F19" s="337"/>
      <c r="G19" s="337"/>
      <c r="H19" s="338"/>
      <c r="I19" s="252"/>
      <c r="J19" s="4"/>
      <c r="K19" s="238"/>
      <c r="L19" s="13">
        <v>0.05</v>
      </c>
      <c r="M19" s="13"/>
      <c r="N19" s="13"/>
      <c r="O19" s="239" t="s">
        <v>6</v>
      </c>
      <c r="P19" s="33" t="s">
        <v>21</v>
      </c>
      <c r="Q19" s="34" t="s">
        <v>135</v>
      </c>
      <c r="R19" s="9" t="s">
        <v>139</v>
      </c>
      <c r="T19" s="8"/>
      <c r="U19" s="8"/>
      <c r="W19" s="5"/>
      <c r="X19" s="5"/>
    </row>
    <row r="20" spans="2:24" ht="20.100000000000001" customHeight="1" thickBot="1" x14ac:dyDescent="0.35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53"/>
      <c r="J20" s="44"/>
      <c r="K20" s="256" t="str">
        <f>B20</f>
        <v>UNIDAD</v>
      </c>
      <c r="L20" s="255" t="s">
        <v>133</v>
      </c>
      <c r="M20" s="36" t="str">
        <f t="shared" ref="M20" si="0">E20</f>
        <v>ANCHO</v>
      </c>
      <c r="N20" s="249" t="s">
        <v>134</v>
      </c>
      <c r="O20" s="247" t="s">
        <v>17</v>
      </c>
      <c r="P20" s="240">
        <f>N43</f>
        <v>100726.74273927942</v>
      </c>
      <c r="Q20" s="246">
        <v>3000</v>
      </c>
      <c r="R20" s="35"/>
      <c r="S20" s="13" t="s">
        <v>130</v>
      </c>
      <c r="T20" s="8"/>
      <c r="W20" s="3"/>
    </row>
    <row r="21" spans="2:24" ht="20.100000000000001" customHeight="1" thickBot="1" x14ac:dyDescent="0.35">
      <c r="B21" s="326">
        <v>1</v>
      </c>
      <c r="C21" s="330" t="s">
        <v>165</v>
      </c>
      <c r="D21" s="327">
        <v>1.3</v>
      </c>
      <c r="E21" s="327">
        <v>0.63</v>
      </c>
      <c r="F21" s="327" t="s">
        <v>169</v>
      </c>
      <c r="G21" s="328">
        <v>70154</v>
      </c>
      <c r="H21" s="321">
        <f>G21*B21</f>
        <v>70154</v>
      </c>
      <c r="I21" s="253"/>
      <c r="J21" s="44"/>
      <c r="K21" s="44"/>
      <c r="L21" s="36">
        <f t="shared" ref="L21" si="1">D21+L$19</f>
        <v>1.35</v>
      </c>
      <c r="M21" s="36">
        <f t="shared" ref="M21" si="2">E21</f>
        <v>0.63</v>
      </c>
      <c r="N21" s="249">
        <f t="shared" ref="N21" si="3">L21*M21</f>
        <v>0.85050000000000003</v>
      </c>
      <c r="O21" s="247">
        <f t="shared" ref="O21" si="4">N21*K21</f>
        <v>0</v>
      </c>
      <c r="P21" s="240">
        <f t="shared" ref="P21" si="5">P$20*N21</f>
        <v>85668.094699757145</v>
      </c>
      <c r="Q21" s="246">
        <f t="shared" ref="Q21" si="6">P21+Q$20</f>
        <v>88668.094699757145</v>
      </c>
      <c r="R21" s="278">
        <f t="shared" ref="R21" si="7">K21*L21</f>
        <v>0</v>
      </c>
      <c r="S21" s="13"/>
      <c r="T21" s="8"/>
      <c r="W21" s="3"/>
    </row>
    <row r="22" spans="2:24" ht="20.100000000000001" customHeight="1" thickBot="1" x14ac:dyDescent="0.35">
      <c r="B22" s="326">
        <v>1</v>
      </c>
      <c r="C22" s="330" t="s">
        <v>165</v>
      </c>
      <c r="D22" s="327">
        <v>0.44</v>
      </c>
      <c r="E22" s="327">
        <v>0.63</v>
      </c>
      <c r="F22" s="327" t="s">
        <v>169</v>
      </c>
      <c r="G22" s="328">
        <v>27374</v>
      </c>
      <c r="H22" s="321">
        <f t="shared" ref="H22:H24" si="8">G22*B22</f>
        <v>27374</v>
      </c>
      <c r="I22" s="253"/>
      <c r="J22" s="44"/>
      <c r="K22" s="44"/>
      <c r="L22" s="36">
        <f t="shared" ref="L22:L24" si="9">D22+L$19</f>
        <v>0.49</v>
      </c>
      <c r="M22" s="36">
        <f t="shared" ref="M22:M24" si="10">E22</f>
        <v>0.63</v>
      </c>
      <c r="N22" s="249">
        <f t="shared" ref="N22:N24" si="11">L22*M22</f>
        <v>0.30869999999999997</v>
      </c>
      <c r="O22" s="247">
        <f t="shared" ref="O22:O24" si="12">N22*K22</f>
        <v>0</v>
      </c>
      <c r="P22" s="240">
        <f t="shared" ref="P22:P24" si="13">P$20*N22</f>
        <v>31094.345483615554</v>
      </c>
      <c r="Q22" s="246">
        <f t="shared" ref="Q22:Q24" si="14">P22+Q$20</f>
        <v>34094.345483615558</v>
      </c>
      <c r="R22" s="278">
        <f t="shared" ref="R22:R24" si="15">K22*L22</f>
        <v>0</v>
      </c>
      <c r="S22" s="13"/>
      <c r="T22" s="8"/>
      <c r="W22" s="3"/>
    </row>
    <row r="23" spans="2:24" ht="20.100000000000001" customHeight="1" thickBot="1" x14ac:dyDescent="0.35">
      <c r="B23" s="326">
        <v>1</v>
      </c>
      <c r="C23" s="330" t="s">
        <v>166</v>
      </c>
      <c r="D23" s="327">
        <v>1.234</v>
      </c>
      <c r="E23" s="327">
        <v>0.4</v>
      </c>
      <c r="F23" s="327" t="s">
        <v>167</v>
      </c>
      <c r="G23" s="328">
        <v>43553</v>
      </c>
      <c r="H23" s="321">
        <f t="shared" si="8"/>
        <v>43553</v>
      </c>
      <c r="I23" s="253"/>
      <c r="J23" s="44"/>
      <c r="K23" s="44"/>
      <c r="L23" s="36">
        <f t="shared" si="9"/>
        <v>1.284</v>
      </c>
      <c r="M23" s="36">
        <f t="shared" si="10"/>
        <v>0.4</v>
      </c>
      <c r="N23" s="249">
        <f t="shared" si="11"/>
        <v>0.51360000000000006</v>
      </c>
      <c r="O23" s="247">
        <f t="shared" si="12"/>
        <v>0</v>
      </c>
      <c r="P23" s="240">
        <f t="shared" si="13"/>
        <v>51733.255070893916</v>
      </c>
      <c r="Q23" s="246">
        <f t="shared" si="14"/>
        <v>54733.255070893916</v>
      </c>
      <c r="R23" s="278">
        <f t="shared" si="15"/>
        <v>0</v>
      </c>
      <c r="S23" s="13"/>
      <c r="T23" s="8"/>
      <c r="W23" s="3"/>
    </row>
    <row r="24" spans="2:24" ht="20.100000000000001" customHeight="1" thickBot="1" x14ac:dyDescent="0.35">
      <c r="B24" s="326">
        <v>5</v>
      </c>
      <c r="C24" s="330" t="s">
        <v>168</v>
      </c>
      <c r="D24" s="327">
        <v>0.6</v>
      </c>
      <c r="E24" s="327">
        <v>0.34699999999999998</v>
      </c>
      <c r="F24" s="327" t="s">
        <v>167</v>
      </c>
      <c r="G24" s="328">
        <v>25719</v>
      </c>
      <c r="H24" s="321">
        <f t="shared" si="8"/>
        <v>128595</v>
      </c>
      <c r="I24" s="253"/>
      <c r="J24" s="44"/>
      <c r="K24" s="44">
        <f t="shared" ref="K24:K25" si="16">B24</f>
        <v>5</v>
      </c>
      <c r="L24" s="36">
        <f t="shared" si="9"/>
        <v>0.65</v>
      </c>
      <c r="M24" s="36">
        <f t="shared" si="10"/>
        <v>0.34699999999999998</v>
      </c>
      <c r="N24" s="249">
        <f t="shared" si="11"/>
        <v>0.22555</v>
      </c>
      <c r="O24" s="247">
        <f t="shared" si="12"/>
        <v>1.12775</v>
      </c>
      <c r="P24" s="240">
        <f t="shared" si="13"/>
        <v>22718.916824844473</v>
      </c>
      <c r="Q24" s="246">
        <f t="shared" si="14"/>
        <v>25718.916824844473</v>
      </c>
      <c r="R24" s="278">
        <f t="shared" si="15"/>
        <v>3.25</v>
      </c>
      <c r="S24" s="13"/>
      <c r="T24" s="8"/>
      <c r="W24" s="3"/>
    </row>
    <row r="25" spans="2:24" ht="20.100000000000001" customHeight="1" x14ac:dyDescent="0.3">
      <c r="B25" s="326">
        <v>2</v>
      </c>
      <c r="C25" s="330" t="s">
        <v>168</v>
      </c>
      <c r="D25" s="327">
        <v>0.41899999999999998</v>
      </c>
      <c r="E25" s="327">
        <v>0.4</v>
      </c>
      <c r="F25" s="327" t="s">
        <v>167</v>
      </c>
      <c r="G25" s="328">
        <v>21896</v>
      </c>
      <c r="H25" s="321">
        <f t="shared" ref="H25" si="17">G25*B25</f>
        <v>43792</v>
      </c>
      <c r="I25" s="253"/>
      <c r="J25" s="44"/>
      <c r="K25" s="44">
        <f t="shared" si="16"/>
        <v>2</v>
      </c>
      <c r="L25" s="36">
        <f t="shared" ref="L25" si="18">D25+L$19</f>
        <v>0.46899999999999997</v>
      </c>
      <c r="M25" s="36">
        <f t="shared" ref="M25" si="19">E25</f>
        <v>0.4</v>
      </c>
      <c r="N25" s="249">
        <f t="shared" ref="N25" si="20">L25*M25</f>
        <v>0.18759999999999999</v>
      </c>
      <c r="O25" s="247">
        <f t="shared" ref="O25" si="21">N25*K25</f>
        <v>0.37519999999999998</v>
      </c>
      <c r="P25" s="240">
        <f t="shared" ref="P25" si="22">P$20*N25</f>
        <v>18896.336937888816</v>
      </c>
      <c r="Q25" s="246">
        <f t="shared" ref="Q25" si="23">P25+Q$20</f>
        <v>21896.336937888816</v>
      </c>
      <c r="R25" s="278">
        <f t="shared" ref="R25" si="24">K25*L25</f>
        <v>0.93799999999999994</v>
      </c>
      <c r="S25" s="13"/>
      <c r="T25" s="8"/>
      <c r="W25" s="3"/>
    </row>
    <row r="26" spans="2:24" ht="20.100000000000001" customHeight="1" thickBot="1" x14ac:dyDescent="0.35">
      <c r="B26" s="318"/>
      <c r="C26" s="271"/>
      <c r="D26" s="271"/>
      <c r="E26" s="271"/>
      <c r="F26" s="271"/>
      <c r="G26" s="319"/>
      <c r="H26" s="319"/>
      <c r="I26" s="253"/>
      <c r="J26" s="44"/>
      <c r="K26" s="44"/>
      <c r="L26" s="36"/>
      <c r="M26" s="36"/>
      <c r="N26" s="249"/>
      <c r="O26" s="247"/>
      <c r="P26" s="240"/>
      <c r="Q26" s="246"/>
      <c r="R26" s="278"/>
      <c r="S26" s="13"/>
      <c r="T26" s="8"/>
      <c r="W26" s="3"/>
    </row>
    <row r="27" spans="2:24" ht="20.100000000000001" customHeight="1" x14ac:dyDescent="0.3">
      <c r="B27" s="318"/>
      <c r="C27" s="271"/>
      <c r="D27" s="271"/>
      <c r="E27" s="271"/>
      <c r="F27" s="271"/>
      <c r="G27" s="320" t="s">
        <v>30</v>
      </c>
      <c r="H27" s="321">
        <f>SUM(H21:H26)</f>
        <v>313468</v>
      </c>
      <c r="I27" s="253"/>
      <c r="J27" s="44"/>
      <c r="K27" s="44"/>
      <c r="L27" s="36"/>
      <c r="M27" s="36"/>
      <c r="N27" s="249"/>
      <c r="O27" s="247"/>
      <c r="P27" s="240"/>
      <c r="Q27" s="246"/>
      <c r="R27" s="278"/>
      <c r="S27" s="13"/>
      <c r="T27" s="8"/>
      <c r="W27" s="3"/>
    </row>
    <row r="28" spans="2:24" ht="18" x14ac:dyDescent="0.3">
      <c r="B28" s="270"/>
      <c r="C28" s="270"/>
      <c r="D28" s="271"/>
      <c r="E28" s="271"/>
      <c r="F28" s="270"/>
      <c r="G28" s="322" t="s">
        <v>159</v>
      </c>
      <c r="H28" s="323">
        <f>H27*19%</f>
        <v>59558.92</v>
      </c>
      <c r="I28" s="227"/>
      <c r="J28" s="44"/>
      <c r="K28" s="44"/>
      <c r="L28" s="43"/>
      <c r="M28" s="36"/>
      <c r="N28" s="249"/>
      <c r="O28" s="247"/>
      <c r="P28" s="240"/>
      <c r="Q28" s="246"/>
      <c r="R28" s="278"/>
      <c r="S28" s="13"/>
      <c r="T28" s="8"/>
      <c r="W28" s="3"/>
    </row>
    <row r="29" spans="2:24" ht="18" customHeight="1" thickBot="1" x14ac:dyDescent="0.4">
      <c r="B29" s="270"/>
      <c r="C29" s="270"/>
      <c r="D29" s="271"/>
      <c r="E29" s="271"/>
      <c r="F29" s="270"/>
      <c r="G29" s="324" t="s">
        <v>6</v>
      </c>
      <c r="H29" s="325">
        <f>H27+H28</f>
        <v>373026.92</v>
      </c>
      <c r="I29" s="253"/>
      <c r="J29" s="44"/>
      <c r="K29" s="44"/>
      <c r="L29" s="258" t="e">
        <f>L21+#REF!</f>
        <v>#REF!</v>
      </c>
      <c r="M29" s="36"/>
      <c r="N29" s="249"/>
      <c r="O29" s="247"/>
      <c r="P29" s="240"/>
      <c r="Q29" s="246"/>
      <c r="R29" s="278"/>
      <c r="S29" s="13"/>
      <c r="T29" s="8"/>
      <c r="W29" s="3"/>
    </row>
    <row r="30" spans="2:24" ht="18" customHeight="1" x14ac:dyDescent="0.3">
      <c r="B30" s="265"/>
      <c r="C30" s="267"/>
      <c r="D30" s="268"/>
      <c r="E30" s="268"/>
      <c r="F30" s="269"/>
      <c r="G30" s="314"/>
      <c r="H30" s="313"/>
      <c r="I30" s="253"/>
      <c r="J30" s="44">
        <v>103577</v>
      </c>
      <c r="K30" s="44"/>
      <c r="L30" s="36"/>
      <c r="M30" s="11"/>
      <c r="N30" s="11"/>
      <c r="O30" s="241">
        <f>SUM(O21:O28)</f>
        <v>1.50295</v>
      </c>
      <c r="P30" s="13"/>
      <c r="Q30" s="11"/>
      <c r="R30" s="233"/>
      <c r="S30" s="13"/>
      <c r="T30" s="8"/>
      <c r="W30" s="3"/>
    </row>
    <row r="31" spans="2:24" ht="18" customHeight="1" x14ac:dyDescent="0.3">
      <c r="B31" s="264"/>
      <c r="C31" s="266"/>
      <c r="D31" s="260"/>
      <c r="E31" s="260"/>
      <c r="F31" s="261"/>
      <c r="G31" s="299"/>
      <c r="H31" s="313"/>
      <c r="I31" s="253"/>
      <c r="J31" s="44"/>
      <c r="K31" s="44"/>
      <c r="L31" s="36"/>
      <c r="M31" s="11"/>
      <c r="N31" s="11"/>
      <c r="O31" s="241">
        <f>O30</f>
        <v>1.50295</v>
      </c>
      <c r="P31" s="13"/>
      <c r="Q31" s="11"/>
      <c r="R31" s="233">
        <f>SUM(R21:R30)</f>
        <v>4.1879999999999997</v>
      </c>
      <c r="S31" s="13"/>
      <c r="T31" s="8"/>
      <c r="W31" s="3"/>
    </row>
    <row r="32" spans="2:24" ht="17.399999999999999" x14ac:dyDescent="0.3">
      <c r="B32" s="264"/>
      <c r="C32" s="259"/>
      <c r="D32" s="260"/>
      <c r="E32" s="260"/>
      <c r="F32" s="261"/>
      <c r="I32" s="253"/>
      <c r="J32" s="44"/>
      <c r="K32" s="44"/>
      <c r="L32" s="13"/>
      <c r="M32" s="11"/>
      <c r="N32" s="11"/>
      <c r="O32" s="36">
        <f>O31*20%</f>
        <v>0.30059000000000002</v>
      </c>
      <c r="P32" s="36" t="s">
        <v>132</v>
      </c>
      <c r="Q32" s="39"/>
      <c r="R32" s="234"/>
      <c r="S32" s="13"/>
      <c r="T32" s="8"/>
      <c r="W32" s="3"/>
    </row>
    <row r="33" spans="2:23" ht="17.399999999999999" x14ac:dyDescent="0.3">
      <c r="B33" s="259"/>
      <c r="C33" s="259"/>
      <c r="D33" s="260"/>
      <c r="E33" s="260"/>
      <c r="F33" s="261"/>
      <c r="G33" s="262"/>
      <c r="H33" s="263"/>
      <c r="I33" s="253"/>
      <c r="J33" s="280"/>
      <c r="K33" s="44"/>
      <c r="L33" s="13"/>
      <c r="M33" s="11"/>
      <c r="N33" s="11"/>
      <c r="O33" s="43">
        <f>O31+O32</f>
        <v>1.8035399999999999</v>
      </c>
      <c r="P33" s="13"/>
      <c r="Q33" s="13"/>
      <c r="R33" s="232">
        <v>40</v>
      </c>
      <c r="S33" s="13"/>
      <c r="T33" s="8"/>
      <c r="W33" s="3"/>
    </row>
    <row r="34" spans="2:23" ht="17.399999999999999" x14ac:dyDescent="0.35">
      <c r="B34" s="257"/>
      <c r="C34" s="225"/>
      <c r="D34" s="225"/>
      <c r="E34" s="227"/>
      <c r="F34" s="228"/>
      <c r="G34" s="225"/>
      <c r="H34" s="263"/>
      <c r="I34" s="253"/>
      <c r="J34" s="280"/>
      <c r="K34" s="44"/>
      <c r="L34" s="13"/>
      <c r="M34" s="13"/>
      <c r="N34" s="13"/>
      <c r="O34" s="13"/>
      <c r="P34" s="13"/>
      <c r="Q34" s="13"/>
      <c r="R34" s="232"/>
      <c r="S34" s="13"/>
      <c r="T34" s="8"/>
      <c r="W34" s="3"/>
    </row>
    <row r="35" spans="2:23" ht="17.399999999999999" x14ac:dyDescent="0.35">
      <c r="B35" s="229"/>
      <c r="C35" s="230"/>
      <c r="D35" s="231"/>
      <c r="E35" s="229"/>
      <c r="F35" s="225"/>
      <c r="G35" s="225"/>
      <c r="I35" s="253"/>
      <c r="J35" s="44"/>
      <c r="K35" s="44"/>
      <c r="L35" s="36">
        <f>O33*1</f>
        <v>1.8035399999999999</v>
      </c>
      <c r="M35" s="11">
        <v>3500</v>
      </c>
      <c r="N35" s="11">
        <f t="shared" ref="N35:N40" si="25">L35*M35</f>
        <v>6312.3899999999994</v>
      </c>
      <c r="O35" s="13" t="s">
        <v>22</v>
      </c>
      <c r="P35" s="13" t="s">
        <v>23</v>
      </c>
      <c r="Q35" s="13"/>
      <c r="R35" s="235"/>
      <c r="S35" s="13"/>
      <c r="T35" s="8"/>
      <c r="W35" s="3" t="s">
        <v>156</v>
      </c>
    </row>
    <row r="36" spans="2:23" ht="17.399999999999999" x14ac:dyDescent="0.35">
      <c r="B36" s="225"/>
      <c r="C36" s="225"/>
      <c r="D36" s="225"/>
      <c r="E36" s="225"/>
      <c r="F36" s="225"/>
      <c r="G36" s="225"/>
      <c r="I36" s="253"/>
      <c r="J36" s="44"/>
      <c r="K36" s="44"/>
      <c r="L36" s="237">
        <v>0.5</v>
      </c>
      <c r="M36" s="11">
        <v>45000</v>
      </c>
      <c r="N36" s="11">
        <f>L36*M36</f>
        <v>22500</v>
      </c>
      <c r="O36" s="36" t="s">
        <v>155</v>
      </c>
      <c r="P36" s="39"/>
      <c r="Q36" s="13"/>
      <c r="R36" s="234"/>
      <c r="S36" s="13"/>
      <c r="T36" s="8"/>
      <c r="W36" s="3"/>
    </row>
    <row r="37" spans="2:23" s="225" customFormat="1" ht="17.399999999999999" x14ac:dyDescent="0.35">
      <c r="I37" s="250"/>
      <c r="J37" s="44"/>
      <c r="K37" s="238"/>
      <c r="L37" s="13"/>
      <c r="M37" s="238">
        <v>50000</v>
      </c>
      <c r="N37" s="11">
        <f t="shared" si="25"/>
        <v>0</v>
      </c>
      <c r="O37" s="36" t="s">
        <v>32</v>
      </c>
      <c r="P37" s="39"/>
      <c r="R37" s="234"/>
      <c r="S37" s="244"/>
      <c r="U37" s="225">
        <v>33390</v>
      </c>
      <c r="V37" s="226"/>
    </row>
    <row r="38" spans="2:23" s="225" customFormat="1" ht="18" x14ac:dyDescent="0.35">
      <c r="B38" s="315" t="s">
        <v>158</v>
      </c>
      <c r="C38" s="316"/>
      <c r="D38" s="316"/>
      <c r="E38" s="316"/>
      <c r="F38" s="316"/>
      <c r="I38" s="250"/>
      <c r="J38" s="279"/>
      <c r="K38" s="238"/>
      <c r="L38" s="13">
        <v>1</v>
      </c>
      <c r="M38" s="238">
        <v>40000</v>
      </c>
      <c r="N38" s="11">
        <f t="shared" si="25"/>
        <v>40000</v>
      </c>
      <c r="O38" s="13" t="s">
        <v>143</v>
      </c>
      <c r="P38" s="16"/>
      <c r="R38" s="232"/>
      <c r="S38" s="244"/>
      <c r="U38" s="225">
        <f>U37/1.19</f>
        <v>28058.823529411766</v>
      </c>
      <c r="V38" s="226"/>
    </row>
    <row r="39" spans="2:23" s="225" customFormat="1" ht="18" x14ac:dyDescent="0.35">
      <c r="B39" s="315" t="s">
        <v>146</v>
      </c>
      <c r="C39" s="316"/>
      <c r="D39" s="316"/>
      <c r="E39" s="316"/>
      <c r="F39" s="316"/>
      <c r="I39" s="250"/>
      <c r="J39" s="279"/>
      <c r="K39" s="238"/>
      <c r="L39" s="237"/>
      <c r="M39" s="238">
        <v>800</v>
      </c>
      <c r="N39" s="11"/>
      <c r="O39" s="13" t="s">
        <v>154</v>
      </c>
      <c r="P39" s="13"/>
      <c r="Q39" s="225">
        <v>1.52</v>
      </c>
      <c r="R39" s="232"/>
      <c r="S39" s="232"/>
    </row>
    <row r="40" spans="2:23" s="225" customFormat="1" ht="18" x14ac:dyDescent="0.35">
      <c r="B40" s="316" t="s">
        <v>127</v>
      </c>
      <c r="C40" s="316"/>
      <c r="D40" s="316"/>
      <c r="E40" s="316"/>
      <c r="F40" s="317" t="s">
        <v>16</v>
      </c>
      <c r="I40" s="277"/>
      <c r="J40" s="44"/>
      <c r="K40" s="238"/>
      <c r="L40" s="254"/>
      <c r="M40" s="11">
        <v>1500</v>
      </c>
      <c r="N40" s="11">
        <f t="shared" si="25"/>
        <v>0</v>
      </c>
      <c r="O40" s="13" t="s">
        <v>24</v>
      </c>
      <c r="P40" s="13"/>
      <c r="Q40">
        <v>2.44</v>
      </c>
      <c r="R40"/>
      <c r="S40" s="232">
        <v>1500</v>
      </c>
      <c r="W40" s="226"/>
    </row>
    <row r="41" spans="2:23" s="225" customFormat="1" ht="17.399999999999999" x14ac:dyDescent="0.35">
      <c r="J41" s="44"/>
      <c r="K41" s="238"/>
      <c r="L41" s="43"/>
      <c r="M41" s="11"/>
      <c r="N41" s="11">
        <f>SUM(N35:N40)</f>
        <v>68812.39</v>
      </c>
      <c r="O41" s="36" t="s">
        <v>25</v>
      </c>
      <c r="P41" s="13"/>
      <c r="Q41">
        <f>Q39*Q40</f>
        <v>3.7088000000000001</v>
      </c>
      <c r="R41"/>
      <c r="S41" s="232">
        <f>R33*S40</f>
        <v>60000</v>
      </c>
      <c r="W41" s="226"/>
    </row>
    <row r="42" spans="2:23" s="225" customFormat="1" ht="17.399999999999999" x14ac:dyDescent="0.35">
      <c r="J42" s="44"/>
      <c r="K42" s="238"/>
      <c r="L42" s="242" t="s">
        <v>35</v>
      </c>
      <c r="M42" s="11"/>
      <c r="N42" s="243">
        <f>N41*2.2</f>
        <v>151387.258</v>
      </c>
      <c r="O42" s="13" t="s">
        <v>142</v>
      </c>
      <c r="P42" s="13"/>
      <c r="Q42" s="43">
        <f>O31/Q41</f>
        <v>0.40523889128559104</v>
      </c>
      <c r="R42"/>
      <c r="S42" s="245" t="e">
        <f>S41/#REF!</f>
        <v>#REF!</v>
      </c>
    </row>
    <row r="43" spans="2:23" s="225" customFormat="1" ht="17.399999999999999" x14ac:dyDescent="0.35">
      <c r="G43"/>
      <c r="H43" s="248"/>
      <c r="I43" s="248"/>
      <c r="J43" s="44"/>
      <c r="K43" s="238"/>
      <c r="L43" s="13"/>
      <c r="M43" s="11"/>
      <c r="N43" s="11">
        <f>N42/O31</f>
        <v>100726.74273927942</v>
      </c>
      <c r="O43" s="42" t="s">
        <v>26</v>
      </c>
      <c r="P43" s="13"/>
      <c r="Q43" s="13"/>
      <c r="R43"/>
      <c r="S43" s="232"/>
      <c r="V43" s="225">
        <v>2300</v>
      </c>
    </row>
    <row r="44" spans="2:23" s="225" customFormat="1" ht="17.399999999999999" x14ac:dyDescent="0.35">
      <c r="G44"/>
      <c r="J44" s="44">
        <v>48208</v>
      </c>
      <c r="K44" s="238"/>
      <c r="L44" s="12"/>
      <c r="M44" s="13"/>
      <c r="N44" s="16">
        <f>N42/N41</f>
        <v>2.2000000000000002</v>
      </c>
      <c r="O44" s="14"/>
      <c r="P44"/>
      <c r="Q44"/>
      <c r="R44"/>
      <c r="S44" s="232"/>
    </row>
    <row r="45" spans="2:23" s="225" customFormat="1" ht="17.399999999999999" x14ac:dyDescent="0.35">
      <c r="G45" s="22"/>
      <c r="J45" s="44">
        <f>J44/1.19</f>
        <v>40510.924369747903</v>
      </c>
      <c r="K45" s="11"/>
      <c r="S45" s="232"/>
    </row>
    <row r="46" spans="2:23" s="225" customFormat="1" ht="17.399999999999999" x14ac:dyDescent="0.35">
      <c r="B46"/>
      <c r="C46" s="224"/>
      <c r="D46" s="21"/>
      <c r="E46" s="21"/>
      <c r="F46" s="20"/>
      <c r="G46" s="22"/>
      <c r="J46" s="44"/>
      <c r="K46" s="11"/>
      <c r="S46" s="232">
        <v>1.83</v>
      </c>
    </row>
    <row r="47" spans="2:23" ht="14.4" customHeight="1" x14ac:dyDescent="0.3">
      <c r="J47" s="44"/>
      <c r="K47" s="11"/>
      <c r="S47">
        <v>2.5</v>
      </c>
    </row>
    <row r="48" spans="2:23" x14ac:dyDescent="0.3">
      <c r="J48" s="44"/>
      <c r="K48" s="238"/>
      <c r="S48">
        <f>S46*S47</f>
        <v>4.5750000000000002</v>
      </c>
    </row>
    <row r="49" spans="11:19" x14ac:dyDescent="0.3">
      <c r="K49" s="238"/>
      <c r="S49" s="258">
        <f>O33/S48</f>
        <v>0.39421639344262294</v>
      </c>
    </row>
    <row r="50" spans="11:19" x14ac:dyDescent="0.3">
      <c r="K50" s="238"/>
    </row>
    <row r="51" spans="11:19" ht="15" customHeight="1" x14ac:dyDescent="0.3"/>
    <row r="53" spans="11:19" x14ac:dyDescent="0.3">
      <c r="N53">
        <v>40935</v>
      </c>
      <c r="O53" t="s">
        <v>17</v>
      </c>
      <c r="P53" t="s">
        <v>28</v>
      </c>
    </row>
    <row r="55" spans="11:19" x14ac:dyDescent="0.3">
      <c r="N55" s="50"/>
      <c r="O55" s="50"/>
    </row>
    <row r="56" spans="11:19" x14ac:dyDescent="0.3">
      <c r="R56" s="17"/>
      <c r="S56" s="17"/>
    </row>
    <row r="57" spans="11:19" x14ac:dyDescent="0.3">
      <c r="R57" s="17"/>
      <c r="S57" s="17"/>
    </row>
    <row r="58" spans="11:19" x14ac:dyDescent="0.3">
      <c r="R58" s="17"/>
      <c r="S58" s="17"/>
    </row>
    <row r="59" spans="11:19" x14ac:dyDescent="0.3">
      <c r="R59" s="17"/>
      <c r="S59" s="17"/>
    </row>
    <row r="60" spans="11:19" x14ac:dyDescent="0.3">
      <c r="R60" s="17"/>
      <c r="S60" s="17"/>
    </row>
    <row r="61" spans="11:19" x14ac:dyDescent="0.3">
      <c r="R61" s="17"/>
      <c r="S61" s="17"/>
    </row>
    <row r="62" spans="11:19" x14ac:dyDescent="0.3">
      <c r="R62" s="17"/>
      <c r="S62" s="17"/>
    </row>
    <row r="63" spans="11:19" x14ac:dyDescent="0.3">
      <c r="R63" s="17"/>
      <c r="S63" s="17"/>
    </row>
    <row r="64" spans="11:19" x14ac:dyDescent="0.3">
      <c r="R64" s="17"/>
      <c r="S64" s="17"/>
    </row>
    <row r="67" spans="3:14" x14ac:dyDescent="0.3">
      <c r="N67" s="40"/>
    </row>
    <row r="68" spans="3:14" x14ac:dyDescent="0.3">
      <c r="N68" s="40"/>
    </row>
    <row r="69" spans="3:14" x14ac:dyDescent="0.3">
      <c r="N69" s="5"/>
    </row>
    <row r="70" spans="3:14" x14ac:dyDescent="0.3">
      <c r="N70" s="5"/>
    </row>
    <row r="78" spans="3:14" x14ac:dyDescent="0.3">
      <c r="C78" t="s">
        <v>150</v>
      </c>
    </row>
    <row r="79" spans="3:14" x14ac:dyDescent="0.3">
      <c r="C79" t="s">
        <v>149</v>
      </c>
    </row>
    <row r="82" spans="3:3" x14ac:dyDescent="0.3">
      <c r="C82" t="s">
        <v>149</v>
      </c>
    </row>
    <row r="159" spans="3:3" x14ac:dyDescent="0.3">
      <c r="C159" t="s">
        <v>149</v>
      </c>
    </row>
    <row r="160" spans="3:3" x14ac:dyDescent="0.3">
      <c r="C160" t="s">
        <v>151</v>
      </c>
    </row>
    <row r="161" spans="3:3" x14ac:dyDescent="0.3">
      <c r="C161" t="s">
        <v>152</v>
      </c>
    </row>
    <row r="586" spans="3:3" x14ac:dyDescent="0.3">
      <c r="C586" t="s">
        <v>149</v>
      </c>
    </row>
  </sheetData>
  <mergeCells count="2">
    <mergeCell ref="F17:H17"/>
    <mergeCell ref="B19:H19"/>
  </mergeCells>
  <phoneticPr fontId="31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3" t="s">
        <v>107</v>
      </c>
      <c r="C2" s="45"/>
      <c r="D2" s="45"/>
      <c r="E2" s="142"/>
      <c r="F2" s="5"/>
    </row>
    <row r="3" spans="2:31" ht="18" x14ac:dyDescent="0.35">
      <c r="E3" s="141"/>
      <c r="F3" s="140"/>
    </row>
    <row r="5" spans="2:31" ht="15.6" x14ac:dyDescent="0.3">
      <c r="B5" s="136" t="s">
        <v>0</v>
      </c>
      <c r="C5" s="139">
        <f>'2229'!G10</f>
        <v>45322</v>
      </c>
    </row>
    <row r="6" spans="2:31" ht="16.2" thickBot="1" x14ac:dyDescent="0.35">
      <c r="B6" s="136" t="s">
        <v>2</v>
      </c>
      <c r="C6" s="135" t="str">
        <f>'2229'!C10</f>
        <v>LUIS ALBERTO ROJAS</v>
      </c>
      <c r="D6" s="134"/>
      <c r="E6" s="134"/>
      <c r="F6" s="134"/>
      <c r="N6" s="71" t="s">
        <v>106</v>
      </c>
      <c r="O6" s="71"/>
      <c r="P6" s="138" t="s">
        <v>105</v>
      </c>
      <c r="Q6" s="138"/>
    </row>
    <row r="7" spans="2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40" t="s">
        <v>100</v>
      </c>
      <c r="I7" s="341"/>
      <c r="J7" s="341"/>
      <c r="K7" s="342"/>
      <c r="N7" s="71"/>
      <c r="O7" s="339" t="s">
        <v>104</v>
      </c>
      <c r="P7" s="137" t="s">
        <v>103</v>
      </c>
      <c r="Q7" s="137"/>
    </row>
    <row r="8" spans="2:31" ht="16.2" thickBot="1" x14ac:dyDescent="0.35">
      <c r="B8" s="136" t="s">
        <v>102</v>
      </c>
      <c r="C8" s="135">
        <f>'2229'!D8</f>
        <v>10603</v>
      </c>
      <c r="D8" s="134"/>
      <c r="E8" s="134"/>
      <c r="F8" s="134"/>
      <c r="H8" s="178" t="s">
        <v>119</v>
      </c>
      <c r="I8" s="150" t="s">
        <v>118</v>
      </c>
      <c r="J8" s="223" t="s">
        <v>97</v>
      </c>
      <c r="K8" s="131" t="s">
        <v>6</v>
      </c>
      <c r="L8" s="130" t="s">
        <v>6</v>
      </c>
      <c r="N8" s="71"/>
      <c r="O8" s="339"/>
      <c r="P8" s="71" t="s">
        <v>101</v>
      </c>
      <c r="Q8" s="71"/>
      <c r="X8">
        <f>SUM(Q11:Q16)</f>
        <v>6</v>
      </c>
    </row>
    <row r="9" spans="2:31" ht="15" thickBot="1" x14ac:dyDescent="0.35">
      <c r="H9" s="193" t="s">
        <v>98</v>
      </c>
      <c r="I9" s="194" t="s">
        <v>117</v>
      </c>
      <c r="J9" s="179" t="s">
        <v>94</v>
      </c>
      <c r="K9" s="152"/>
      <c r="L9" s="98">
        <f>SUM(K10:K23)</f>
        <v>2550</v>
      </c>
      <c r="S9" s="26" t="s">
        <v>9</v>
      </c>
      <c r="T9" s="26"/>
      <c r="W9" s="7"/>
      <c r="X9" s="172">
        <f>(E15-D11)/X8</f>
        <v>-46043.371116787435</v>
      </c>
    </row>
    <row r="10" spans="2:31" ht="16.2" thickBot="1" x14ac:dyDescent="0.35">
      <c r="D10" s="214" t="s">
        <v>30</v>
      </c>
      <c r="E10" s="215" t="s">
        <v>53</v>
      </c>
      <c r="F10" s="216" t="s">
        <v>6</v>
      </c>
      <c r="H10" s="186">
        <v>3</v>
      </c>
      <c r="I10" s="200">
        <v>350</v>
      </c>
      <c r="J10" s="197" t="s">
        <v>34</v>
      </c>
      <c r="K10" s="153">
        <f t="shared" ref="K10:K23" si="0">I10*H10</f>
        <v>1050</v>
      </c>
      <c r="Q10" s="26" t="s">
        <v>7</v>
      </c>
      <c r="R10" s="26" t="s">
        <v>1</v>
      </c>
      <c r="S10" s="26" t="s">
        <v>10</v>
      </c>
      <c r="T10" s="26" t="s">
        <v>11</v>
      </c>
      <c r="U10" s="26" t="s">
        <v>8</v>
      </c>
      <c r="V10" s="26" t="s">
        <v>5</v>
      </c>
      <c r="W10" s="26" t="s">
        <v>6</v>
      </c>
      <c r="X10" s="92"/>
      <c r="AB10" s="5"/>
      <c r="AC10" s="13"/>
      <c r="AD10" s="222"/>
      <c r="AE10" s="9"/>
    </row>
    <row r="11" spans="2:31" ht="16.2" thickBot="1" x14ac:dyDescent="0.35">
      <c r="C11" s="207" t="s">
        <v>95</v>
      </c>
      <c r="D11" s="129">
        <f>'2229'!H29</f>
        <v>373026.92</v>
      </c>
      <c r="E11" s="128">
        <f>D11*0.19</f>
        <v>70875.114799999996</v>
      </c>
      <c r="F11" s="127">
        <f>E11+D11</f>
        <v>443902.03479999996</v>
      </c>
      <c r="H11" s="187">
        <v>3</v>
      </c>
      <c r="I11" s="170">
        <v>500</v>
      </c>
      <c r="J11" s="144" t="s">
        <v>24</v>
      </c>
      <c r="K11" s="154">
        <f t="shared" si="0"/>
        <v>1500</v>
      </c>
      <c r="Q11" s="6">
        <v>1</v>
      </c>
      <c r="R11" s="6" t="s">
        <v>37</v>
      </c>
      <c r="S11" s="48">
        <v>2.8</v>
      </c>
      <c r="T11" s="48">
        <v>0.62</v>
      </c>
      <c r="U11" s="6" t="s">
        <v>40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59946.628883212565</v>
      </c>
      <c r="Y11" s="171">
        <v>108990</v>
      </c>
      <c r="AA11" s="5"/>
      <c r="AB11" s="5"/>
      <c r="AC11" s="221"/>
      <c r="AD11" s="49"/>
      <c r="AE11" s="218"/>
    </row>
    <row r="12" spans="2:31" ht="16.2" thickBot="1" x14ac:dyDescent="0.35">
      <c r="C12" s="133" t="s">
        <v>99</v>
      </c>
      <c r="D12" s="132">
        <f>SUM(M43:M45)</f>
        <v>58646.480787439614</v>
      </c>
      <c r="F12" s="57"/>
      <c r="H12" s="187">
        <v>0</v>
      </c>
      <c r="I12" s="170">
        <v>7500</v>
      </c>
      <c r="J12" s="146" t="s">
        <v>113</v>
      </c>
      <c r="K12" s="154">
        <f t="shared" si="0"/>
        <v>0</v>
      </c>
      <c r="L12" s="57"/>
      <c r="Q12" s="6">
        <v>1</v>
      </c>
      <c r="R12" s="6" t="s">
        <v>37</v>
      </c>
      <c r="S12" s="48">
        <v>2.2999999999999998</v>
      </c>
      <c r="T12" s="48">
        <v>0.62</v>
      </c>
      <c r="U12" s="6" t="s">
        <v>40</v>
      </c>
      <c r="V12" s="51">
        <v>87990</v>
      </c>
      <c r="W12" s="46">
        <f t="shared" si="1"/>
        <v>87990</v>
      </c>
      <c r="X12" s="172">
        <f t="shared" si="2"/>
        <v>41946.628883212565</v>
      </c>
      <c r="Y12" s="171">
        <v>89990</v>
      </c>
      <c r="Z12" s="1"/>
      <c r="AA12" s="219"/>
      <c r="AB12" s="220"/>
      <c r="AC12" s="221"/>
      <c r="AD12" s="49"/>
      <c r="AE12" s="218"/>
    </row>
    <row r="13" spans="2:31" ht="16.2" thickBot="1" x14ac:dyDescent="0.35">
      <c r="C13" s="208" t="s">
        <v>93</v>
      </c>
      <c r="D13" s="213">
        <f>D11-D12</f>
        <v>314380.43921256036</v>
      </c>
      <c r="E13" s="217">
        <f>(D11/D12)-1</f>
        <v>5.3606019490242218</v>
      </c>
      <c r="H13" s="187">
        <v>0</v>
      </c>
      <c r="I13" s="170">
        <v>50</v>
      </c>
      <c r="J13" s="146" t="s">
        <v>114</v>
      </c>
      <c r="K13" s="154">
        <f t="shared" si="0"/>
        <v>0</v>
      </c>
      <c r="L13" s="57"/>
      <c r="Q13" s="6">
        <v>1</v>
      </c>
      <c r="R13" s="6" t="s">
        <v>37</v>
      </c>
      <c r="S13" s="48">
        <v>2.0299999999999998</v>
      </c>
      <c r="T13" s="48">
        <v>0.62</v>
      </c>
      <c r="U13" s="6" t="s">
        <v>40</v>
      </c>
      <c r="V13" s="51">
        <v>78990</v>
      </c>
      <c r="W13" s="46">
        <f t="shared" si="1"/>
        <v>78990</v>
      </c>
      <c r="X13" s="172">
        <f t="shared" si="2"/>
        <v>32946.628883212565</v>
      </c>
      <c r="Y13" s="171">
        <v>81990</v>
      </c>
      <c r="Z13" s="1"/>
      <c r="AA13" s="219"/>
      <c r="AB13" s="220"/>
      <c r="AC13" s="221"/>
      <c r="AD13" s="49"/>
      <c r="AE13" s="218"/>
    </row>
    <row r="14" spans="2:31" ht="15" thickBot="1" x14ac:dyDescent="0.35">
      <c r="D14" s="142" t="s">
        <v>124</v>
      </c>
      <c r="E14" s="175" t="s">
        <v>30</v>
      </c>
      <c r="F14" s="174" t="s">
        <v>112</v>
      </c>
      <c r="H14" s="187">
        <v>0</v>
      </c>
      <c r="I14" s="170">
        <v>50</v>
      </c>
      <c r="J14" s="146" t="s">
        <v>115</v>
      </c>
      <c r="K14" s="154">
        <f t="shared" si="0"/>
        <v>0</v>
      </c>
      <c r="L14" s="57"/>
      <c r="P14" s="122"/>
      <c r="Q14" s="6">
        <v>1</v>
      </c>
      <c r="R14" s="6" t="s">
        <v>37</v>
      </c>
      <c r="S14" s="48">
        <v>1.08</v>
      </c>
      <c r="T14" s="48">
        <v>0.62</v>
      </c>
      <c r="U14" s="6" t="s">
        <v>40</v>
      </c>
      <c r="V14" s="51">
        <v>39990</v>
      </c>
      <c r="W14" s="46">
        <f t="shared" si="1"/>
        <v>39990</v>
      </c>
      <c r="X14" s="172">
        <f t="shared" si="2"/>
        <v>-6053.3711167874353</v>
      </c>
      <c r="Y14" s="171">
        <v>39990</v>
      </c>
      <c r="Z14" s="1"/>
      <c r="AA14" s="219"/>
      <c r="AB14" s="220"/>
      <c r="AC14" s="221"/>
      <c r="AD14" s="49"/>
      <c r="AE14" s="218"/>
    </row>
    <row r="15" spans="2:31" ht="15" thickBot="1" x14ac:dyDescent="0.35">
      <c r="C15" s="209" t="s">
        <v>123</v>
      </c>
      <c r="D15" s="210">
        <v>0.65</v>
      </c>
      <c r="E15" s="211">
        <f>(100%+D15)*D12</f>
        <v>96766.693299275357</v>
      </c>
      <c r="F15" s="212">
        <f>E15-D12</f>
        <v>38120.212511835743</v>
      </c>
      <c r="H15" s="187">
        <v>0</v>
      </c>
      <c r="I15" s="170">
        <v>10</v>
      </c>
      <c r="J15" s="146" t="s">
        <v>116</v>
      </c>
      <c r="K15" s="154">
        <f t="shared" si="0"/>
        <v>0</v>
      </c>
      <c r="L15" s="57"/>
      <c r="Q15" s="6">
        <v>1</v>
      </c>
      <c r="R15" s="6" t="s">
        <v>37</v>
      </c>
      <c r="S15" s="48">
        <v>1.08</v>
      </c>
      <c r="T15" s="48">
        <v>0.62</v>
      </c>
      <c r="U15" s="6" t="s">
        <v>40</v>
      </c>
      <c r="V15" s="51">
        <v>39990</v>
      </c>
      <c r="W15" s="46">
        <f t="shared" si="1"/>
        <v>39990</v>
      </c>
      <c r="X15" s="172">
        <f t="shared" si="2"/>
        <v>-6053.3711167874353</v>
      </c>
      <c r="Y15" s="171">
        <v>39990</v>
      </c>
      <c r="Z15" s="97"/>
      <c r="AA15" s="97"/>
      <c r="AB15" s="120"/>
      <c r="AD15" s="37"/>
      <c r="AE15" s="38"/>
    </row>
    <row r="16" spans="2:31" ht="15" thickBot="1" x14ac:dyDescent="0.35">
      <c r="H16" s="188">
        <v>1</v>
      </c>
      <c r="I16" s="198"/>
      <c r="J16" s="144" t="s">
        <v>92</v>
      </c>
      <c r="K16" s="154">
        <f t="shared" si="0"/>
        <v>0</v>
      </c>
      <c r="L16" s="57"/>
      <c r="Q16" s="6">
        <v>1</v>
      </c>
      <c r="R16" s="6" t="s">
        <v>37</v>
      </c>
      <c r="S16" s="48">
        <v>2.06</v>
      </c>
      <c r="T16" s="48">
        <v>0.62</v>
      </c>
      <c r="U16" s="6" t="s">
        <v>40</v>
      </c>
      <c r="V16" s="51">
        <v>79990</v>
      </c>
      <c r="W16" s="46">
        <f t="shared" si="1"/>
        <v>79990</v>
      </c>
      <c r="X16" s="172">
        <f t="shared" si="2"/>
        <v>33946.628883212565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90</v>
      </c>
      <c r="C17" s="125" t="s">
        <v>89</v>
      </c>
      <c r="D17" s="125" t="s">
        <v>30</v>
      </c>
      <c r="E17" s="124" t="s">
        <v>53</v>
      </c>
      <c r="F17" s="123" t="s">
        <v>6</v>
      </c>
      <c r="H17" s="189">
        <v>1</v>
      </c>
      <c r="I17" s="198"/>
      <c r="J17" s="184" t="s">
        <v>91</v>
      </c>
      <c r="K17" s="154">
        <f t="shared" si="0"/>
        <v>0</v>
      </c>
      <c r="L17" s="57"/>
      <c r="Q17" s="6">
        <v>6</v>
      </c>
      <c r="R17" s="6" t="s">
        <v>38</v>
      </c>
      <c r="S17" s="48"/>
      <c r="T17" s="48"/>
      <c r="U17" s="6"/>
      <c r="V17" s="51">
        <v>5000</v>
      </c>
      <c r="W17" s="46">
        <f t="shared" si="1"/>
        <v>30000</v>
      </c>
      <c r="X17" s="102"/>
      <c r="Y17" s="13"/>
      <c r="Z17" s="97"/>
      <c r="AA17" s="97"/>
      <c r="AB17" s="43"/>
    </row>
    <row r="18" spans="1:31" x14ac:dyDescent="0.3">
      <c r="C18" s="121" t="s">
        <v>87</v>
      </c>
      <c r="D18" s="118">
        <f>'2229'!N37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88</v>
      </c>
      <c r="K18" s="154">
        <f t="shared" si="0"/>
        <v>0</v>
      </c>
      <c r="L18" s="57"/>
      <c r="Q18" s="6">
        <v>1</v>
      </c>
      <c r="R18" s="52" t="s">
        <v>39</v>
      </c>
      <c r="S18" s="48"/>
      <c r="T18" s="48"/>
      <c r="U18" s="6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33</v>
      </c>
      <c r="D19" s="118">
        <f>'2229'!N36</f>
        <v>22500</v>
      </c>
      <c r="E19" s="119">
        <f>D19*0.19</f>
        <v>4275</v>
      </c>
      <c r="F19" s="116">
        <f>SUM(D19:E19)</f>
        <v>26775</v>
      </c>
      <c r="H19" s="188">
        <v>1</v>
      </c>
      <c r="I19" s="198"/>
      <c r="J19" s="180" t="s">
        <v>86</v>
      </c>
      <c r="K19" s="154">
        <f t="shared" si="0"/>
        <v>0</v>
      </c>
      <c r="L19" s="57"/>
      <c r="Q19" s="15"/>
      <c r="T19" s="4"/>
      <c r="U19" s="5"/>
      <c r="V19" s="27" t="s">
        <v>30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22</v>
      </c>
      <c r="D20" s="118">
        <f>'2229'!N35</f>
        <v>6312.3899999999994</v>
      </c>
      <c r="E20" s="117">
        <f>D20*0.19</f>
        <v>1199.3541</v>
      </c>
      <c r="F20" s="116">
        <f>SUM(D20:E20)</f>
        <v>7511.7440999999999</v>
      </c>
      <c r="H20" s="188">
        <v>1</v>
      </c>
      <c r="I20" s="198"/>
      <c r="J20" s="180" t="s">
        <v>85</v>
      </c>
      <c r="K20" s="154">
        <f t="shared" si="0"/>
        <v>0</v>
      </c>
      <c r="V20" s="28" t="s">
        <v>31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3"/>
      <c r="AC20" s="13"/>
      <c r="AE20" s="2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28812.39</v>
      </c>
      <c r="E21" s="112">
        <f>SUM(E18:E20)</f>
        <v>5474.3541000000005</v>
      </c>
      <c r="F21" s="111">
        <f>SUM(F18:F20)</f>
        <v>34286.744099999996</v>
      </c>
      <c r="H21" s="188">
        <v>1</v>
      </c>
      <c r="I21" s="198"/>
      <c r="J21" s="180" t="s">
        <v>84</v>
      </c>
      <c r="K21" s="154">
        <f t="shared" si="0"/>
        <v>0</v>
      </c>
      <c r="M21" s="149">
        <f>B32/9</f>
        <v>2318.840579710145</v>
      </c>
      <c r="Q21" s="47" t="s">
        <v>41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3"/>
      <c r="AE21" s="3"/>
    </row>
    <row r="22" spans="1:31" ht="15" thickBot="1" x14ac:dyDescent="0.35">
      <c r="A22" s="76">
        <f>450000*1.2</f>
        <v>540000</v>
      </c>
      <c r="B22" s="110" t="s">
        <v>82</v>
      </c>
      <c r="C22" s="109" t="s">
        <v>81</v>
      </c>
      <c r="D22" s="108" t="s">
        <v>80</v>
      </c>
      <c r="E22" s="107" t="s">
        <v>79</v>
      </c>
      <c r="F22" s="106" t="s">
        <v>6</v>
      </c>
      <c r="H22" s="188">
        <v>1</v>
      </c>
      <c r="I22" s="198"/>
      <c r="J22" s="144" t="s">
        <v>83</v>
      </c>
      <c r="K22" s="154">
        <f t="shared" si="0"/>
        <v>0</v>
      </c>
      <c r="M22" s="101"/>
      <c r="N22" s="54"/>
      <c r="Q22" s="47" t="s">
        <v>36</v>
      </c>
      <c r="R22" s="47"/>
      <c r="S22" s="47"/>
      <c r="T22" s="47"/>
      <c r="X22" s="92"/>
      <c r="Y22" s="13"/>
      <c r="Z22" s="97"/>
      <c r="AA22" s="97"/>
      <c r="AB22" s="36"/>
      <c r="AC22" s="3"/>
      <c r="AD22" s="13"/>
      <c r="AE22" s="3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27</v>
      </c>
      <c r="D23" s="105">
        <f t="shared" ref="D23:D29" si="3">B23/9</f>
        <v>2608.695652173913</v>
      </c>
      <c r="E23" s="104">
        <v>0.5</v>
      </c>
      <c r="F23" s="103">
        <f t="shared" ref="F23:F32" si="4">D23*E23</f>
        <v>1304.3478260869565</v>
      </c>
      <c r="H23" s="190">
        <v>1</v>
      </c>
      <c r="I23" s="199"/>
      <c r="J23" s="181" t="s">
        <v>78</v>
      </c>
      <c r="K23" s="154">
        <f t="shared" si="0"/>
        <v>0</v>
      </c>
      <c r="M23" s="101"/>
      <c r="N23" s="54"/>
      <c r="Q23" s="47" t="s">
        <v>29</v>
      </c>
      <c r="R23" s="47"/>
      <c r="X23" s="100"/>
      <c r="Y23" s="25"/>
      <c r="Z23" s="97"/>
      <c r="AA23" s="97"/>
      <c r="AB23" s="13"/>
      <c r="AC23" s="10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76</v>
      </c>
      <c r="D24" s="96">
        <f t="shared" si="3"/>
        <v>2608.695652173913</v>
      </c>
      <c r="E24" s="95">
        <v>0.5</v>
      </c>
      <c r="F24" s="94">
        <f t="shared" si="4"/>
        <v>1304.3478260869565</v>
      </c>
      <c r="H24" s="147" t="s">
        <v>119</v>
      </c>
      <c r="I24" s="151" t="s">
        <v>117</v>
      </c>
      <c r="J24" s="177" t="s">
        <v>77</v>
      </c>
      <c r="K24" s="148" t="s">
        <v>96</v>
      </c>
      <c r="L24" s="98">
        <f>SUM(K25:K35)</f>
        <v>0</v>
      </c>
      <c r="X24" s="97"/>
      <c r="Y24" s="97"/>
      <c r="Z24" s="97"/>
      <c r="AA24" s="97"/>
      <c r="AB24" s="13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75</v>
      </c>
      <c r="D25" s="96">
        <f t="shared" si="3"/>
        <v>4637.68115942029</v>
      </c>
      <c r="E25" s="95"/>
      <c r="F25" s="94">
        <f t="shared" si="4"/>
        <v>0</v>
      </c>
      <c r="H25" s="205">
        <v>0</v>
      </c>
      <c r="I25" s="200">
        <f>((480000/23)/9)</f>
        <v>2318.840579710145</v>
      </c>
      <c r="J25" s="183" t="s">
        <v>110</v>
      </c>
      <c r="K25" s="145">
        <f t="shared" ref="K25:K35" si="5">H25*I25</f>
        <v>0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73</v>
      </c>
      <c r="D26" s="96">
        <f t="shared" si="3"/>
        <v>2173.913043478261</v>
      </c>
      <c r="E26" s="95">
        <v>0.5</v>
      </c>
      <c r="F26" s="94">
        <f t="shared" si="4"/>
        <v>1086.9565217391305</v>
      </c>
      <c r="H26" s="188">
        <v>0</v>
      </c>
      <c r="I26" s="170"/>
      <c r="J26" s="180" t="s">
        <v>74</v>
      </c>
      <c r="K26" s="93">
        <f t="shared" si="5"/>
        <v>0</v>
      </c>
      <c r="L26" s="57"/>
      <c r="X26" s="92"/>
      <c r="Z26" s="97"/>
      <c r="AA26" s="97"/>
      <c r="AB26" s="13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72</v>
      </c>
      <c r="D27" s="96">
        <f t="shared" si="3"/>
        <v>2173.913043478261</v>
      </c>
      <c r="E27" s="95">
        <v>0.5</v>
      </c>
      <c r="F27" s="94">
        <f t="shared" si="4"/>
        <v>1086.9565217391305</v>
      </c>
      <c r="H27" s="188">
        <v>0</v>
      </c>
      <c r="I27" s="170"/>
      <c r="J27" s="180" t="s">
        <v>71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70</v>
      </c>
      <c r="D28" s="96">
        <f t="shared" si="3"/>
        <v>1690.8212560386473</v>
      </c>
      <c r="E28" s="95">
        <v>0.7</v>
      </c>
      <c r="F28" s="94">
        <f t="shared" si="4"/>
        <v>1183.5748792270531</v>
      </c>
      <c r="H28" s="188">
        <v>0</v>
      </c>
      <c r="I28" s="170"/>
      <c r="J28" s="180" t="s">
        <v>108</v>
      </c>
      <c r="K28" s="93">
        <f t="shared" si="5"/>
        <v>0</v>
      </c>
      <c r="L28" s="57"/>
      <c r="X28" s="92"/>
      <c r="Y28" s="12"/>
      <c r="Z28" s="13"/>
      <c r="AA28" s="16"/>
      <c r="AB28" s="91"/>
    </row>
    <row r="29" spans="1:31" x14ac:dyDescent="0.3">
      <c r="A29" s="76"/>
      <c r="B29" s="99">
        <f>A28/23</f>
        <v>21739.130434782608</v>
      </c>
      <c r="C29" s="75" t="s">
        <v>69</v>
      </c>
      <c r="D29" s="96">
        <f t="shared" si="3"/>
        <v>2415.4589371980674</v>
      </c>
      <c r="E29" s="95">
        <v>0.7</v>
      </c>
      <c r="F29" s="94">
        <f t="shared" si="4"/>
        <v>1690.8212560386471</v>
      </c>
      <c r="H29" s="187">
        <v>0</v>
      </c>
      <c r="I29" s="170">
        <f>((550000*1.2)/23)/9</f>
        <v>3188.4057971014495</v>
      </c>
      <c r="J29" s="146" t="s">
        <v>120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24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121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67</v>
      </c>
      <c r="D31" s="96">
        <f>B31/9</f>
        <v>2173.913043478261</v>
      </c>
      <c r="E31" s="95">
        <v>0</v>
      </c>
      <c r="F31" s="94">
        <f t="shared" si="4"/>
        <v>0</v>
      </c>
      <c r="H31" s="187">
        <v>0</v>
      </c>
      <c r="I31" s="170">
        <f>((450000*1.2)/23)/9</f>
        <v>2608.695652173913</v>
      </c>
      <c r="J31" s="146" t="s">
        <v>122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66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43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3.9000000000000004</v>
      </c>
      <c r="F33" s="81">
        <f>SUM(F23:F32)</f>
        <v>8816.4251207729467</v>
      </c>
      <c r="H33" s="191">
        <v>0</v>
      </c>
      <c r="I33" s="170"/>
      <c r="J33" s="182" t="s">
        <v>42</v>
      </c>
      <c r="K33" s="93">
        <f t="shared" si="5"/>
        <v>0</v>
      </c>
    </row>
    <row r="34" spans="2:16" ht="15" thickBot="1" x14ac:dyDescent="0.35">
      <c r="B34" s="79" t="s">
        <v>65</v>
      </c>
      <c r="C34" s="78" t="s">
        <v>64</v>
      </c>
      <c r="D34" s="77">
        <f>L9</f>
        <v>2550</v>
      </c>
      <c r="H34" s="188">
        <v>1</v>
      </c>
      <c r="I34" s="170"/>
      <c r="J34" s="144" t="s">
        <v>109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63</v>
      </c>
      <c r="D35" s="74">
        <f>L24</f>
        <v>0</v>
      </c>
      <c r="H35" s="190">
        <v>6</v>
      </c>
      <c r="I35" s="202"/>
      <c r="J35" s="176" t="s">
        <v>111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61</v>
      </c>
      <c r="D36" s="74">
        <f>L36</f>
        <v>18467.665666666668</v>
      </c>
      <c r="E36" s="54"/>
      <c r="H36" s="147" t="s">
        <v>98</v>
      </c>
      <c r="I36" s="151" t="s">
        <v>117</v>
      </c>
      <c r="J36" s="185" t="s">
        <v>68</v>
      </c>
      <c r="K36" s="148" t="s">
        <v>96</v>
      </c>
      <c r="L36" s="204">
        <f>SUM(K37:K39)</f>
        <v>18467.665666666668</v>
      </c>
      <c r="N36" s="61"/>
    </row>
    <row r="37" spans="2:16" ht="15" thickBot="1" x14ac:dyDescent="0.35">
      <c r="B37" s="71"/>
      <c r="C37" s="70" t="s">
        <v>44</v>
      </c>
      <c r="D37" s="69"/>
      <c r="H37" s="195">
        <f>$E$33</f>
        <v>3.9000000000000004</v>
      </c>
      <c r="I37" s="200">
        <f>32609.69/9</f>
        <v>3623.2988888888885</v>
      </c>
      <c r="J37" s="183" t="s">
        <v>47</v>
      </c>
      <c r="K37" s="145">
        <f>I37*H37</f>
        <v>14130.865666666667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21017.665666666668</v>
      </c>
      <c r="H38" s="192">
        <f>$E$33</f>
        <v>3.9000000000000004</v>
      </c>
      <c r="I38" s="170">
        <v>967</v>
      </c>
      <c r="J38" s="180" t="s">
        <v>45</v>
      </c>
      <c r="K38" s="85">
        <f>I38*H38</f>
        <v>3771.3</v>
      </c>
    </row>
    <row r="39" spans="2:16" ht="15" thickBot="1" x14ac:dyDescent="0.35">
      <c r="H39" s="196">
        <f>$E$33</f>
        <v>3.9000000000000004</v>
      </c>
      <c r="I39" s="202">
        <v>145</v>
      </c>
      <c r="J39" s="181" t="s">
        <v>46</v>
      </c>
      <c r="K39" s="80">
        <f>I39*H39</f>
        <v>565.5</v>
      </c>
    </row>
    <row r="40" spans="2:16" ht="15" thickBot="1" x14ac:dyDescent="0.35">
      <c r="B40" s="64" t="s">
        <v>54</v>
      </c>
      <c r="C40" s="63" t="s">
        <v>53</v>
      </c>
      <c r="D40" s="62">
        <f>E11-E21</f>
        <v>65400.760699999999</v>
      </c>
    </row>
    <row r="41" spans="2:16" ht="15" thickBot="1" x14ac:dyDescent="0.35">
      <c r="H41" s="343" t="s">
        <v>62</v>
      </c>
      <c r="I41" s="344"/>
      <c r="J41" s="344"/>
      <c r="K41" s="344"/>
      <c r="L41" s="344"/>
      <c r="M41" s="345"/>
    </row>
    <row r="42" spans="2:16" ht="15" thickBot="1" x14ac:dyDescent="0.35">
      <c r="B42" s="71" t="s">
        <v>48</v>
      </c>
      <c r="C42" s="71"/>
      <c r="D42" s="203">
        <f>E33</f>
        <v>3.9000000000000004</v>
      </c>
      <c r="H42" s="73" t="s">
        <v>60</v>
      </c>
      <c r="I42" s="155" t="s">
        <v>59</v>
      </c>
      <c r="J42" s="156"/>
      <c r="K42" s="156"/>
      <c r="L42" s="157"/>
      <c r="M42" s="72">
        <f>D11</f>
        <v>373026.92</v>
      </c>
    </row>
    <row r="43" spans="2:16" ht="15" thickBot="1" x14ac:dyDescent="0.35">
      <c r="D43" s="53"/>
      <c r="H43" s="68" t="s">
        <v>58</v>
      </c>
      <c r="I43" s="158" t="s">
        <v>57</v>
      </c>
      <c r="J43" s="159"/>
      <c r="K43" s="159"/>
      <c r="L43" s="160"/>
      <c r="M43" s="60">
        <f>D21</f>
        <v>28812.39</v>
      </c>
    </row>
    <row r="44" spans="2:16" x14ac:dyDescent="0.3">
      <c r="D44" s="53"/>
      <c r="I44" s="161" t="s">
        <v>56</v>
      </c>
      <c r="J44" s="162"/>
      <c r="K44" s="162"/>
      <c r="L44" s="163"/>
      <c r="M44" s="65">
        <f>F33</f>
        <v>8816.4251207729467</v>
      </c>
    </row>
    <row r="45" spans="2:16" ht="15" thickBot="1" x14ac:dyDescent="0.35">
      <c r="D45" s="56"/>
      <c r="I45" s="164" t="s">
        <v>55</v>
      </c>
      <c r="J45" s="165"/>
      <c r="K45" s="165"/>
      <c r="L45" s="166"/>
      <c r="M45" s="59">
        <f>D38</f>
        <v>21017.665666666668</v>
      </c>
    </row>
    <row r="46" spans="2:16" ht="15" thickBot="1" x14ac:dyDescent="0.35">
      <c r="D46" s="56"/>
      <c r="I46" s="167" t="s">
        <v>52</v>
      </c>
      <c r="J46" s="168"/>
      <c r="K46" s="168"/>
      <c r="L46" s="169"/>
      <c r="M46" s="58">
        <f>M42-(SUM(M43:M45))</f>
        <v>314380.43921256036</v>
      </c>
    </row>
    <row r="47" spans="2:16" x14ac:dyDescent="0.3">
      <c r="I47" s="158" t="s">
        <v>51</v>
      </c>
      <c r="J47" s="159"/>
      <c r="K47" s="159"/>
      <c r="L47" s="160"/>
      <c r="M47" s="60"/>
    </row>
    <row r="48" spans="2:16" ht="15" thickBot="1" x14ac:dyDescent="0.35">
      <c r="D48" s="56"/>
      <c r="I48" s="164" t="s">
        <v>50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49</v>
      </c>
      <c r="J49" s="168"/>
      <c r="K49" s="168"/>
      <c r="L49" s="169"/>
      <c r="M49" s="58">
        <f>M46-SUM(M47:M48)</f>
        <v>314380.43921256036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2023-12-04T13:39:10Z</cp:lastPrinted>
  <dcterms:created xsi:type="dcterms:W3CDTF">2013-03-18T13:35:42Z</dcterms:created>
  <dcterms:modified xsi:type="dcterms:W3CDTF">2024-02-13T15:52:06Z</dcterms:modified>
</cp:coreProperties>
</file>