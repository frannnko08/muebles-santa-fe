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7E8C30B9-ACF0-4F58-8CCE-DF35C009E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" l="1"/>
  <c r="K29" i="1"/>
  <c r="K22" i="1"/>
  <c r="K23" i="1"/>
  <c r="K24" i="1"/>
  <c r="R24" i="1" s="1"/>
  <c r="T24" i="1" s="1"/>
  <c r="K25" i="1"/>
  <c r="K26" i="1"/>
  <c r="K27" i="1"/>
  <c r="S27" i="1" s="1"/>
  <c r="U27" i="1" s="1"/>
  <c r="K28" i="1"/>
  <c r="K21" i="1"/>
  <c r="S21" i="1" s="1"/>
  <c r="L22" i="1"/>
  <c r="R22" i="1" s="1"/>
  <c r="T22" i="1" s="1"/>
  <c r="M22" i="1"/>
  <c r="L23" i="1"/>
  <c r="M23" i="1"/>
  <c r="L24" i="1"/>
  <c r="M24" i="1"/>
  <c r="L25" i="1"/>
  <c r="R25" i="1" s="1"/>
  <c r="T25" i="1" s="1"/>
  <c r="V25" i="1" s="1"/>
  <c r="M25" i="1"/>
  <c r="L26" i="1"/>
  <c r="R26" i="1" s="1"/>
  <c r="T26" i="1" s="1"/>
  <c r="M26" i="1"/>
  <c r="S26" i="1" s="1"/>
  <c r="U26" i="1" s="1"/>
  <c r="L27" i="1"/>
  <c r="M27" i="1"/>
  <c r="L28" i="1"/>
  <c r="M28" i="1"/>
  <c r="L29" i="1"/>
  <c r="R29" i="1" s="1"/>
  <c r="T29" i="1" s="1"/>
  <c r="V29" i="1" s="1"/>
  <c r="M29" i="1"/>
  <c r="S29" i="1" s="1"/>
  <c r="U29" i="1" s="1"/>
  <c r="J46" i="1"/>
  <c r="L21" i="1"/>
  <c r="M21" i="1"/>
  <c r="N28" i="1" l="1"/>
  <c r="R27" i="1"/>
  <c r="T27" i="1" s="1"/>
  <c r="V27" i="1" s="1"/>
  <c r="R23" i="1"/>
  <c r="T23" i="1" s="1"/>
  <c r="V23" i="1" s="1"/>
  <c r="S24" i="1"/>
  <c r="U24" i="1" s="1"/>
  <c r="V24" i="1" s="1"/>
  <c r="O28" i="1"/>
  <c r="S22" i="1"/>
  <c r="U22" i="1" s="1"/>
  <c r="V22" i="1" s="1"/>
  <c r="N27" i="1"/>
  <c r="O27" i="1" s="1"/>
  <c r="V26" i="1"/>
  <c r="R28" i="1"/>
  <c r="T28" i="1" s="1"/>
  <c r="V28" i="1" s="1"/>
  <c r="N25" i="1"/>
  <c r="O25" i="1" s="1"/>
  <c r="N23" i="1"/>
  <c r="O23" i="1" s="1"/>
  <c r="N26" i="1"/>
  <c r="O26" i="1" s="1"/>
  <c r="U21" i="1"/>
  <c r="R21" i="1"/>
  <c r="N24" i="1"/>
  <c r="O24" i="1" s="1"/>
  <c r="N29" i="1"/>
  <c r="O29" i="1" s="1"/>
  <c r="N22" i="1"/>
  <c r="O22" i="1" s="1"/>
  <c r="L31" i="1"/>
  <c r="N21" i="1"/>
  <c r="O21" i="1" s="1"/>
  <c r="O32" i="1" s="1"/>
  <c r="U39" i="1"/>
  <c r="U40" i="1" s="1"/>
  <c r="S31" i="1" l="1"/>
  <c r="T21" i="1"/>
  <c r="V21" i="1" s="1"/>
  <c r="R31" i="1"/>
  <c r="N38" i="1"/>
  <c r="R33" i="1" l="1"/>
  <c r="R34" i="1" s="1"/>
  <c r="R35" i="1" s="1"/>
  <c r="O33" i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Q44" i="1"/>
  <c r="N43" i="1" l="1"/>
  <c r="N44" i="1" s="1"/>
  <c r="D20" i="3"/>
  <c r="E20" i="3" s="1"/>
  <c r="E21" i="3" s="1"/>
  <c r="N46" i="1" l="1"/>
  <c r="D21" i="3"/>
  <c r="M43" i="3" s="1"/>
  <c r="D12" i="3" s="1"/>
  <c r="F20" i="3"/>
  <c r="F21" i="3" s="1"/>
  <c r="N45" i="1" l="1"/>
  <c r="P20" i="1" s="1"/>
  <c r="E15" i="3"/>
  <c r="P23" i="1" l="1"/>
  <c r="P27" i="1"/>
  <c r="P22" i="1"/>
  <c r="P26" i="1"/>
  <c r="P24" i="1"/>
  <c r="P28" i="1"/>
  <c r="P25" i="1"/>
  <c r="P29" i="1"/>
  <c r="P21" i="1"/>
  <c r="F15" i="3"/>
  <c r="G21" i="1" l="1"/>
  <c r="H21" i="1" s="1"/>
  <c r="Q21" i="1"/>
  <c r="Q26" i="1"/>
  <c r="G26" i="1"/>
  <c r="H26" i="1" s="1"/>
  <c r="Q22" i="1"/>
  <c r="G22" i="1"/>
  <c r="H22" i="1" s="1"/>
  <c r="Q25" i="1"/>
  <c r="G25" i="1"/>
  <c r="H25" i="1" s="1"/>
  <c r="Q28" i="1"/>
  <c r="G28" i="1"/>
  <c r="H28" i="1" s="1"/>
  <c r="Q27" i="1"/>
  <c r="G27" i="1"/>
  <c r="H27" i="1" s="1"/>
  <c r="Q29" i="1"/>
  <c r="G29" i="1"/>
  <c r="H29" i="1" s="1"/>
  <c r="Q24" i="1"/>
  <c r="G24" i="1"/>
  <c r="H24" i="1" s="1"/>
  <c r="Q23" i="1"/>
  <c r="G23" i="1"/>
  <c r="H23" i="1" s="1"/>
  <c r="H31" i="1" l="1"/>
  <c r="H32" i="1" s="1"/>
  <c r="D11" i="3" l="1"/>
  <c r="X9" i="3" s="1"/>
  <c r="X15" i="3" s="1"/>
  <c r="H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<sst xmlns="http://schemas.openxmlformats.org/spreadsheetml/2006/main" count="249" uniqueCount="183">
  <si>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</si>
  <si>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</si>
  <si>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</si>
  <si>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</si>
  <si>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</si>
  <si>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</si>
  <si>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</si>
  <si>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</si>
  <si>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</si>
  <si>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</si>
  <si>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</si>
  <si>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</si>
  <si>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</si>
  <si>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</si>
  <si>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</si>
  <si>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</si>
  <si>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</si>
  <si>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</si>
  <si>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</si>
  <si>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</si>
  <si>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</si>
  <si>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</si>
  <si>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</si>
  <si>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</si>
  <si>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</si>
  <si>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</si>
  <si>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</si>
  <si>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</si>
  <si>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</si>
  <si>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</si>
  <si>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</si>
  <si>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</si>
  <si>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</si>
  <si>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</si>
  <si>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</si>
  <si>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</si>
  <si>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</si>
  <si>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</si>
  <si>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</si>
  <si>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</si>
  <si>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</si>
  <si>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</si>
  <si>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</si>
  <si>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</si>
  <si>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</si>
  <si>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</si>
  <si>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</si>
  <si>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</si>
  <si>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</si>
  <si>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</si>
  <si>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</si>
  <si>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</si>
  <si>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</si>
  <si>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</si>
  <si>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</si>
  <si>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</si>
  <si>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</si>
  <si>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</si>
  <si>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</si>
  <si>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</si>
  <si>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</si>
  <si>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</si>
  <si>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</si>
  <si>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</si>
  <si>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</si>
  <si>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</si>
  <si>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</si>
  <si>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</si>
  <si>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</si>
  <si>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</si>
  <si>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</si>
  <si>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</si>
  <si>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</si>
  <si>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</si>
  <si>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</si>
  <si>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</si>
  <si>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</si>
  <si>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</si>
  <si>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</si>
  <si>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</si>
  <si>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</si>
  <si>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</si>
  <si>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</si>
  <si>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</si>
  <si>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</si>
  <si>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</si>
  <si>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</si>
  <si>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</si>
  <si>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</si>
  <si>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</si>
  <si>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</si>
  <si>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</si>
  <si>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</si>
  <si>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</si>
  <si>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</si>
  <si>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</si>
  <si>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</si>
  <si>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</si>
  <si>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</si>
  <si>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</si>
  <si>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</si>
  <si>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</si>
  <si>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</si>
  <si>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</si>
  <si>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</si>
  <si>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</si>
  <si>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</si>
  <si>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</si>
  <si>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</si>
  <si>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</si>
  <si>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</si>
  <si>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</si>
  <si>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</si>
  <si>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</si>
  <si>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</si>
  <si>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</si>
  <si>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</si>
  <si>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</si>
  <si>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</si>
  <si>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</si>
  <si>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</si>
  <si>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</si>
  <si>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</si>
  <si>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</si>
  <si>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</si>
  <si>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</si>
  <si>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</si>
  <si>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</si>
  <si>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</si>
  <si>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</si>
  <si>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</si>
  <si>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</si>
  <si>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</si>
  <si>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</si>
  <si>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</si>
  <si>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</si>
  <si>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</si>
  <si>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</si>
  <si>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</si>
  <si>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</si>
  <si>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</si>
  <si>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</si>
  <si>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</si>
  <si>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</si>
  <si>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</si>
  <si>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</si>
  <si>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</si>
  <si>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</si>
  <si>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</si>
  <si>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</si>
  <si>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</si>
  <si>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</si>
  <si>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</si>
  <si>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</si>
  <si>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</si>
  <si>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</si>
  <si>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</si>
  <si>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</si>
  <si>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</si>
  <si>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</si>
  <si>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</si>
  <si>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</si>
  <si>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</si>
  <si>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</si>
  <si>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</si>
  <si>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</si>
  <si>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</si>
  <si>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</si>
  <si>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SI</t>
  </si>
  <si>
    <t>ENCHAPE RECTO 1 CARA CUBIERTA</t>
  </si>
  <si>
    <t>ENCHAPE RECTO 2 CARAS LATERALES</t>
  </si>
  <si>
    <t>ENCHAPE RECTO 2 CARAS INTERMEDIO</t>
  </si>
  <si>
    <t>ENCHAPE RECTO 1 CARA FRONTAL</t>
  </si>
  <si>
    <t>ENCHAPE RECTO 1 CARA PUERTAS MELAMIL 1 CARA</t>
  </si>
  <si>
    <t>NEGRO OPACO</t>
  </si>
  <si>
    <t>MELAMIL 18MM</t>
  </si>
  <si>
    <t>PERDIDA</t>
  </si>
  <si>
    <t>VALOR M/L</t>
  </si>
  <si>
    <t>CONSTRUCTORA MORLAN</t>
  </si>
  <si>
    <t>BRUNO</t>
  </si>
  <si>
    <t>+569 5805 7862</t>
  </si>
  <si>
    <t>77.410.667-7</t>
  </si>
  <si>
    <t>ENCHAPE RECTOS 2 CARAS MDF 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</si>
</sst>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37" fillId="0" borderId="0" xfId="0" applyNumberFormat="1" applyFont="1"/>
    <xf numFmtId="41" fontId="0" fillId="0" borderId="0" xfId="4" applyFont="1" applyAlignment="1">
      <alignment horizontal="center"/>
    </xf>
    <xf numFmtId="41" fontId="0" fillId="0" borderId="0" xfId="4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1626870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TAPACANTO PVC 1MM NEGRO OPACO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C17" zoomScale="93" zoomScaleNormal="93" workbookViewId="0">
      <selection activeCell="Q21" sqref="Q2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9.109375" bestFit="1" customWidth="1"/>
    <col min="5" max="5" width="10.5546875" customWidth="1"/>
    <col min="6" max="6" width="25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126</v>
      </c>
      <c r="C8" s="302"/>
      <c r="D8" s="303">
        <v>10542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162</v>
      </c>
      <c r="C10" s="279" t="s">
        <v>178</v>
      </c>
      <c r="D10" s="243"/>
      <c r="E10" s="243"/>
      <c r="F10" s="244" t="s">
        <v>0</v>
      </c>
      <c r="G10" s="277">
        <v>45308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 t="s">
        <v>181</v>
      </c>
      <c r="F11" t="s">
        <v>123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3"/>
      <c r="D12" s="247"/>
      <c r="E12" s="247"/>
      <c r="F12" s="247" t="s">
        <v>127</v>
      </c>
      <c r="G12" s="278" t="s">
        <v>135</v>
      </c>
      <c r="H12" s="248"/>
      <c r="P12" s="19"/>
      <c r="Q12" s="25"/>
      <c r="R12" s="19"/>
    </row>
    <row r="13" spans="2:23" x14ac:dyDescent="0.3">
      <c r="B13" s="246" t="s">
        <v>146</v>
      </c>
      <c r="C13" t="s">
        <v>179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139</v>
      </c>
      <c r="C14" s="307"/>
      <c r="F14" s="29" t="s">
        <v>136</v>
      </c>
      <c r="G14" s="291" t="s">
        <v>168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180</v>
      </c>
      <c r="D15" s="295"/>
      <c r="E15" s="247"/>
      <c r="F15" s="247" t="s">
        <v>134</v>
      </c>
      <c r="G15" s="296" t="s">
        <v>135</v>
      </c>
      <c r="H15" s="248"/>
    </row>
    <row r="16" spans="2:23" ht="16.8" x14ac:dyDescent="0.4">
      <c r="B16" s="292" t="s">
        <v>3</v>
      </c>
      <c r="C16" s="313"/>
      <c r="F16" s="293" t="s">
        <v>129</v>
      </c>
      <c r="G16" s="294" t="s">
        <v>163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165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147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131</v>
      </c>
      <c r="M20" s="39" t="str">
        <f>E20</f>
        <v>ANCHO</v>
      </c>
      <c r="N20" s="261" t="s">
        <v>132</v>
      </c>
      <c r="O20" s="259" t="s">
        <v>17</v>
      </c>
      <c r="P20" s="252">
        <f>N45</f>
        <v>140737.14508386914</v>
      </c>
      <c r="Q20" s="258">
        <v>25000</v>
      </c>
      <c r="R20" s="38"/>
      <c r="S20" s="14" t="s">
        <v>128</v>
      </c>
      <c r="T20" s="9"/>
      <c r="W20" s="4"/>
    </row>
    <row r="21" spans="2:24" ht="18" thickBot="1" x14ac:dyDescent="0.35">
      <c r="B21" s="324">
        <v>3</v>
      </c>
      <c r="C21" s="325" t="s">
        <v>182</v>
      </c>
      <c r="D21" s="326">
        <v>1.21</v>
      </c>
      <c r="E21" s="326">
        <v>0.745</v>
      </c>
      <c r="F21" s="325" t="s">
        <v>174</v>
      </c>
      <c r="G21" s="327">
        <f>P21+V$21</f>
        <v>425676.6166666667</v>
      </c>
      <c r="H21" s="328">
        <f>G21*B21</f>
        <v>1277029.8500000001</v>
      </c>
      <c r="I21" s="265"/>
      <c r="J21" s="47">
        <v>1</v>
      </c>
      <c r="K21" s="47">
        <f>B21</f>
        <v>3</v>
      </c>
      <c r="L21" s="39">
        <f>D21+L$19</f>
        <v>1.23</v>
      </c>
      <c r="M21" s="39">
        <f>E21+M$19</f>
        <v>0.76500000000000001</v>
      </c>
      <c r="N21" s="261">
        <f t="shared" ref="N21" si="0">L21*M21</f>
        <v>0.94094999999999995</v>
      </c>
      <c r="O21" s="259">
        <f t="shared" ref="O21" si="1">N21*K21</f>
        <v>2.8228499999999999</v>
      </c>
      <c r="P21" s="252">
        <f t="shared" ref="P21" si="2">P$20*N21</f>
        <v>132426.61666666667</v>
      </c>
      <c r="Q21" s="258">
        <f>P21+Q20</f>
        <v>157426.61666666667</v>
      </c>
      <c r="R21" s="309">
        <f>D21*K21*2</f>
        <v>7.26</v>
      </c>
      <c r="S21" s="46">
        <f>E21*K21*2</f>
        <v>4.47</v>
      </c>
      <c r="T21" s="330">
        <f>R21*Q20</f>
        <v>181500</v>
      </c>
      <c r="U21" s="331">
        <f>S21*Q20</f>
        <v>111750</v>
      </c>
      <c r="V21" s="331">
        <f t="shared" ref="V21:V29" si="3">T21+U21</f>
        <v>293250</v>
      </c>
      <c r="W21" s="4"/>
    </row>
    <row r="22" spans="2:24" ht="18" thickBot="1" x14ac:dyDescent="0.35">
      <c r="B22" s="324">
        <v>2</v>
      </c>
      <c r="C22" s="325" t="s">
        <v>170</v>
      </c>
      <c r="D22" s="326">
        <v>0.93</v>
      </c>
      <c r="E22" s="326">
        <v>0.6</v>
      </c>
      <c r="F22" s="325" t="s">
        <v>174</v>
      </c>
      <c r="G22" s="327">
        <f t="shared" ref="G22:G29" si="4">P22+V22</f>
        <v>208894.17845439893</v>
      </c>
      <c r="H22" s="328">
        <f>G22*B22</f>
        <v>417788.35690879787</v>
      </c>
      <c r="I22" s="265"/>
      <c r="J22" s="47"/>
      <c r="K22" s="329">
        <f>B22</f>
        <v>2</v>
      </c>
      <c r="L22" s="39">
        <f>D22+L$19</f>
        <v>0.95000000000000007</v>
      </c>
      <c r="M22" s="39">
        <f>E22+M$19</f>
        <v>0.62</v>
      </c>
      <c r="N22" s="261">
        <f t="shared" ref="N22:N29" si="5">L22*M22</f>
        <v>0.58900000000000008</v>
      </c>
      <c r="O22" s="259">
        <f>N22*K22</f>
        <v>1.1780000000000002</v>
      </c>
      <c r="P22" s="252">
        <f t="shared" ref="P22:P29" si="6">P$20*N22</f>
        <v>82894.178454398934</v>
      </c>
      <c r="Q22" s="258">
        <f t="shared" ref="Q22:Q29" si="7">P22+Q$20</f>
        <v>107894.17845439893</v>
      </c>
      <c r="R22" s="309">
        <f>L22*K22*2</f>
        <v>3.8000000000000003</v>
      </c>
      <c r="S22" s="46">
        <f>M22*K22</f>
        <v>1.24</v>
      </c>
      <c r="T22" s="9">
        <f>R22*Q20</f>
        <v>95000</v>
      </c>
      <c r="U22" s="331">
        <f>S22*Q20</f>
        <v>31000</v>
      </c>
      <c r="V22" s="331">
        <f t="shared" si="3"/>
        <v>126000</v>
      </c>
      <c r="W22" s="4"/>
    </row>
    <row r="23" spans="2:24" ht="18" thickBot="1" x14ac:dyDescent="0.35">
      <c r="B23" s="324">
        <v>1</v>
      </c>
      <c r="C23" s="325" t="s">
        <v>171</v>
      </c>
      <c r="D23" s="326">
        <v>2</v>
      </c>
      <c r="E23" s="326">
        <v>0.6</v>
      </c>
      <c r="F23" s="325" t="s">
        <v>174</v>
      </c>
      <c r="G23" s="327">
        <f t="shared" si="4"/>
        <v>226759.20050303769</v>
      </c>
      <c r="H23" s="328">
        <f>G23*B23</f>
        <v>226759.20050303769</v>
      </c>
      <c r="I23" s="265"/>
      <c r="J23" s="47"/>
      <c r="K23" s="329">
        <f>B23</f>
        <v>1</v>
      </c>
      <c r="L23" s="39">
        <f>D23+L$19</f>
        <v>2.02</v>
      </c>
      <c r="M23" s="39">
        <f>E23+M$19</f>
        <v>0.62</v>
      </c>
      <c r="N23" s="261">
        <f t="shared" si="5"/>
        <v>1.2524</v>
      </c>
      <c r="O23" s="259">
        <f>N23*K23</f>
        <v>1.2524</v>
      </c>
      <c r="P23" s="252">
        <f t="shared" si="6"/>
        <v>176259.20050303769</v>
      </c>
      <c r="Q23" s="258">
        <f t="shared" si="7"/>
        <v>201259.20050303769</v>
      </c>
      <c r="R23" s="309">
        <f>L23*K23</f>
        <v>2.02</v>
      </c>
      <c r="S23" s="14"/>
      <c r="T23" s="9">
        <f>R23*Q20</f>
        <v>50500</v>
      </c>
      <c r="V23" s="331">
        <f t="shared" si="3"/>
        <v>50500</v>
      </c>
      <c r="W23" s="4"/>
    </row>
    <row r="24" spans="2:24" ht="18" thickBot="1" x14ac:dyDescent="0.35">
      <c r="B24" s="324">
        <v>1</v>
      </c>
      <c r="C24" s="325" t="s">
        <v>169</v>
      </c>
      <c r="D24" s="326">
        <v>1.2</v>
      </c>
      <c r="E24" s="326">
        <v>0.66500000000000004</v>
      </c>
      <c r="F24" s="325" t="s">
        <v>174</v>
      </c>
      <c r="G24" s="327">
        <f t="shared" si="4"/>
        <v>211864.03214658942</v>
      </c>
      <c r="H24" s="328">
        <f>G24*B24</f>
        <v>211864.03214658942</v>
      </c>
      <c r="I24" s="265"/>
      <c r="J24" s="47"/>
      <c r="K24" s="47">
        <f>B24</f>
        <v>1</v>
      </c>
      <c r="L24" s="39">
        <f>D24+L$19</f>
        <v>1.22</v>
      </c>
      <c r="M24" s="39">
        <f>E24+M$19</f>
        <v>0.68500000000000005</v>
      </c>
      <c r="N24" s="261">
        <f t="shared" si="5"/>
        <v>0.8357</v>
      </c>
      <c r="O24" s="259">
        <f t="shared" ref="O24:O29" si="8">N24*K24</f>
        <v>0.8357</v>
      </c>
      <c r="P24" s="252">
        <f t="shared" si="6"/>
        <v>117614.03214658944</v>
      </c>
      <c r="Q24" s="258">
        <f t="shared" si="7"/>
        <v>142614.03214658942</v>
      </c>
      <c r="R24" s="309">
        <f>D24*K24*2</f>
        <v>2.4</v>
      </c>
      <c r="S24" s="46">
        <f>M24*K24*2</f>
        <v>1.37</v>
      </c>
      <c r="T24" s="9">
        <f>R24*Q20</f>
        <v>60000</v>
      </c>
      <c r="U24">
        <f>S24*Q20</f>
        <v>34250</v>
      </c>
      <c r="V24" s="331">
        <f t="shared" si="3"/>
        <v>94250</v>
      </c>
      <c r="W24" s="4"/>
    </row>
    <row r="25" spans="2:24" ht="18" thickBot="1" x14ac:dyDescent="0.35">
      <c r="B25" s="324">
        <v>2</v>
      </c>
      <c r="C25" s="325" t="s">
        <v>170</v>
      </c>
      <c r="D25" s="326">
        <v>0.66500000000000004</v>
      </c>
      <c r="E25" s="326">
        <v>0.8</v>
      </c>
      <c r="F25" s="325" t="s">
        <v>174</v>
      </c>
      <c r="G25" s="327">
        <f t="shared" si="4"/>
        <v>147552.05439360929</v>
      </c>
      <c r="H25" s="328">
        <f>G25*B25</f>
        <v>295104.10878721857</v>
      </c>
      <c r="I25" s="265"/>
      <c r="J25" s="47"/>
      <c r="K25" s="329">
        <f>B25</f>
        <v>2</v>
      </c>
      <c r="L25" s="39">
        <f>D25+L$19</f>
        <v>0.68500000000000005</v>
      </c>
      <c r="M25" s="39">
        <f>E25+M$19</f>
        <v>0.82000000000000006</v>
      </c>
      <c r="N25" s="261">
        <f t="shared" si="5"/>
        <v>0.56170000000000009</v>
      </c>
      <c r="O25" s="259">
        <f>N25*K25</f>
        <v>1.1234000000000002</v>
      </c>
      <c r="P25" s="252">
        <f t="shared" si="6"/>
        <v>79052.054393609302</v>
      </c>
      <c r="Q25" s="258">
        <f t="shared" si="7"/>
        <v>104052.0543936093</v>
      </c>
      <c r="R25" s="309">
        <f>L25*K25*2</f>
        <v>2.74</v>
      </c>
      <c r="S25" s="14"/>
      <c r="T25" s="9">
        <f>R25*Q20</f>
        <v>68500</v>
      </c>
      <c r="V25" s="331">
        <f t="shared" si="3"/>
        <v>68500</v>
      </c>
      <c r="W25" s="4"/>
    </row>
    <row r="26" spans="2:24" ht="18" thickBot="1" x14ac:dyDescent="0.35">
      <c r="B26" s="324">
        <v>1</v>
      </c>
      <c r="C26" s="325" t="s">
        <v>172</v>
      </c>
      <c r="D26" s="326">
        <v>1.2</v>
      </c>
      <c r="E26" s="326">
        <v>0.9</v>
      </c>
      <c r="F26" s="325" t="s">
        <v>174</v>
      </c>
      <c r="G26" s="327">
        <f t="shared" si="4"/>
        <v>264963.37164213473</v>
      </c>
      <c r="H26" s="328">
        <f>G26*B26</f>
        <v>264963.37164213473</v>
      </c>
      <c r="I26" s="265"/>
      <c r="J26" s="47"/>
      <c r="K26" s="47">
        <f>B26</f>
        <v>1</v>
      </c>
      <c r="L26" s="39">
        <f>D26+L$19</f>
        <v>1.22</v>
      </c>
      <c r="M26" s="39">
        <f>E26+M$19</f>
        <v>0.92</v>
      </c>
      <c r="N26" s="261">
        <f t="shared" si="5"/>
        <v>1.1224000000000001</v>
      </c>
      <c r="O26" s="259">
        <f t="shared" si="8"/>
        <v>1.1224000000000001</v>
      </c>
      <c r="P26" s="252">
        <f t="shared" si="6"/>
        <v>157963.37164213473</v>
      </c>
      <c r="Q26" s="258">
        <f t="shared" si="7"/>
        <v>182963.37164213473</v>
      </c>
      <c r="R26" s="309">
        <f>L26*K26*2</f>
        <v>2.44</v>
      </c>
      <c r="S26" s="46">
        <f>M26*K26*2</f>
        <v>1.84</v>
      </c>
      <c r="T26" s="9">
        <f>R26*Q20</f>
        <v>61000</v>
      </c>
      <c r="U26">
        <f>S26*Q20</f>
        <v>46000</v>
      </c>
      <c r="V26" s="331">
        <f t="shared" si="3"/>
        <v>107000</v>
      </c>
      <c r="W26" s="4"/>
    </row>
    <row r="27" spans="2:24" ht="18" thickBot="1" x14ac:dyDescent="0.35">
      <c r="B27" s="324">
        <v>1</v>
      </c>
      <c r="C27" s="325" t="s">
        <v>169</v>
      </c>
      <c r="D27" s="326">
        <v>1.2</v>
      </c>
      <c r="E27" s="326">
        <v>0.43</v>
      </c>
      <c r="F27" s="325" t="s">
        <v>174</v>
      </c>
      <c r="G27" s="327">
        <f t="shared" si="4"/>
        <v>159764.69265104417</v>
      </c>
      <c r="H27" s="328">
        <f>G27*B27</f>
        <v>159764.69265104417</v>
      </c>
      <c r="I27" s="265"/>
      <c r="J27" s="47"/>
      <c r="K27" s="47">
        <f>B27</f>
        <v>1</v>
      </c>
      <c r="L27" s="39">
        <f>D27+L$19</f>
        <v>1.22</v>
      </c>
      <c r="M27" s="39">
        <f>E27+M$19</f>
        <v>0.45</v>
      </c>
      <c r="N27" s="261">
        <f t="shared" si="5"/>
        <v>0.54900000000000004</v>
      </c>
      <c r="O27" s="259">
        <f t="shared" si="8"/>
        <v>0.54900000000000004</v>
      </c>
      <c r="P27" s="252">
        <f t="shared" si="6"/>
        <v>77264.69265104417</v>
      </c>
      <c r="Q27" s="258">
        <f t="shared" si="7"/>
        <v>102264.69265104417</v>
      </c>
      <c r="R27" s="309">
        <f>L27*K27*2</f>
        <v>2.44</v>
      </c>
      <c r="S27" s="46">
        <f>E27*K27*2</f>
        <v>0.86</v>
      </c>
      <c r="T27" s="9">
        <f>R27*Q20</f>
        <v>61000</v>
      </c>
      <c r="U27">
        <f>S27*Q20</f>
        <v>21500</v>
      </c>
      <c r="V27" s="331">
        <f t="shared" si="3"/>
        <v>82500</v>
      </c>
      <c r="W27" s="4"/>
    </row>
    <row r="28" spans="2:24" ht="18" thickBot="1" x14ac:dyDescent="0.35">
      <c r="B28" s="324">
        <v>4</v>
      </c>
      <c r="C28" s="325" t="s">
        <v>170</v>
      </c>
      <c r="D28" s="326">
        <v>0.96</v>
      </c>
      <c r="E28" s="326">
        <v>0.43</v>
      </c>
      <c r="F28" s="325" t="s">
        <v>174</v>
      </c>
      <c r="G28" s="327">
        <f t="shared" si="4"/>
        <v>258065.08098198631</v>
      </c>
      <c r="H28" s="328">
        <f>G28*B28</f>
        <v>1032260.3239279452</v>
      </c>
      <c r="I28" s="265"/>
      <c r="J28" s="47"/>
      <c r="K28" s="329">
        <f>B28</f>
        <v>4</v>
      </c>
      <c r="L28" s="39">
        <f>D28+L$19</f>
        <v>0.98</v>
      </c>
      <c r="M28" s="39">
        <f>E28+M$19</f>
        <v>0.45</v>
      </c>
      <c r="N28" s="261">
        <f>L28*M28</f>
        <v>0.441</v>
      </c>
      <c r="O28" s="259">
        <f>N28*K28</f>
        <v>1.764</v>
      </c>
      <c r="P28" s="252">
        <f t="shared" si="6"/>
        <v>62065.080981986292</v>
      </c>
      <c r="Q28" s="258">
        <f t="shared" si="7"/>
        <v>87065.080981986292</v>
      </c>
      <c r="R28" s="309">
        <f>L28*K28*2</f>
        <v>7.84</v>
      </c>
      <c r="S28" s="46"/>
      <c r="T28" s="9">
        <f>R28*Q20</f>
        <v>196000</v>
      </c>
      <c r="V28" s="331">
        <f t="shared" si="3"/>
        <v>196000</v>
      </c>
      <c r="W28" s="4"/>
    </row>
    <row r="29" spans="2:24" ht="17.399999999999999" x14ac:dyDescent="0.3">
      <c r="B29" s="324">
        <v>3</v>
      </c>
      <c r="C29" s="325" t="s">
        <v>173</v>
      </c>
      <c r="D29" s="326">
        <v>0.77</v>
      </c>
      <c r="E29" s="326">
        <v>0.37</v>
      </c>
      <c r="F29" s="325" t="s">
        <v>174</v>
      </c>
      <c r="G29" s="327">
        <f t="shared" si="4"/>
        <v>220361.11440034007</v>
      </c>
      <c r="H29" s="328">
        <f>G29*B29</f>
        <v>661083.34320102027</v>
      </c>
      <c r="I29" s="265"/>
      <c r="J29" s="47"/>
      <c r="K29" s="47">
        <f>B29</f>
        <v>3</v>
      </c>
      <c r="L29" s="39">
        <f>D29+L$19</f>
        <v>0.79</v>
      </c>
      <c r="M29" s="39">
        <f>E29+M$19</f>
        <v>0.39</v>
      </c>
      <c r="N29" s="261">
        <f t="shared" si="5"/>
        <v>0.30810000000000004</v>
      </c>
      <c r="O29" s="259">
        <f t="shared" si="8"/>
        <v>0.92430000000000012</v>
      </c>
      <c r="P29" s="252">
        <f t="shared" si="6"/>
        <v>43361.114400340084</v>
      </c>
      <c r="Q29" s="258">
        <f t="shared" si="7"/>
        <v>68361.114400340084</v>
      </c>
      <c r="R29" s="309">
        <f>L29*K29*2</f>
        <v>4.74</v>
      </c>
      <c r="S29" s="46">
        <f>M29*K29*2</f>
        <v>2.34</v>
      </c>
      <c r="T29" s="9">
        <f>R29*Q20</f>
        <v>118500</v>
      </c>
      <c r="U29">
        <f>S29*Q20</f>
        <v>58500</v>
      </c>
      <c r="V29" s="331">
        <f t="shared" si="3"/>
        <v>177000</v>
      </c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309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11" t="s">
        <v>29</v>
      </c>
      <c r="H31" s="312">
        <f>SUM(H21:H30)</f>
        <v>4546617.2797677871</v>
      </c>
      <c r="I31" s="265"/>
      <c r="J31" s="47"/>
      <c r="K31" s="47"/>
      <c r="L31" s="39">
        <f>SUM(L21:L30)</f>
        <v>10.315000000000001</v>
      </c>
      <c r="M31" s="39"/>
      <c r="N31" s="261"/>
      <c r="O31" s="259"/>
      <c r="P31" s="252"/>
      <c r="Q31" s="258"/>
      <c r="R31" s="309">
        <f>SUM(R21:R30)</f>
        <v>35.68</v>
      </c>
      <c r="S31" s="46">
        <f>SUM(S21:S30)</f>
        <v>12.12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308" t="s">
        <v>51</v>
      </c>
      <c r="H32" s="305">
        <f>H31*19%</f>
        <v>863857.28315587959</v>
      </c>
      <c r="I32" s="265"/>
      <c r="J32" s="47"/>
      <c r="K32" s="47"/>
      <c r="L32" s="39"/>
      <c r="M32" s="12"/>
      <c r="N32" s="12"/>
      <c r="O32" s="253">
        <f>SUM(O21)</f>
        <v>2.8228499999999999</v>
      </c>
      <c r="P32" s="14"/>
      <c r="Q32" s="12"/>
      <c r="R32" s="239"/>
      <c r="S32" s="14"/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306">
        <f>H31+H32</f>
        <v>5410474.562923667</v>
      </c>
      <c r="I33" s="265"/>
      <c r="J33" s="47"/>
      <c r="K33" s="47"/>
      <c r="L33" s="39"/>
      <c r="M33" s="12"/>
      <c r="N33" s="12"/>
      <c r="O33" s="253">
        <f>O32</f>
        <v>2.8228499999999999</v>
      </c>
      <c r="P33" s="14"/>
      <c r="Q33" s="12"/>
      <c r="R33" s="239">
        <f>R31+S31</f>
        <v>47.8</v>
      </c>
      <c r="S33" s="14"/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0.56457000000000002</v>
      </c>
      <c r="P34" s="39" t="s">
        <v>130</v>
      </c>
      <c r="Q34" s="42"/>
      <c r="R34" s="240">
        <f>R33*20%</f>
        <v>9.56</v>
      </c>
      <c r="S34" s="14" t="s">
        <v>176</v>
      </c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3.3874199999999997</v>
      </c>
      <c r="P35" s="14"/>
      <c r="Q35" s="14"/>
      <c r="R35" s="239">
        <f>R33+R34</f>
        <v>57.36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17" t="s">
        <v>22</v>
      </c>
      <c r="U36" s="314" t="s">
        <v>152</v>
      </c>
      <c r="V36" s="318">
        <v>44971</v>
      </c>
      <c r="W36" s="319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O35*2</f>
        <v>6.7748399999999993</v>
      </c>
      <c r="M37" s="12">
        <v>3500</v>
      </c>
      <c r="N37" s="12">
        <f t="shared" ref="N37:N42" si="9">L37*M37</f>
        <v>23711.94</v>
      </c>
      <c r="O37" s="14" t="s">
        <v>22</v>
      </c>
      <c r="P37" s="14"/>
      <c r="Q37" s="14"/>
      <c r="R37" s="241">
        <v>1500</v>
      </c>
      <c r="S37" s="14" t="s">
        <v>177</v>
      </c>
      <c r="T37" s="317" t="s">
        <v>153</v>
      </c>
      <c r="U37" s="314">
        <v>3625</v>
      </c>
      <c r="V37" s="59" t="s">
        <v>154</v>
      </c>
      <c r="W37" s="319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2</v>
      </c>
      <c r="M38" s="12">
        <v>42600</v>
      </c>
      <c r="N38" s="12">
        <f t="shared" si="9"/>
        <v>85200</v>
      </c>
      <c r="O38" s="39" t="s">
        <v>31</v>
      </c>
      <c r="P38" s="42"/>
      <c r="Q38" s="14"/>
      <c r="R38" s="240">
        <f>R37*50</f>
        <v>75000</v>
      </c>
      <c r="S38" s="14"/>
      <c r="T38" s="317"/>
      <c r="U38" s="59">
        <v>906.25</v>
      </c>
      <c r="V38" s="59" t="s">
        <v>155</v>
      </c>
      <c r="W38" s="319"/>
    </row>
    <row r="39" spans="2:23" s="230" customFormat="1" ht="17.399999999999999" x14ac:dyDescent="0.35">
      <c r="I39" s="262"/>
      <c r="J39" s="232"/>
      <c r="K39" s="250"/>
      <c r="L39" s="14"/>
      <c r="M39" s="250">
        <v>22320</v>
      </c>
      <c r="N39" s="12">
        <f t="shared" si="9"/>
        <v>0</v>
      </c>
      <c r="O39" s="39" t="s">
        <v>175</v>
      </c>
      <c r="P39" s="42"/>
      <c r="R39" s="240"/>
      <c r="S39" s="256"/>
      <c r="T39" s="59"/>
      <c r="U39" s="59">
        <f>U38*20%</f>
        <v>181.25</v>
      </c>
      <c r="V39" s="319" t="s">
        <v>156</v>
      </c>
      <c r="W39" s="59"/>
    </row>
    <row r="40" spans="2:23" s="230" customFormat="1" ht="17.399999999999999" x14ac:dyDescent="0.35">
      <c r="B40" s="24" t="s">
        <v>151</v>
      </c>
      <c r="I40" s="262"/>
      <c r="J40" s="232"/>
      <c r="K40" s="250"/>
      <c r="L40" s="14">
        <v>2</v>
      </c>
      <c r="M40" s="250">
        <v>25000</v>
      </c>
      <c r="N40" s="12">
        <f t="shared" si="9"/>
        <v>50000</v>
      </c>
      <c r="O40" s="14" t="s">
        <v>141</v>
      </c>
      <c r="P40" s="17"/>
      <c r="R40" s="238"/>
      <c r="S40" s="256"/>
      <c r="T40" s="59"/>
      <c r="U40" s="59">
        <f>U38+U39</f>
        <v>1087.5</v>
      </c>
      <c r="V40" s="319" t="s">
        <v>157</v>
      </c>
      <c r="W40" s="59"/>
    </row>
    <row r="41" spans="2:23" s="230" customFormat="1" ht="17.399999999999999" x14ac:dyDescent="0.35">
      <c r="B41" s="24" t="s">
        <v>144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9"/>
        <v>0</v>
      </c>
      <c r="O41" s="14" t="s">
        <v>32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125</v>
      </c>
      <c r="C42"/>
      <c r="D42"/>
      <c r="E42"/>
      <c r="F42" s="229" t="s">
        <v>16</v>
      </c>
      <c r="I42" s="304"/>
      <c r="K42" s="250"/>
      <c r="L42" s="266"/>
      <c r="M42" s="12">
        <v>1500</v>
      </c>
      <c r="N42" s="12">
        <f t="shared" si="9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158911.94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33</v>
      </c>
      <c r="M44" s="12"/>
      <c r="N44" s="255">
        <f>N43*2.5</f>
        <v>397279.85</v>
      </c>
      <c r="O44" s="14" t="s">
        <v>140</v>
      </c>
      <c r="P44" s="14"/>
      <c r="Q44" s="40">
        <f>O35/Q43</f>
        <v>0.91334663503019831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35060</v>
      </c>
      <c r="K45" s="250"/>
      <c r="L45" s="14"/>
      <c r="M45" s="12"/>
      <c r="N45" s="12">
        <f>N44/O33</f>
        <v>140737.14508386914</v>
      </c>
      <c r="O45" s="45" t="s">
        <v>25</v>
      </c>
      <c r="P45" s="14"/>
      <c r="Q45" s="14"/>
      <c r="R45"/>
      <c r="S45" s="238"/>
      <c r="T45" s="59" t="s">
        <v>158</v>
      </c>
      <c r="U45" s="314">
        <v>43650</v>
      </c>
    </row>
    <row r="46" spans="2:23" s="230" customFormat="1" ht="17.399999999999999" x14ac:dyDescent="0.35">
      <c r="G46"/>
      <c r="H46" s="230" t="s">
        <v>164</v>
      </c>
      <c r="J46" s="230">
        <f>J45/1.19</f>
        <v>29462.18487394958</v>
      </c>
      <c r="K46" s="250"/>
      <c r="L46" s="13"/>
      <c r="M46" s="14"/>
      <c r="N46" s="17">
        <f>N44/N43</f>
        <v>2.5</v>
      </c>
      <c r="O46" s="15"/>
      <c r="P46"/>
      <c r="Q46"/>
      <c r="R46"/>
      <c r="S46" s="238"/>
      <c r="T46" s="59" t="s">
        <v>160</v>
      </c>
      <c r="U46" s="315" t="s">
        <v>159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161</v>
      </c>
      <c r="U47" s="316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156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148</v>
      </c>
    </row>
    <row r="81" spans="3:3" x14ac:dyDescent="0.3">
      <c r="C81" t="s">
        <v>147</v>
      </c>
    </row>
    <row r="84" spans="3:3" x14ac:dyDescent="0.3">
      <c r="C84" t="s">
        <v>147</v>
      </c>
    </row>
    <row r="161" spans="3:3" x14ac:dyDescent="0.3">
      <c r="C161" t="s">
        <v>147</v>
      </c>
    </row>
    <row r="162" spans="3:3" x14ac:dyDescent="0.3">
      <c r="C162" t="s">
        <v>149</v>
      </c>
    </row>
    <row r="163" spans="3:3" x14ac:dyDescent="0.3">
      <c r="C163" t="s">
        <v>150</v>
      </c>
    </row>
    <row r="588" spans="3:3" x14ac:dyDescent="0.3">
      <c r="C588" t="s">
        <v>147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45308</v>
      </c>
    </row>
    <row r="6" spans="2:31" ht="16.2" thickBot="1" x14ac:dyDescent="0.35">
      <c r="B6" s="140" t="s">
        <v>2</v>
      </c>
      <c r="C6" s="139" t="str">
        <f>'2229'!C10</f>
        <v>CONSTRUCTORA MORLAN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>
        <f>'2229'!D8</f>
        <v>10542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-719614.38816141861</v>
      </c>
    </row>
    <row r="10" spans="2:31" ht="16.2" thickBot="1" x14ac:dyDescent="0.35">
      <c r="D10" s="218" t="s">
        <v>29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4546617.2797677871</v>
      </c>
      <c r="E11" s="132">
        <f>D11*0.19</f>
        <v>863857.28315587959</v>
      </c>
      <c r="F11" s="131">
        <f>E11+D11</f>
        <v>5410474.562923667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-613624.38816141861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138746.03078743961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-631624.38816141861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4407871.2489803471</v>
      </c>
      <c r="E13" s="221">
        <f>(D11/D12)-1</f>
        <v>31.769350257905778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-640624.38816141861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29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-679624.38816141861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228930.95079927534</v>
      </c>
      <c r="F15" s="216">
        <f>E15-D12</f>
        <v>90184.920011835726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-679624.38816141861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-639624.38816141861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29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'2229'!N38</f>
        <v>85200</v>
      </c>
      <c r="E19" s="123">
        <f>D19*0.19</f>
        <v>16188</v>
      </c>
      <c r="F19" s="120">
        <f>SUM(D19:E19)</f>
        <v>101388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23711.94</v>
      </c>
      <c r="E20" s="121">
        <f>D20*0.19</f>
        <v>4505.2685999999994</v>
      </c>
      <c r="F20" s="120">
        <f>SUM(D20:E20)</f>
        <v>28217.208599999998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108911.94</v>
      </c>
      <c r="E21" s="116">
        <f>SUM(E18:E20)</f>
        <v>20693.268599999999</v>
      </c>
      <c r="F21" s="115">
        <f>SUM(F18:F20)</f>
        <v>129605.2086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843164.01455587964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4546617.2797677871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108911.94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4407871.2489803471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4407871.2489803471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2024-01-15T13:35:36Z</cp:lastPrinted>
  <dcterms:created xsi:type="dcterms:W3CDTF">2013-03-18T13:35:42Z</dcterms:created>
  <dcterms:modified xsi:type="dcterms:W3CDTF">2024-01-17T20:19:04Z</dcterms:modified>
</cp:coreProperties>
</file>