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3 ENERO 2024\"/>
    </mc:Choice>
  </mc:AlternateContent>
  <xr:revisionPtr revIDLastSave="0" documentId="13_ncr:1_{2D200212-797C-4734-9D8F-1D7EA702E5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M22" i="1"/>
  <c r="L22" i="1"/>
  <c r="K22" i="1"/>
  <c r="N22" i="1" l="1"/>
  <c r="O22" i="1" s="1"/>
  <c r="K21" i="1"/>
  <c r="J39" i="1"/>
  <c r="L21" i="1"/>
  <c r="L24" i="1" s="1"/>
  <c r="M21" i="1"/>
  <c r="N21" i="1" l="1"/>
  <c r="O21" i="1" s="1"/>
  <c r="O25" i="1" s="1"/>
  <c r="R26" i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2" i="1" l="1"/>
  <c r="P21" i="1"/>
  <c r="G21" i="1" s="1"/>
  <c r="F15" i="3"/>
  <c r="Q22" i="1" l="1"/>
  <c r="G22" i="1"/>
  <c r="Q21" i="1"/>
  <c r="H21" i="1" s="1"/>
  <c r="H22" i="1" l="1"/>
  <c r="H24" i="1" s="1"/>
  <c r="H25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<sst xmlns="http://schemas.openxmlformats.org/spreadsheetml/2006/main" count="231" uniqueCount="174">
  <si>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</si>
  <si>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</si>
  <si>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</si>
  <si>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</si>
  <si>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</si>
  <si>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</si>
  <si>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</si>
  <si>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</si>
  <si>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</si>
  <si>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</si>
  <si>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</si>
  <si>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</si>
  <si>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</si>
  <si>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</si>
  <si>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</si>
  <si>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</si>
  <si>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</si>
  <si>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</si>
  <si>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</si>
  <si>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</si>
  <si>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</si>
  <si>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</si>
  <si>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</si>
  <si>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</si>
  <si>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</si>
  <si>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</si>
  <si>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</si>
  <si>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</si>
  <si>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</si>
  <si>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</si>
  <si>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</si>
  <si>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</si>
  <si>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</si>
  <si>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</si>
  <si>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</si>
  <si>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</si>
  <si>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</si>
  <si>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</si>
  <si>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</si>
  <si>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</si>
  <si>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</si>
  <si>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</si>
  <si>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</si>
  <si>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</si>
  <si>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</si>
  <si>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</si>
  <si>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</si>
  <si>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</si>
  <si>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</si>
  <si>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</si>
  <si>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</si>
  <si>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</si>
  <si>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</si>
  <si>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</si>
  <si>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</si>
  <si>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</si>
  <si>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</si>
  <si>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</si>
  <si>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</si>
  <si>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</si>
  <si>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</si>
  <si>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</si>
  <si>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</si>
  <si>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</si>
  <si>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</si>
  <si>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</si>
  <si>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</si>
  <si>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</si>
  <si>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</si>
  <si>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</si>
  <si>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</si>
  <si>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</si>
  <si>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</si>
  <si>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</si>
  <si>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</si>
  <si>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</si>
  <si>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</si>
  <si>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</si>
  <si>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</si>
  <si>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</si>
  <si>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</si>
  <si>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</si>
  <si>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</si>
  <si>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</si>
  <si>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</si>
  <si>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</si>
  <si>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</si>
  <si>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</si>
  <si>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</si>
  <si>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</si>
  <si>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</si>
  <si>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</si>
  <si>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</si>
  <si>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</si>
  <si>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</si>
  <si>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</si>
  <si>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</si>
  <si>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</si>
  <si>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</si>
  <si>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</si>
  <si>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</si>
  <si>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</si>
  <si>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</si>
  <si>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</si>
  <si>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</si>
  <si>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</si>
  <si>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</si>
  <si>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</si>
  <si>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</si>
  <si>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</si>
  <si>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</si>
  <si>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</si>
  <si>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</si>
  <si>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</si>
  <si>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</si>
  <si>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</si>
  <si>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</si>
  <si>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</si>
  <si>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</si>
  <si>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</si>
  <si>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</si>
  <si>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</si>
  <si>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</si>
  <si>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</si>
  <si>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</si>
  <si>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</si>
  <si>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</si>
  <si>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</si>
  <si>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</si>
  <si>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</si>
  <si>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</si>
  <si>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</si>
  <si>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</si>
  <si>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</si>
  <si>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</si>
  <si>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</si>
  <si>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</si>
  <si>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</si>
  <si>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</si>
  <si>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</si>
  <si>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</si>
  <si>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</si>
  <si>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</si>
  <si>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</si>
  <si>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</si>
  <si>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</si>
  <si>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</si>
  <si>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</si>
  <si>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</si>
  <si>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</si>
  <si>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</si>
  <si>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</si>
  <si>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</si>
  <si>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</si>
  <si>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</si>
  <si>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</si>
  <si>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</si>
  <si>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</si>
  <si>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</si>
  <si>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</si>
  <si>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</si>
  <si>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</si>
  <si>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</si>
  <si>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</si>
  <si>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</si>
  <si>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</si>
  <si>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</si>
  <si>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</si>
  <si>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</si>
  <si>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SI</t>
  </si>
  <si>
    <t>TANIA ZUÑIGA</t>
  </si>
  <si>
    <t>RED 2135</t>
  </si>
  <si>
    <t>CUBIERTA ENCHAPE RECTO 4 LADOS</t>
  </si>
  <si>
    <t>+569 931051457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</si>
</sst>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58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1626870</xdr:colOff>
      <xdr:row>26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606106"/>
          <a:ext cx="7444290" cy="67053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D16" zoomScale="93" zoomScaleNormal="93" workbookViewId="0">
      <selection activeCell="K33" sqref="K33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10591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170</v>
      </c>
      <c r="D10" s="243"/>
      <c r="E10" s="243"/>
      <c r="F10" s="244" t="s">
        <v>0</v>
      </c>
      <c r="G10" s="277">
        <v>45315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169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173</v>
      </c>
      <c r="D15" s="295"/>
      <c r="E15" s="247"/>
      <c r="F15" s="247" t="s">
        <v>135</v>
      </c>
      <c r="G15" s="296" t="s">
        <v>169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4" t="s">
        <v>166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66333.586337760906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2</v>
      </c>
      <c r="C21" s="325" t="s">
        <v>172</v>
      </c>
      <c r="D21" s="326">
        <v>1.6</v>
      </c>
      <c r="E21" s="326">
        <v>0.7</v>
      </c>
      <c r="F21" s="346" t="s">
        <v>171</v>
      </c>
      <c r="G21" s="327">
        <f>P21</f>
        <v>76615.292220113843</v>
      </c>
      <c r="H21" s="328">
        <f>G21*B21</f>
        <v>153230.58444022769</v>
      </c>
      <c r="I21" s="265"/>
      <c r="J21" s="47"/>
      <c r="K21" s="47">
        <f>B21</f>
        <v>2</v>
      </c>
      <c r="L21" s="39">
        <f t="shared" ref="L21" si="1">D21+L$19</f>
        <v>1.6500000000000001</v>
      </c>
      <c r="M21" s="39">
        <f t="shared" ref="M21" si="2">E21+M$19</f>
        <v>0.7</v>
      </c>
      <c r="N21" s="261">
        <f t="shared" ref="N21" si="3">L21*M21</f>
        <v>1.155</v>
      </c>
      <c r="O21" s="259">
        <f t="shared" ref="O21" si="4">N21*K21</f>
        <v>2.31</v>
      </c>
      <c r="P21" s="252">
        <f t="shared" ref="P21" si="5">P$20*N21</f>
        <v>76615.292220113843</v>
      </c>
      <c r="Q21" s="258">
        <f t="shared" ref="Q21" si="6">P21+Q$20</f>
        <v>79615.292220113843</v>
      </c>
      <c r="R21" s="309"/>
      <c r="S21" s="14"/>
      <c r="T21" s="9"/>
      <c r="W21" s="4"/>
    </row>
    <row r="22" spans="2:24" ht="18" thickBot="1" x14ac:dyDescent="0.35">
      <c r="B22" s="329">
        <v>1</v>
      </c>
      <c r="C22" s="332" t="s">
        <v>172</v>
      </c>
      <c r="D22" s="347">
        <v>0.6</v>
      </c>
      <c r="E22" s="347">
        <v>0.5</v>
      </c>
      <c r="F22" s="333" t="s">
        <v>171</v>
      </c>
      <c r="G22" s="330">
        <f>P22</f>
        <v>21558.415559772297</v>
      </c>
      <c r="H22" s="331">
        <f>G22*B22</f>
        <v>21558.415559772297</v>
      </c>
      <c r="I22" s="265"/>
      <c r="J22" s="47"/>
      <c r="K22" s="47">
        <f t="shared" ref="K22" si="7">B22</f>
        <v>1</v>
      </c>
      <c r="L22" s="39">
        <f t="shared" ref="L22" si="8">D22+L$19</f>
        <v>0.65</v>
      </c>
      <c r="M22" s="39">
        <f t="shared" ref="M22" si="9">E22+M$19</f>
        <v>0.5</v>
      </c>
      <c r="N22" s="261">
        <f t="shared" ref="N22" si="10">L22*M22</f>
        <v>0.32500000000000001</v>
      </c>
      <c r="O22" s="259">
        <f t="shared" ref="O22" si="11">N22*K22</f>
        <v>0.32500000000000001</v>
      </c>
      <c r="P22" s="252">
        <f t="shared" ref="P22" si="12">P$20*N22</f>
        <v>21558.415559772297</v>
      </c>
      <c r="Q22" s="258">
        <f t="shared" ref="Q22" si="13">P22+Q$20</f>
        <v>24558.415559772297</v>
      </c>
      <c r="R22" s="309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1" t="s">
        <v>29</v>
      </c>
      <c r="H24" s="312">
        <f>SUM(H21:H22)</f>
        <v>174788.99999999997</v>
      </c>
      <c r="I24" s="265"/>
      <c r="J24" s="47"/>
      <c r="K24" s="47"/>
      <c r="L24" s="39">
        <f>SUM(L21:L23)</f>
        <v>2.3000000000000003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33209.909999999996</v>
      </c>
      <c r="I25" s="265"/>
      <c r="J25" s="47"/>
      <c r="K25" s="47"/>
      <c r="L25" s="39"/>
      <c r="M25" s="12"/>
      <c r="N25" s="12"/>
      <c r="O25" s="253">
        <f>SUM(O21:O22)</f>
        <v>2.6350000000000002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207998.90999999997</v>
      </c>
      <c r="I26" s="265"/>
      <c r="J26" s="47"/>
      <c r="K26" s="47"/>
      <c r="L26" s="39"/>
      <c r="M26" s="12"/>
      <c r="N26" s="12"/>
      <c r="O26" s="253">
        <f>O25</f>
        <v>2.6350000000000002</v>
      </c>
      <c r="P26" s="14"/>
      <c r="Q26" s="12"/>
      <c r="R26" s="239">
        <f>SUM(R21:R25)</f>
        <v>0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0.52700000000000002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3.1620000000000004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7" t="s">
        <v>22</v>
      </c>
      <c r="U29" s="314" t="s">
        <v>153</v>
      </c>
      <c r="V29" s="318">
        <v>44971</v>
      </c>
      <c r="W29" s="319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3.1620000000000004</v>
      </c>
      <c r="M30" s="12">
        <v>2500</v>
      </c>
      <c r="N30" s="12">
        <f t="shared" ref="N30:N35" si="14">L30*M30</f>
        <v>7905.0000000000009</v>
      </c>
      <c r="O30" s="14" t="s">
        <v>22</v>
      </c>
      <c r="P30" s="14"/>
      <c r="Q30" s="14"/>
      <c r="R30" s="241"/>
      <c r="S30" s="14"/>
      <c r="T30" s="317" t="s">
        <v>154</v>
      </c>
      <c r="U30" s="314">
        <v>3625</v>
      </c>
      <c r="V30" s="59" t="s">
        <v>155</v>
      </c>
      <c r="W30" s="319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0.9</v>
      </c>
      <c r="M31" s="12">
        <v>25000</v>
      </c>
      <c r="N31" s="12">
        <f t="shared" si="14"/>
        <v>22500</v>
      </c>
      <c r="O31" s="39" t="s">
        <v>32</v>
      </c>
      <c r="P31" s="42"/>
      <c r="Q31" s="14"/>
      <c r="R31" s="240"/>
      <c r="S31" s="14"/>
      <c r="T31" s="317"/>
      <c r="U31" s="59">
        <v>906.25</v>
      </c>
      <c r="V31" s="59" t="s">
        <v>156</v>
      </c>
      <c r="W31" s="319"/>
    </row>
    <row r="32" spans="2:24" s="230" customFormat="1" ht="17.399999999999999" x14ac:dyDescent="0.35">
      <c r="I32" s="262"/>
      <c r="J32" s="232"/>
      <c r="K32" s="250"/>
      <c r="L32" s="14"/>
      <c r="M32" s="250">
        <v>46500</v>
      </c>
      <c r="N32" s="12">
        <f t="shared" si="14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9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2</v>
      </c>
      <c r="M33" s="250">
        <v>33350</v>
      </c>
      <c r="N33" s="12">
        <f t="shared" si="14"/>
        <v>66700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9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4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>
        <v>0</v>
      </c>
      <c r="M35" s="12">
        <v>1500</v>
      </c>
      <c r="N35" s="12">
        <f t="shared" si="14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97105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N36*1.8</f>
        <v>174789</v>
      </c>
      <c r="O37" s="14" t="s">
        <v>141</v>
      </c>
      <c r="P37" s="14"/>
      <c r="Q37" s="40">
        <f>O28/Q36</f>
        <v>0.85256686798964632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48209</v>
      </c>
      <c r="K38" s="250"/>
      <c r="L38" s="14"/>
      <c r="M38" s="12"/>
      <c r="N38" s="12">
        <f>N37/O26</f>
        <v>66333.586337760906</v>
      </c>
      <c r="O38" s="45" t="s">
        <v>25</v>
      </c>
      <c r="P38" s="14"/>
      <c r="Q38" s="14"/>
      <c r="R38"/>
      <c r="S38" s="238"/>
      <c r="T38" s="59" t="s">
        <v>159</v>
      </c>
      <c r="U38" s="314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40511.764705882357</v>
      </c>
      <c r="K39" s="250"/>
      <c r="L39" s="13"/>
      <c r="M39" s="14"/>
      <c r="N39" s="17">
        <f>N37/N36</f>
        <v>1.8</v>
      </c>
      <c r="O39" s="15"/>
      <c r="P39"/>
      <c r="Q39"/>
      <c r="R39"/>
      <c r="S39" s="238"/>
      <c r="T39" s="59" t="s">
        <v>161</v>
      </c>
      <c r="U39" s="315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6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45315</v>
      </c>
    </row>
    <row r="6" spans="2:31" ht="16.2" thickBot="1" x14ac:dyDescent="0.35">
      <c r="B6" s="140" t="s">
        <v>2</v>
      </c>
      <c r="C6" s="139" t="str">
        <f>'2229'!C10</f>
        <v>TANIA ZUÑIGA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10591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-12565.750033454102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174788.99999999997</v>
      </c>
      <c r="E11" s="132">
        <f>D11*0.19</f>
        <v>33209.909999999996</v>
      </c>
      <c r="F11" s="131">
        <f>E11+D11</f>
        <v>207998.90999999997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93424.249966545904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60239.090787439614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75424.249966545904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114549.90921256036</v>
      </c>
      <c r="E13" s="221">
        <f>(D11/D12)-1</f>
        <v>1.9015876188563761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66424.249966545904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27424.249966545896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99394.499799275363</v>
      </c>
      <c r="F15" s="216">
        <f>E15-D12</f>
        <v>39155.409011835749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27424.249966545896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67424.249966545904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22500</v>
      </c>
      <c r="E19" s="123">
        <f>D19*0.19</f>
        <v>4275</v>
      </c>
      <c r="F19" s="120">
        <f>SUM(D19:E19)</f>
        <v>26775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7905.0000000000009</v>
      </c>
      <c r="E20" s="121">
        <f>D20*0.19</f>
        <v>1501.9500000000003</v>
      </c>
      <c r="F20" s="120">
        <f>SUM(D20:E20)</f>
        <v>9406.9500000000007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30405</v>
      </c>
      <c r="E21" s="116">
        <f>SUM(E18:E20)</f>
        <v>5776.9500000000007</v>
      </c>
      <c r="F21" s="115">
        <f>SUM(F18:F20)</f>
        <v>36181.949999999997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27432.959999999995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174788.99999999997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30405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114549.90921256036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114549.90921256036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2024-01-24T13:29:20Z</cp:lastPrinted>
  <dcterms:created xsi:type="dcterms:W3CDTF">2013-03-18T13:35:42Z</dcterms:created>
  <dcterms:modified xsi:type="dcterms:W3CDTF">2024-01-24T18:48:34Z</dcterms:modified>
</cp:coreProperties>
</file>