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D3BA258E-2E08-4AA7-BA99-9CC2EE4A1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22" i="1"/>
  <c r="L22" i="1"/>
  <c r="K22" i="1"/>
  <c r="H22" i="1"/>
  <c r="N22" i="1" l="1"/>
  <c r="O22" i="1" s="1"/>
  <c r="H21" i="1"/>
  <c r="K21" i="1"/>
  <c r="J39" i="1"/>
  <c r="L21" i="1"/>
  <c r="L24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P21" i="1"/>
  <c r="F15" i="3"/>
  <c r="Q21" i="1" l="1"/>
  <c r="H24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<sst xmlns="http://schemas.openxmlformats.org/spreadsheetml/2006/main" count="231" uniqueCount="173">
  <si>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</si>
  <si>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</si>
  <si>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</si>
  <si>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</si>
  <si>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</si>
  <si>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</si>
  <si>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</si>
  <si>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</si>
  <si>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</si>
  <si>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</si>
  <si>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</si>
  <si>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</si>
  <si>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</si>
  <si>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</si>
  <si>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</si>
  <si>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</si>
  <si>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</si>
  <si>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</si>
  <si>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</si>
  <si>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</si>
  <si>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</si>
  <si>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</si>
  <si>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</si>
  <si>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</si>
  <si>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</si>
  <si>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</si>
  <si>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</si>
  <si>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</si>
  <si>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</si>
  <si>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</si>
  <si>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</si>
  <si>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</si>
  <si>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</si>
  <si>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</si>
  <si>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</si>
  <si>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</si>
  <si>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</si>
  <si>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</si>
  <si>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</si>
  <si>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</si>
  <si>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</si>
  <si>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</si>
  <si>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</si>
  <si>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</si>
  <si>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</si>
  <si>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</si>
  <si>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</si>
  <si>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</si>
  <si>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</si>
  <si>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</si>
  <si>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</si>
  <si>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</si>
  <si>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</si>
  <si>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</si>
  <si>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</si>
  <si>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</si>
  <si>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</si>
  <si>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</si>
  <si>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</si>
  <si>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</si>
  <si>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</si>
  <si>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</si>
  <si>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</si>
  <si>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</si>
  <si>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</si>
  <si>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</si>
  <si>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</si>
  <si>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</si>
  <si>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</si>
  <si>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</si>
  <si>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</si>
  <si>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</si>
  <si>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</si>
  <si>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</si>
  <si>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</si>
  <si>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</si>
  <si>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</si>
  <si>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</si>
  <si>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</si>
  <si>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</si>
  <si>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</si>
  <si>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</si>
  <si>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</si>
  <si>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</si>
  <si>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</si>
  <si>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</si>
  <si>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</si>
  <si>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</si>
  <si>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</si>
  <si>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</si>
  <si>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</si>
  <si>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</si>
  <si>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</si>
  <si>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</si>
  <si>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</si>
  <si>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</si>
  <si>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</si>
  <si>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</si>
  <si>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</si>
  <si>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</si>
  <si>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</si>
  <si>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</si>
  <si>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</si>
  <si>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</si>
  <si>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</si>
  <si>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</si>
  <si>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</si>
  <si>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</si>
  <si>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</si>
  <si>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</si>
  <si>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</si>
  <si>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</si>
  <si>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</si>
  <si>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</si>
  <si>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</si>
  <si>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</si>
  <si>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</si>
  <si>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</si>
  <si>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</si>
  <si>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</si>
  <si>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</si>
  <si>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</si>
  <si>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</si>
  <si>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</si>
  <si>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</si>
  <si>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</si>
  <si>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</si>
  <si>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</si>
  <si>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</si>
  <si>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</si>
  <si>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</si>
  <si>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</si>
  <si>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</si>
  <si>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</si>
  <si>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</si>
  <si>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</si>
  <si>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</si>
  <si>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</si>
  <si>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</si>
  <si>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</si>
  <si>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</si>
  <si>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</si>
  <si>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</si>
  <si>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</si>
  <si>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</si>
  <si>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</si>
  <si>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</si>
  <si>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</si>
  <si>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</si>
  <si>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</si>
  <si>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</si>
  <si>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</si>
  <si>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</si>
  <si>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</si>
  <si>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</si>
  <si>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</si>
  <si>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</si>
  <si>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</si>
  <si>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</si>
  <si>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</si>
  <si>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</si>
  <si>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</si>
  <si>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</si>
  <si>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</si>
  <si>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</si>
  <si>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</si>
  <si>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5 DIAS HABILES</t>
  </si>
  <si>
    <t>DURACION COTIZACION: 5 DIAS                            FERNANDO DONOSO</t>
  </si>
  <si>
    <t>SANTIAGO</t>
  </si>
  <si>
    <t>+569 8706 3966</t>
  </si>
  <si>
    <t>BLANCO OPACO</t>
  </si>
  <si>
    <t>MANUEL BARRERA</t>
  </si>
  <si>
    <t>CUBIERTA RECTA SIN REGRUESO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</si>
</sst>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ENCHAPAS POR SUS CUATRO CANTO CON TAPACANTO DE PVC 0,4MM COLOR BLANCO, PUNTAS REDONDEADAS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15MM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D16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171</v>
      </c>
      <c r="D10" s="243"/>
      <c r="E10" s="243"/>
      <c r="F10" s="244" t="s">
        <v>0</v>
      </c>
      <c r="G10" s="277">
        <v>45301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29" t="s">
        <v>167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52127.584269662926</v>
      </c>
      <c r="Q20" s="258">
        <v>5000</v>
      </c>
      <c r="R20" s="38"/>
      <c r="S20" s="14" t="s">
        <v>129</v>
      </c>
      <c r="T20" s="9"/>
      <c r="W20" s="4"/>
    </row>
    <row r="21" spans="2:24" ht="18" thickBot="1" x14ac:dyDescent="0.35">
      <c r="B21" s="324">
        <v>15</v>
      </c>
      <c r="C21" s="325" t="s">
        <v>172</v>
      </c>
      <c r="D21" s="326">
        <v>2</v>
      </c>
      <c r="E21" s="326">
        <v>0.8</v>
      </c>
      <c r="F21" s="325" t="s">
        <v>170</v>
      </c>
      <c r="G21" s="327">
        <v>90489</v>
      </c>
      <c r="H21" s="328">
        <f>G21*B21</f>
        <v>1357335</v>
      </c>
      <c r="I21" s="265"/>
      <c r="J21" s="47"/>
      <c r="K21" s="47">
        <f>B21</f>
        <v>15</v>
      </c>
      <c r="L21" s="39">
        <f t="shared" ref="L21" si="1">D21+L$19</f>
        <v>2.0499999999999998</v>
      </c>
      <c r="M21" s="39">
        <f t="shared" ref="M21" si="2">E21+M$19</f>
        <v>0.8</v>
      </c>
      <c r="N21" s="261">
        <f t="shared" ref="N21" si="3">L21*M21</f>
        <v>1.64</v>
      </c>
      <c r="O21" s="259">
        <f t="shared" ref="O21" si="4">N21*K21</f>
        <v>24.599999999999998</v>
      </c>
      <c r="P21" s="252">
        <f t="shared" ref="P21" si="5">P$20*N21</f>
        <v>85489.238202247187</v>
      </c>
      <c r="Q21" s="258">
        <f t="shared" ref="Q21" si="6">P21+Q$20</f>
        <v>90489.238202247187</v>
      </c>
      <c r="R21" s="309"/>
      <c r="S21" s="14"/>
      <c r="T21" s="9"/>
      <c r="W21" s="4"/>
    </row>
    <row r="22" spans="2:24" ht="17.399999999999999" x14ac:dyDescent="0.3">
      <c r="B22" s="324">
        <v>6</v>
      </c>
      <c r="C22" s="325" t="s">
        <v>172</v>
      </c>
      <c r="D22" s="326">
        <v>1.5</v>
      </c>
      <c r="E22" s="326">
        <v>0.8</v>
      </c>
      <c r="F22" s="325" t="s">
        <v>170</v>
      </c>
      <c r="G22" s="327">
        <v>69638</v>
      </c>
      <c r="H22" s="328">
        <f>G22*B22</f>
        <v>417828</v>
      </c>
      <c r="I22" s="265"/>
      <c r="J22" s="47"/>
      <c r="K22" s="47">
        <f t="shared" ref="K22" si="7">B22</f>
        <v>6</v>
      </c>
      <c r="L22" s="39">
        <f t="shared" ref="L22" si="8">D22+L$19</f>
        <v>1.55</v>
      </c>
      <c r="M22" s="39">
        <f t="shared" ref="M22" si="9">E22+M$19</f>
        <v>0.8</v>
      </c>
      <c r="N22" s="261">
        <f t="shared" ref="N22" si="10">L22*M22</f>
        <v>1.2400000000000002</v>
      </c>
      <c r="O22" s="259">
        <f t="shared" ref="O22" si="11">N22*K22</f>
        <v>7.4400000000000013</v>
      </c>
      <c r="P22" s="252">
        <f t="shared" ref="P22" si="12">P$20*N22</f>
        <v>64638.204494382037</v>
      </c>
      <c r="Q22" s="258">
        <f t="shared" ref="Q22" si="13">P22+Q$20</f>
        <v>69638.204494382037</v>
      </c>
      <c r="R22" s="309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SUM(H21:H23)</f>
        <v>1775163</v>
      </c>
      <c r="I24" s="265"/>
      <c r="J24" s="47"/>
      <c r="K24" s="47"/>
      <c r="L24" s="39">
        <f>SUM(L21:L23)</f>
        <v>3.5999999999999996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337280.97000000003</v>
      </c>
      <c r="I25" s="265"/>
      <c r="J25" s="47"/>
      <c r="K25" s="47"/>
      <c r="L25" s="39"/>
      <c r="M25" s="12"/>
      <c r="N25" s="12"/>
      <c r="O25" s="253">
        <f>SUM(O21:O22)</f>
        <v>32.04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2112443.9700000002</v>
      </c>
      <c r="I26" s="265"/>
      <c r="J26" s="47"/>
      <c r="K26" s="47"/>
      <c r="L26" s="39"/>
      <c r="M26" s="12"/>
      <c r="N26" s="12"/>
      <c r="O26" s="253">
        <f>O25</f>
        <v>32.04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6.4080000000000004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38.448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38.448</v>
      </c>
      <c r="M30" s="12">
        <v>3500</v>
      </c>
      <c r="N30" s="12">
        <f t="shared" ref="N30:N35" si="14">L30*M30</f>
        <v>134568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10.5</v>
      </c>
      <c r="M31" s="12">
        <v>23500</v>
      </c>
      <c r="N31" s="12">
        <f t="shared" si="14"/>
        <v>246750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35000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18</v>
      </c>
      <c r="M33" s="250">
        <v>23000</v>
      </c>
      <c r="N33" s="12">
        <f t="shared" si="14"/>
        <v>414000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4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795318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N36*2.1</f>
        <v>1670167.8</v>
      </c>
      <c r="O37" s="14" t="s">
        <v>141</v>
      </c>
      <c r="P37" s="14"/>
      <c r="Q37" s="40">
        <f>O28/Q36</f>
        <v>10.366695427092321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52127.584269662926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45301</v>
      </c>
    </row>
    <row r="6" spans="2:31" ht="16.2" thickBot="1" x14ac:dyDescent="0.35">
      <c r="B6" s="140" t="s">
        <v>2</v>
      </c>
      <c r="C6" s="139" t="str">
        <f>'2229'!C10</f>
        <v>MANUEL BARRERA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-182793.67503345411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1775163</v>
      </c>
      <c r="E11" s="132">
        <f>D11*0.19</f>
        <v>337280.97000000003</v>
      </c>
      <c r="F11" s="131">
        <f>E11+D11</f>
        <v>2112443.9700000002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-76803.675033454114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411152.09078743961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-94803.675033454114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1364010.9092125604</v>
      </c>
      <c r="E13" s="221">
        <f>(D11/D12)-1</f>
        <v>3.3175336810283582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-103803.67503345411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-142803.67503345411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678400.94979927526</v>
      </c>
      <c r="F15" s="216">
        <f>E15-D12</f>
        <v>267248.85901183565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-142803.67503345411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-102803.67503345411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246750</v>
      </c>
      <c r="E19" s="123">
        <f>D19*0.19</f>
        <v>46882.5</v>
      </c>
      <c r="F19" s="120">
        <f>SUM(D19:E19)</f>
        <v>293632.5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134568</v>
      </c>
      <c r="E20" s="121">
        <f>D20*0.19</f>
        <v>25567.920000000002</v>
      </c>
      <c r="F20" s="120">
        <f>SUM(D20:E20)</f>
        <v>160135.92000000001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381318</v>
      </c>
      <c r="E21" s="116">
        <f>SUM(E18:E20)</f>
        <v>72450.42</v>
      </c>
      <c r="F21" s="115">
        <f>SUM(F18:F20)</f>
        <v>453768.42000000004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264830.55000000005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1775163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381318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1364010.9092125604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1364010.9092125604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2024-01-10T18:45:53Z</cp:lastPrinted>
  <dcterms:created xsi:type="dcterms:W3CDTF">2013-03-18T13:35:42Z</dcterms:created>
  <dcterms:modified xsi:type="dcterms:W3CDTF">2024-01-10T18:54:14Z</dcterms:modified>
</cp:coreProperties>
</file>