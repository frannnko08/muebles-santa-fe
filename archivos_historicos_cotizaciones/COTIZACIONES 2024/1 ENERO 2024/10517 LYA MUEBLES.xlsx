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992CFCB7-8373-4A66-8456-BEC73073A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N37" i="1"/>
  <c r="H21" i="1"/>
  <c r="K21" i="1" l="1"/>
  <c r="J40" i="1" l="1"/>
  <c r="L21" i="1"/>
  <c r="N31" i="1"/>
  <c r="M21" i="1"/>
  <c r="R21" i="1" l="1"/>
  <c r="N21" i="1"/>
  <c r="O21" i="1" s="1"/>
  <c r="O25" i="1" s="1"/>
  <c r="U33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4" i="1" s="1"/>
  <c r="R26" i="1"/>
  <c r="H26" i="1" l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<sst xmlns="http://schemas.openxmlformats.org/spreadsheetml/2006/main" count="219" uniqueCount="168">
  <si>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</si>
  <si>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</si>
  <si>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</si>
  <si>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</si>
  <si>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</si>
  <si>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</si>
  <si>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</si>
  <si>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</si>
  <si>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</si>
  <si>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</si>
  <si>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</si>
  <si>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</si>
  <si>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</si>
  <si>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</si>
  <si>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</si>
  <si>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</si>
  <si>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</si>
  <si>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</si>
  <si>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</si>
  <si>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</si>
  <si>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</si>
  <si>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</si>
  <si>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</si>
  <si>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</si>
  <si>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</si>
  <si>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</si>
  <si>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</si>
  <si>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</si>
  <si>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</si>
  <si>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</si>
  <si>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</si>
  <si>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</si>
  <si>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</si>
  <si>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</si>
  <si>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</si>
  <si>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</si>
  <si>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</si>
  <si>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</si>
  <si>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</si>
  <si>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</si>
  <si>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</si>
  <si>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</si>
  <si>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</si>
  <si>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</si>
  <si>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</si>
  <si>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</si>
  <si>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</si>
  <si>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</si>
  <si>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</si>
  <si>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</si>
  <si>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</si>
  <si>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</si>
  <si>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</si>
  <si>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</si>
  <si>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</si>
  <si>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</si>
  <si>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</si>
  <si>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</si>
  <si>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</si>
  <si>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</si>
  <si>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</si>
  <si>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</si>
  <si>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</si>
  <si>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</si>
  <si>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</si>
  <si>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</si>
  <si>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</si>
  <si>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</si>
  <si>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</si>
  <si>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</si>
  <si>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</si>
  <si>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</si>
  <si>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</si>
  <si>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</si>
  <si>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</si>
  <si>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</si>
  <si>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</si>
  <si>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</si>
  <si>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</si>
  <si>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</si>
  <si>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</si>
  <si>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</si>
  <si>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</si>
  <si>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</si>
  <si>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</si>
  <si>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</si>
  <si>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</si>
  <si>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</si>
  <si>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</si>
  <si>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</si>
  <si>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</si>
  <si>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</si>
  <si>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</si>
  <si>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</si>
  <si>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</si>
  <si>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</si>
  <si>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</si>
  <si>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</si>
  <si>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</si>
  <si>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</si>
  <si>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</si>
  <si>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</si>
  <si>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</si>
  <si>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</si>
  <si>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</si>
  <si>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</si>
  <si>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</si>
  <si>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</si>
  <si>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</si>
  <si>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</si>
  <si>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</si>
  <si>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</si>
  <si>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</si>
  <si>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</si>
  <si>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</si>
  <si>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</si>
  <si>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</si>
  <si>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</si>
  <si>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</si>
  <si>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</si>
  <si>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</si>
  <si>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</si>
  <si>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</si>
  <si>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</si>
  <si>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</si>
  <si>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</si>
  <si>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</si>
  <si>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</si>
  <si>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</si>
  <si>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</si>
  <si>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</si>
  <si>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</si>
  <si>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</si>
  <si>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</si>
  <si>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</si>
  <si>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</si>
  <si>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</si>
  <si>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</si>
  <si>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</si>
  <si>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</si>
  <si>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</si>
  <si>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</si>
  <si>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</si>
  <si>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</si>
  <si>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</si>
  <si>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</si>
  <si>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</si>
  <si>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</si>
  <si>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</si>
  <si>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</si>
  <si>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</si>
  <si>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</si>
  <si>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</si>
  <si>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 SALDO C/E</t>
  </si>
  <si>
    <t>ZACALO</t>
  </si>
  <si>
    <t>MDF18MM</t>
  </si>
  <si>
    <t>O</t>
  </si>
  <si>
    <t xml:space="preserve">NO </t>
  </si>
  <si>
    <t xml:space="preserve">IVA </t>
  </si>
  <si>
    <t>SANTIAGO</t>
  </si>
  <si>
    <t>DURACION COTIZACION: 5 DIAS                           FERNANDO DONOSO</t>
  </si>
  <si>
    <t>LYA MUEBLES</t>
  </si>
  <si>
    <t>ANDREA NUÑEZ</t>
  </si>
  <si>
    <r>
      <t> +56</t>
    </r>
    <r>
      <rPr>
        <i/>
        <sz val="11"/>
        <color rgb="FF1F497D"/>
        <rFont val="Arial"/>
        <family val="2"/>
      </rPr>
      <t xml:space="preserve">  </t>
    </r>
    <r>
      <rPr>
        <i/>
        <sz val="11"/>
        <color theme="1"/>
        <rFont val="Arial"/>
        <family val="2"/>
      </rPr>
      <t>9 6191 4275</t>
    </r>
  </si>
  <si>
    <t>10 DIAS HABILES</t>
  </si>
  <si>
    <t>NO</t>
  </si>
  <si>
    <t>CUBIERTAS SIN RESPALDO RADIO 2MM</t>
  </si>
  <si>
    <t>FOREST 2252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</si>
</sst>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i/>
      <sz val="12"/>
      <color theme="1"/>
      <name val="Calibri"/>
      <family val="2"/>
      <scheme val="minor"/>
    </font>
    <font>
      <i/>
      <sz val="11"/>
      <color theme="1"/>
      <name val="Arial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3" fillId="19" borderId="3" xfId="0" applyFont="1" applyFill="1" applyBorder="1" applyAlignment="1">
      <alignment horizontal="center"/>
    </xf>
    <xf numFmtId="42" fontId="22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36" fillId="0" borderId="0" xfId="0" applyFont="1"/>
    <xf numFmtId="0" fontId="21" fillId="19" borderId="57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0" fontId="21" fillId="19" borderId="32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6" xfId="0" applyBorder="1"/>
    <xf numFmtId="0" fontId="0" fillId="0" borderId="53" xfId="0" applyBorder="1"/>
    <xf numFmtId="166" fontId="32" fillId="0" borderId="36" xfId="0" applyNumberFormat="1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42" fontId="33" fillId="0" borderId="36" xfId="8" applyFont="1" applyFill="1" applyBorder="1" applyAlignment="1">
      <alignment horizontal="center" vertical="center"/>
    </xf>
    <xf numFmtId="42" fontId="33" fillId="0" borderId="27" xfId="8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/>
    </xf>
    <xf numFmtId="42" fontId="33" fillId="13" borderId="1" xfId="8" applyFont="1" applyFill="1" applyBorder="1"/>
    <xf numFmtId="0" fontId="33" fillId="0" borderId="1" xfId="0" applyFont="1" applyBorder="1" applyAlignment="1">
      <alignment horizontal="center"/>
    </xf>
    <xf numFmtId="42" fontId="33" fillId="0" borderId="1" xfId="0" applyNumberFormat="1" applyFont="1" applyBorder="1"/>
    <xf numFmtId="0" fontId="9" fillId="0" borderId="0" xfId="3" quotePrefix="1"/>
    <xf numFmtId="0" fontId="37" fillId="0" borderId="0" xfId="0" applyFont="1"/>
    <xf numFmtId="0" fontId="38" fillId="0" borderId="0" xfId="0" applyFont="1"/>
    <xf numFmtId="1" fontId="32" fillId="0" borderId="0" xfId="0" applyNumberFormat="1" applyFont="1" applyAlignment="1">
      <alignment horizontal="center" vertical="center"/>
    </xf>
    <xf numFmtId="42" fontId="33" fillId="0" borderId="0" xfId="8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2066925</xdr:colOff>
      <xdr:row>28</xdr:row>
      <xdr:rowOff>19050</xdr:rowOff>
    </xdr:from>
    <xdr:to>
      <xdr:col>7</xdr:col>
      <xdr:colOff>1024815</xdr:colOff>
      <xdr:row>31</xdr:row>
      <xdr:rowOff>19051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77075" y="7810500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28</xdr:row>
      <xdr:rowOff>9525</xdr:rowOff>
    </xdr:from>
    <xdr:to>
      <xdr:col>5</xdr:col>
      <xdr:colOff>1790700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66725" y="5591175"/>
          <a:ext cx="6696075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13336</xdr:colOff>
      <xdr:row>23</xdr:row>
      <xdr:rowOff>11429</xdr:rowOff>
    </xdr:from>
    <xdr:to>
      <xdr:col>5</xdr:col>
      <xdr:colOff>1783080</xdr:colOff>
      <xdr:row>27</xdr:row>
      <xdr:rowOff>1904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3386" y="4716779"/>
          <a:ext cx="6379844" cy="9048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CUBIERTAS SE ENTREGAN SOBRE MEDIDA EN EL</a:t>
          </a:r>
          <a:r>
            <a:rPr lang="es-CL" sz="1400" b="1" baseline="0"/>
            <a:t> LARGO</a:t>
          </a:r>
          <a:br>
            <a:rPr lang="es-CL" sz="1400" b="1" baseline="0"/>
          </a:b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822718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2" zoomScaleNormal="100" workbookViewId="0">
      <selection activeCell="H26" sqref="H26"/>
    </sheetView>
  </sheetViews>
  <sheetFormatPr baseColWidth="10" defaultRowHeight="14.4" x14ac:dyDescent="0.3"/>
  <cols>
    <col min="1" max="1" width="6" customWidth="1"/>
    <col min="2" max="2" width="10.5546875" customWidth="1"/>
    <col min="3" max="3" width="43.44140625" customWidth="1"/>
    <col min="4" max="4" width="11.109375" customWidth="1"/>
    <col min="5" max="5" width="10.5546875" customWidth="1"/>
    <col min="6" max="6" width="32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02">
        <v>10517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45324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8"/>
      <c r="F11" t="s">
        <v>125</v>
      </c>
      <c r="G11" s="288" t="s">
        <v>164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05"/>
      <c r="D12" s="247"/>
      <c r="E12" s="247"/>
      <c r="F12" s="247" t="s">
        <v>129</v>
      </c>
      <c r="G12" s="278" t="s">
        <v>157</v>
      </c>
      <c r="H12" s="248"/>
      <c r="P12" s="19"/>
      <c r="Q12" s="25"/>
      <c r="R12" s="19"/>
    </row>
    <row r="13" spans="2:23" ht="15.6" x14ac:dyDescent="0.3">
      <c r="B13" s="246" t="s">
        <v>147</v>
      </c>
      <c r="C13" s="324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7" t="s">
        <v>140</v>
      </c>
      <c r="C14" s="323"/>
      <c r="F14" s="29" t="s">
        <v>137</v>
      </c>
      <c r="G14" s="290" t="s">
        <v>165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163</v>
      </c>
      <c r="D15" s="294"/>
      <c r="E15" s="247"/>
      <c r="F15" s="247" t="s">
        <v>136</v>
      </c>
      <c r="G15" s="295" t="s">
        <v>165</v>
      </c>
      <c r="H15" s="248"/>
    </row>
    <row r="16" spans="2:23" ht="16.8" x14ac:dyDescent="0.4">
      <c r="B16" s="291" t="s">
        <v>3</v>
      </c>
      <c r="C16" s="305"/>
      <c r="F16" s="292" t="s">
        <v>131</v>
      </c>
      <c r="G16" s="293" t="s">
        <v>153</v>
      </c>
      <c r="H16" s="289"/>
    </row>
    <row r="17" spans="2:24" ht="15" thickBot="1" x14ac:dyDescent="0.35">
      <c r="B17" s="296" t="s">
        <v>13</v>
      </c>
      <c r="C17" s="297" t="s">
        <v>159</v>
      </c>
      <c r="D17" s="298"/>
      <c r="E17" s="299"/>
      <c r="F17" s="328" t="s">
        <v>160</v>
      </c>
      <c r="G17" s="328"/>
      <c r="H17" s="329"/>
      <c r="I17" s="263"/>
      <c r="S17" s="6"/>
      <c r="T17" s="6"/>
    </row>
    <row r="18" spans="2:24" ht="15" thickBot="1" x14ac:dyDescent="0.35">
      <c r="B18" s="312"/>
      <c r="C18" s="313"/>
      <c r="D18" s="313"/>
      <c r="E18" s="313"/>
      <c r="F18" s="313"/>
      <c r="G18" s="313"/>
      <c r="H18" s="314"/>
      <c r="I18" s="47"/>
      <c r="J18" s="5"/>
      <c r="U18" s="9"/>
      <c r="W18" s="6"/>
      <c r="X18" s="6"/>
    </row>
    <row r="19" spans="2:24" ht="15" thickBot="1" x14ac:dyDescent="0.35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 t="shared" ref="M20:M21" si="0">E20</f>
        <v>ANCHO</v>
      </c>
      <c r="N20" s="261" t="s">
        <v>134</v>
      </c>
      <c r="O20" s="259" t="s">
        <v>17</v>
      </c>
      <c r="P20" s="252">
        <f>N38</f>
        <v>128452.7450980392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6">
        <v>2</v>
      </c>
      <c r="C21" s="315" t="s">
        <v>166</v>
      </c>
      <c r="D21" s="315">
        <v>1.65</v>
      </c>
      <c r="E21" s="315">
        <v>0.6</v>
      </c>
      <c r="F21" s="315" t="s">
        <v>167</v>
      </c>
      <c r="G21" s="317">
        <v>134022</v>
      </c>
      <c r="H21" s="318">
        <f>G21*B21</f>
        <v>268044</v>
      </c>
      <c r="I21" s="265"/>
      <c r="J21" s="47"/>
      <c r="K21" s="47">
        <f>B21</f>
        <v>2</v>
      </c>
      <c r="L21" s="39">
        <f t="shared" ref="L21" si="1">D21+L$19</f>
        <v>1.7</v>
      </c>
      <c r="M21" s="39">
        <f t="shared" si="0"/>
        <v>0.6</v>
      </c>
      <c r="N21" s="261">
        <f t="shared" ref="N21" si="2">L21*M21</f>
        <v>1.02</v>
      </c>
      <c r="O21" s="259">
        <f t="shared" ref="O21" si="3">N21*K21</f>
        <v>2.04</v>
      </c>
      <c r="P21" s="252">
        <f t="shared" ref="P21" si="4">P$20*N21</f>
        <v>131021.79999999999</v>
      </c>
      <c r="Q21" s="258">
        <f t="shared" ref="Q21" si="5">P21+Q$20</f>
        <v>134021.79999999999</v>
      </c>
      <c r="R21" s="304">
        <f t="shared" ref="R21" si="6">K21*L21</f>
        <v>3.4</v>
      </c>
      <c r="S21" s="14"/>
      <c r="T21" s="9"/>
      <c r="W21" s="4"/>
    </row>
    <row r="22" spans="2:24" ht="17.399999999999999" x14ac:dyDescent="0.3">
      <c r="B22" s="326"/>
      <c r="C22" s="286"/>
      <c r="D22" s="286"/>
      <c r="E22" s="286"/>
      <c r="F22" s="286"/>
      <c r="G22" s="327"/>
      <c r="H22" s="327"/>
      <c r="I22" s="265"/>
      <c r="J22" s="47"/>
      <c r="K22" s="47"/>
      <c r="L22" s="39"/>
      <c r="M22" s="39"/>
      <c r="N22" s="261"/>
      <c r="O22" s="259"/>
      <c r="P22" s="252"/>
      <c r="Q22" s="258"/>
      <c r="R22" s="304"/>
      <c r="S22" s="14"/>
      <c r="T22" s="9"/>
      <c r="W22" s="4"/>
    </row>
    <row r="23" spans="2:24" ht="17.399999999999999" x14ac:dyDescent="0.3">
      <c r="B23" s="285"/>
      <c r="C23" s="285"/>
      <c r="D23" s="286"/>
      <c r="E23" s="286"/>
      <c r="F23" s="285"/>
      <c r="G23" s="265"/>
      <c r="H23" s="232"/>
      <c r="I23" s="232"/>
      <c r="J23" s="47"/>
      <c r="K23" s="47"/>
      <c r="L23" s="46"/>
      <c r="M23" s="39"/>
      <c r="N23" s="261"/>
      <c r="O23" s="259"/>
      <c r="P23" s="252"/>
      <c r="Q23" s="258"/>
      <c r="R23" s="304"/>
      <c r="S23" s="14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321" t="s">
        <v>30</v>
      </c>
      <c r="H24" s="322">
        <f>SUM(H21:H23)</f>
        <v>268044</v>
      </c>
      <c r="I24" s="265"/>
      <c r="J24" s="47"/>
      <c r="K24" s="47"/>
      <c r="M24" s="39"/>
      <c r="N24" s="261"/>
      <c r="O24" s="259"/>
      <c r="P24" s="252"/>
      <c r="Q24" s="258"/>
      <c r="R24" s="304"/>
      <c r="S24" s="14"/>
      <c r="T24" s="9"/>
      <c r="W24" s="4"/>
    </row>
    <row r="25" spans="2:24" ht="20.100000000000001" customHeight="1" x14ac:dyDescent="0.3">
      <c r="B25" s="280"/>
      <c r="C25" s="282"/>
      <c r="D25" s="283"/>
      <c r="E25" s="283"/>
      <c r="F25" s="284"/>
      <c r="G25" s="321" t="s">
        <v>158</v>
      </c>
      <c r="H25" s="322">
        <f>H24*19%</f>
        <v>50928.36</v>
      </c>
      <c r="I25" s="265"/>
      <c r="J25" s="47"/>
      <c r="K25" s="47"/>
      <c r="L25" s="39"/>
      <c r="M25" s="12"/>
      <c r="N25" s="12"/>
      <c r="O25" s="253">
        <f>SUM(O21:O21)</f>
        <v>2.04</v>
      </c>
      <c r="P25" s="14"/>
      <c r="Q25" s="12"/>
      <c r="R25" s="238"/>
      <c r="S25" s="14"/>
      <c r="T25" s="9"/>
      <c r="W25" s="4"/>
    </row>
    <row r="26" spans="2:24" ht="17.399999999999999" x14ac:dyDescent="0.3">
      <c r="B26" s="276"/>
      <c r="C26" s="281"/>
      <c r="D26" s="272"/>
      <c r="E26" s="272"/>
      <c r="F26" s="273"/>
      <c r="G26" s="319" t="s">
        <v>6</v>
      </c>
      <c r="H26" s="320">
        <f>H24+H25</f>
        <v>318972.36</v>
      </c>
      <c r="I26" s="265"/>
      <c r="J26" s="47"/>
      <c r="K26" s="47"/>
      <c r="L26" s="39"/>
      <c r="M26" s="12"/>
      <c r="N26" s="12"/>
      <c r="O26" s="253">
        <f>O25</f>
        <v>2.04</v>
      </c>
      <c r="P26" s="14"/>
      <c r="Q26" s="12"/>
      <c r="R26" s="238">
        <f>SUM(R21:R25)</f>
        <v>3.4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0.40800000000000003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07"/>
      <c r="K28" s="47"/>
      <c r="L28" s="14"/>
      <c r="M28" s="12"/>
      <c r="N28" s="12"/>
      <c r="O28" s="46">
        <f>O26+O27</f>
        <v>2.448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07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O28*1</f>
        <v>2.448</v>
      </c>
      <c r="M30" s="12">
        <v>3500</v>
      </c>
      <c r="N30" s="12">
        <f t="shared" ref="N30:N35" si="7">L30*M30</f>
        <v>8568</v>
      </c>
      <c r="O30" s="14" t="s">
        <v>22</v>
      </c>
      <c r="P30" s="14" t="s">
        <v>23</v>
      </c>
      <c r="Q30" s="14"/>
      <c r="R30" s="240"/>
      <c r="S30" s="14"/>
      <c r="T30" s="9"/>
      <c r="W30" s="4" t="s">
        <v>156</v>
      </c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0.55000000000000004</v>
      </c>
      <c r="M31" s="12">
        <v>25000</v>
      </c>
      <c r="N31" s="12">
        <f>L31*M31</f>
        <v>13750.000000000002</v>
      </c>
      <c r="O31" s="39" t="s">
        <v>155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65000</v>
      </c>
      <c r="N32" s="12">
        <f t="shared" si="7"/>
        <v>0</v>
      </c>
      <c r="O32" s="39" t="s">
        <v>32</v>
      </c>
      <c r="P32" s="42"/>
      <c r="R32" s="239"/>
      <c r="S32" s="256"/>
      <c r="U32" s="230">
        <v>33390</v>
      </c>
      <c r="V32" s="231"/>
    </row>
    <row r="33" spans="2:23" s="230" customFormat="1" ht="17.399999999999999" x14ac:dyDescent="0.35">
      <c r="B33" s="24" t="s">
        <v>152</v>
      </c>
      <c r="I33" s="262"/>
      <c r="J33" s="306"/>
      <c r="K33" s="250"/>
      <c r="L33" s="14">
        <v>2</v>
      </c>
      <c r="M33" s="250">
        <v>45807</v>
      </c>
      <c r="N33" s="12">
        <f t="shared" si="7"/>
        <v>91614</v>
      </c>
      <c r="O33" s="14" t="s">
        <v>142</v>
      </c>
      <c r="P33" s="17"/>
      <c r="R33" s="237"/>
      <c r="S33" s="256"/>
      <c r="U33" s="230">
        <f>U32/1.19</f>
        <v>28058.823529411766</v>
      </c>
      <c r="V33" s="231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J34" s="306"/>
      <c r="K34" s="250"/>
      <c r="L34" s="249"/>
      <c r="M34" s="250">
        <v>800</v>
      </c>
      <c r="N34" s="12"/>
      <c r="O34" s="14" t="s">
        <v>154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7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113932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/>
      <c r="K37" s="250"/>
      <c r="L37" s="254" t="s">
        <v>35</v>
      </c>
      <c r="M37" s="12"/>
      <c r="N37" s="255">
        <f>N36*2.3</f>
        <v>262043.59999999998</v>
      </c>
      <c r="O37" s="14" t="s">
        <v>141</v>
      </c>
      <c r="P37" s="14"/>
      <c r="Q37" s="46">
        <f>O26/Q36</f>
        <v>0.55004314063848148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/>
      <c r="K38" s="250"/>
      <c r="L38" s="14"/>
      <c r="M38" s="12"/>
      <c r="N38" s="12">
        <f>N37/O26</f>
        <v>128452.7450980392</v>
      </c>
      <c r="O38" s="45" t="s">
        <v>26</v>
      </c>
      <c r="P38" s="14"/>
      <c r="Q38" s="14"/>
      <c r="R38"/>
      <c r="S38" s="237"/>
      <c r="V38" s="230">
        <v>2300</v>
      </c>
    </row>
    <row r="39" spans="2:23" s="230" customFormat="1" ht="17.399999999999999" x14ac:dyDescent="0.35">
      <c r="G39"/>
      <c r="J39" s="47">
        <v>54510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>
        <f>J39/1.19</f>
        <v>45806.722689075636</v>
      </c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0.53508196721311474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45324</v>
      </c>
    </row>
    <row r="6" spans="2:31" ht="16.2" thickBot="1" x14ac:dyDescent="0.35">
      <c r="B6" s="140" t="s">
        <v>2</v>
      </c>
      <c r="C6" s="139" t="str">
        <f>'2229'!C10</f>
        <v>LYA MUEBLES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10517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 t="e">
        <f>'2229'!#REF!</f>
        <v>#REF!</v>
      </c>
      <c r="E11" s="132" t="e">
        <f>D11*0.19</f>
        <v>#REF!</v>
      </c>
      <c r="F11" s="131" t="e">
        <f>E11+D11</f>
        <v>#REF!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52152.090787439614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86050.94979927536</v>
      </c>
      <c r="F15" s="216">
        <f>E15-D12</f>
        <v>33898.859011835746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13750.000000000002</v>
      </c>
      <c r="E19" s="123">
        <f>D19*0.19</f>
        <v>2612.5000000000005</v>
      </c>
      <c r="F19" s="120">
        <f>SUM(D19:E19)</f>
        <v>16362.500000000002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8568</v>
      </c>
      <c r="E20" s="121">
        <f>D20*0.19</f>
        <v>1627.92</v>
      </c>
      <c r="F20" s="120">
        <f>SUM(D20:E20)</f>
        <v>10195.92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22318</v>
      </c>
      <c r="E21" s="116">
        <f>SUM(E18:E20)</f>
        <v>4240.42</v>
      </c>
      <c r="F21" s="115">
        <f>SUM(F18:F20)</f>
        <v>26558.420000000002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#REF!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 t="e">
        <f>D11</f>
        <v>#REF!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22318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#REF!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#REF!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2023-11-21T13:01:06Z</cp:lastPrinted>
  <dcterms:created xsi:type="dcterms:W3CDTF">2013-03-18T13:35:42Z</dcterms:created>
  <dcterms:modified xsi:type="dcterms:W3CDTF">2024-01-04T00:44:27Z</dcterms:modified>
</cp:coreProperties>
</file>