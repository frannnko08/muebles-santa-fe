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1216BF47-7AD6-4346-809B-F917A3775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L24" i="1"/>
  <c r="N24" i="1" s="1"/>
  <c r="M24" i="1"/>
  <c r="H24" i="1"/>
  <c r="L23" i="1"/>
  <c r="N23" i="1" s="1"/>
  <c r="M23" i="1"/>
  <c r="R23" i="1"/>
  <c r="H23" i="1"/>
  <c r="L22" i="1"/>
  <c r="R22" i="1" s="1"/>
  <c r="M22" i="1"/>
  <c r="N22" i="1" s="1"/>
  <c r="O22" i="1" s="1"/>
  <c r="J41" i="1"/>
  <c r="L21" i="1"/>
  <c r="M21" i="1"/>
  <c r="O24" i="1" l="1"/>
  <c r="R24" i="1"/>
  <c r="O23" i="1"/>
  <c r="L26" i="1"/>
  <c r="S21" i="1"/>
  <c r="R21" i="1"/>
  <c r="R28" i="1" s="1"/>
  <c r="N21" i="1"/>
  <c r="O21" i="1" s="1"/>
  <c r="U34" i="1"/>
  <c r="U35" i="1" s="1"/>
  <c r="O27" i="1" l="1"/>
  <c r="N33" i="1"/>
  <c r="O28" i="1" l="1"/>
  <c r="O29" i="1" s="1"/>
  <c r="O30" i="1" s="1"/>
  <c r="M20" i="1"/>
  <c r="K20" i="1"/>
  <c r="L32" i="1" l="1"/>
  <c r="N34" i="1"/>
  <c r="Q38" i="1"/>
  <c r="Q39" i="1" s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4" i="1" s="1"/>
  <c r="Q24" i="1" s="1"/>
  <c r="E15" i="3"/>
  <c r="P22" i="1" l="1"/>
  <c r="Q22" i="1" s="1"/>
  <c r="P23" i="1"/>
  <c r="Q23" i="1" s="1"/>
  <c r="H22" i="1"/>
  <c r="P21" i="1"/>
  <c r="F15" i="3"/>
  <c r="Q21" i="1" l="1"/>
  <c r="H21" i="1" s="1"/>
  <c r="H27" i="1" l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<sst xmlns="http://schemas.openxmlformats.org/spreadsheetml/2006/main" count="237" uniqueCount="178">
  <si>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</si>
  <si>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</si>
  <si>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</si>
  <si>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</si>
  <si>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</si>
  <si>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</si>
  <si>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</si>
  <si>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</si>
  <si>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</si>
  <si>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</si>
  <si>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</si>
  <si>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</si>
  <si>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</si>
  <si>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</si>
  <si>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</si>
  <si>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</si>
  <si>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</si>
  <si>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</si>
  <si>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</si>
  <si>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</si>
  <si>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</si>
  <si>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</si>
  <si>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</si>
  <si>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</si>
  <si>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</si>
  <si>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</si>
  <si>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</si>
  <si>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</si>
  <si>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</si>
  <si>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</si>
  <si>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</si>
  <si>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</si>
  <si>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</si>
  <si>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</si>
  <si>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</si>
  <si>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</si>
  <si>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</si>
  <si>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</si>
  <si>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</si>
  <si>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</si>
  <si>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</si>
  <si>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</si>
  <si>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</si>
  <si>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</si>
  <si>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</si>
  <si>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</si>
  <si>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</si>
  <si>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</si>
  <si>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</si>
  <si>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</si>
  <si>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</si>
  <si>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</si>
  <si>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</si>
  <si>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</si>
  <si>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</si>
  <si>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</si>
  <si>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</si>
  <si>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</si>
  <si>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</si>
  <si>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</si>
  <si>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</si>
  <si>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</si>
  <si>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</si>
  <si>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</si>
  <si>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</si>
  <si>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</si>
  <si>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</si>
  <si>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</si>
  <si>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</si>
  <si>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</si>
  <si>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</si>
  <si>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</si>
  <si>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</si>
  <si>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</si>
  <si>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</si>
  <si>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</si>
  <si>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</si>
  <si>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</si>
  <si>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</si>
  <si>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</si>
  <si>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</si>
  <si>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</si>
  <si>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</si>
  <si>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</si>
  <si>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</si>
  <si>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</si>
  <si>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</si>
  <si>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</si>
  <si>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</si>
  <si>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</si>
  <si>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</si>
  <si>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</si>
  <si>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</si>
  <si>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</si>
  <si>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</si>
  <si>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</si>
  <si>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</si>
  <si>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</si>
  <si>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</si>
  <si>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</si>
  <si>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</si>
  <si>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</si>
  <si>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</si>
  <si>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</si>
  <si>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</si>
  <si>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</si>
  <si>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</si>
  <si>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</si>
  <si>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</si>
  <si>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</si>
  <si>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</si>
  <si>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</si>
  <si>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</si>
  <si>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</si>
  <si>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</si>
  <si>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</si>
  <si>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</si>
  <si>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</si>
  <si>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</si>
  <si>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</si>
  <si>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</si>
  <si>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</si>
  <si>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</si>
  <si>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</si>
  <si>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</si>
  <si>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</si>
  <si>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</si>
  <si>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</si>
  <si>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</si>
  <si>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</si>
  <si>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</si>
  <si>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</si>
  <si>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</si>
  <si>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</si>
  <si>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</si>
  <si>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</si>
  <si>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</si>
  <si>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</si>
  <si>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</si>
  <si>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</si>
  <si>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</si>
  <si>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</si>
  <si>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</si>
  <si>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</si>
  <si>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</si>
  <si>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</si>
  <si>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</si>
  <si>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</si>
  <si>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</si>
  <si>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</si>
  <si>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</si>
  <si>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</si>
  <si>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</si>
  <si>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</si>
  <si>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</si>
  <si>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</si>
  <si>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</si>
  <si>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</si>
  <si>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</si>
  <si>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</si>
  <si>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</si>
  <si>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</si>
  <si>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</si>
  <si>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</si>
  <si>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</si>
  <si>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</si>
  <si>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5 DIAS HABILES</t>
  </si>
  <si>
    <t>SANTIAGO</t>
  </si>
  <si>
    <t>CyP CONSTRUCTORA Spa</t>
  </si>
  <si>
    <t>+569 7399 6756</t>
  </si>
  <si>
    <t>FANTASTIC TEAK 2125 MT</t>
  </si>
  <si>
    <t>NOCE AVEIRO PP-7987 UP</t>
  </si>
  <si>
    <t xml:space="preserve">ENCHAPE RECTO 1 CARA MDF 30MM </t>
  </si>
  <si>
    <t>ENCHAPE RECTO 1 CARA MDF 30MM ***</t>
  </si>
  <si>
    <t>PATRICIO NAVARRETE</t>
  </si>
  <si>
    <t>GERENCIA@CPCONSTRUCTORA.CL</t>
  </si>
  <si>
    <t xml:space="preserve">ENCHAPE RECTO 1 CARA MDF 30MM 2 HOJAS </t>
  </si>
  <si>
    <t>76.408.924-3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</si>
</sst>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25</xdr:row>
      <xdr:rowOff>9525</xdr:rowOff>
    </xdr:from>
    <xdr:to>
      <xdr:col>5</xdr:col>
      <xdr:colOff>1635064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ENCHAPADAS CON TAPACANTO PVC 1,5MM LOS MAS PARECIDO AL TONO DE LA LAMINA  *** LLEVA UNION DE LAMINADO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ITEM 1 Y 2 ENCHAPE TRASCARA BALANCE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ERENCIA@CPCONSTRUCTORA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7" zoomScale="93" zoomScaleNormal="93" workbookViewId="0">
      <selection activeCell="K15" sqref="K15"/>
    </sheetView>
  </sheetViews>
  <sheetFormatPr baseColWidth="10" defaultRowHeight="14.4" x14ac:dyDescent="0.3"/>
  <cols>
    <col min="1" max="1" width="6" customWidth="1"/>
    <col min="2" max="2" width="10.5546875" customWidth="1"/>
    <col min="3" max="3" width="43" customWidth="1"/>
    <col min="4" max="4" width="11.109375" customWidth="1"/>
    <col min="5" max="5" width="10.5546875" customWidth="1"/>
    <col min="6" max="6" width="27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10601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168</v>
      </c>
      <c r="D10" s="243"/>
      <c r="E10" s="243"/>
      <c r="F10" s="244" t="s">
        <v>0</v>
      </c>
      <c r="G10" s="277">
        <v>45320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 t="s">
        <v>177</v>
      </c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174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 t="s">
        <v>175</v>
      </c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0" t="s">
        <v>165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94590.537634408625</v>
      </c>
      <c r="Q20" s="258">
        <v>20000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173</v>
      </c>
      <c r="D21" s="325">
        <v>3.05</v>
      </c>
      <c r="E21" s="325">
        <v>1.5</v>
      </c>
      <c r="F21" s="324" t="s">
        <v>170</v>
      </c>
      <c r="G21" s="326">
        <v>459846</v>
      </c>
      <c r="H21" s="327">
        <f>G21*B21</f>
        <v>459846</v>
      </c>
      <c r="I21" s="265"/>
      <c r="J21" s="47"/>
      <c r="K21" s="47">
        <v>1</v>
      </c>
      <c r="L21" s="39">
        <f t="shared" ref="L21" si="1">D21+L$19</f>
        <v>3.0999999999999996</v>
      </c>
      <c r="M21" s="39">
        <f t="shared" ref="M21" si="2">E21+M$19</f>
        <v>1.5</v>
      </c>
      <c r="N21" s="261">
        <f t="shared" ref="N21" si="3">L21*M21</f>
        <v>4.6499999999999995</v>
      </c>
      <c r="O21" s="259">
        <f t="shared" ref="O21:O22" si="4">N21*K21</f>
        <v>4.6499999999999995</v>
      </c>
      <c r="P21" s="252">
        <f>P$20*N21</f>
        <v>439846.00000000006</v>
      </c>
      <c r="Q21" s="258">
        <f t="shared" ref="Q21" si="5">P21+Q$20</f>
        <v>459846.00000000006</v>
      </c>
      <c r="R21" s="309">
        <f>L21*K21*2</f>
        <v>6.1999999999999993</v>
      </c>
      <c r="S21" s="46">
        <f>M21*K21*2</f>
        <v>3</v>
      </c>
      <c r="T21" s="9"/>
      <c r="W21" s="4"/>
    </row>
    <row r="22" spans="2:24" ht="18" thickBot="1" x14ac:dyDescent="0.35">
      <c r="B22" s="323">
        <v>2</v>
      </c>
      <c r="C22" s="324" t="s">
        <v>176</v>
      </c>
      <c r="D22" s="325">
        <v>2</v>
      </c>
      <c r="E22" s="325">
        <v>1.1000000000000001</v>
      </c>
      <c r="F22" s="324" t="s">
        <v>171</v>
      </c>
      <c r="G22" s="326">
        <v>188676</v>
      </c>
      <c r="H22" s="327">
        <f>G22*B22</f>
        <v>377352</v>
      </c>
      <c r="I22" s="265"/>
      <c r="J22" s="47"/>
      <c r="K22" s="47"/>
      <c r="L22" s="39">
        <f t="shared" ref="L22" si="6">D22+L$19</f>
        <v>2.0499999999999998</v>
      </c>
      <c r="M22" s="39">
        <f t="shared" ref="M22" si="7">E22+M$19</f>
        <v>1.1000000000000001</v>
      </c>
      <c r="N22" s="261">
        <f t="shared" ref="N22" si="8">L22*M22</f>
        <v>2.2549999999999999</v>
      </c>
      <c r="O22" s="259">
        <f t="shared" si="4"/>
        <v>0</v>
      </c>
      <c r="P22" s="252">
        <f>P$20*N22</f>
        <v>213301.66236559144</v>
      </c>
      <c r="Q22" s="258">
        <f t="shared" ref="Q22" si="9">P22+Q$20</f>
        <v>233301.66236559144</v>
      </c>
      <c r="R22" s="309">
        <f>L22*K22*2</f>
        <v>0</v>
      </c>
      <c r="S22" s="46"/>
      <c r="T22" s="9"/>
      <c r="W22" s="4"/>
    </row>
    <row r="23" spans="2:24" ht="18" thickBot="1" x14ac:dyDescent="0.35">
      <c r="B23" s="323">
        <v>2</v>
      </c>
      <c r="C23" s="324" t="s">
        <v>172</v>
      </c>
      <c r="D23" s="325">
        <v>1.6</v>
      </c>
      <c r="E23" s="325">
        <v>0.7</v>
      </c>
      <c r="F23" s="324" t="s">
        <v>171</v>
      </c>
      <c r="G23" s="326">
        <v>160912</v>
      </c>
      <c r="H23" s="327">
        <f>G23*B23</f>
        <v>321824</v>
      </c>
      <c r="I23" s="265"/>
      <c r="J23" s="47"/>
      <c r="K23" s="47"/>
      <c r="L23" s="39">
        <f t="shared" ref="L23" si="10">D23+L$19</f>
        <v>1.6500000000000001</v>
      </c>
      <c r="M23" s="39">
        <f t="shared" ref="M23" si="11">E23+M$19</f>
        <v>0.7</v>
      </c>
      <c r="N23" s="261">
        <f t="shared" ref="N23" si="12">L23*M23</f>
        <v>1.155</v>
      </c>
      <c r="O23" s="259">
        <f t="shared" ref="O23" si="13">N23*K23</f>
        <v>0</v>
      </c>
      <c r="P23" s="252">
        <f>P$20*N23</f>
        <v>109252.07096774197</v>
      </c>
      <c r="Q23" s="258">
        <f t="shared" ref="Q23" si="14">P23+Q$20</f>
        <v>129252.07096774197</v>
      </c>
      <c r="R23" s="309">
        <f>L23*K23*2</f>
        <v>0</v>
      </c>
      <c r="S23" s="46"/>
      <c r="T23" s="9"/>
      <c r="W23" s="4"/>
    </row>
    <row r="24" spans="2:24" ht="17.399999999999999" x14ac:dyDescent="0.3">
      <c r="B24" s="323">
        <v>1</v>
      </c>
      <c r="C24" s="324" t="s">
        <v>172</v>
      </c>
      <c r="D24" s="325">
        <v>2.2000000000000002</v>
      </c>
      <c r="E24" s="325">
        <v>0.7</v>
      </c>
      <c r="F24" s="324" t="s">
        <v>171</v>
      </c>
      <c r="G24" s="326">
        <v>164793</v>
      </c>
      <c r="H24" s="327">
        <f>G24*B24</f>
        <v>164793</v>
      </c>
      <c r="I24" s="265"/>
      <c r="J24" s="47"/>
      <c r="K24" s="47"/>
      <c r="L24" s="39">
        <f t="shared" ref="L24" si="15">D24+L$19</f>
        <v>2.25</v>
      </c>
      <c r="M24" s="39">
        <f t="shared" ref="M24" si="16">E24+M$19</f>
        <v>0.7</v>
      </c>
      <c r="N24" s="261">
        <f t="shared" ref="N24" si="17">L24*M24</f>
        <v>1.575</v>
      </c>
      <c r="O24" s="259">
        <f t="shared" ref="O24" si="18">N24*K24</f>
        <v>0</v>
      </c>
      <c r="P24" s="252">
        <f>P$20*N24</f>
        <v>148980.09677419357</v>
      </c>
      <c r="Q24" s="258">
        <f t="shared" ref="Q24" si="19">P24+Q$20</f>
        <v>168980.09677419357</v>
      </c>
      <c r="R24" s="309">
        <f>L24*K24*2</f>
        <v>0</v>
      </c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0" t="s">
        <v>29</v>
      </c>
      <c r="H26" s="311">
        <f>SUM(H21:H24)</f>
        <v>1323815</v>
      </c>
      <c r="I26" s="265"/>
      <c r="J26" s="47"/>
      <c r="K26" s="47"/>
      <c r="L26" s="39">
        <f>SUM(L21:L25)</f>
        <v>9.0500000000000007</v>
      </c>
      <c r="M26" s="39"/>
      <c r="N26" s="261"/>
      <c r="O26" s="259"/>
      <c r="P26" s="252"/>
      <c r="Q26" s="258"/>
      <c r="R26" s="309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8" t="s">
        <v>52</v>
      </c>
      <c r="H27" s="305">
        <f>H26*19%</f>
        <v>251524.85</v>
      </c>
      <c r="I27" s="265"/>
      <c r="J27" s="47"/>
      <c r="K27" s="47"/>
      <c r="L27" s="39"/>
      <c r="M27" s="12"/>
      <c r="N27" s="12"/>
      <c r="O27" s="253">
        <f>SUM(O21:O24)</f>
        <v>4.6499999999999995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6">
        <f>H26+H27</f>
        <v>1575339.85</v>
      </c>
      <c r="I28" s="265"/>
      <c r="J28" s="47"/>
      <c r="K28" s="47"/>
      <c r="L28" s="39"/>
      <c r="M28" s="12"/>
      <c r="N28" s="12"/>
      <c r="O28" s="253">
        <f>O27</f>
        <v>4.6499999999999995</v>
      </c>
      <c r="P28" s="14"/>
      <c r="Q28" s="12"/>
      <c r="R28" s="239">
        <f>SUM(R21:R27)</f>
        <v>6.1999999999999993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0.92999999999999994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5.5799999999999992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16" t="s">
        <v>22</v>
      </c>
      <c r="U31" s="313" t="s">
        <v>153</v>
      </c>
      <c r="V31" s="317">
        <v>44971</v>
      </c>
      <c r="W31" s="318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5.5799999999999992</v>
      </c>
      <c r="M32" s="12">
        <v>3500</v>
      </c>
      <c r="N32" s="12">
        <f t="shared" ref="N32:N37" si="20">L32*M32</f>
        <v>19529.999999999996</v>
      </c>
      <c r="O32" s="14" t="s">
        <v>22</v>
      </c>
      <c r="P32" s="14"/>
      <c r="Q32" s="14"/>
      <c r="R32" s="241"/>
      <c r="S32" s="14"/>
      <c r="T32" s="316" t="s">
        <v>154</v>
      </c>
      <c r="U32" s="313">
        <v>3625</v>
      </c>
      <c r="V32" s="59" t="s">
        <v>155</v>
      </c>
      <c r="W32" s="318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1.5</v>
      </c>
      <c r="M33" s="12">
        <v>46000</v>
      </c>
      <c r="N33" s="12">
        <f t="shared" si="20"/>
        <v>69000</v>
      </c>
      <c r="O33" s="39" t="s">
        <v>32</v>
      </c>
      <c r="P33" s="42"/>
      <c r="Q33" s="14"/>
      <c r="R33" s="240"/>
      <c r="S33" s="14"/>
      <c r="T33" s="316"/>
      <c r="U33" s="59">
        <v>906.25</v>
      </c>
      <c r="V33" s="59" t="s">
        <v>156</v>
      </c>
      <c r="W33" s="318"/>
    </row>
    <row r="34" spans="2:23" s="230" customFormat="1" ht="17.399999999999999" x14ac:dyDescent="0.35">
      <c r="I34" s="262"/>
      <c r="J34" s="232"/>
      <c r="K34" s="250"/>
      <c r="L34" s="14">
        <v>2</v>
      </c>
      <c r="M34" s="250">
        <v>19500</v>
      </c>
      <c r="N34" s="12">
        <f t="shared" si="20"/>
        <v>39000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18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2</v>
      </c>
      <c r="M35" s="250">
        <v>36200</v>
      </c>
      <c r="N35" s="12">
        <f t="shared" si="20"/>
        <v>72400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18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20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4"/>
      <c r="K37" s="250"/>
      <c r="L37" s="266"/>
      <c r="M37" s="12">
        <v>1500</v>
      </c>
      <c r="N37" s="12">
        <f t="shared" si="20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199930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439846.00000000006</v>
      </c>
      <c r="O39" s="14" t="s">
        <v>141</v>
      </c>
      <c r="P39" s="14"/>
      <c r="Q39" s="40">
        <f>O30/Q38</f>
        <v>1.504529767040552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43000</v>
      </c>
      <c r="K40" s="250"/>
      <c r="L40" s="14"/>
      <c r="M40" s="12"/>
      <c r="N40" s="12">
        <f>N39/O28</f>
        <v>94590.537634408625</v>
      </c>
      <c r="O40" s="45" t="s">
        <v>25</v>
      </c>
      <c r="P40" s="14"/>
      <c r="Q40" s="14"/>
      <c r="R40"/>
      <c r="S40" s="238"/>
      <c r="T40" s="59" t="s">
        <v>159</v>
      </c>
      <c r="U40" s="313">
        <v>43650</v>
      </c>
    </row>
    <row r="41" spans="2:23" s="230" customFormat="1" ht="17.399999999999999" x14ac:dyDescent="0.35">
      <c r="G41"/>
      <c r="J41" s="230">
        <f>J40/1.19</f>
        <v>36134.45378151261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14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15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  <hyperlink ref="C14" r:id="rId2" xr:uid="{BDA5D6A2-72D3-4B2E-8B80-3B4BEE0B35A1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45320</v>
      </c>
    </row>
    <row r="6" spans="2:31" ht="16.2" thickBot="1" x14ac:dyDescent="0.35">
      <c r="B6" s="140" t="s">
        <v>2</v>
      </c>
      <c r="C6" s="139" t="str">
        <f>'2229'!C10</f>
        <v>CyP CONSTRUCTORA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10601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-177360.70836678744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1323815</v>
      </c>
      <c r="E11" s="132">
        <f>D11*0.19</f>
        <v>251524.85</v>
      </c>
      <c r="F11" s="131">
        <f>E11+D11</f>
        <v>1575339.85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-71370.708366787439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157364.09078743961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-89370.708366787439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1166450.9092125604</v>
      </c>
      <c r="E13" s="221">
        <f>(D11/D12)-1</f>
        <v>7.412433823852167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-98370.708366787439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-137370.70836678744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259650.74979927533</v>
      </c>
      <c r="F15" s="216">
        <f>E15-D12</f>
        <v>102286.65901183573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-137370.70836678744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-97370.708366787439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39000</v>
      </c>
      <c r="E18" s="123">
        <f>D18*0.19</f>
        <v>7410</v>
      </c>
      <c r="F18" s="120">
        <f>SUM(D18:E18)</f>
        <v>46410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69000</v>
      </c>
      <c r="E19" s="123">
        <f>D19*0.19</f>
        <v>13110</v>
      </c>
      <c r="F19" s="120">
        <f>SUM(D19:E19)</f>
        <v>82110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19529.999999999996</v>
      </c>
      <c r="E20" s="121">
        <f>D20*0.19</f>
        <v>3710.6999999999994</v>
      </c>
      <c r="F20" s="120">
        <f>SUM(D20:E20)</f>
        <v>23240.699999999997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127530</v>
      </c>
      <c r="E21" s="116">
        <f>SUM(E18:E20)</f>
        <v>24230.7</v>
      </c>
      <c r="F21" s="115">
        <f>SUM(F18:F20)</f>
        <v>151760.70000000001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227294.15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1323815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127530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1166450.9092125604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1166450.9092125604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2024-01-29T21:24:32Z</cp:lastPrinted>
  <dcterms:created xsi:type="dcterms:W3CDTF">2013-03-18T13:35:42Z</dcterms:created>
  <dcterms:modified xsi:type="dcterms:W3CDTF">2024-01-30T16:25:59Z</dcterms:modified>
</cp:coreProperties>
</file>