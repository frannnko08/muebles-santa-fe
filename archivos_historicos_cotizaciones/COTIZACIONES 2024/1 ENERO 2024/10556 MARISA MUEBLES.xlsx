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3 ENERO 2024\"/>
    </mc:Choice>
  </mc:AlternateContent>
  <xr:revisionPtr revIDLastSave="0" documentId="13_ncr:1_{055D9D53-2CD6-4F71-BC5B-0AFF3BBED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1" l="1"/>
  <c r="N35" i="1" l="1"/>
  <c r="K21" i="1" l="1"/>
  <c r="J39" i="1"/>
  <c r="L21" i="1"/>
  <c r="L23" i="1" s="1"/>
  <c r="L24" i="1" s="1"/>
  <c r="M21" i="1"/>
  <c r="N21" i="1" l="1"/>
  <c r="R25" i="1"/>
  <c r="U31" i="1"/>
  <c r="U32" i="1" s="1"/>
  <c r="O21" i="1" l="1"/>
  <c r="O24" i="1" s="1"/>
  <c r="N30" i="1"/>
  <c r="O25" i="1" l="1"/>
  <c r="O26" i="1" s="1"/>
  <c r="O27" i="1" s="1"/>
  <c r="L29" i="1" s="1"/>
  <c r="M20" i="1"/>
  <c r="K20" i="1"/>
  <c r="N31" i="1" l="1"/>
  <c r="Q36" i="1"/>
  <c r="N32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4" i="1"/>
  <c r="N33" i="1"/>
  <c r="F18" i="3" l="1"/>
  <c r="N29" i="1" l="1"/>
  <c r="N36" i="1" s="1"/>
  <c r="N37" i="1" s="1"/>
  <c r="Q37" i="1"/>
  <c r="D20" i="3" l="1"/>
  <c r="E20" i="3" s="1"/>
  <c r="E21" i="3" s="1"/>
  <c r="N39" i="1" l="1"/>
  <c r="D21" i="3"/>
  <c r="M43" i="3" s="1"/>
  <c r="D12" i="3" s="1"/>
  <c r="F20" i="3"/>
  <c r="F21" i="3" s="1"/>
  <c r="N38" i="1" l="1"/>
  <c r="P20" i="1" s="1"/>
  <c r="E15" i="3"/>
  <c r="P21" i="1" l="1"/>
  <c r="F15" i="3"/>
  <c r="Q21" i="1" l="1"/>
  <c r="H21" i="1" l="1"/>
  <c r="H23" i="1" l="1"/>
  <c r="H24" i="1" s="1"/>
  <c r="H25" i="1" s="1"/>
  <c r="D11" i="3" l="1"/>
  <c r="X9" i="3" s="1"/>
  <c r="X15" i="3" s="1"/>
  <c r="X16" i="3" l="1"/>
  <c r="X14" i="3"/>
  <c r="X11" i="3"/>
  <c r="E11" i="3"/>
  <c r="D40" i="3" s="1"/>
  <c r="X13" i="3"/>
  <c r="E13" i="3"/>
  <c r="D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<sst xmlns="http://schemas.openxmlformats.org/spreadsheetml/2006/main" count="231" uniqueCount="176">
  <si>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</si>
  <si>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</si>
  <si>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</si>
  <si>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</si>
  <si>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</si>
  <si>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</si>
  <si>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</si>
  <si>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</si>
  <si>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</si>
  <si>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</si>
  <si>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</si>
  <si>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</si>
  <si>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</si>
  <si>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</si>
  <si>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</si>
  <si>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</si>
  <si>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</si>
  <si>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</si>
  <si>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</si>
  <si>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</si>
  <si>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</si>
  <si>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</si>
  <si>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</si>
  <si>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</si>
  <si>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</si>
  <si>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</si>
  <si>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</si>
  <si>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</si>
  <si>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</si>
  <si>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</si>
  <si>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</si>
  <si>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</si>
  <si>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</si>
  <si>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</si>
  <si>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</si>
  <si>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</si>
  <si>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</si>
  <si>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</si>
  <si>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</si>
  <si>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</si>
  <si>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</si>
  <si>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</si>
  <si>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</si>
  <si>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</si>
  <si>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</si>
  <si>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</si>
  <si>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</si>
  <si>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</si>
  <si>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</si>
  <si>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</si>
  <si>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</si>
  <si>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</si>
  <si>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</si>
  <si>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</si>
  <si>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</si>
  <si>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</si>
  <si>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</si>
  <si>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</si>
  <si>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</si>
  <si>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</si>
  <si>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</si>
  <si>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</si>
  <si>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</si>
  <si>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</si>
  <si>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</si>
  <si>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</si>
  <si>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</si>
  <si>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</si>
  <si>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</si>
  <si>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</si>
  <si>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</si>
  <si>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</si>
  <si>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</si>
  <si>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</si>
  <si>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</si>
  <si>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</si>
  <si>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</si>
  <si>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</si>
  <si>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</si>
  <si>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</si>
  <si>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</si>
  <si>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</si>
  <si>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</si>
  <si>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</si>
  <si>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</si>
  <si>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</si>
  <si>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</si>
  <si>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</si>
  <si>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</si>
  <si>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</si>
  <si>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</si>
  <si>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</si>
  <si>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</si>
  <si>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</si>
  <si>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</si>
  <si>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</si>
  <si>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</si>
  <si>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</si>
  <si>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</si>
  <si>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</si>
  <si>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</si>
  <si>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</si>
  <si>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</si>
  <si>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</si>
  <si>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</si>
  <si>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</si>
  <si>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</si>
  <si>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</si>
  <si>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</si>
  <si>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</si>
  <si>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</si>
  <si>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</si>
  <si>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</si>
  <si>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</si>
  <si>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</si>
  <si>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</si>
  <si>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</si>
  <si>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</si>
  <si>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</si>
  <si>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</si>
  <si>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</si>
  <si>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</si>
  <si>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</si>
  <si>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</si>
  <si>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</si>
  <si>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</si>
  <si>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</si>
  <si>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</si>
  <si>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</si>
  <si>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</si>
  <si>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</si>
  <si>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</si>
  <si>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</si>
  <si>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</si>
  <si>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</si>
  <si>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</si>
  <si>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</si>
  <si>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</si>
  <si>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</si>
  <si>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</si>
  <si>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</si>
  <si>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</si>
  <si>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</si>
  <si>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</si>
  <si>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</si>
  <si>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</si>
  <si>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</si>
  <si>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</si>
  <si>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</si>
  <si>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</si>
  <si>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</si>
  <si>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</si>
  <si>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</si>
  <si>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</si>
  <si>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</si>
  <si>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</si>
  <si>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</si>
  <si>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</si>
  <si>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</si>
  <si>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</si>
  <si>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</si>
  <si>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</si>
  <si>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</si>
  <si>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</si>
  <si>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</si>
  <si>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</si>
  <si>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</si>
  <si>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MARISA MUEBLES SPA</t>
  </si>
  <si>
    <t>77.873.294-7</t>
  </si>
  <si>
    <t>MARMARISA.MUEBLES@GMAIL.COM</t>
  </si>
  <si>
    <t>+569 8465 4505</t>
  </si>
  <si>
    <t>TAPACANTO PVC 22x1,5MM 100 metros</t>
  </si>
  <si>
    <t>CUBIERTA CON RESPALDO 90° R8</t>
  </si>
  <si>
    <t>10 DIAS HABILES</t>
  </si>
  <si>
    <t>SI</t>
  </si>
  <si>
    <t>BLANCO OPACO ECONOMICO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</si>
</sst>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1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3" quotePrefix="1" applyFont="1" applyFill="1" applyBorder="1"/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27</xdr:row>
      <xdr:rowOff>26670</xdr:rowOff>
    </xdr:from>
    <xdr:to>
      <xdr:col>7</xdr:col>
      <xdr:colOff>1034435</xdr:colOff>
      <xdr:row>30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1714500</xdr:colOff>
      <xdr:row>30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1626870</xdr:colOff>
      <xdr:row>25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0050" y="5153025"/>
          <a:ext cx="6036945" cy="82867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CUBIERTAS SE ENTREGAN CORTADAS A LA MEDIDA.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ARMARISA.MUEBLES@GMAIL.COM" TargetMode="External"/><Relationship Id="rId1" Type="http://schemas.openxmlformats.org/officeDocument/2006/relationships/hyperlink" Target="http://www.topmobilichile.cl/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1"/>
  <sheetViews>
    <sheetView tabSelected="1" topLeftCell="A2" zoomScale="93" zoomScaleNormal="93" workbookViewId="0">
      <selection activeCell="N37" sqref="N37"/>
    </sheetView>
  </sheetViews>
  <sheetFormatPr baseColWidth="10" defaultRowHeight="14.4" x14ac:dyDescent="0.3"/>
  <cols>
    <col min="1" max="1" width="6" customWidth="1"/>
    <col min="2" max="2" width="10.5546875" customWidth="1"/>
    <col min="3" max="3" width="52.664062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10556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20" t="s">
        <v>163</v>
      </c>
      <c r="C10" s="279" t="s">
        <v>167</v>
      </c>
      <c r="D10" s="243"/>
      <c r="E10" s="243"/>
      <c r="F10" s="244" t="s">
        <v>0</v>
      </c>
      <c r="G10" s="277">
        <v>45315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3" t="s">
        <v>168</v>
      </c>
      <c r="F11" t="s">
        <v>124</v>
      </c>
      <c r="G11" s="289" t="s">
        <v>173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3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 t="s">
        <v>169</v>
      </c>
      <c r="F14" s="29" t="s">
        <v>137</v>
      </c>
      <c r="G14" s="291" t="s">
        <v>174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0" t="s">
        <v>170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3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/>
      <c r="D17" s="299"/>
      <c r="E17" s="300"/>
      <c r="F17" s="329" t="s">
        <v>166</v>
      </c>
      <c r="G17" s="329"/>
      <c r="H17" s="330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1" t="s">
        <v>96</v>
      </c>
      <c r="C19" s="332"/>
      <c r="D19" s="332"/>
      <c r="E19" s="332"/>
      <c r="F19" s="332"/>
      <c r="G19" s="332"/>
      <c r="H19" s="333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1" t="s">
        <v>7</v>
      </c>
      <c r="C20" s="322" t="s">
        <v>1</v>
      </c>
      <c r="D20" s="322" t="s">
        <v>10</v>
      </c>
      <c r="E20" s="322" t="s">
        <v>11</v>
      </c>
      <c r="F20" s="322" t="s">
        <v>8</v>
      </c>
      <c r="G20" s="322" t="s">
        <v>5</v>
      </c>
      <c r="H20" s="323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N38</f>
        <v>47574.468085106382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4">
        <v>120</v>
      </c>
      <c r="C21" s="325" t="s">
        <v>172</v>
      </c>
      <c r="D21" s="326">
        <v>1.125</v>
      </c>
      <c r="E21" s="326">
        <v>0.5</v>
      </c>
      <c r="F21" s="325" t="s">
        <v>175</v>
      </c>
      <c r="G21" s="327">
        <v>29250</v>
      </c>
      <c r="H21" s="328">
        <f>G21*B21</f>
        <v>3510000</v>
      </c>
      <c r="I21" s="265"/>
      <c r="J21" s="47"/>
      <c r="K21" s="47">
        <f>B21</f>
        <v>120</v>
      </c>
      <c r="L21" s="39">
        <f t="shared" ref="L21" si="1">D21+L$19</f>
        <v>1.175</v>
      </c>
      <c r="M21" s="39">
        <f t="shared" ref="M21" si="2">E21+M$19</f>
        <v>0.5</v>
      </c>
      <c r="N21" s="261">
        <f t="shared" ref="N21" si="3">L21*M21</f>
        <v>0.58750000000000002</v>
      </c>
      <c r="O21" s="259">
        <f>N21*K21</f>
        <v>70.5</v>
      </c>
      <c r="P21" s="252">
        <f t="shared" ref="P21" si="4">P$20*N21</f>
        <v>27950</v>
      </c>
      <c r="Q21" s="258">
        <f t="shared" ref="Q21" si="5">P21+Q$20</f>
        <v>30950</v>
      </c>
      <c r="R21" s="309">
        <f>K21*L21</f>
        <v>141</v>
      </c>
      <c r="S21" s="14"/>
      <c r="T21" s="9"/>
      <c r="W21" s="4"/>
    </row>
    <row r="22" spans="2:24" ht="18" thickBot="1" x14ac:dyDescent="0.35">
      <c r="B22" s="286"/>
      <c r="C22" s="286"/>
      <c r="D22" s="287"/>
      <c r="E22" s="287"/>
      <c r="F22" s="286"/>
      <c r="G22" s="265"/>
      <c r="H22" s="233"/>
      <c r="I22" s="233"/>
      <c r="J22" s="47"/>
      <c r="K22" s="47"/>
      <c r="L22" s="39"/>
      <c r="M22" s="39"/>
      <c r="N22" s="261"/>
      <c r="O22" s="259"/>
      <c r="P22" s="252"/>
      <c r="Q22" s="258"/>
      <c r="R22" s="309"/>
      <c r="S22" s="14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11" t="s">
        <v>29</v>
      </c>
      <c r="H23" s="312">
        <f>SUM(H21:H21)</f>
        <v>3510000</v>
      </c>
      <c r="I23" s="265"/>
      <c r="J23" s="47"/>
      <c r="K23" s="47"/>
      <c r="L23" s="39">
        <f>SUM(L21:L22)</f>
        <v>1.175</v>
      </c>
      <c r="M23" s="39"/>
      <c r="N23" s="261"/>
      <c r="O23" s="259"/>
      <c r="P23" s="252"/>
      <c r="Q23" s="258"/>
      <c r="R23" s="309"/>
      <c r="S23" s="14"/>
      <c r="T23" s="9"/>
      <c r="W23" s="4"/>
    </row>
    <row r="24" spans="2:24" ht="17.399999999999999" x14ac:dyDescent="0.3">
      <c r="B24" s="280"/>
      <c r="C24" s="283"/>
      <c r="D24" s="284"/>
      <c r="E24" s="284"/>
      <c r="F24" s="285"/>
      <c r="G24" s="308" t="s">
        <v>52</v>
      </c>
      <c r="H24" s="305">
        <f>H23*19%</f>
        <v>666900</v>
      </c>
      <c r="I24" s="265"/>
      <c r="J24" s="47"/>
      <c r="K24" s="47"/>
      <c r="L24" s="39">
        <f>L23*K21</f>
        <v>141</v>
      </c>
      <c r="M24" s="12"/>
      <c r="N24" s="12"/>
      <c r="O24" s="253">
        <f>SUM(O21:O21)</f>
        <v>70.5</v>
      </c>
      <c r="P24" s="14"/>
      <c r="Q24" s="12"/>
      <c r="R24" s="239"/>
      <c r="S24" s="14"/>
      <c r="T24" s="9"/>
      <c r="W24" s="4"/>
    </row>
    <row r="25" spans="2:24" ht="18" thickBot="1" x14ac:dyDescent="0.35">
      <c r="B25" s="276"/>
      <c r="C25" s="282"/>
      <c r="D25" s="272"/>
      <c r="E25" s="272"/>
      <c r="F25" s="273"/>
      <c r="G25" s="281" t="s">
        <v>6</v>
      </c>
      <c r="H25" s="306">
        <f>H23+H24</f>
        <v>4176900</v>
      </c>
      <c r="I25" s="265"/>
      <c r="J25" s="47"/>
      <c r="K25" s="47"/>
      <c r="L25" s="39"/>
      <c r="M25" s="12"/>
      <c r="N25" s="12"/>
      <c r="O25" s="253">
        <f>O24</f>
        <v>70.5</v>
      </c>
      <c r="P25" s="14"/>
      <c r="Q25" s="12"/>
      <c r="R25" s="239">
        <f>SUM(R21:R24)</f>
        <v>141</v>
      </c>
      <c r="S25" s="14"/>
      <c r="T25" s="9"/>
      <c r="W25" s="4"/>
    </row>
    <row r="26" spans="2:24" ht="17.399999999999999" x14ac:dyDescent="0.3">
      <c r="B26" s="276"/>
      <c r="C26" s="271"/>
      <c r="D26" s="272"/>
      <c r="E26" s="272"/>
      <c r="F26" s="273"/>
      <c r="I26" s="265"/>
      <c r="J26" s="47"/>
      <c r="K26" s="47"/>
      <c r="L26" s="14"/>
      <c r="M26" s="12"/>
      <c r="N26" s="12"/>
      <c r="O26" s="39">
        <f>O25*20%</f>
        <v>14.100000000000001</v>
      </c>
      <c r="P26" s="39" t="s">
        <v>131</v>
      </c>
      <c r="Q26" s="42"/>
      <c r="R26" s="240"/>
      <c r="S26" s="14"/>
      <c r="T26" s="9"/>
      <c r="W26" s="4"/>
    </row>
    <row r="27" spans="2:24" ht="17.399999999999999" x14ac:dyDescent="0.3">
      <c r="B27" s="271"/>
      <c r="C27" s="271"/>
      <c r="D27" s="272"/>
      <c r="E27" s="272"/>
      <c r="F27" s="273"/>
      <c r="G27" s="274"/>
      <c r="H27" s="275"/>
      <c r="I27" s="265"/>
      <c r="J27" s="47"/>
      <c r="K27" s="47"/>
      <c r="L27" s="14"/>
      <c r="M27" s="12"/>
      <c r="N27" s="12"/>
      <c r="O27" s="46">
        <f>O25+O26</f>
        <v>84.6</v>
      </c>
      <c r="P27" s="14"/>
      <c r="Q27" s="14"/>
      <c r="R27" s="238">
        <v>40</v>
      </c>
      <c r="S27" s="14"/>
      <c r="T27" s="9"/>
      <c r="W27" s="4"/>
    </row>
    <row r="28" spans="2:24" ht="17.399999999999999" x14ac:dyDescent="0.35">
      <c r="B28" s="269"/>
      <c r="C28" s="230"/>
      <c r="D28" s="230"/>
      <c r="E28" s="233"/>
      <c r="F28" s="234"/>
      <c r="G28" s="230"/>
      <c r="H28" s="275"/>
      <c r="I28" s="265"/>
      <c r="J28" s="47"/>
      <c r="K28" s="47"/>
      <c r="L28" s="14"/>
      <c r="M28" s="14"/>
      <c r="N28" s="14"/>
      <c r="O28" s="14"/>
      <c r="P28" s="14"/>
      <c r="Q28" s="14"/>
      <c r="R28" s="238"/>
      <c r="S28" s="14"/>
      <c r="T28" s="317" t="s">
        <v>22</v>
      </c>
      <c r="U28" s="314" t="s">
        <v>153</v>
      </c>
      <c r="V28" s="318">
        <v>44971</v>
      </c>
      <c r="W28" s="319"/>
    </row>
    <row r="29" spans="2:24" ht="17.399999999999999" x14ac:dyDescent="0.35">
      <c r="B29" s="235"/>
      <c r="C29" s="236"/>
      <c r="D29" s="237"/>
      <c r="E29" s="235"/>
      <c r="F29" s="230"/>
      <c r="G29" s="230"/>
      <c r="I29" s="265"/>
      <c r="J29" s="47"/>
      <c r="K29" s="47"/>
      <c r="L29" s="39">
        <f>O27</f>
        <v>84.6</v>
      </c>
      <c r="M29" s="12">
        <v>2500</v>
      </c>
      <c r="N29" s="12">
        <f t="shared" ref="N29:N34" si="6">L29*M29</f>
        <v>211500</v>
      </c>
      <c r="O29" s="14" t="s">
        <v>22</v>
      </c>
      <c r="P29" s="14"/>
      <c r="Q29" s="14"/>
      <c r="R29" s="241"/>
      <c r="S29" s="14"/>
      <c r="T29" s="317" t="s">
        <v>154</v>
      </c>
      <c r="U29" s="314">
        <v>3625</v>
      </c>
      <c r="V29" s="59" t="s">
        <v>155</v>
      </c>
      <c r="W29" s="319"/>
    </row>
    <row r="30" spans="2:24" ht="17.399999999999999" x14ac:dyDescent="0.35">
      <c r="B30" s="230"/>
      <c r="C30" s="230"/>
      <c r="D30" s="230"/>
      <c r="E30" s="230"/>
      <c r="F30" s="230"/>
      <c r="G30" s="230"/>
      <c r="I30" s="265"/>
      <c r="J30" s="47"/>
      <c r="K30" s="47"/>
      <c r="L30" s="249">
        <v>30</v>
      </c>
      <c r="M30" s="12">
        <v>25000</v>
      </c>
      <c r="N30" s="12">
        <f t="shared" si="6"/>
        <v>750000</v>
      </c>
      <c r="O30" s="39" t="s">
        <v>32</v>
      </c>
      <c r="P30" s="42"/>
      <c r="Q30" s="14"/>
      <c r="R30" s="240"/>
      <c r="S30" s="14"/>
      <c r="T30" s="317"/>
      <c r="U30" s="59">
        <v>906.25</v>
      </c>
      <c r="V30" s="59" t="s">
        <v>156</v>
      </c>
      <c r="W30" s="319"/>
    </row>
    <row r="31" spans="2:24" s="230" customFormat="1" ht="17.399999999999999" x14ac:dyDescent="0.35">
      <c r="I31" s="262"/>
      <c r="J31" s="232"/>
      <c r="K31" s="250"/>
      <c r="L31" s="14"/>
      <c r="M31" s="250">
        <v>46500</v>
      </c>
      <c r="N31" s="12">
        <f t="shared" si="6"/>
        <v>0</v>
      </c>
      <c r="O31" s="39" t="s">
        <v>31</v>
      </c>
      <c r="P31" s="42"/>
      <c r="R31" s="240"/>
      <c r="S31" s="256"/>
      <c r="T31" s="59"/>
      <c r="U31" s="59">
        <f>U30*20%</f>
        <v>181.25</v>
      </c>
      <c r="V31" s="319" t="s">
        <v>157</v>
      </c>
      <c r="W31" s="59"/>
    </row>
    <row r="32" spans="2:24" s="230" customFormat="1" ht="17.399999999999999" x14ac:dyDescent="0.35">
      <c r="B32" s="24" t="s">
        <v>152</v>
      </c>
      <c r="I32" s="262"/>
      <c r="J32" s="232"/>
      <c r="K32" s="250"/>
      <c r="L32" s="14">
        <v>24</v>
      </c>
      <c r="M32" s="250">
        <v>21000</v>
      </c>
      <c r="N32" s="12">
        <f t="shared" si="6"/>
        <v>504000</v>
      </c>
      <c r="O32" s="14" t="s">
        <v>142</v>
      </c>
      <c r="P32" s="17"/>
      <c r="R32" s="238"/>
      <c r="S32" s="256"/>
      <c r="T32" s="59"/>
      <c r="U32" s="59">
        <f>U30+U31</f>
        <v>1087.5</v>
      </c>
      <c r="V32" s="319" t="s">
        <v>158</v>
      </c>
      <c r="W32" s="59"/>
    </row>
    <row r="33" spans="2:23" s="230" customFormat="1" ht="17.399999999999999" x14ac:dyDescent="0.35">
      <c r="B33" s="24" t="s">
        <v>145</v>
      </c>
      <c r="C33"/>
      <c r="D33"/>
      <c r="E33"/>
      <c r="F33"/>
      <c r="I33" s="262"/>
      <c r="K33" s="250"/>
      <c r="L33" s="249"/>
      <c r="M33" s="250">
        <v>300</v>
      </c>
      <c r="N33" s="12">
        <f t="shared" si="6"/>
        <v>0</v>
      </c>
      <c r="O33" s="14" t="s">
        <v>33</v>
      </c>
      <c r="P33" s="14"/>
      <c r="Q33" s="230">
        <v>1.52</v>
      </c>
      <c r="R33" s="238"/>
      <c r="S33" s="238"/>
    </row>
    <row r="34" spans="2:23" s="230" customFormat="1" ht="17.399999999999999" x14ac:dyDescent="0.35">
      <c r="B34" s="29" t="s">
        <v>126</v>
      </c>
      <c r="C34"/>
      <c r="D34"/>
      <c r="E34"/>
      <c r="F34" s="229" t="s">
        <v>16</v>
      </c>
      <c r="I34" s="304"/>
      <c r="K34" s="250"/>
      <c r="L34" s="266">
        <v>141</v>
      </c>
      <c r="M34" s="12">
        <v>1500</v>
      </c>
      <c r="N34" s="12">
        <f t="shared" si="6"/>
        <v>211500</v>
      </c>
      <c r="O34" s="14" t="s">
        <v>23</v>
      </c>
      <c r="P34" s="14"/>
      <c r="Q34">
        <v>2.44</v>
      </c>
      <c r="R34"/>
      <c r="S34" s="238"/>
      <c r="W34" s="231"/>
    </row>
    <row r="35" spans="2:23" s="230" customFormat="1" ht="17.399999999999999" x14ac:dyDescent="0.35">
      <c r="B35" s="29"/>
      <c r="C35"/>
      <c r="D35"/>
      <c r="E35"/>
      <c r="F35" s="229"/>
      <c r="I35" s="304"/>
      <c r="K35" s="250"/>
      <c r="L35" s="266"/>
      <c r="M35" s="12">
        <v>52793</v>
      </c>
      <c r="N35" s="12">
        <f>L35*M35</f>
        <v>0</v>
      </c>
      <c r="O35" s="14" t="s">
        <v>171</v>
      </c>
      <c r="P35" s="14"/>
      <c r="Q35"/>
      <c r="R35"/>
      <c r="S35" s="238"/>
      <c r="W35" s="231"/>
    </row>
    <row r="36" spans="2:23" s="230" customFormat="1" ht="17.399999999999999" x14ac:dyDescent="0.35">
      <c r="K36" s="250"/>
      <c r="L36" s="14"/>
      <c r="M36" s="12"/>
      <c r="N36" s="12">
        <f>SUM(N29:N35)</f>
        <v>1677000</v>
      </c>
      <c r="O36" s="39" t="s">
        <v>24</v>
      </c>
      <c r="P36" s="14"/>
      <c r="Q36">
        <f>Q33*Q34</f>
        <v>3.7088000000000001</v>
      </c>
      <c r="R36"/>
      <c r="S36" s="238"/>
      <c r="W36" s="231"/>
    </row>
    <row r="37" spans="2:23" s="230" customFormat="1" ht="17.399999999999999" x14ac:dyDescent="0.35">
      <c r="K37" s="250"/>
      <c r="L37" s="254" t="s">
        <v>34</v>
      </c>
      <c r="M37" s="12"/>
      <c r="N37" s="255">
        <f>N36*2</f>
        <v>3354000</v>
      </c>
      <c r="O37" s="14" t="s">
        <v>141</v>
      </c>
      <c r="P37" s="14"/>
      <c r="Q37" s="40">
        <f>O27/Q36</f>
        <v>22.810612597066434</v>
      </c>
      <c r="R37"/>
      <c r="S37" s="257"/>
    </row>
    <row r="38" spans="2:23" s="230" customFormat="1" ht="17.399999999999999" x14ac:dyDescent="0.35">
      <c r="G38"/>
      <c r="H38" s="260"/>
      <c r="I38" s="260"/>
      <c r="J38" s="230">
        <v>48209</v>
      </c>
      <c r="K38" s="250"/>
      <c r="L38" s="14"/>
      <c r="M38" s="12"/>
      <c r="N38" s="12">
        <f>N37/O25</f>
        <v>47574.468085106382</v>
      </c>
      <c r="O38" s="45" t="s">
        <v>25</v>
      </c>
      <c r="P38" s="14"/>
      <c r="Q38" s="14"/>
      <c r="R38"/>
      <c r="S38" s="238"/>
      <c r="T38" s="59" t="s">
        <v>159</v>
      </c>
      <c r="U38" s="314">
        <v>43650</v>
      </c>
    </row>
    <row r="39" spans="2:23" s="230" customFormat="1" ht="17.399999999999999" x14ac:dyDescent="0.35">
      <c r="G39"/>
      <c r="H39" s="230" t="s">
        <v>165</v>
      </c>
      <c r="J39" s="230">
        <f>J38/1.19</f>
        <v>40511.764705882357</v>
      </c>
      <c r="K39" s="250"/>
      <c r="L39" s="13"/>
      <c r="M39" s="14"/>
      <c r="N39" s="17">
        <f>N37/N36</f>
        <v>2</v>
      </c>
      <c r="O39" s="15"/>
      <c r="P39"/>
      <c r="Q39"/>
      <c r="R39"/>
      <c r="S39" s="238"/>
      <c r="T39" s="59" t="s">
        <v>161</v>
      </c>
      <c r="U39" s="315" t="s">
        <v>160</v>
      </c>
      <c r="V39" s="59">
        <v>2.4</v>
      </c>
    </row>
    <row r="40" spans="2:23" s="230" customFormat="1" ht="17.399999999999999" x14ac:dyDescent="0.35">
      <c r="G40" s="23"/>
      <c r="K40" s="12"/>
      <c r="S40" s="238"/>
      <c r="T40" s="59" t="s">
        <v>162</v>
      </c>
      <c r="U40" s="316">
        <v>395.37</v>
      </c>
    </row>
    <row r="41" spans="2:23" s="230" customFormat="1" ht="17.399999999999999" x14ac:dyDescent="0.35">
      <c r="B41"/>
      <c r="C41" s="228"/>
      <c r="D41" s="22"/>
      <c r="E41" s="22"/>
      <c r="F41" s="21"/>
      <c r="G41" s="23"/>
      <c r="K41" s="12"/>
      <c r="S41" s="238"/>
      <c r="T41" s="59" t="s">
        <v>157</v>
      </c>
      <c r="U41" s="59">
        <v>474.45</v>
      </c>
    </row>
    <row r="42" spans="2:23" ht="14.4" customHeight="1" x14ac:dyDescent="0.3">
      <c r="K42" s="12"/>
      <c r="T42" s="59"/>
      <c r="U42" s="59"/>
    </row>
    <row r="43" spans="2:23" x14ac:dyDescent="0.3">
      <c r="K43" s="250"/>
    </row>
    <row r="44" spans="2:23" x14ac:dyDescent="0.3">
      <c r="K44" s="250"/>
      <c r="S44" s="270"/>
    </row>
    <row r="45" spans="2:23" x14ac:dyDescent="0.3">
      <c r="K45" s="250"/>
    </row>
    <row r="46" spans="2:23" ht="15" customHeight="1" x14ac:dyDescent="0.3"/>
    <row r="48" spans="2:23" x14ac:dyDescent="0.3">
      <c r="N48">
        <v>40935</v>
      </c>
      <c r="O48" t="s">
        <v>17</v>
      </c>
      <c r="P48" t="s">
        <v>27</v>
      </c>
    </row>
    <row r="50" spans="14:19" x14ac:dyDescent="0.3">
      <c r="N50" s="54"/>
      <c r="O50" s="54"/>
    </row>
    <row r="51" spans="14:19" x14ac:dyDescent="0.3">
      <c r="R51" s="18"/>
      <c r="S51" s="18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2" spans="14:19" x14ac:dyDescent="0.3">
      <c r="N62" s="43"/>
    </row>
    <row r="63" spans="14:19" x14ac:dyDescent="0.3">
      <c r="N63" s="43"/>
    </row>
    <row r="64" spans="14:19" x14ac:dyDescent="0.3">
      <c r="N64" s="6"/>
    </row>
    <row r="65" spans="3:14" x14ac:dyDescent="0.3">
      <c r="N65" s="6"/>
    </row>
    <row r="73" spans="3:14" x14ac:dyDescent="0.3">
      <c r="C73" t="s">
        <v>149</v>
      </c>
    </row>
    <row r="74" spans="3:14" x14ac:dyDescent="0.3">
      <c r="C74" t="s">
        <v>148</v>
      </c>
    </row>
    <row r="77" spans="3:14" x14ac:dyDescent="0.3">
      <c r="C77" t="s">
        <v>148</v>
      </c>
    </row>
    <row r="154" spans="3:3" x14ac:dyDescent="0.3">
      <c r="C154" t="s">
        <v>148</v>
      </c>
    </row>
    <row r="155" spans="3:3" x14ac:dyDescent="0.3">
      <c r="C155" t="s">
        <v>150</v>
      </c>
    </row>
    <row r="156" spans="3:3" x14ac:dyDescent="0.3">
      <c r="C156" t="s">
        <v>151</v>
      </c>
    </row>
    <row r="581" spans="3:3" x14ac:dyDescent="0.3">
      <c r="C581" t="s">
        <v>148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  <hyperlink ref="C14" r:id="rId2" xr:uid="{3FB03A12-48DD-40DC-B72C-4C3D76399051}"/>
  </hyperlinks>
  <pageMargins left="0.23622047244094491" right="0.23622047244094491" top="0.74803149606299213" bottom="0.74803149606299213" header="0.31496062992125984" footer="0.31496062992125984"/>
  <pageSetup scale="69" orientation="portrait" horizontalDpi="300" verticalDpi="30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45315</v>
      </c>
    </row>
    <row r="6" spans="2:31" ht="16.2" thickBot="1" x14ac:dyDescent="0.35">
      <c r="B6" s="140" t="s">
        <v>2</v>
      </c>
      <c r="C6" s="139" t="str">
        <f>'2229'!C10</f>
        <v>MARISA MUEBLES SPA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5" t="s">
        <v>99</v>
      </c>
      <c r="I7" s="336"/>
      <c r="J7" s="336"/>
      <c r="K7" s="337"/>
      <c r="N7" s="75"/>
      <c r="O7" s="334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10556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4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-312383.1250334541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'2229'!H23</f>
        <v>3510000</v>
      </c>
      <c r="E11" s="132">
        <f>D11*0.19</f>
        <v>666900</v>
      </c>
      <c r="F11" s="131">
        <f>E11+D11</f>
        <v>4176900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-206393.1250334541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991334.09078743961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-224393.1250334541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2518665.9092125604</v>
      </c>
      <c r="E13" s="221">
        <f>(D11/D12)-1</f>
        <v>2.5406832395039758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-233393.1250334541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-272393.1250334541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1635701.2497992753</v>
      </c>
      <c r="F15" s="216">
        <f>E15-D12</f>
        <v>644367.1590118357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-272393.1250334541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-232393.1250334541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'2229'!N30</f>
        <v>750000</v>
      </c>
      <c r="E19" s="123">
        <f>D19*0.19</f>
        <v>142500</v>
      </c>
      <c r="F19" s="120">
        <f>SUM(D19:E19)</f>
        <v>892500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'2229'!N29</f>
        <v>211500</v>
      </c>
      <c r="E20" s="121">
        <f>D20*0.19</f>
        <v>40185</v>
      </c>
      <c r="F20" s="120">
        <f>SUM(D20:E20)</f>
        <v>251685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961500</v>
      </c>
      <c r="E21" s="116">
        <f>SUM(E18:E20)</f>
        <v>182685</v>
      </c>
      <c r="F21" s="115">
        <f>SUM(F18:F20)</f>
        <v>1144185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484215</v>
      </c>
    </row>
    <row r="41" spans="2:16" ht="15" thickBot="1" x14ac:dyDescent="0.35">
      <c r="H41" s="338" t="s">
        <v>61</v>
      </c>
      <c r="I41" s="339"/>
      <c r="J41" s="339"/>
      <c r="K41" s="339"/>
      <c r="L41" s="339"/>
      <c r="M41" s="340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3510000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961500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2518665.9092125604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2518665.9092125604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2024-01-24T17:34:58Z</cp:lastPrinted>
  <dcterms:created xsi:type="dcterms:W3CDTF">2013-03-18T13:35:42Z</dcterms:created>
  <dcterms:modified xsi:type="dcterms:W3CDTF">2024-01-24T19:28:15Z</dcterms:modified>
</cp:coreProperties>
</file>