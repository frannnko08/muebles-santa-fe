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DC696C2A-52D5-4BDF-B86E-31E1CC42E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L25" i="1" s="1"/>
  <c r="M21" i="1"/>
  <c r="R21" i="1" l="1"/>
  <c r="N21" i="1"/>
  <c r="O21" i="1" s="1"/>
  <c r="O26" i="1" s="1"/>
  <c r="J41" i="1"/>
  <c r="N32" i="1"/>
  <c r="U34" i="1" l="1"/>
  <c r="O27" i="1" l="1"/>
  <c r="S44" i="1"/>
  <c r="O28" i="1" l="1"/>
  <c r="O29" i="1" s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F18" i="3" l="1"/>
  <c r="L31" i="1" l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R27" i="1"/>
  <c r="H21" i="1" l="1"/>
  <c r="H25" i="1" l="1"/>
  <c r="D11" i="3" s="1"/>
  <c r="X9" i="3" l="1"/>
  <c r="D13" i="3"/>
  <c r="E13" i="3"/>
  <c r="E11" i="3"/>
  <c r="D40" i="3" s="1"/>
  <c r="M42" i="3"/>
  <c r="M46" i="3" s="1"/>
  <c r="M49" i="3" s="1"/>
  <c r="F11" i="3" l="1"/>
  <c r="X15" i="3"/>
  <c r="X13" i="3"/>
  <c r="X12" i="3"/>
  <c r="X16" i="3"/>
  <c r="X14" i="3"/>
  <c r="X11" i="3"/>
</calcChain>
</file>

<file path=xl/sharedStrings.xml><?xml version="1.0" encoding="utf-8"?>
<sst xmlns="http://schemas.openxmlformats.org/spreadsheetml/2006/main" count="218" uniqueCount="167">
  <si>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</si>
  <si>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</si>
  <si>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</si>
  <si>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</si>
  <si>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</si>
  <si>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</si>
  <si>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</si>
  <si>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</si>
  <si>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</si>
  <si>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</si>
  <si>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</si>
  <si>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</si>
  <si>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</si>
  <si>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</si>
  <si>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</si>
  <si>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</si>
  <si>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</si>
  <si>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</si>
  <si>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</si>
  <si>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</si>
  <si>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</si>
  <si>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</si>
  <si>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</si>
  <si>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</si>
  <si>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</si>
  <si>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</si>
  <si>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</si>
  <si>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</si>
  <si>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</si>
  <si>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</si>
  <si>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</si>
  <si>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</si>
  <si>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</si>
  <si>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</si>
  <si>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</si>
  <si>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</si>
  <si>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</si>
  <si>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</si>
  <si>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</si>
  <si>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</si>
  <si>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</si>
  <si>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</si>
  <si>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</si>
  <si>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</si>
  <si>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</si>
  <si>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</si>
  <si>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</si>
  <si>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</si>
  <si>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</si>
  <si>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</si>
  <si>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</si>
  <si>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</si>
  <si>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</si>
  <si>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</si>
  <si>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</si>
  <si>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</si>
  <si>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</si>
  <si>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</si>
  <si>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</si>
  <si>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</si>
  <si>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</si>
  <si>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</si>
  <si>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</si>
  <si>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</si>
  <si>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</si>
  <si>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</si>
  <si>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</si>
  <si>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</si>
  <si>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</si>
  <si>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</si>
  <si>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</si>
  <si>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</si>
  <si>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</si>
  <si>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</si>
  <si>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</si>
  <si>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</si>
  <si>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</si>
  <si>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</si>
  <si>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</si>
  <si>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</si>
  <si>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</si>
  <si>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</si>
  <si>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</si>
  <si>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</si>
  <si>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</si>
  <si>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</si>
  <si>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</si>
  <si>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</si>
  <si>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</si>
  <si>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</si>
  <si>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</si>
  <si>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</si>
  <si>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</si>
  <si>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</si>
  <si>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</si>
  <si>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</si>
  <si>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</si>
  <si>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</si>
  <si>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</si>
  <si>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</si>
  <si>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</si>
  <si>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</si>
  <si>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</si>
  <si>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</si>
  <si>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</si>
  <si>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</si>
  <si>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</si>
  <si>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</si>
  <si>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</si>
  <si>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</si>
  <si>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</si>
  <si>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</si>
  <si>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</si>
  <si>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</si>
  <si>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</si>
  <si>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</si>
  <si>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</si>
  <si>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</si>
  <si>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</si>
  <si>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</si>
  <si>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</si>
  <si>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</si>
  <si>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</si>
  <si>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</si>
  <si>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</si>
  <si>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</si>
  <si>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</si>
  <si>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</si>
  <si>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</si>
  <si>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</si>
  <si>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</si>
  <si>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</si>
  <si>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</si>
  <si>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</si>
  <si>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</si>
  <si>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</si>
  <si>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</si>
  <si>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</si>
  <si>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</si>
  <si>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</si>
  <si>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</si>
  <si>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</si>
  <si>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</si>
  <si>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</si>
  <si>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</si>
  <si>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</si>
  <si>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</si>
  <si>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</si>
  <si>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</si>
  <si>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</si>
  <si>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</si>
  <si>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</si>
  <si>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</si>
  <si>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</si>
  <si>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</si>
  <si>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</si>
  <si>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</si>
  <si>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</si>
  <si>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SANTIAGO</t>
  </si>
  <si>
    <t>CUENTA CORRIENTE BANCO SANTANDER Nº 87316181 A NOMBRE DE MUEBLES SANTA FE SPA</t>
  </si>
  <si>
    <t xml:space="preserve">IVA </t>
  </si>
  <si>
    <t>BRAYAN ROJAS</t>
  </si>
  <si>
    <t>+56933958168</t>
  </si>
  <si>
    <t>SKELETON MARBLE 40418 GL</t>
  </si>
  <si>
    <t>CUBIERTA SIN RESPALDO FRENTE 90° R8</t>
  </si>
  <si>
    <t>24-01-024</t>
  </si>
  <si>
    <t>DURACION COTIZACION: 5 DIAS                           FERNANDO DONOSO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</si>
</sst>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8" borderId="7" xfId="6" applyFont="1" applyFill="1" applyBorder="1" applyAlignment="1">
      <alignment horizontal="right"/>
    </xf>
    <xf numFmtId="42" fontId="0" fillId="9" borderId="10" xfId="6" applyFont="1" applyFill="1" applyBorder="1" applyAlignment="1">
      <alignment horizontal="right"/>
    </xf>
    <xf numFmtId="42" fontId="0" fillId="9" borderId="14" xfId="6" applyFont="1" applyFill="1" applyBorder="1" applyAlignment="1">
      <alignment horizontal="right"/>
    </xf>
    <xf numFmtId="9" fontId="0" fillId="0" borderId="0" xfId="1" applyFont="1"/>
    <xf numFmtId="42" fontId="7" fillId="8" borderId="7" xfId="6" applyFont="1" applyFill="1" applyBorder="1"/>
    <xf numFmtId="0" fontId="13" fillId="8" borderId="18" xfId="0" applyFont="1" applyFill="1" applyBorder="1" applyAlignment="1">
      <alignment horizontal="center"/>
    </xf>
    <xf numFmtId="41" fontId="14" fillId="8" borderId="19" xfId="4" applyFont="1" applyFill="1" applyBorder="1"/>
    <xf numFmtId="42" fontId="0" fillId="9" borderId="20" xfId="6" applyFont="1" applyFill="1" applyBorder="1" applyAlignment="1">
      <alignment horizontal="right"/>
    </xf>
    <xf numFmtId="42" fontId="7" fillId="10" borderId="7" xfId="0" applyNumberFormat="1" applyFont="1" applyFill="1" applyBorder="1"/>
    <xf numFmtId="0" fontId="7" fillId="10" borderId="19" xfId="0" applyFont="1" applyFill="1" applyBorder="1" applyAlignment="1">
      <alignment horizontal="center"/>
    </xf>
    <xf numFmtId="0" fontId="7" fillId="9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0" borderId="7" xfId="6" applyFont="1" applyFill="1" applyBorder="1" applyAlignment="1">
      <alignment horizontal="right"/>
    </xf>
    <xf numFmtId="0" fontId="7" fillId="10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0" borderId="2" xfId="0" applyFont="1" applyFill="1" applyBorder="1"/>
    <xf numFmtId="42" fontId="0" fillId="0" borderId="29" xfId="6" applyFont="1" applyBorder="1" applyAlignment="1">
      <alignment horizontal="center"/>
    </xf>
    <xf numFmtId="42" fontId="7" fillId="11" borderId="7" xfId="6" applyFont="1" applyFill="1" applyBorder="1"/>
    <xf numFmtId="41" fontId="7" fillId="11" borderId="18" xfId="0" applyNumberFormat="1" applyFont="1" applyFill="1" applyBorder="1" applyAlignment="1">
      <alignment horizontal="left" indent="1"/>
    </xf>
    <xf numFmtId="42" fontId="7" fillId="11" borderId="18" xfId="0" applyNumberFormat="1" applyFont="1" applyFill="1" applyBorder="1"/>
    <xf numFmtId="0" fontId="7" fillId="11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1" borderId="7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41" fontId="7" fillId="11" borderId="18" xfId="4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/>
    </xf>
    <xf numFmtId="0" fontId="7" fillId="11" borderId="19" xfId="0" applyFont="1" applyFill="1" applyBorder="1"/>
    <xf numFmtId="42" fontId="7" fillId="12" borderId="7" xfId="6" applyFont="1" applyFill="1" applyBorder="1"/>
    <xf numFmtId="42" fontId="7" fillId="12" borderId="18" xfId="6" applyFont="1" applyFill="1" applyBorder="1"/>
    <xf numFmtId="42" fontId="0" fillId="12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4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42" fontId="7" fillId="8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42" fontId="2" fillId="8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0" borderId="2" xfId="0" quotePrefix="1" applyFill="1" applyBorder="1" applyAlignment="1">
      <alignment horizontal="left"/>
    </xf>
    <xf numFmtId="0" fontId="0" fillId="10" borderId="9" xfId="0" quotePrefix="1" applyFill="1" applyBorder="1" applyAlignment="1">
      <alignment horizontal="left"/>
    </xf>
    <xf numFmtId="0" fontId="0" fillId="10" borderId="8" xfId="0" quotePrefix="1" applyFill="1" applyBorder="1" applyAlignment="1">
      <alignment horizontal="left"/>
    </xf>
    <xf numFmtId="0" fontId="0" fillId="9" borderId="17" xfId="0" quotePrefix="1" applyFill="1" applyBorder="1" applyAlignment="1">
      <alignment horizontal="left"/>
    </xf>
    <xf numFmtId="0" fontId="0" fillId="9" borderId="16" xfId="0" quotePrefix="1" applyFill="1" applyBorder="1" applyAlignment="1">
      <alignment horizontal="left"/>
    </xf>
    <xf numFmtId="0" fontId="0" fillId="9" borderId="15" xfId="0" quotePrefix="1" applyFill="1" applyBorder="1" applyAlignment="1">
      <alignment horizontal="left"/>
    </xf>
    <xf numFmtId="0" fontId="0" fillId="9" borderId="23" xfId="0" quotePrefix="1" applyFill="1" applyBorder="1" applyAlignment="1">
      <alignment horizontal="left"/>
    </xf>
    <xf numFmtId="0" fontId="0" fillId="9" borderId="22" xfId="0" quotePrefix="1" applyFill="1" applyBorder="1" applyAlignment="1">
      <alignment horizontal="left"/>
    </xf>
    <xf numFmtId="0" fontId="0" fillId="9" borderId="21" xfId="0" quotePrefix="1" applyFill="1" applyBorder="1" applyAlignment="1">
      <alignment horizontal="left"/>
    </xf>
    <xf numFmtId="0" fontId="0" fillId="9" borderId="13" xfId="0" quotePrefix="1" applyFill="1" applyBorder="1" applyAlignment="1">
      <alignment horizontal="left"/>
    </xf>
    <xf numFmtId="0" fontId="0" fillId="9" borderId="12" xfId="0" quotePrefix="1" applyFill="1" applyBorder="1" applyAlignment="1">
      <alignment horizontal="left"/>
    </xf>
    <xf numFmtId="0" fontId="0" fillId="9" borderId="11" xfId="0" quotePrefix="1" applyFill="1" applyBorder="1" applyAlignment="1">
      <alignment horizontal="left"/>
    </xf>
    <xf numFmtId="0" fontId="7" fillId="8" borderId="2" xfId="0" quotePrefix="1" applyFont="1" applyFill="1" applyBorder="1" applyAlignment="1">
      <alignment horizontal="left"/>
    </xf>
    <xf numFmtId="0" fontId="7" fillId="8" borderId="9" xfId="0" quotePrefix="1" applyFont="1" applyFill="1" applyBorder="1" applyAlignment="1">
      <alignment horizontal="left"/>
    </xf>
    <xf numFmtId="0" fontId="7" fillId="8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8" borderId="9" xfId="0" applyFont="1" applyFill="1" applyBorder="1"/>
    <xf numFmtId="0" fontId="7" fillId="0" borderId="13" xfId="0" applyFont="1" applyBorder="1" applyAlignment="1">
      <alignment horizontal="center"/>
    </xf>
    <xf numFmtId="0" fontId="7" fillId="8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8" borderId="47" xfId="0" applyFont="1" applyFill="1" applyBorder="1" applyAlignment="1">
      <alignment horizontal="center"/>
    </xf>
    <xf numFmtId="0" fontId="7" fillId="8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6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3" borderId="19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7" borderId="0" xfId="0" applyFont="1" applyFill="1" applyAlignment="1">
      <alignment shrinkToFit="1"/>
    </xf>
    <xf numFmtId="167" fontId="3" fillId="17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2" applyNumberFormat="1" applyFont="1" applyFill="1" applyBorder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8" borderId="2" xfId="0" applyFont="1" applyFill="1" applyBorder="1" applyAlignment="1">
      <alignment horizontal="left" indent="1"/>
    </xf>
    <xf numFmtId="0" fontId="21" fillId="18" borderId="9" xfId="0" applyFont="1" applyFill="1" applyBorder="1"/>
    <xf numFmtId="0" fontId="21" fillId="18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0" fillId="12" borderId="0" xfId="0" applyFill="1"/>
    <xf numFmtId="0" fontId="26" fillId="12" borderId="0" xfId="0" applyFont="1" applyFill="1" applyAlignment="1">
      <alignment horizontal="left"/>
    </xf>
    <xf numFmtId="0" fontId="4" fillId="12" borderId="0" xfId="0" applyFont="1" applyFill="1"/>
    <xf numFmtId="0" fontId="26" fillId="12" borderId="0" xfId="0" applyFont="1" applyFill="1"/>
    <xf numFmtId="0" fontId="13" fillId="12" borderId="0" xfId="0" applyFont="1" applyFill="1"/>
    <xf numFmtId="0" fontId="27" fillId="12" borderId="0" xfId="0" applyFont="1" applyFill="1"/>
    <xf numFmtId="0" fontId="0" fillId="19" borderId="0" xfId="0" applyFill="1"/>
    <xf numFmtId="14" fontId="26" fillId="19" borderId="0" xfId="0" applyNumberFormat="1" applyFont="1" applyFill="1" applyAlignment="1">
      <alignment horizontal="left"/>
    </xf>
    <xf numFmtId="0" fontId="7" fillId="19" borderId="0" xfId="0" applyFont="1" applyFill="1"/>
    <xf numFmtId="0" fontId="26" fillId="19" borderId="0" xfId="0" applyFont="1" applyFill="1" applyAlignment="1">
      <alignment horizontal="left"/>
    </xf>
    <xf numFmtId="0" fontId="32" fillId="19" borderId="0" xfId="3" quotePrefix="1" applyFont="1" applyFill="1" applyBorder="1"/>
    <xf numFmtId="0" fontId="26" fillId="19" borderId="0" xfId="0" applyFont="1" applyFill="1"/>
    <xf numFmtId="0" fontId="7" fillId="12" borderId="46" xfId="0" applyFont="1" applyFill="1" applyBorder="1"/>
    <xf numFmtId="0" fontId="0" fillId="12" borderId="46" xfId="0" applyFill="1" applyBorder="1" applyAlignment="1">
      <alignment horizontal="left"/>
    </xf>
    <xf numFmtId="14" fontId="26" fillId="12" borderId="46" xfId="0" applyNumberFormat="1" applyFont="1" applyFill="1" applyBorder="1" applyAlignment="1">
      <alignment horizontal="left"/>
    </xf>
    <xf numFmtId="0" fontId="0" fillId="12" borderId="53" xfId="0" applyFill="1" applyBorder="1"/>
    <xf numFmtId="0" fontId="0" fillId="19" borderId="55" xfId="0" applyFill="1" applyBorder="1"/>
    <xf numFmtId="0" fontId="0" fillId="12" borderId="55" xfId="0" applyFill="1" applyBorder="1"/>
    <xf numFmtId="0" fontId="6" fillId="12" borderId="54" xfId="0" applyFont="1" applyFill="1" applyBorder="1"/>
    <xf numFmtId="0" fontId="10" fillId="0" borderId="0" xfId="0" applyFont="1" applyAlignment="1">
      <alignment horizontal="center"/>
    </xf>
    <xf numFmtId="0" fontId="5" fillId="19" borderId="0" xfId="0" applyFont="1" applyFill="1"/>
    <xf numFmtId="0" fontId="7" fillId="12" borderId="0" xfId="0" applyFont="1" applyFill="1"/>
    <xf numFmtId="0" fontId="5" fillId="19" borderId="37" xfId="3" applyFont="1" applyFill="1" applyBorder="1" applyAlignment="1">
      <alignment horizontal="left"/>
    </xf>
    <xf numFmtId="0" fontId="7" fillId="19" borderId="37" xfId="3" applyFont="1" applyFill="1" applyBorder="1" applyAlignment="1">
      <alignment horizontal="left"/>
    </xf>
    <xf numFmtId="0" fontId="7" fillId="19" borderId="37" xfId="0" applyFont="1" applyFill="1" applyBorder="1"/>
    <xf numFmtId="0" fontId="33" fillId="19" borderId="0" xfId="0" applyFont="1" applyFill="1"/>
    <xf numFmtId="0" fontId="34" fillId="12" borderId="0" xfId="0" applyFont="1" applyFill="1"/>
    <xf numFmtId="0" fontId="0" fillId="12" borderId="47" xfId="0" applyFill="1" applyBorder="1"/>
    <xf numFmtId="0" fontId="0" fillId="19" borderId="54" xfId="0" applyFill="1" applyBorder="1"/>
    <xf numFmtId="0" fontId="0" fillId="12" borderId="54" xfId="0" applyFill="1" applyBorder="1"/>
    <xf numFmtId="0" fontId="0" fillId="19" borderId="44" xfId="0" applyFill="1" applyBorder="1"/>
    <xf numFmtId="0" fontId="19" fillId="18" borderId="25" xfId="0" applyFont="1" applyFill="1" applyBorder="1" applyAlignment="1">
      <alignment horizontal="center" vertical="center"/>
    </xf>
    <xf numFmtId="0" fontId="19" fillId="18" borderId="42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8" fillId="12" borderId="0" xfId="3" applyFill="1"/>
    <xf numFmtId="42" fontId="30" fillId="0" borderId="0" xfId="8" applyFont="1" applyFill="1" applyBorder="1"/>
    <xf numFmtId="3" fontId="10" fillId="0" borderId="0" xfId="0" applyNumberFormat="1" applyFont="1" applyAlignment="1">
      <alignment horizontal="center"/>
    </xf>
    <xf numFmtId="0" fontId="35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1" fontId="29" fillId="0" borderId="0" xfId="0" applyNumberFormat="1" applyFont="1" applyAlignment="1">
      <alignment horizontal="center" vertical="center"/>
    </xf>
    <xf numFmtId="42" fontId="1" fillId="0" borderId="0" xfId="8" applyFont="1" applyFill="1" applyBorder="1" applyAlignment="1">
      <alignment horizontal="center" vertical="center"/>
    </xf>
    <xf numFmtId="42" fontId="1" fillId="0" borderId="28" xfId="8" applyFont="1" applyFill="1" applyBorder="1" applyAlignment="1">
      <alignment horizontal="center" vertical="center"/>
    </xf>
    <xf numFmtId="42" fontId="1" fillId="0" borderId="27" xfId="8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2" fontId="1" fillId="0" borderId="2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42" fontId="1" fillId="0" borderId="29" xfId="8" applyFont="1" applyFill="1" applyBorder="1"/>
    <xf numFmtId="1" fontId="36" fillId="0" borderId="28" xfId="0" applyNumberFormat="1" applyFont="1" applyBorder="1" applyAlignment="1">
      <alignment horizontal="center" vertical="center"/>
    </xf>
    <xf numFmtId="166" fontId="36" fillId="0" borderId="36" xfId="0" applyNumberFormat="1" applyFont="1" applyBorder="1" applyAlignment="1">
      <alignment horizontal="center" vertical="center"/>
    </xf>
    <xf numFmtId="42" fontId="1" fillId="0" borderId="36" xfId="8" applyFont="1" applyFill="1" applyBorder="1" applyAlignment="1">
      <alignment horizontal="center" vertical="center"/>
    </xf>
    <xf numFmtId="0" fontId="0" fillId="16" borderId="0" xfId="0" applyFill="1"/>
    <xf numFmtId="166" fontId="37" fillId="0" borderId="36" xfId="0" applyNumberFormat="1" applyFont="1" applyBorder="1" applyAlignment="1">
      <alignment horizontal="center" vertical="center"/>
    </xf>
    <xf numFmtId="0" fontId="17" fillId="19" borderId="37" xfId="0" applyFont="1" applyFill="1" applyBorder="1" applyAlignment="1">
      <alignment horizontal="left"/>
    </xf>
    <xf numFmtId="0" fontId="17" fillId="19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0" borderId="48" xfId="0" applyFont="1" applyFill="1" applyBorder="1" applyAlignment="1">
      <alignment horizontal="center"/>
    </xf>
    <xf numFmtId="0" fontId="7" fillId="10" borderId="51" xfId="0" applyFont="1" applyFill="1" applyBorder="1" applyAlignment="1">
      <alignment horizontal="center"/>
    </xf>
    <xf numFmtId="0" fontId="7" fillId="10" borderId="52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7" fillId="15" borderId="9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29</xdr:row>
      <xdr:rowOff>28575</xdr:rowOff>
    </xdr:from>
    <xdr:to>
      <xdr:col>8</xdr:col>
      <xdr:colOff>234240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62925" y="71532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28</xdr:row>
      <xdr:rowOff>209550</xdr:rowOff>
    </xdr:from>
    <xdr:to>
      <xdr:col>5</xdr:col>
      <xdr:colOff>1733550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00050" y="5905500"/>
          <a:ext cx="67818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22861</xdr:colOff>
      <xdr:row>21</xdr:row>
      <xdr:rowOff>240030</xdr:rowOff>
    </xdr:from>
    <xdr:to>
      <xdr:col>5</xdr:col>
      <xdr:colOff>1792605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3386" y="5574030"/>
          <a:ext cx="6417944" cy="94107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 CUBIERTAS SE ENTREGAN</a:t>
          </a:r>
          <a:r>
            <a:rPr lang="es-CL" sz="1400" b="1" baseline="0"/>
            <a:t> CON SOBRE MEDIDA EN EL LARGO  </a:t>
          </a:r>
          <a:endParaRPr lang="es-CL" sz="14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Normal="100" workbookViewId="0">
      <selection activeCell="F18" sqref="F18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1.109375" customWidth="1"/>
    <col min="5" max="5" width="10.5546875" customWidth="1"/>
    <col min="6" max="6" width="34.4414062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144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140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145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4" t="s">
        <v>128</v>
      </c>
      <c r="C8" s="275"/>
      <c r="D8" s="276">
        <v>10543</v>
      </c>
      <c r="F8" s="55"/>
      <c r="J8" s="300"/>
      <c r="Q8" s="1"/>
      <c r="R8" s="2"/>
      <c r="S8" s="2"/>
      <c r="T8" s="1"/>
      <c r="U8" s="1"/>
      <c r="V8" s="2"/>
    </row>
    <row r="9" spans="2:23" ht="15" thickBot="1" x14ac:dyDescent="0.35">
      <c r="J9" s="71"/>
      <c r="Q9" s="1"/>
      <c r="R9" s="2"/>
      <c r="S9" s="2"/>
      <c r="T9" s="3"/>
      <c r="U9" s="1"/>
      <c r="V9" s="2"/>
    </row>
    <row r="10" spans="2:23" x14ac:dyDescent="0.3">
      <c r="B10" s="308" t="s">
        <v>2</v>
      </c>
      <c r="C10" s="293" t="s">
        <v>161</v>
      </c>
      <c r="D10" s="293"/>
      <c r="E10" s="293"/>
      <c r="F10" s="294" t="s">
        <v>0</v>
      </c>
      <c r="G10" s="295">
        <v>45309</v>
      </c>
      <c r="H10" s="296"/>
      <c r="Q10" s="1"/>
      <c r="R10" s="2"/>
      <c r="S10" s="2"/>
      <c r="T10" s="3"/>
      <c r="U10" s="1"/>
      <c r="V10" s="2"/>
    </row>
    <row r="11" spans="2:23" ht="15.6" x14ac:dyDescent="0.3">
      <c r="B11" s="309" t="s">
        <v>12</v>
      </c>
      <c r="C11" s="301"/>
      <c r="D11" s="289"/>
      <c r="E11" s="289"/>
      <c r="F11" s="287" t="s">
        <v>125</v>
      </c>
      <c r="G11" s="288" t="s">
        <v>165</v>
      </c>
      <c r="H11" s="297"/>
      <c r="L11">
        <v>225990</v>
      </c>
      <c r="P11" s="18"/>
      <c r="Q11" s="23" t="s">
        <v>19</v>
      </c>
      <c r="R11" s="18"/>
    </row>
    <row r="12" spans="2:23" x14ac:dyDescent="0.3">
      <c r="B12" s="310" t="s">
        <v>147</v>
      </c>
      <c r="C12" s="302"/>
      <c r="D12" s="302"/>
      <c r="E12" s="302"/>
      <c r="F12" s="281" t="s">
        <v>129</v>
      </c>
      <c r="G12" s="282" t="s">
        <v>157</v>
      </c>
      <c r="H12" s="298"/>
      <c r="L12" s="332"/>
      <c r="P12" s="18"/>
      <c r="Q12" s="23"/>
      <c r="R12" s="18"/>
    </row>
    <row r="13" spans="2:23" x14ac:dyDescent="0.3">
      <c r="B13" s="309" t="s">
        <v>148</v>
      </c>
      <c r="C13" s="289"/>
      <c r="D13" s="289"/>
      <c r="E13" s="289"/>
      <c r="F13" s="287"/>
      <c r="G13" s="290"/>
      <c r="H13" s="297"/>
      <c r="P13" s="18"/>
      <c r="Q13" s="23"/>
      <c r="R13" s="18"/>
    </row>
    <row r="14" spans="2:23" x14ac:dyDescent="0.3">
      <c r="B14" s="310" t="s">
        <v>141</v>
      </c>
      <c r="C14" s="315"/>
      <c r="D14" s="302"/>
      <c r="E14" s="302"/>
      <c r="F14" s="283" t="s">
        <v>138</v>
      </c>
      <c r="G14" s="284" t="s">
        <v>137</v>
      </c>
      <c r="H14" s="298"/>
      <c r="P14" s="19"/>
      <c r="Q14" s="24" t="s">
        <v>18</v>
      </c>
      <c r="R14" s="19"/>
    </row>
    <row r="15" spans="2:23" ht="15.6" x14ac:dyDescent="0.3">
      <c r="B15" s="309" t="s">
        <v>4</v>
      </c>
      <c r="C15" s="291" t="s">
        <v>162</v>
      </c>
      <c r="D15" s="306"/>
      <c r="E15" s="289"/>
      <c r="F15" s="287" t="s">
        <v>136</v>
      </c>
      <c r="G15" s="292" t="s">
        <v>137</v>
      </c>
      <c r="H15" s="297"/>
      <c r="J15" s="134"/>
      <c r="K15"/>
    </row>
    <row r="16" spans="2:23" x14ac:dyDescent="0.3">
      <c r="B16" s="299" t="s">
        <v>3</v>
      </c>
      <c r="C16" s="307"/>
      <c r="D16" s="302"/>
      <c r="E16" s="302"/>
      <c r="F16" s="285" t="s">
        <v>131</v>
      </c>
      <c r="G16" s="286" t="s">
        <v>153</v>
      </c>
      <c r="H16" s="298"/>
    </row>
    <row r="17" spans="2:24" ht="16.2" thickBot="1" x14ac:dyDescent="0.35">
      <c r="B17" s="311" t="s">
        <v>13</v>
      </c>
      <c r="C17" s="303" t="s">
        <v>158</v>
      </c>
      <c r="D17" s="304"/>
      <c r="E17" s="305"/>
      <c r="F17" s="334" t="s">
        <v>166</v>
      </c>
      <c r="G17" s="334"/>
      <c r="H17" s="335"/>
      <c r="I17" s="251"/>
      <c r="J17">
        <v>142784</v>
      </c>
      <c r="S17" s="5"/>
      <c r="T17" s="5"/>
    </row>
    <row r="18" spans="2:24" ht="15.75" customHeight="1" thickBot="1" x14ac:dyDescent="0.35">
      <c r="B18" s="272"/>
      <c r="H18" s="273"/>
      <c r="I18" s="44"/>
      <c r="J18" s="4">
        <v>85767</v>
      </c>
      <c r="U18" s="8"/>
      <c r="W18" s="5"/>
      <c r="X18" s="5"/>
    </row>
    <row r="19" spans="2:24" ht="20.100000000000001" customHeight="1" x14ac:dyDescent="0.3">
      <c r="B19" s="336" t="s">
        <v>149</v>
      </c>
      <c r="C19" s="337"/>
      <c r="D19" s="337"/>
      <c r="E19" s="337"/>
      <c r="F19" s="337"/>
      <c r="G19" s="337"/>
      <c r="H19" s="338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139</v>
      </c>
      <c r="T19" s="8"/>
      <c r="U19" s="8"/>
      <c r="W19" s="5"/>
      <c r="X19" s="5"/>
    </row>
    <row r="20" spans="2:24" ht="20.100000000000001" customHeight="1" thickBot="1" x14ac:dyDescent="0.35">
      <c r="B20" s="312" t="s">
        <v>7</v>
      </c>
      <c r="C20" s="313" t="s">
        <v>1</v>
      </c>
      <c r="D20" s="313" t="s">
        <v>10</v>
      </c>
      <c r="E20" s="313" t="s">
        <v>11</v>
      </c>
      <c r="F20" s="313" t="s">
        <v>8</v>
      </c>
      <c r="G20" s="313" t="s">
        <v>5</v>
      </c>
      <c r="H20" s="314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N39</f>
        <v>72075.196743554945</v>
      </c>
      <c r="Q20" s="246">
        <v>5000</v>
      </c>
      <c r="R20" s="35"/>
      <c r="S20" s="13" t="s">
        <v>130</v>
      </c>
      <c r="T20" s="8"/>
      <c r="W20" s="3"/>
    </row>
    <row r="21" spans="2:24" ht="20.100000000000001" customHeight="1" x14ac:dyDescent="0.3">
      <c r="B21" s="329">
        <v>1</v>
      </c>
      <c r="C21" s="333" t="s">
        <v>164</v>
      </c>
      <c r="D21" s="330">
        <v>0.95499999999999996</v>
      </c>
      <c r="E21" s="330">
        <v>0.55000000000000004</v>
      </c>
      <c r="F21" s="330" t="s">
        <v>163</v>
      </c>
      <c r="G21" s="331">
        <v>40000</v>
      </c>
      <c r="H21" s="324">
        <f>G21</f>
        <v>40000</v>
      </c>
      <c r="I21" s="253"/>
      <c r="J21" s="44"/>
      <c r="K21" s="44">
        <f t="shared" ref="K21" si="1">B21</f>
        <v>1</v>
      </c>
      <c r="L21" s="36">
        <f t="shared" ref="L21" si="2">D21+L$19</f>
        <v>1.0049999999999999</v>
      </c>
      <c r="M21" s="36">
        <f t="shared" ref="M21" si="3">E21</f>
        <v>0.55000000000000004</v>
      </c>
      <c r="N21" s="249">
        <f t="shared" ref="N21" si="4">L21*M21</f>
        <v>0.55274999999999996</v>
      </c>
      <c r="O21" s="247">
        <f t="shared" ref="O21" si="5">N21*K21</f>
        <v>0.55274999999999996</v>
      </c>
      <c r="P21" s="240">
        <f t="shared" ref="P21" si="6">P$20*N21</f>
        <v>39839.564999999995</v>
      </c>
      <c r="Q21" s="246">
        <f t="shared" ref="Q21" si="7">P21+Q$20</f>
        <v>44839.564999999995</v>
      </c>
      <c r="R21" s="278">
        <f t="shared" ref="R21" si="8">K21*L21</f>
        <v>1.0049999999999999</v>
      </c>
      <c r="S21" s="13"/>
      <c r="T21" s="8"/>
      <c r="W21" s="3"/>
    </row>
    <row r="22" spans="2:24" ht="20.100000000000001" customHeight="1" thickBot="1" x14ac:dyDescent="0.35">
      <c r="B22" s="321"/>
      <c r="C22" s="271"/>
      <c r="D22" s="271"/>
      <c r="E22" s="271"/>
      <c r="F22" s="271"/>
      <c r="G22" s="322"/>
      <c r="H22" s="322"/>
      <c r="I22" s="253"/>
      <c r="J22" s="44"/>
      <c r="K22" s="44"/>
      <c r="L22" s="36"/>
      <c r="M22" s="36"/>
      <c r="N22" s="249"/>
      <c r="O22" s="247"/>
      <c r="P22" s="240"/>
      <c r="Q22" s="246"/>
      <c r="R22" s="278"/>
      <c r="S22" s="13"/>
      <c r="T22" s="8"/>
      <c r="W22" s="3"/>
    </row>
    <row r="23" spans="2:24" ht="20.100000000000001" customHeight="1" x14ac:dyDescent="0.3">
      <c r="B23" s="321"/>
      <c r="C23" s="271"/>
      <c r="D23" s="271"/>
      <c r="E23" s="271"/>
      <c r="F23" s="271"/>
      <c r="G23" s="323" t="s">
        <v>30</v>
      </c>
      <c r="H23" s="324">
        <v>40000</v>
      </c>
      <c r="I23" s="253"/>
      <c r="J23" s="44"/>
      <c r="K23" s="44"/>
      <c r="L23" s="36"/>
      <c r="M23" s="36"/>
      <c r="N23" s="249"/>
      <c r="O23" s="247"/>
      <c r="P23" s="240"/>
      <c r="Q23" s="246"/>
      <c r="R23" s="278"/>
      <c r="S23" s="13"/>
      <c r="T23" s="8"/>
      <c r="W23" s="3"/>
    </row>
    <row r="24" spans="2:24" ht="18" x14ac:dyDescent="0.3">
      <c r="B24" s="270"/>
      <c r="C24" s="270"/>
      <c r="D24" s="271"/>
      <c r="E24" s="271"/>
      <c r="F24" s="270"/>
      <c r="G24" s="325" t="s">
        <v>160</v>
      </c>
      <c r="H24" s="326"/>
      <c r="I24" s="227"/>
      <c r="J24" s="44"/>
      <c r="K24" s="44"/>
      <c r="L24" s="43"/>
      <c r="M24" s="36"/>
      <c r="N24" s="249"/>
      <c r="O24" s="247"/>
      <c r="P24" s="240"/>
      <c r="Q24" s="246"/>
      <c r="R24" s="278"/>
      <c r="S24" s="13"/>
      <c r="T24" s="8"/>
      <c r="W24" s="3"/>
    </row>
    <row r="25" spans="2:24" ht="18" customHeight="1" thickBot="1" x14ac:dyDescent="0.4">
      <c r="B25" s="270"/>
      <c r="C25" s="270"/>
      <c r="D25" s="271"/>
      <c r="E25" s="271"/>
      <c r="F25" s="270"/>
      <c r="G25" s="327" t="s">
        <v>6</v>
      </c>
      <c r="H25" s="328">
        <f>H23+H24</f>
        <v>40000</v>
      </c>
      <c r="I25" s="253"/>
      <c r="J25" s="44"/>
      <c r="K25" s="44"/>
      <c r="L25" s="258" t="e">
        <f>L21+#REF!</f>
        <v>#REF!</v>
      </c>
      <c r="M25" s="36"/>
      <c r="N25" s="249"/>
      <c r="O25" s="247"/>
      <c r="P25" s="240"/>
      <c r="Q25" s="246"/>
      <c r="R25" s="278"/>
      <c r="S25" s="13"/>
      <c r="T25" s="8"/>
      <c r="W25" s="3"/>
    </row>
    <row r="26" spans="2:24" ht="18" customHeight="1" x14ac:dyDescent="0.3">
      <c r="B26" s="265"/>
      <c r="C26" s="267"/>
      <c r="D26" s="268"/>
      <c r="E26" s="268"/>
      <c r="F26" s="269"/>
      <c r="G26" s="317"/>
      <c r="H26" s="316"/>
      <c r="I26" s="253"/>
      <c r="J26" s="44">
        <v>103577</v>
      </c>
      <c r="K26" s="44"/>
      <c r="L26" s="36"/>
      <c r="M26" s="11"/>
      <c r="N26" s="11"/>
      <c r="O26" s="241">
        <f>SUM(O21:O24)</f>
        <v>0.55274999999999996</v>
      </c>
      <c r="P26" s="13"/>
      <c r="Q26" s="11"/>
      <c r="R26" s="233"/>
      <c r="S26" s="13"/>
      <c r="T26" s="8"/>
      <c r="W26" s="3"/>
    </row>
    <row r="27" spans="2:24" ht="18" customHeight="1" x14ac:dyDescent="0.3">
      <c r="B27" s="264"/>
      <c r="C27" s="266"/>
      <c r="D27" s="260"/>
      <c r="E27" s="260"/>
      <c r="F27" s="261"/>
      <c r="G27" s="300"/>
      <c r="H27" s="316"/>
      <c r="I27" s="253"/>
      <c r="J27" s="44"/>
      <c r="K27" s="44"/>
      <c r="L27" s="36"/>
      <c r="M27" s="11"/>
      <c r="N27" s="11"/>
      <c r="O27" s="241">
        <f>O26</f>
        <v>0.55274999999999996</v>
      </c>
      <c r="P27" s="13"/>
      <c r="Q27" s="11"/>
      <c r="R27" s="233">
        <f>SUM(R21:R26)</f>
        <v>1.0049999999999999</v>
      </c>
      <c r="S27" s="13"/>
      <c r="T27" s="8"/>
      <c r="W27" s="3"/>
    </row>
    <row r="28" spans="2:24" ht="17.399999999999999" x14ac:dyDescent="0.3">
      <c r="B28" s="264"/>
      <c r="C28" s="259"/>
      <c r="D28" s="260"/>
      <c r="E28" s="260"/>
      <c r="F28" s="261"/>
      <c r="I28" s="253"/>
      <c r="J28" s="44"/>
      <c r="K28" s="44"/>
      <c r="L28" s="13"/>
      <c r="M28" s="11"/>
      <c r="N28" s="11"/>
      <c r="O28" s="36">
        <f>O27*20%</f>
        <v>0.11055</v>
      </c>
      <c r="P28" s="36" t="s">
        <v>132</v>
      </c>
      <c r="Q28" s="39"/>
      <c r="R28" s="234"/>
      <c r="S28" s="13"/>
      <c r="T28" s="8"/>
      <c r="W28" s="3"/>
    </row>
    <row r="29" spans="2:24" ht="17.399999999999999" x14ac:dyDescent="0.3">
      <c r="B29" s="259"/>
      <c r="C29" s="259"/>
      <c r="D29" s="260"/>
      <c r="E29" s="260"/>
      <c r="F29" s="261"/>
      <c r="G29" s="262"/>
      <c r="H29" s="263"/>
      <c r="I29" s="253"/>
      <c r="J29" s="280"/>
      <c r="K29" s="44"/>
      <c r="L29" s="13"/>
      <c r="M29" s="11"/>
      <c r="N29" s="11"/>
      <c r="O29" s="43">
        <f>O27+O28</f>
        <v>0.6633</v>
      </c>
      <c r="P29" s="13"/>
      <c r="Q29" s="13"/>
      <c r="R29" s="232">
        <v>40</v>
      </c>
      <c r="S29" s="13"/>
      <c r="T29" s="8"/>
      <c r="W29" s="3"/>
    </row>
    <row r="30" spans="2:24" ht="17.399999999999999" x14ac:dyDescent="0.35">
      <c r="B30" s="257"/>
      <c r="C30" s="225"/>
      <c r="D30" s="225"/>
      <c r="E30" s="227"/>
      <c r="F30" s="228"/>
      <c r="G30" s="225"/>
      <c r="H30" s="263"/>
      <c r="I30" s="253"/>
      <c r="J30" s="280"/>
      <c r="K30" s="44"/>
      <c r="L30" s="13"/>
      <c r="M30" s="13"/>
      <c r="N30" s="13"/>
      <c r="O30" s="13"/>
      <c r="P30" s="13"/>
      <c r="Q30" s="13"/>
      <c r="R30" s="232"/>
      <c r="S30" s="13"/>
      <c r="T30" s="8"/>
      <c r="W30" s="3"/>
    </row>
    <row r="31" spans="2:24" ht="17.399999999999999" x14ac:dyDescent="0.35">
      <c r="B31" s="229"/>
      <c r="C31" s="230"/>
      <c r="D31" s="231"/>
      <c r="E31" s="229"/>
      <c r="F31" s="225"/>
      <c r="G31" s="225"/>
      <c r="I31" s="253"/>
      <c r="J31" s="44"/>
      <c r="K31" s="44"/>
      <c r="L31" s="36">
        <f>O29*1</f>
        <v>0.6633</v>
      </c>
      <c r="M31" s="11">
        <v>3500</v>
      </c>
      <c r="N31" s="11">
        <f t="shared" ref="N31:N36" si="9">L31*M31</f>
        <v>2321.5500000000002</v>
      </c>
      <c r="O31" s="13" t="s">
        <v>22</v>
      </c>
      <c r="P31" s="13" t="s">
        <v>23</v>
      </c>
      <c r="Q31" s="13"/>
      <c r="R31" s="235"/>
      <c r="S31" s="13"/>
      <c r="T31" s="8"/>
      <c r="W31" s="3" t="s">
        <v>156</v>
      </c>
    </row>
    <row r="32" spans="2:24" ht="17.399999999999999" x14ac:dyDescent="0.35">
      <c r="B32" s="225"/>
      <c r="C32" s="225"/>
      <c r="D32" s="225"/>
      <c r="E32" s="225"/>
      <c r="F32" s="225"/>
      <c r="G32" s="225"/>
      <c r="I32" s="253"/>
      <c r="J32" s="44"/>
      <c r="K32" s="44"/>
      <c r="L32" s="237">
        <v>0.2</v>
      </c>
      <c r="M32" s="11">
        <v>27000</v>
      </c>
      <c r="N32" s="11">
        <f>L32*M32</f>
        <v>5400</v>
      </c>
      <c r="O32" s="36" t="s">
        <v>155</v>
      </c>
      <c r="P32" s="39"/>
      <c r="Q32" s="13"/>
      <c r="R32" s="234"/>
      <c r="S32" s="13"/>
      <c r="T32" s="8"/>
      <c r="W32" s="3"/>
    </row>
    <row r="33" spans="2:23" s="225" customFormat="1" ht="17.399999999999999" x14ac:dyDescent="0.35">
      <c r="I33" s="250"/>
      <c r="J33" s="44"/>
      <c r="K33" s="238"/>
      <c r="L33" s="13"/>
      <c r="M33" s="238">
        <v>50000</v>
      </c>
      <c r="N33" s="11">
        <f t="shared" si="9"/>
        <v>0</v>
      </c>
      <c r="O33" s="36" t="s">
        <v>32</v>
      </c>
      <c r="P33" s="39"/>
      <c r="R33" s="234"/>
      <c r="S33" s="244"/>
      <c r="U33" s="225">
        <v>33390</v>
      </c>
      <c r="V33" s="226"/>
    </row>
    <row r="34" spans="2:23" s="225" customFormat="1" ht="18" x14ac:dyDescent="0.35">
      <c r="B34" s="318" t="s">
        <v>159</v>
      </c>
      <c r="C34" s="319"/>
      <c r="D34" s="319"/>
      <c r="E34" s="319"/>
      <c r="F34" s="319"/>
      <c r="I34" s="250"/>
      <c r="J34" s="279"/>
      <c r="K34" s="238"/>
      <c r="L34" s="13">
        <v>0.3</v>
      </c>
      <c r="M34" s="238">
        <v>22000</v>
      </c>
      <c r="N34" s="11">
        <f t="shared" si="9"/>
        <v>6600</v>
      </c>
      <c r="O34" s="13" t="s">
        <v>143</v>
      </c>
      <c r="P34" s="16"/>
      <c r="R34" s="232"/>
      <c r="S34" s="244"/>
      <c r="U34" s="225">
        <f>U33/1.19</f>
        <v>28058.823529411766</v>
      </c>
      <c r="V34" s="226"/>
    </row>
    <row r="35" spans="2:23" s="225" customFormat="1" ht="18" x14ac:dyDescent="0.35">
      <c r="B35" s="318" t="s">
        <v>146</v>
      </c>
      <c r="C35" s="319"/>
      <c r="D35" s="319"/>
      <c r="E35" s="319"/>
      <c r="F35" s="319"/>
      <c r="I35" s="250"/>
      <c r="J35" s="279"/>
      <c r="K35" s="238"/>
      <c r="L35" s="237"/>
      <c r="M35" s="238">
        <v>800</v>
      </c>
      <c r="N35" s="11"/>
      <c r="O35" s="13" t="s">
        <v>154</v>
      </c>
      <c r="P35" s="13"/>
      <c r="Q35" s="225">
        <v>1.52</v>
      </c>
      <c r="R35" s="232"/>
      <c r="S35" s="232"/>
    </row>
    <row r="36" spans="2:23" s="225" customFormat="1" ht="18" x14ac:dyDescent="0.35">
      <c r="B36" s="319" t="s">
        <v>127</v>
      </c>
      <c r="C36" s="319"/>
      <c r="D36" s="319"/>
      <c r="E36" s="319"/>
      <c r="F36" s="320" t="s">
        <v>16</v>
      </c>
      <c r="I36" s="277"/>
      <c r="J36" s="44"/>
      <c r="K36" s="238"/>
      <c r="L36" s="254">
        <v>2</v>
      </c>
      <c r="M36" s="11">
        <v>1500</v>
      </c>
      <c r="N36" s="11">
        <f t="shared" si="9"/>
        <v>3000</v>
      </c>
      <c r="O36" s="13" t="s">
        <v>24</v>
      </c>
      <c r="P36" s="13"/>
      <c r="Q36">
        <v>2.44</v>
      </c>
      <c r="R36"/>
      <c r="S36" s="232">
        <v>1500</v>
      </c>
      <c r="W36" s="226"/>
    </row>
    <row r="37" spans="2:23" s="225" customFormat="1" ht="17.399999999999999" x14ac:dyDescent="0.35">
      <c r="J37" s="44"/>
      <c r="K37" s="238"/>
      <c r="L37" s="43"/>
      <c r="M37" s="11"/>
      <c r="N37" s="11">
        <f>SUM(N31:N36)</f>
        <v>17321.55</v>
      </c>
      <c r="O37" s="36" t="s">
        <v>25</v>
      </c>
      <c r="P37" s="13"/>
      <c r="Q37">
        <f>Q35*Q36</f>
        <v>3.7088000000000001</v>
      </c>
      <c r="R37"/>
      <c r="S37" s="232">
        <f>R29*S36</f>
        <v>60000</v>
      </c>
      <c r="W37" s="226"/>
    </row>
    <row r="38" spans="2:23" s="225" customFormat="1" ht="17.399999999999999" x14ac:dyDescent="0.35">
      <c r="J38" s="44"/>
      <c r="K38" s="238"/>
      <c r="L38" s="242" t="s">
        <v>35</v>
      </c>
      <c r="M38" s="11"/>
      <c r="N38" s="243">
        <f>N37*2.3</f>
        <v>39839.564999999995</v>
      </c>
      <c r="O38" s="13" t="s">
        <v>142</v>
      </c>
      <c r="P38" s="13"/>
      <c r="Q38" s="43">
        <f>O27/Q37</f>
        <v>0.14903742450388263</v>
      </c>
      <c r="R38"/>
      <c r="S38" s="245" t="e">
        <f>S37/#REF!</f>
        <v>#REF!</v>
      </c>
    </row>
    <row r="39" spans="2:23" s="225" customFormat="1" ht="17.399999999999999" x14ac:dyDescent="0.35">
      <c r="G39"/>
      <c r="H39" s="248"/>
      <c r="I39" s="248"/>
      <c r="J39" s="44"/>
      <c r="K39" s="238"/>
      <c r="L39" s="13"/>
      <c r="M39" s="11"/>
      <c r="N39" s="11">
        <f>N38/O27</f>
        <v>72075.196743554945</v>
      </c>
      <c r="O39" s="42" t="s">
        <v>26</v>
      </c>
      <c r="P39" s="13"/>
      <c r="Q39" s="13"/>
      <c r="R39"/>
      <c r="S39" s="232"/>
      <c r="V39" s="225">
        <v>2300</v>
      </c>
    </row>
    <row r="40" spans="2:23" s="225" customFormat="1" ht="17.399999999999999" x14ac:dyDescent="0.35">
      <c r="G40"/>
      <c r="J40" s="44">
        <v>39110</v>
      </c>
      <c r="K40" s="238"/>
      <c r="L40" s="12"/>
      <c r="M40" s="13"/>
      <c r="N40" s="16">
        <f>N38/N37</f>
        <v>2.2999999999999998</v>
      </c>
      <c r="O40" s="14"/>
      <c r="P40"/>
      <c r="Q40"/>
      <c r="R40"/>
      <c r="S40" s="232"/>
    </row>
    <row r="41" spans="2:23" s="225" customFormat="1" ht="17.399999999999999" x14ac:dyDescent="0.35">
      <c r="G41" s="22"/>
      <c r="J41" s="44">
        <f>J40/1.19</f>
        <v>32865.546218487398</v>
      </c>
      <c r="K41" s="11"/>
      <c r="S41" s="232"/>
    </row>
    <row r="42" spans="2:23" s="225" customFormat="1" ht="17.399999999999999" x14ac:dyDescent="0.35">
      <c r="B42"/>
      <c r="C42" s="224"/>
      <c r="D42" s="21"/>
      <c r="E42" s="21"/>
      <c r="F42" s="20"/>
      <c r="G42" s="22"/>
      <c r="J42" s="44"/>
      <c r="K42" s="11"/>
      <c r="S42" s="232">
        <v>1.83</v>
      </c>
    </row>
    <row r="43" spans="2:23" ht="14.4" customHeight="1" x14ac:dyDescent="0.3">
      <c r="J43" s="44"/>
      <c r="K43" s="11"/>
      <c r="S43">
        <v>2.5</v>
      </c>
    </row>
    <row r="44" spans="2:23" x14ac:dyDescent="0.3">
      <c r="J44" s="44"/>
      <c r="K44" s="238"/>
      <c r="S44">
        <f>S42*S43</f>
        <v>4.5750000000000002</v>
      </c>
    </row>
    <row r="45" spans="2:23" x14ac:dyDescent="0.3">
      <c r="K45" s="238"/>
      <c r="S45" s="258">
        <f>O29/S44</f>
        <v>0.14498360655737705</v>
      </c>
    </row>
    <row r="46" spans="2:23" x14ac:dyDescent="0.3">
      <c r="K46" s="238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0"/>
      <c r="O51" s="50"/>
    </row>
    <row r="52" spans="14:19" x14ac:dyDescent="0.3">
      <c r="R52" s="17"/>
      <c r="S52" s="17"/>
    </row>
    <row r="53" spans="14:19" x14ac:dyDescent="0.3">
      <c r="R53" s="17"/>
      <c r="S53" s="17"/>
    </row>
    <row r="54" spans="14:19" x14ac:dyDescent="0.3">
      <c r="R54" s="17"/>
      <c r="S54" s="17"/>
    </row>
    <row r="55" spans="14:19" x14ac:dyDescent="0.3">
      <c r="R55" s="17"/>
      <c r="S55" s="17"/>
    </row>
    <row r="56" spans="14:19" x14ac:dyDescent="0.3">
      <c r="R56" s="17"/>
      <c r="S56" s="17"/>
    </row>
    <row r="57" spans="14:19" x14ac:dyDescent="0.3">
      <c r="R57" s="17"/>
      <c r="S57" s="17"/>
    </row>
    <row r="58" spans="14:19" x14ac:dyDescent="0.3">
      <c r="R58" s="17"/>
      <c r="S58" s="17"/>
    </row>
    <row r="59" spans="14:19" x14ac:dyDescent="0.3">
      <c r="R59" s="17"/>
      <c r="S59" s="17"/>
    </row>
    <row r="60" spans="14:19" x14ac:dyDescent="0.3">
      <c r="R60" s="17"/>
      <c r="S60" s="17"/>
    </row>
    <row r="63" spans="14:19" x14ac:dyDescent="0.3">
      <c r="N63" s="40"/>
    </row>
    <row r="64" spans="14:19" x14ac:dyDescent="0.3">
      <c r="N64" s="40"/>
    </row>
    <row r="65" spans="3:14" x14ac:dyDescent="0.3">
      <c r="N65" s="5"/>
    </row>
    <row r="66" spans="3:14" x14ac:dyDescent="0.3">
      <c r="N66" s="5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1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45309</v>
      </c>
    </row>
    <row r="6" spans="2:31" ht="16.2" thickBot="1" x14ac:dyDescent="0.35">
      <c r="B6" s="136" t="s">
        <v>2</v>
      </c>
      <c r="C6" s="135" t="str">
        <f>'2229'!C10</f>
        <v>BRAYAN ROJAS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40" t="s">
        <v>100</v>
      </c>
      <c r="I7" s="341"/>
      <c r="J7" s="341"/>
      <c r="K7" s="342"/>
      <c r="N7" s="71"/>
      <c r="O7" s="339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>
        <f>'2229'!D8</f>
        <v>10543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9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3661.1345498792252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'2229'!H25</f>
        <v>40000</v>
      </c>
      <c r="E11" s="128">
        <f>D11*0.19</f>
        <v>7600</v>
      </c>
      <c r="F11" s="127">
        <f>E11+D11</f>
        <v>47600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109651.13454987922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37555.64078743961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91651.134549879222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2444.35921256039</v>
      </c>
      <c r="E13" s="217">
        <f>(D11/D12)-1</f>
        <v>6.5086340195742221E-2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82651.134549879222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43651.134549879222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61966.807299275351</v>
      </c>
      <c r="F15" s="212">
        <f>E15-D12</f>
        <v>24411.166511835741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43651.134549879222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83651.134549879222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'2229'!N33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'2229'!N32</f>
        <v>5400</v>
      </c>
      <c r="E19" s="119">
        <f>D19*0.19</f>
        <v>1026</v>
      </c>
      <c r="F19" s="116">
        <f>SUM(D19:E19)</f>
        <v>6426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'2229'!N31</f>
        <v>2321.5500000000002</v>
      </c>
      <c r="E20" s="117">
        <f>D20*0.19</f>
        <v>441.09450000000004</v>
      </c>
      <c r="F20" s="116">
        <f>SUM(D20:E20)</f>
        <v>2762.6445000000003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7721.55</v>
      </c>
      <c r="E21" s="112">
        <f>SUM(E18:E20)</f>
        <v>1467.0945000000002</v>
      </c>
      <c r="F21" s="111">
        <f>SUM(F18:F20)</f>
        <v>9188.6445000000003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6132.9054999999998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40000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7721.55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2444.35921256039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2444.35921256039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2023-12-04T13:39:10Z</cp:lastPrinted>
  <dcterms:created xsi:type="dcterms:W3CDTF">2013-03-18T13:35:42Z</dcterms:created>
  <dcterms:modified xsi:type="dcterms:W3CDTF">2024-01-18T14:55:13Z</dcterms:modified>
</cp:coreProperties>
</file>