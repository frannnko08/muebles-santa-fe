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06C3F0F7-7385-4A0F-91C4-D711E7E8F9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4" i="1"/>
  <c r="K22" i="1"/>
  <c r="L22" i="1"/>
  <c r="M22" i="1"/>
  <c r="R22" i="1"/>
  <c r="K23" i="1"/>
  <c r="L23" i="1"/>
  <c r="R23" i="1" s="1"/>
  <c r="M23" i="1"/>
  <c r="K21" i="1"/>
  <c r="J41" i="1"/>
  <c r="L21" i="1"/>
  <c r="L26" i="1" s="1"/>
  <c r="M21" i="1"/>
  <c r="N23" i="1" l="1"/>
  <c r="O23" i="1" s="1"/>
  <c r="N22" i="1"/>
  <c r="O22" i="1" s="1"/>
  <c r="S21" i="1"/>
  <c r="R21" i="1"/>
  <c r="R28" i="1" s="1"/>
  <c r="N21" i="1"/>
  <c r="O21" i="1" s="1"/>
  <c r="U34" i="1"/>
  <c r="U35" i="1" s="1"/>
  <c r="O27" i="1" l="1"/>
  <c r="N33" i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Q39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3" i="1" l="1"/>
  <c r="Q23" i="1" s="1"/>
  <c r="G23" i="1" s="1"/>
  <c r="H23" i="1" s="1"/>
  <c r="P22" i="1"/>
  <c r="Q22" i="1" s="1"/>
  <c r="G22" i="1" s="1"/>
  <c r="H22" i="1" s="1"/>
  <c r="P21" i="1"/>
  <c r="F15" i="3"/>
  <c r="Q21" i="1" l="1"/>
  <c r="G21" i="1" s="1"/>
  <c r="H21" i="1" s="1"/>
  <c r="H27" i="1" l="1"/>
  <c r="D11" i="3" l="1"/>
  <c r="X9" i="3" s="1"/>
  <c r="X15" i="3" s="1"/>
  <c r="H28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<sst xmlns="http://schemas.openxmlformats.org/spreadsheetml/2006/main" count="234" uniqueCount="178">
  <si>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</si>
  <si>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</si>
  <si>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</si>
  <si>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</si>
  <si>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</si>
  <si>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</si>
  <si>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</si>
  <si>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</si>
  <si>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</si>
  <si>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</si>
  <si>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</si>
  <si>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</si>
  <si>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</si>
  <si>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</si>
  <si>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</si>
  <si>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</si>
  <si>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</si>
  <si>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</si>
  <si>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</si>
  <si>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</si>
  <si>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</si>
  <si>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</si>
  <si>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</si>
  <si>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</si>
  <si>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</si>
  <si>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</si>
  <si>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</si>
  <si>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</si>
  <si>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</si>
  <si>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</si>
  <si>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</si>
  <si>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</si>
  <si>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</si>
  <si>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</si>
  <si>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</si>
  <si>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</si>
  <si>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</si>
  <si>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</si>
  <si>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</si>
  <si>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</si>
  <si>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</si>
  <si>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</si>
  <si>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</si>
  <si>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</si>
  <si>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</si>
  <si>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</si>
  <si>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</si>
  <si>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</si>
  <si>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</si>
  <si>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</si>
  <si>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</si>
  <si>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</si>
  <si>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</si>
  <si>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</si>
  <si>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</si>
  <si>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</si>
  <si>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</si>
  <si>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</si>
  <si>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</si>
  <si>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</si>
  <si>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</si>
  <si>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</si>
  <si>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</si>
  <si>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</si>
  <si>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</si>
  <si>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</si>
  <si>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</si>
  <si>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</si>
  <si>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</si>
  <si>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</si>
  <si>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</si>
  <si>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</si>
  <si>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</si>
  <si>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</si>
  <si>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</si>
  <si>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</si>
  <si>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</si>
  <si>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</si>
  <si>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</si>
  <si>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</si>
  <si>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</si>
  <si>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</si>
  <si>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</si>
  <si>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</si>
  <si>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</si>
  <si>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</si>
  <si>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</si>
  <si>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</si>
  <si>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</si>
  <si>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</si>
  <si>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</si>
  <si>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</si>
  <si>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</si>
  <si>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</si>
  <si>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</si>
  <si>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</si>
  <si>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</si>
  <si>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</si>
  <si>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</si>
  <si>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</si>
  <si>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</si>
  <si>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</si>
  <si>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</si>
  <si>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</si>
  <si>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</si>
  <si>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</si>
  <si>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</si>
  <si>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</si>
  <si>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</si>
  <si>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</si>
  <si>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</si>
  <si>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</si>
  <si>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</si>
  <si>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</si>
  <si>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</si>
  <si>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</si>
  <si>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</si>
  <si>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</si>
  <si>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</si>
  <si>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</si>
  <si>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</si>
  <si>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</si>
  <si>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</si>
  <si>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</si>
  <si>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</si>
  <si>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</si>
  <si>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</si>
  <si>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</si>
  <si>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</si>
  <si>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</si>
  <si>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</si>
  <si>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</si>
  <si>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</si>
  <si>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</si>
  <si>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</si>
  <si>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</si>
  <si>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</si>
  <si>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</si>
  <si>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</si>
  <si>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</si>
  <si>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</si>
  <si>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</si>
  <si>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</si>
  <si>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</si>
  <si>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</si>
  <si>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</si>
  <si>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</si>
  <si>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</si>
  <si>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</si>
  <si>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</si>
  <si>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</si>
  <si>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</si>
  <si>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</si>
  <si>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</si>
  <si>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</si>
  <si>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</si>
  <si>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</si>
  <si>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</si>
  <si>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</si>
  <si>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</si>
  <si>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</si>
  <si>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</si>
  <si>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</si>
  <si>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</si>
  <si>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</si>
  <si>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</si>
  <si>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</si>
  <si>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</si>
  <si>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r>
      <t>  56</t>
    </r>
    <r>
      <rPr>
        <i/>
        <sz val="11"/>
        <color theme="1"/>
        <rFont val="Arial"/>
        <family val="2"/>
      </rPr>
      <t>996559090</t>
    </r>
  </si>
  <si>
    <t>10 DIAS HABILES</t>
  </si>
  <si>
    <t>SI</t>
  </si>
  <si>
    <t>CUBIERTA SIN RESPALDO FRENTE ESPAÑOL</t>
  </si>
  <si>
    <t>CUBIERTA MESA 3 LADOS FRENTE ESPAÑOL</t>
  </si>
  <si>
    <t>CHAMPAÑA METALIZADO 0220 MT</t>
  </si>
  <si>
    <t>RESPALDO R6</t>
  </si>
  <si>
    <t>SERVICIO DE INSTALACION</t>
  </si>
  <si>
    <t>JUAN GALLEGUILLOS</t>
  </si>
  <si>
    <t>NATURAL NEBULA 4633-60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</si>
</sst>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i/>
      <sz val="11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6" fillId="0" borderId="0" xfId="0" applyFont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25</xdr:row>
      <xdr:rowOff>9525</xdr:rowOff>
    </xdr:from>
    <xdr:to>
      <xdr:col>5</xdr:col>
      <xdr:colOff>1594096</xdr:colOff>
      <xdr:row>28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NO SE INCLUYE SERVICIO DE GASFITERIA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, 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7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10593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176</v>
      </c>
      <c r="D10" s="243"/>
      <c r="E10" s="243"/>
      <c r="F10" s="244" t="s">
        <v>0</v>
      </c>
      <c r="G10" s="277">
        <v>45315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170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8" t="s">
        <v>168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85823.525799265437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3">
        <v>1</v>
      </c>
      <c r="C21" s="324" t="s">
        <v>171</v>
      </c>
      <c r="D21" s="325">
        <v>0.95</v>
      </c>
      <c r="E21" s="325">
        <v>0.55000000000000004</v>
      </c>
      <c r="F21" s="324" t="s">
        <v>177</v>
      </c>
      <c r="G21" s="326">
        <f>Q21</f>
        <v>50451.827414413863</v>
      </c>
      <c r="H21" s="327">
        <f>G21*B21</f>
        <v>50451.827414413863</v>
      </c>
      <c r="I21" s="265"/>
      <c r="J21" s="47"/>
      <c r="K21" s="47">
        <f>B21</f>
        <v>1</v>
      </c>
      <c r="L21" s="39">
        <f t="shared" ref="L21" si="1">D21+L$19</f>
        <v>0.97</v>
      </c>
      <c r="M21" s="39">
        <f t="shared" ref="M21" si="2">E21+M$19</f>
        <v>0.57000000000000006</v>
      </c>
      <c r="N21" s="261">
        <f t="shared" ref="N21" si="3">L21*M21</f>
        <v>0.55290000000000006</v>
      </c>
      <c r="O21" s="259">
        <f t="shared" ref="O21" si="4">N21*K21</f>
        <v>0.55290000000000006</v>
      </c>
      <c r="P21" s="252">
        <f t="shared" ref="P21" si="5">P$20*N21</f>
        <v>47451.827414413863</v>
      </c>
      <c r="Q21" s="258">
        <f t="shared" ref="Q21" si="6">P21+Q$20</f>
        <v>50451.827414413863</v>
      </c>
      <c r="R21" s="309">
        <f>L21*K21*2</f>
        <v>1.94</v>
      </c>
      <c r="S21" s="46">
        <f>M21*K21*2</f>
        <v>1.1400000000000001</v>
      </c>
      <c r="T21" s="9"/>
      <c r="W21" s="4"/>
    </row>
    <row r="22" spans="2:24" ht="18" thickBot="1" x14ac:dyDescent="0.35">
      <c r="B22" s="323">
        <v>1</v>
      </c>
      <c r="C22" s="324" t="s">
        <v>172</v>
      </c>
      <c r="D22" s="325">
        <v>1.5</v>
      </c>
      <c r="E22" s="325">
        <v>0.55000000000000004</v>
      </c>
      <c r="F22" s="324" t="s">
        <v>173</v>
      </c>
      <c r="G22" s="326">
        <f t="shared" ref="G22:G23" si="7">Q22</f>
        <v>77357.502752483575</v>
      </c>
      <c r="H22" s="327">
        <f t="shared" ref="H22:H23" si="8">G22*B22</f>
        <v>77357.502752483575</v>
      </c>
      <c r="I22" s="265"/>
      <c r="J22" s="47"/>
      <c r="K22" s="47">
        <f t="shared" ref="K22:K23" si="9">B22</f>
        <v>1</v>
      </c>
      <c r="L22" s="39">
        <f t="shared" ref="L22:L23" si="10">D22+L$19</f>
        <v>1.52</v>
      </c>
      <c r="M22" s="39">
        <f t="shared" ref="M22:M23" si="11">E22+M$19</f>
        <v>0.57000000000000006</v>
      </c>
      <c r="N22" s="261">
        <f t="shared" ref="N22:N23" si="12">L22*M22</f>
        <v>0.86640000000000006</v>
      </c>
      <c r="O22" s="259">
        <f t="shared" ref="O22:O23" si="13">N22*K22</f>
        <v>0.86640000000000006</v>
      </c>
      <c r="P22" s="252">
        <f t="shared" ref="P22:P23" si="14">P$20*N22</f>
        <v>74357.502752483575</v>
      </c>
      <c r="Q22" s="258">
        <f t="shared" ref="Q22:Q23" si="15">P22+Q$20</f>
        <v>77357.502752483575</v>
      </c>
      <c r="R22" s="309">
        <f t="shared" ref="R22:R23" si="16">L22*K22*2</f>
        <v>3.04</v>
      </c>
      <c r="S22" s="46"/>
      <c r="T22" s="9"/>
      <c r="W22" s="4"/>
    </row>
    <row r="23" spans="2:24" ht="18" thickBot="1" x14ac:dyDescent="0.35">
      <c r="B23" s="323">
        <v>1</v>
      </c>
      <c r="C23" s="324" t="s">
        <v>174</v>
      </c>
      <c r="D23" s="325">
        <v>3</v>
      </c>
      <c r="E23" s="325">
        <v>0.06</v>
      </c>
      <c r="F23" s="324" t="s">
        <v>173</v>
      </c>
      <c r="G23" s="326">
        <f t="shared" si="7"/>
        <v>23734.963833102531</v>
      </c>
      <c r="H23" s="327">
        <f t="shared" si="8"/>
        <v>23734.963833102531</v>
      </c>
      <c r="I23" s="265"/>
      <c r="J23" s="47"/>
      <c r="K23" s="47">
        <f t="shared" si="9"/>
        <v>1</v>
      </c>
      <c r="L23" s="39">
        <f t="shared" si="10"/>
        <v>3.02</v>
      </c>
      <c r="M23" s="39">
        <f t="shared" si="11"/>
        <v>0.08</v>
      </c>
      <c r="N23" s="261">
        <f t="shared" si="12"/>
        <v>0.24160000000000001</v>
      </c>
      <c r="O23" s="259">
        <f t="shared" si="13"/>
        <v>0.24160000000000001</v>
      </c>
      <c r="P23" s="252">
        <f t="shared" si="14"/>
        <v>20734.963833102531</v>
      </c>
      <c r="Q23" s="258">
        <f t="shared" si="15"/>
        <v>23734.963833102531</v>
      </c>
      <c r="R23" s="309">
        <f t="shared" si="16"/>
        <v>6.04</v>
      </c>
      <c r="S23" s="46"/>
      <c r="T23" s="9"/>
      <c r="W23" s="4"/>
    </row>
    <row r="24" spans="2:24" ht="17.399999999999999" x14ac:dyDescent="0.3">
      <c r="B24" s="323">
        <v>1</v>
      </c>
      <c r="C24" s="324" t="s">
        <v>175</v>
      </c>
      <c r="D24" s="325"/>
      <c r="E24" s="325"/>
      <c r="F24" s="324"/>
      <c r="G24" s="326">
        <v>150000</v>
      </c>
      <c r="H24" s="327">
        <f t="shared" ref="H24" si="17">G24*B24</f>
        <v>150000</v>
      </c>
      <c r="I24" s="265"/>
      <c r="J24" s="47"/>
      <c r="K24" s="47"/>
      <c r="L24" s="39"/>
      <c r="M24" s="39"/>
      <c r="N24" s="261"/>
      <c r="O24" s="259"/>
      <c r="P24" s="252"/>
      <c r="Q24" s="258"/>
      <c r="R24" s="309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309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10" t="s">
        <v>29</v>
      </c>
      <c r="H26" s="311">
        <f>SUM(H21:H24)</f>
        <v>301544.29399999999</v>
      </c>
      <c r="I26" s="265"/>
      <c r="J26" s="47"/>
      <c r="K26" s="47"/>
      <c r="L26" s="39">
        <f>SUM(L21:L25)</f>
        <v>5.51</v>
      </c>
      <c r="M26" s="39"/>
      <c r="N26" s="261"/>
      <c r="O26" s="259"/>
      <c r="P26" s="252"/>
      <c r="Q26" s="258"/>
      <c r="R26" s="309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8" t="s">
        <v>52</v>
      </c>
      <c r="H27" s="305">
        <f>H26*19%</f>
        <v>57293.415860000001</v>
      </c>
      <c r="I27" s="265"/>
      <c r="J27" s="47"/>
      <c r="K27" s="47"/>
      <c r="L27" s="39"/>
      <c r="M27" s="12"/>
      <c r="N27" s="12"/>
      <c r="O27" s="253">
        <f>SUM(O21:O23)</f>
        <v>1.6609000000000003</v>
      </c>
      <c r="P27" s="14"/>
      <c r="Q27" s="12"/>
      <c r="R27" s="239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6">
        <f>H26+H27</f>
        <v>358837.70986</v>
      </c>
      <c r="I28" s="265"/>
      <c r="J28" s="47"/>
      <c r="K28" s="47"/>
      <c r="L28" s="39"/>
      <c r="M28" s="12"/>
      <c r="N28" s="12"/>
      <c r="O28" s="253">
        <f>O27</f>
        <v>1.6609000000000003</v>
      </c>
      <c r="P28" s="14"/>
      <c r="Q28" s="12"/>
      <c r="R28" s="239">
        <f>SUM(R21:R27)</f>
        <v>11.02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0.33218000000000009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1.9930800000000004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16" t="s">
        <v>22</v>
      </c>
      <c r="U31" s="313" t="s">
        <v>153</v>
      </c>
      <c r="V31" s="317">
        <v>44971</v>
      </c>
      <c r="W31" s="318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1.9930800000000004</v>
      </c>
      <c r="M32" s="12">
        <v>3500</v>
      </c>
      <c r="N32" s="12">
        <f t="shared" ref="N32:N37" si="18">L32*M32</f>
        <v>6975.7800000000016</v>
      </c>
      <c r="O32" s="14" t="s">
        <v>22</v>
      </c>
      <c r="P32" s="14"/>
      <c r="Q32" s="14"/>
      <c r="R32" s="241"/>
      <c r="S32" s="14"/>
      <c r="T32" s="316" t="s">
        <v>154</v>
      </c>
      <c r="U32" s="313">
        <v>3625</v>
      </c>
      <c r="V32" s="59" t="s">
        <v>155</v>
      </c>
      <c r="W32" s="318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0.6</v>
      </c>
      <c r="M33" s="12">
        <v>25000</v>
      </c>
      <c r="N33" s="12">
        <f t="shared" si="18"/>
        <v>15000</v>
      </c>
      <c r="O33" s="39" t="s">
        <v>32</v>
      </c>
      <c r="P33" s="42"/>
      <c r="Q33" s="14"/>
      <c r="R33" s="240"/>
      <c r="S33" s="14"/>
      <c r="T33" s="316"/>
      <c r="U33" s="59">
        <v>906.25</v>
      </c>
      <c r="V33" s="59" t="s">
        <v>156</v>
      </c>
      <c r="W33" s="318"/>
    </row>
    <row r="34" spans="2:23" s="230" customFormat="1" ht="17.399999999999999" x14ac:dyDescent="0.35">
      <c r="I34" s="262"/>
      <c r="J34" s="232"/>
      <c r="K34" s="250"/>
      <c r="L34" s="14"/>
      <c r="M34" s="250">
        <v>46500</v>
      </c>
      <c r="N34" s="12">
        <f t="shared" si="18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18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>
        <v>1</v>
      </c>
      <c r="M35" s="250">
        <v>40000</v>
      </c>
      <c r="N35" s="12">
        <f t="shared" si="18"/>
        <v>40000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18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8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304"/>
      <c r="K37" s="250"/>
      <c r="L37" s="266"/>
      <c r="M37" s="12">
        <v>1500</v>
      </c>
      <c r="N37" s="12">
        <f t="shared" si="18"/>
        <v>0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61975.78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N38*2.3</f>
        <v>142544.29399999999</v>
      </c>
      <c r="O39" s="14" t="s">
        <v>141</v>
      </c>
      <c r="P39" s="14"/>
      <c r="Q39" s="40">
        <f>O30/Q38</f>
        <v>0.53739214840379645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48209</v>
      </c>
      <c r="K40" s="250"/>
      <c r="L40" s="14"/>
      <c r="M40" s="12"/>
      <c r="N40" s="12">
        <f>N39/O28</f>
        <v>85823.525799265437</v>
      </c>
      <c r="O40" s="45" t="s">
        <v>25</v>
      </c>
      <c r="P40" s="14"/>
      <c r="Q40" s="14"/>
      <c r="R40"/>
      <c r="S40" s="238"/>
      <c r="T40" s="59" t="s">
        <v>159</v>
      </c>
      <c r="U40" s="313">
        <v>43650</v>
      </c>
    </row>
    <row r="41" spans="2:23" s="230" customFormat="1" ht="17.399999999999999" x14ac:dyDescent="0.35">
      <c r="G41"/>
      <c r="H41" s="230" t="s">
        <v>165</v>
      </c>
      <c r="J41" s="230">
        <f>J40/1.19</f>
        <v>40511.764705882357</v>
      </c>
      <c r="K41" s="250"/>
      <c r="L41" s="13"/>
      <c r="M41" s="14"/>
      <c r="N41" s="17">
        <f>N39/N38</f>
        <v>2.2999999999999998</v>
      </c>
      <c r="O41" s="15"/>
      <c r="P41"/>
      <c r="Q41"/>
      <c r="R41"/>
      <c r="S41" s="238"/>
      <c r="T41" s="59" t="s">
        <v>161</v>
      </c>
      <c r="U41" s="314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15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45315</v>
      </c>
    </row>
    <row r="6" spans="2:31" ht="16.2" thickBot="1" x14ac:dyDescent="0.35">
      <c r="B6" s="140" t="s">
        <v>2</v>
      </c>
      <c r="C6" s="139" t="str">
        <f>'2229'!C10</f>
        <v>JUAN GALLEGUILLOS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10593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-36009.667866787437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301544.29399999999</v>
      </c>
      <c r="E11" s="132">
        <f>D11*0.19</f>
        <v>57293.415860000001</v>
      </c>
      <c r="F11" s="131">
        <f>E11+D11</f>
        <v>358837.70986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69980.332133212563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51809.87078743962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51980.332133212563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249734.42321256036</v>
      </c>
      <c r="E13" s="221">
        <f>(D11/D12)-1</f>
        <v>4.8202093426780754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42980.332133212563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3980.3321332125633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85486.286799275375</v>
      </c>
      <c r="F15" s="216">
        <f>E15-D12</f>
        <v>33676.416011835754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3980.3321332125633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43980.332133212563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6975.7800000000016</v>
      </c>
      <c r="E20" s="121">
        <f>D20*0.19</f>
        <v>1325.3982000000003</v>
      </c>
      <c r="F20" s="120">
        <f>SUM(D20:E20)</f>
        <v>8301.1782000000021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21975.780000000002</v>
      </c>
      <c r="E21" s="116">
        <f>SUM(E18:E20)</f>
        <v>4175.3982000000005</v>
      </c>
      <c r="F21" s="115">
        <f>SUM(F18:F20)</f>
        <v>26151.178200000002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53118.017659999998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301544.29399999999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21975.780000000002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249734.42321256036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249734.42321256036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2024-01-24T19:51:52Z</cp:lastPrinted>
  <dcterms:created xsi:type="dcterms:W3CDTF">2013-03-18T13:35:42Z</dcterms:created>
  <dcterms:modified xsi:type="dcterms:W3CDTF">2024-02-22T16:07:54Z</dcterms:modified>
</cp:coreProperties>
</file>