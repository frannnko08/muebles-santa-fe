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5BBA6FE6-FC92-4D3A-A527-A2EAB914C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5" i="1" l="1"/>
  <c r="K21" i="1" l="1"/>
  <c r="J39" i="1"/>
  <c r="L21" i="1"/>
  <c r="L23" i="1" s="1"/>
  <c r="M21" i="1"/>
  <c r="N21" i="1" l="1"/>
  <c r="R25" i="1"/>
  <c r="U31" i="1"/>
  <c r="U32" i="1" s="1"/>
  <c r="O21" i="1" l="1"/>
  <c r="O24" i="1" s="1"/>
  <c r="N30" i="1"/>
  <c r="O25" i="1" l="1"/>
  <c r="O26" i="1" s="1"/>
  <c r="O27" i="1" s="1"/>
  <c r="L29" i="1" s="1"/>
  <c r="M20" i="1"/>
  <c r="K20" i="1"/>
  <c r="N31" i="1" l="1"/>
  <c r="Q36" i="1"/>
  <c r="N32" i="1" l="1"/>
  <c r="N36" i="1" s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7" i="1"/>
  <c r="D20" i="3" l="1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l="1"/>
  <c r="H23" i="1" l="1"/>
  <c r="H24" i="1" s="1"/>
  <c r="H25" i="1" s="1"/>
  <c r="D11" i="3" l="1"/>
  <c r="X9" i="3" s="1"/>
  <c r="X15" i="3" s="1"/>
  <c r="X16" i="3" l="1"/>
  <c r="X14" i="3"/>
  <c r="X11" i="3"/>
  <c r="E11" i="3"/>
  <c r="D40" i="3" s="1"/>
  <c r="X13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<sst xmlns="http://schemas.openxmlformats.org/spreadsheetml/2006/main" count="231" uniqueCount="178">
  <si>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</si>
  <si>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</si>
  <si>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</si>
  <si>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</si>
  <si>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</si>
  <si>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</si>
  <si>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</si>
  <si>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</si>
  <si>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</si>
  <si>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</si>
  <si>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</si>
  <si>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</si>
  <si>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</si>
  <si>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</si>
  <si>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</si>
  <si>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</si>
  <si>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</si>
  <si>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</si>
  <si>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</si>
  <si>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</si>
  <si>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</si>
  <si>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</si>
  <si>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</si>
  <si>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</si>
  <si>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</si>
  <si>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</si>
  <si>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</si>
  <si>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</si>
  <si>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</si>
  <si>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</si>
  <si>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</si>
  <si>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</si>
  <si>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</si>
  <si>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</si>
  <si>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</si>
  <si>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</si>
  <si>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</si>
  <si>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</si>
  <si>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</si>
  <si>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</si>
  <si>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</si>
  <si>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</si>
  <si>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</si>
  <si>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</si>
  <si>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</si>
  <si>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</si>
  <si>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</si>
  <si>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</si>
  <si>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</si>
  <si>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</si>
  <si>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</si>
  <si>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</si>
  <si>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</si>
  <si>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</si>
  <si>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</si>
  <si>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</si>
  <si>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</si>
  <si>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</si>
  <si>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</si>
  <si>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</si>
  <si>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</si>
  <si>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</si>
  <si>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</si>
  <si>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</si>
  <si>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</si>
  <si>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</si>
  <si>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</si>
  <si>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</si>
  <si>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</si>
  <si>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</si>
  <si>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</si>
  <si>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</si>
  <si>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</si>
  <si>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</si>
  <si>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</si>
  <si>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</si>
  <si>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</si>
  <si>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</si>
  <si>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</si>
  <si>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</si>
  <si>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</si>
  <si>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</si>
  <si>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</si>
  <si>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</si>
  <si>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</si>
  <si>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</si>
  <si>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</si>
  <si>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</si>
  <si>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</si>
  <si>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</si>
  <si>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</si>
  <si>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</si>
  <si>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</si>
  <si>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</si>
  <si>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</si>
  <si>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</si>
  <si>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</si>
  <si>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</si>
  <si>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</si>
  <si>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</si>
  <si>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</si>
  <si>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</si>
  <si>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</si>
  <si>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</si>
  <si>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</si>
  <si>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</si>
  <si>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</si>
  <si>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</si>
  <si>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</si>
  <si>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</si>
  <si>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</si>
  <si>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</si>
  <si>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</si>
  <si>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</si>
  <si>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</si>
  <si>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</si>
  <si>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</si>
  <si>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</si>
  <si>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</si>
  <si>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</si>
  <si>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</si>
  <si>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</si>
  <si>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</si>
  <si>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</si>
  <si>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</si>
  <si>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</si>
  <si>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</si>
  <si>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</si>
  <si>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</si>
  <si>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</si>
  <si>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</si>
  <si>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</si>
  <si>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</si>
  <si>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</si>
  <si>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</si>
  <si>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</si>
  <si>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</si>
  <si>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</si>
  <si>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</si>
  <si>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</si>
  <si>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</si>
  <si>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</si>
  <si>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</si>
  <si>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</si>
  <si>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</si>
  <si>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</si>
  <si>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</si>
  <si>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</si>
  <si>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</si>
  <si>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</si>
  <si>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</si>
  <si>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</si>
  <si>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</si>
  <si>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</si>
  <si>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</si>
  <si>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</si>
  <si>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</si>
  <si>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</si>
  <si>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</si>
  <si>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</si>
  <si>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</si>
  <si>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</si>
  <si>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</si>
  <si>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</si>
  <si>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</si>
  <si>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</si>
  <si>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</si>
  <si>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SI</t>
  </si>
  <si>
    <t>MARISA MUEBLES SPA</t>
  </si>
  <si>
    <t>77.873.294-7</t>
  </si>
  <si>
    <t>MARMARISA.MUEBLES@GMAIL.COM</t>
  </si>
  <si>
    <t>+569 8465 4505</t>
  </si>
  <si>
    <t>TAPACANTO PVC 22x1,5MM 100 metros</t>
  </si>
  <si>
    <t>MDF 25MM</t>
  </si>
  <si>
    <t>ALMENDRA 0920 MT</t>
  </si>
  <si>
    <t>10 DIAS HABILES</t>
  </si>
  <si>
    <t>POR TRANSPORTES</t>
  </si>
  <si>
    <t>CUBIERTA ENCHAPE RECTO 1 CARA 4 CANTOS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</si>
</sst>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CORTADAS A LA MEDIDA Y ENCHAPADAS POR LOS 4 LADOS. CON LA MISMA LAMINA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25MM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MARISA.MUEBLE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10555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168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 t="s">
        <v>169</v>
      </c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 t="s">
        <v>170</v>
      </c>
      <c r="F14" s="29" t="s">
        <v>137</v>
      </c>
      <c r="G14" s="291" t="s">
        <v>167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171</v>
      </c>
      <c r="D15" s="295"/>
      <c r="E15" s="247"/>
      <c r="F15" s="247" t="s">
        <v>135</v>
      </c>
      <c r="G15" s="296" t="s">
        <v>176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/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1" t="s">
        <v>96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54693.466666666674</v>
      </c>
      <c r="Q20" s="258">
        <v>5000</v>
      </c>
      <c r="R20" s="38"/>
      <c r="S20" s="14" t="s">
        <v>129</v>
      </c>
      <c r="T20" s="9"/>
      <c r="W20" s="4"/>
    </row>
    <row r="21" spans="2:24" ht="18" thickBot="1" x14ac:dyDescent="0.35">
      <c r="B21" s="324">
        <v>24</v>
      </c>
      <c r="C21" s="325" t="s">
        <v>177</v>
      </c>
      <c r="D21" s="326">
        <v>1.2</v>
      </c>
      <c r="E21" s="326">
        <v>0.5</v>
      </c>
      <c r="F21" s="325" t="s">
        <v>174</v>
      </c>
      <c r="G21" s="327">
        <v>39183</v>
      </c>
      <c r="H21" s="328">
        <f>G21*B21</f>
        <v>940392</v>
      </c>
      <c r="I21" s="265"/>
      <c r="J21" s="47"/>
      <c r="K21" s="47">
        <f>B21</f>
        <v>24</v>
      </c>
      <c r="L21" s="39">
        <f t="shared" ref="L21" si="1">D21+L$19</f>
        <v>1.25</v>
      </c>
      <c r="M21" s="39">
        <f t="shared" ref="M21" si="2">E21+M$19</f>
        <v>0.5</v>
      </c>
      <c r="N21" s="261">
        <f t="shared" ref="N21" si="3">L21*M21</f>
        <v>0.625</v>
      </c>
      <c r="O21" s="259">
        <f>N21*K21</f>
        <v>15</v>
      </c>
      <c r="P21" s="252">
        <f t="shared" ref="P21" si="4">P$20*N21</f>
        <v>34183.416666666672</v>
      </c>
      <c r="Q21" s="258">
        <f t="shared" ref="Q21" si="5">P21+Q$20</f>
        <v>39183.416666666672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SUM(H21:H21)</f>
        <v>940392</v>
      </c>
      <c r="I23" s="265"/>
      <c r="J23" s="47"/>
      <c r="K23" s="47"/>
      <c r="L23" s="39">
        <f>SUM(L21:L22)</f>
        <v>1.25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178674.48</v>
      </c>
      <c r="I24" s="265"/>
      <c r="J24" s="47"/>
      <c r="K24" s="47"/>
      <c r="L24" s="39"/>
      <c r="M24" s="12"/>
      <c r="N24" s="12"/>
      <c r="O24" s="253">
        <f>SUM(O21:O21)</f>
        <v>15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1119066.48</v>
      </c>
      <c r="I25" s="265"/>
      <c r="J25" s="47"/>
      <c r="K25" s="47"/>
      <c r="L25" s="39"/>
      <c r="M25" s="12"/>
      <c r="N25" s="12"/>
      <c r="O25" s="253">
        <f>O24</f>
        <v>15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3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153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18</v>
      </c>
      <c r="M29" s="12">
        <v>2500</v>
      </c>
      <c r="N29" s="12">
        <f t="shared" ref="N29:N34" si="6">L29*M29</f>
        <v>45000</v>
      </c>
      <c r="O29" s="14" t="s">
        <v>22</v>
      </c>
      <c r="P29" s="14"/>
      <c r="Q29" s="14"/>
      <c r="R29" s="241"/>
      <c r="S29" s="14"/>
      <c r="T29" s="317" t="s">
        <v>154</v>
      </c>
      <c r="U29" s="314">
        <v>3625</v>
      </c>
      <c r="V29" s="59" t="s">
        <v>155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6</v>
      </c>
      <c r="M30" s="12">
        <v>35800</v>
      </c>
      <c r="N30" s="12">
        <f t="shared" si="6"/>
        <v>214800</v>
      </c>
      <c r="O30" s="39" t="s">
        <v>173</v>
      </c>
      <c r="P30" s="42"/>
      <c r="Q30" s="14"/>
      <c r="R30" s="240"/>
      <c r="S30" s="14"/>
      <c r="T30" s="317"/>
      <c r="U30" s="59">
        <v>906.25</v>
      </c>
      <c r="V30" s="59" t="s">
        <v>156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6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5</v>
      </c>
      <c r="M32" s="250">
        <v>22622</v>
      </c>
      <c r="N32" s="12">
        <f t="shared" si="6"/>
        <v>113110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6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6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B35" s="29"/>
      <c r="C35"/>
      <c r="D35"/>
      <c r="E35"/>
      <c r="F35" s="229"/>
      <c r="I35" s="304"/>
      <c r="K35" s="250"/>
      <c r="L35" s="266"/>
      <c r="M35" s="12">
        <v>52793</v>
      </c>
      <c r="N35" s="12">
        <f>L35*M35</f>
        <v>0</v>
      </c>
      <c r="O35" s="14" t="s">
        <v>172</v>
      </c>
      <c r="P35" s="14"/>
      <c r="Q35"/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SUM(N29:N35)</f>
        <v>372910</v>
      </c>
      <c r="O36" s="39" t="s">
        <v>24</v>
      </c>
      <c r="P36" s="14"/>
      <c r="Q36">
        <f>Q33*Q34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820402.00000000012</v>
      </c>
      <c r="O37" s="14" t="s">
        <v>141</v>
      </c>
      <c r="P37" s="14"/>
      <c r="Q37" s="40">
        <f>O27/Q36</f>
        <v>4.8533218291630718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26920</v>
      </c>
      <c r="K38" s="250"/>
      <c r="L38" s="14"/>
      <c r="M38" s="12"/>
      <c r="N38" s="12">
        <f>N37/O25</f>
        <v>54693.466666666674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22621.848739495799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3FB03A12-48DD-40DC-B72C-4C3D76399051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MARISA MUEBLES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10555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-77082.625033454111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940392</v>
      </c>
      <c r="E11" s="132">
        <f>D11*0.19</f>
        <v>178674.48</v>
      </c>
      <c r="F11" s="131">
        <f>E11+D11</f>
        <v>1119066.48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28907.374966545889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289634.09078743961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10907.374966545889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650757.90921256039</v>
      </c>
      <c r="E13" s="221">
        <f>(D11/D12)-1</f>
        <v>2.246827738555635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1907.374966545889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-37092.625033454111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477896.24979927531</v>
      </c>
      <c r="F15" s="216">
        <f>E15-D12</f>
        <v>188262.1590118357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-37092.625033454111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2907.374966545889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214800</v>
      </c>
      <c r="E19" s="123">
        <f>D19*0.19</f>
        <v>40812</v>
      </c>
      <c r="F19" s="120">
        <f>SUM(D19:E19)</f>
        <v>255612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45000</v>
      </c>
      <c r="E20" s="121">
        <f>D20*0.19</f>
        <v>8550</v>
      </c>
      <c r="F20" s="120">
        <f>SUM(D20:E20)</f>
        <v>53550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259800</v>
      </c>
      <c r="E21" s="116">
        <f>SUM(E18:E20)</f>
        <v>49362</v>
      </c>
      <c r="F21" s="115">
        <f>SUM(F18:F20)</f>
        <v>309162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129312.48000000001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940392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259800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650757.90921256039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650757.90921256039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2024-01-24T17:34:58Z</cp:lastPrinted>
  <dcterms:created xsi:type="dcterms:W3CDTF">2013-03-18T13:35:42Z</dcterms:created>
  <dcterms:modified xsi:type="dcterms:W3CDTF">2024-01-24T19:38:10Z</dcterms:modified>
</cp:coreProperties>
</file>