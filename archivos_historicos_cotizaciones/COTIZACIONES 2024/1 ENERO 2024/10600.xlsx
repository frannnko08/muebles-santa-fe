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318C5A02-A964-4784-9133-50FA61544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" l="1"/>
  <c r="K22" i="1"/>
  <c r="L22" i="1"/>
  <c r="R22" i="1" s="1"/>
  <c r="M22" i="1"/>
  <c r="N22" i="1" s="1"/>
  <c r="O22" i="1" s="1"/>
  <c r="K21" i="1"/>
  <c r="J39" i="1"/>
  <c r="L21" i="1"/>
  <c r="M21" i="1"/>
  <c r="L24" i="1" l="1"/>
  <c r="S21" i="1"/>
  <c r="R21" i="1"/>
  <c r="R26" i="1" s="1"/>
  <c r="N21" i="1"/>
  <c r="O21" i="1" s="1"/>
  <c r="U32" i="1"/>
  <c r="U33" i="1" s="1"/>
  <c r="N31" i="1" l="1"/>
  <c r="O26" i="1" l="1"/>
  <c r="O27" i="1" s="1"/>
  <c r="O28" i="1" s="1"/>
  <c r="M20" i="1"/>
  <c r="K20" i="1"/>
  <c r="L30" i="1" l="1"/>
  <c r="Q37" i="1"/>
  <c r="N32" i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P22" i="1" s="1"/>
  <c r="E15" i="3"/>
  <c r="G22" i="1" l="1"/>
  <c r="H22" i="1" s="1"/>
  <c r="Q22" i="1"/>
  <c r="P21" i="1"/>
  <c r="G21" i="1" s="1"/>
  <c r="F15" i="3"/>
  <c r="Q21" i="1" l="1"/>
  <c r="H21" i="1" s="1"/>
  <c r="H24" i="1" l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<sst xmlns="http://schemas.openxmlformats.org/spreadsheetml/2006/main" count="230" uniqueCount="172">
  <si>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</si>
  <si>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</si>
  <si>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</si>
  <si>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</si>
  <si>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</si>
  <si>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</si>
  <si>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</si>
  <si>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</si>
  <si>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</si>
  <si>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</si>
  <si>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</si>
  <si>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</si>
  <si>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</si>
  <si>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</si>
  <si>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</si>
  <si>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</si>
  <si>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</si>
  <si>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</si>
  <si>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</si>
  <si>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</si>
  <si>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</si>
  <si>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</si>
  <si>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</si>
  <si>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</si>
  <si>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</si>
  <si>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</si>
  <si>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</si>
  <si>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</si>
  <si>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</si>
  <si>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</si>
  <si>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</si>
  <si>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</si>
  <si>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</si>
  <si>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</si>
  <si>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</si>
  <si>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</si>
  <si>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</si>
  <si>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</si>
  <si>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</si>
  <si>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</si>
  <si>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</si>
  <si>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</si>
  <si>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</si>
  <si>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</si>
  <si>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</si>
  <si>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</si>
  <si>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</si>
  <si>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</si>
  <si>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</si>
  <si>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</si>
  <si>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</si>
  <si>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</si>
  <si>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</si>
  <si>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</si>
  <si>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</si>
  <si>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</si>
  <si>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</si>
  <si>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</si>
  <si>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</si>
  <si>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</si>
  <si>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</si>
  <si>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</si>
  <si>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</si>
  <si>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</si>
  <si>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</si>
  <si>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</si>
  <si>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</si>
  <si>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</si>
  <si>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</si>
  <si>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</si>
  <si>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</si>
  <si>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</si>
  <si>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</si>
  <si>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</si>
  <si>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</si>
  <si>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</si>
  <si>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</si>
  <si>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</si>
  <si>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</si>
  <si>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</si>
  <si>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</si>
  <si>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</si>
  <si>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</si>
  <si>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</si>
  <si>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</si>
  <si>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</si>
  <si>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</si>
  <si>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</si>
  <si>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</si>
  <si>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</si>
  <si>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</si>
  <si>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</si>
  <si>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</si>
  <si>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</si>
  <si>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</si>
  <si>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</si>
  <si>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</si>
  <si>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</si>
  <si>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</si>
  <si>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</si>
  <si>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</si>
  <si>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</si>
  <si>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</si>
  <si>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</si>
  <si>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</si>
  <si>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</si>
  <si>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</si>
  <si>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</si>
  <si>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</si>
  <si>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</si>
  <si>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</si>
  <si>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</si>
  <si>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</si>
  <si>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</si>
  <si>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</si>
  <si>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</si>
  <si>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</si>
  <si>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</si>
  <si>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</si>
  <si>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</si>
  <si>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</si>
  <si>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</si>
  <si>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</si>
  <si>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</si>
  <si>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</si>
  <si>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</si>
  <si>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</si>
  <si>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</si>
  <si>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</si>
  <si>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</si>
  <si>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</si>
  <si>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</si>
  <si>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</si>
  <si>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</si>
  <si>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</si>
  <si>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</si>
  <si>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</si>
  <si>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</si>
  <si>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</si>
  <si>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</si>
  <si>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</si>
  <si>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</si>
  <si>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</si>
  <si>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</si>
  <si>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</si>
  <si>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</si>
  <si>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</si>
  <si>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</si>
  <si>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</si>
  <si>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</si>
  <si>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</si>
  <si>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</si>
  <si>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</si>
  <si>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</si>
  <si>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</si>
  <si>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</si>
  <si>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</si>
  <si>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</si>
  <si>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</si>
  <si>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</si>
  <si>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</si>
  <si>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</si>
  <si>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</si>
  <si>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</si>
  <si>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</si>
  <si>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</si>
  <si>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5 DIAS HABILES</t>
  </si>
  <si>
    <t>SANTIAGO</t>
  </si>
  <si>
    <t>CONSTRUCTORA BORQUEZ</t>
  </si>
  <si>
    <t>+569 5789 0647</t>
  </si>
  <si>
    <t>CUBIERTA CON RESPALDO 90° R6</t>
  </si>
  <si>
    <t>HUMO 2108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</si>
</sst>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8194</xdr:colOff>
      <xdr:row>23</xdr:row>
      <xdr:rowOff>9525</xdr:rowOff>
    </xdr:from>
    <xdr:to>
      <xdr:col>5</xdr:col>
      <xdr:colOff>1635064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827331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21875" customWidth="1"/>
    <col min="4" max="4" width="11.109375" customWidth="1"/>
    <col min="5" max="5" width="10.5546875" customWidth="1"/>
    <col min="6" max="6" width="27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10599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168</v>
      </c>
      <c r="D10" s="243"/>
      <c r="E10" s="243"/>
      <c r="F10" s="244" t="s">
        <v>0</v>
      </c>
      <c r="G10" s="277">
        <v>45320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0" t="s">
        <v>165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72223.333333333358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7</v>
      </c>
      <c r="C21" s="324" t="s">
        <v>170</v>
      </c>
      <c r="D21" s="325">
        <v>2.4</v>
      </c>
      <c r="E21" s="325">
        <v>0.6</v>
      </c>
      <c r="F21" s="324" t="s">
        <v>171</v>
      </c>
      <c r="G21" s="326">
        <f>P21</f>
        <v>106168.30000000002</v>
      </c>
      <c r="H21" s="327">
        <f>G21*B21</f>
        <v>743178.10000000009</v>
      </c>
      <c r="I21" s="265"/>
      <c r="J21" s="47"/>
      <c r="K21" s="47">
        <f>B21</f>
        <v>7</v>
      </c>
      <c r="L21" s="39">
        <f t="shared" ref="L21" si="1">D21+L$19</f>
        <v>2.4499999999999997</v>
      </c>
      <c r="M21" s="39">
        <f t="shared" ref="M21" si="2">E21+M$19</f>
        <v>0.6</v>
      </c>
      <c r="N21" s="261">
        <f t="shared" ref="N21" si="3">L21*M21</f>
        <v>1.4699999999999998</v>
      </c>
      <c r="O21" s="259">
        <f t="shared" ref="O21:O22" si="4">N21*K21</f>
        <v>10.29</v>
      </c>
      <c r="P21" s="252">
        <f>P$20*N21</f>
        <v>106168.30000000002</v>
      </c>
      <c r="Q21" s="258">
        <f t="shared" ref="Q21" si="5">P21+Q$20</f>
        <v>109168.30000000002</v>
      </c>
      <c r="R21" s="309">
        <f>L21*K21*2</f>
        <v>34.299999999999997</v>
      </c>
      <c r="S21" s="46">
        <f>M21*K21*2</f>
        <v>8.4</v>
      </c>
      <c r="T21" s="9"/>
      <c r="W21" s="4"/>
    </row>
    <row r="22" spans="2:24" ht="17.399999999999999" x14ac:dyDescent="0.3">
      <c r="B22" s="323">
        <v>7</v>
      </c>
      <c r="C22" s="324" t="s">
        <v>170</v>
      </c>
      <c r="D22" s="325">
        <v>1.9</v>
      </c>
      <c r="E22" s="325">
        <v>0.6</v>
      </c>
      <c r="F22" s="324" t="s">
        <v>171</v>
      </c>
      <c r="G22" s="326">
        <f>P22</f>
        <v>84501.300000000017</v>
      </c>
      <c r="H22" s="327">
        <f>G22*B22</f>
        <v>591509.10000000009</v>
      </c>
      <c r="I22" s="265"/>
      <c r="J22" s="47"/>
      <c r="K22" s="47">
        <f>B22</f>
        <v>7</v>
      </c>
      <c r="L22" s="39">
        <f t="shared" ref="L22" si="6">D22+L$19</f>
        <v>1.95</v>
      </c>
      <c r="M22" s="39">
        <f t="shared" ref="M22" si="7">E22+M$19</f>
        <v>0.6</v>
      </c>
      <c r="N22" s="261">
        <f t="shared" ref="N22" si="8">L22*M22</f>
        <v>1.17</v>
      </c>
      <c r="O22" s="259">
        <f t="shared" si="4"/>
        <v>8.19</v>
      </c>
      <c r="P22" s="252">
        <f>P$20*N22</f>
        <v>84501.300000000017</v>
      </c>
      <c r="Q22" s="258">
        <f t="shared" ref="Q22" si="9">P22+Q$20</f>
        <v>87501.300000000017</v>
      </c>
      <c r="R22" s="309">
        <f>L22*K22*2</f>
        <v>27.3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29</v>
      </c>
      <c r="H24" s="311">
        <f>SUM(H21:H21)</f>
        <v>743178.10000000009</v>
      </c>
      <c r="I24" s="265"/>
      <c r="J24" s="47"/>
      <c r="K24" s="47"/>
      <c r="L24" s="39">
        <f>SUM(L21:L23)</f>
        <v>4.3999999999999995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141203.83900000001</v>
      </c>
      <c r="I25" s="265"/>
      <c r="J25" s="47"/>
      <c r="K25" s="47"/>
      <c r="L25" s="39"/>
      <c r="M25" s="12"/>
      <c r="N25" s="12"/>
      <c r="O25" s="253">
        <f>SUM(O21:O22)</f>
        <v>18.479999999999997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884381.93900000013</v>
      </c>
      <c r="I26" s="265"/>
      <c r="J26" s="47"/>
      <c r="K26" s="47"/>
      <c r="L26" s="39"/>
      <c r="M26" s="12"/>
      <c r="N26" s="12"/>
      <c r="O26" s="253">
        <f>O25</f>
        <v>18.479999999999997</v>
      </c>
      <c r="P26" s="14"/>
      <c r="Q26" s="12"/>
      <c r="R26" s="239">
        <f>SUM(R21:R25)</f>
        <v>61.599999999999994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3.6959999999999997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22.175999999999995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6" t="s">
        <v>22</v>
      </c>
      <c r="U29" s="313" t="s">
        <v>153</v>
      </c>
      <c r="V29" s="317">
        <v>44971</v>
      </c>
      <c r="W29" s="31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22.175999999999995</v>
      </c>
      <c r="M30" s="12">
        <v>2500</v>
      </c>
      <c r="N30" s="12">
        <f t="shared" ref="N30:N35" si="10">L30*M30</f>
        <v>55439.999999999985</v>
      </c>
      <c r="O30" s="14" t="s">
        <v>22</v>
      </c>
      <c r="P30" s="14"/>
      <c r="Q30" s="14"/>
      <c r="R30" s="241"/>
      <c r="S30" s="14"/>
      <c r="T30" s="316" t="s">
        <v>154</v>
      </c>
      <c r="U30" s="313">
        <v>3625</v>
      </c>
      <c r="V30" s="59" t="s">
        <v>155</v>
      </c>
      <c r="W30" s="31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7</v>
      </c>
      <c r="M31" s="12">
        <v>23000</v>
      </c>
      <c r="N31" s="12">
        <f t="shared" si="10"/>
        <v>161000</v>
      </c>
      <c r="O31" s="39" t="s">
        <v>32</v>
      </c>
      <c r="P31" s="42"/>
      <c r="Q31" s="14"/>
      <c r="R31" s="240"/>
      <c r="S31" s="14"/>
      <c r="T31" s="316"/>
      <c r="U31" s="59">
        <v>906.25</v>
      </c>
      <c r="V31" s="59" t="s">
        <v>156</v>
      </c>
      <c r="W31" s="318"/>
    </row>
    <row r="32" spans="2:24" s="230" customFormat="1" ht="17.399999999999999" x14ac:dyDescent="0.35">
      <c r="I32" s="262"/>
      <c r="J32" s="232"/>
      <c r="K32" s="250"/>
      <c r="L32" s="14">
        <v>7</v>
      </c>
      <c r="M32" s="250">
        <v>55748</v>
      </c>
      <c r="N32" s="12">
        <f t="shared" si="10"/>
        <v>390236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/>
      <c r="M33" s="250">
        <v>46505</v>
      </c>
      <c r="N33" s="12">
        <f t="shared" si="10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0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/>
      <c r="M35" s="12">
        <v>1500</v>
      </c>
      <c r="N35" s="12">
        <f t="shared" si="10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606676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1334687.2000000002</v>
      </c>
      <c r="O37" s="14" t="s">
        <v>141</v>
      </c>
      <c r="P37" s="14"/>
      <c r="Q37" s="40">
        <f>O28/Q36</f>
        <v>5.9792924935289022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66340</v>
      </c>
      <c r="K38" s="250"/>
      <c r="L38" s="14"/>
      <c r="M38" s="12"/>
      <c r="N38" s="12">
        <f>N37/O26</f>
        <v>72223.333333333358</v>
      </c>
      <c r="O38" s="45" t="s">
        <v>25</v>
      </c>
      <c r="P38" s="14"/>
      <c r="Q38" s="14"/>
      <c r="R38"/>
      <c r="S38" s="238"/>
      <c r="T38" s="59" t="s">
        <v>159</v>
      </c>
      <c r="U38" s="313">
        <v>43650</v>
      </c>
    </row>
    <row r="39" spans="2:23" s="230" customFormat="1" ht="17.399999999999999" x14ac:dyDescent="0.35">
      <c r="G39"/>
      <c r="J39" s="230">
        <f>J38/1.19</f>
        <v>55747.899159663866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45320</v>
      </c>
    </row>
    <row r="6" spans="2:31" ht="16.2" thickBot="1" x14ac:dyDescent="0.35">
      <c r="B6" s="140" t="s">
        <v>2</v>
      </c>
      <c r="C6" s="139" t="str">
        <f>'2229'!C10</f>
        <v>CONSTRUCTORA BORQUEZ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10599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51177.258299879184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743178.10000000009</v>
      </c>
      <c r="E11" s="132">
        <f>D11*0.19</f>
        <v>141203.83900000001</v>
      </c>
      <c r="F11" s="131">
        <f>E11+D11</f>
        <v>884381.93900000013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157167.25829987918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636510.09078743961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139167.25829987918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106668.00921256049</v>
      </c>
      <c r="E13" s="221">
        <f>(D11/D12)-1</f>
        <v>0.16758258943012083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130167.25829987918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91167.258299879177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1050241.6497992752</v>
      </c>
      <c r="F15" s="216">
        <f>E15-D12</f>
        <v>413731.5590118356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91167.258299879177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131167.25829987918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390236</v>
      </c>
      <c r="E18" s="123">
        <f>D18*0.19</f>
        <v>74144.84</v>
      </c>
      <c r="F18" s="120">
        <f>SUM(D18:E18)</f>
        <v>464380.83999999997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161000</v>
      </c>
      <c r="E19" s="123">
        <f>D19*0.19</f>
        <v>30590</v>
      </c>
      <c r="F19" s="120">
        <f>SUM(D19:E19)</f>
        <v>191590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55439.999999999985</v>
      </c>
      <c r="E20" s="121">
        <f>D20*0.19</f>
        <v>10533.599999999997</v>
      </c>
      <c r="F20" s="120">
        <f>SUM(D20:E20)</f>
        <v>65973.599999999977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606676</v>
      </c>
      <c r="E21" s="116">
        <f>SUM(E18:E20)</f>
        <v>115268.43999999999</v>
      </c>
      <c r="F21" s="115">
        <f>SUM(F18:F20)</f>
        <v>721944.44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25935.399000000019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743178.10000000009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606676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106668.00921256049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106668.00921256049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2024-01-25T16:15:13Z</cp:lastPrinted>
  <dcterms:created xsi:type="dcterms:W3CDTF">2013-03-18T13:35:42Z</dcterms:created>
  <dcterms:modified xsi:type="dcterms:W3CDTF">2024-01-29T14:35:06Z</dcterms:modified>
</cp:coreProperties>
</file>