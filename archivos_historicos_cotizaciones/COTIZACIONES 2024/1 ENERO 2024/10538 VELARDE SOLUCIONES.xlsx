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D9A65D63-CC03-4841-B733-BA3C0F2F0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O26" i="1" l="1"/>
  <c r="K23" i="1"/>
  <c r="L23" i="1"/>
  <c r="M23" i="1"/>
  <c r="N23" i="1"/>
  <c r="O23" i="1" s="1"/>
  <c r="H23" i="1"/>
  <c r="M22" i="1"/>
  <c r="L22" i="1"/>
  <c r="K22" i="1"/>
  <c r="N22" i="1" l="1"/>
  <c r="O22" i="1" s="1"/>
  <c r="H21" i="1"/>
  <c r="K21" i="1"/>
  <c r="J40" i="1"/>
  <c r="L21" i="1"/>
  <c r="L25" i="1" s="1"/>
  <c r="M21" i="1"/>
  <c r="N21" i="1" l="1"/>
  <c r="O21" i="1" s="1"/>
  <c r="R27" i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3" i="1" s="1"/>
  <c r="Q23" i="1" s="1"/>
  <c r="E15" i="3"/>
  <c r="P22" i="1" l="1"/>
  <c r="Q22" i="1" s="1"/>
  <c r="P21" i="1"/>
  <c r="F15" i="3"/>
  <c r="Q21" i="1" l="1"/>
  <c r="H26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<sst xmlns="http://schemas.openxmlformats.org/spreadsheetml/2006/main" count="234" uniqueCount="175">
  <si>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</si>
  <si>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</si>
  <si>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</si>
  <si>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</si>
  <si>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</si>
  <si>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</si>
  <si>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</si>
  <si>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</si>
  <si>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</si>
  <si>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</si>
  <si>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</si>
  <si>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</si>
  <si>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</si>
  <si>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</si>
  <si>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</si>
  <si>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</si>
  <si>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</si>
  <si>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</si>
  <si>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</si>
  <si>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</si>
  <si>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</si>
  <si>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</si>
  <si>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</si>
  <si>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</si>
  <si>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</si>
  <si>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</si>
  <si>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</si>
  <si>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</si>
  <si>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</si>
  <si>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</si>
  <si>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</si>
  <si>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</si>
  <si>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</si>
  <si>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</si>
  <si>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</si>
  <si>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</si>
  <si>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</si>
  <si>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</si>
  <si>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</si>
  <si>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</si>
  <si>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</si>
  <si>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</si>
  <si>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</si>
  <si>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</si>
  <si>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</si>
  <si>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</si>
  <si>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</si>
  <si>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</si>
  <si>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</si>
  <si>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</si>
  <si>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</si>
  <si>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</si>
  <si>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</si>
  <si>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</si>
  <si>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</si>
  <si>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</si>
  <si>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</si>
  <si>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</si>
  <si>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</si>
  <si>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</si>
  <si>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</si>
  <si>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</si>
  <si>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</si>
  <si>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</si>
  <si>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</si>
  <si>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</si>
  <si>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</si>
  <si>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</si>
  <si>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</si>
  <si>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</si>
  <si>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</si>
  <si>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</si>
  <si>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</si>
  <si>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</si>
  <si>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</si>
  <si>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</si>
  <si>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</si>
  <si>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</si>
  <si>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</si>
  <si>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</si>
  <si>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</si>
  <si>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</si>
  <si>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</si>
  <si>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</si>
  <si>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</si>
  <si>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</si>
  <si>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</si>
  <si>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</si>
  <si>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</si>
  <si>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</si>
  <si>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</si>
  <si>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</si>
  <si>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</si>
  <si>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</si>
  <si>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</si>
  <si>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</si>
  <si>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</si>
  <si>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</si>
  <si>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</si>
  <si>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</si>
  <si>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</si>
  <si>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</si>
  <si>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</si>
  <si>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</si>
  <si>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</si>
  <si>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</si>
  <si>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</si>
  <si>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</si>
  <si>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</si>
  <si>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</si>
  <si>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</si>
  <si>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</si>
  <si>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</si>
  <si>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</si>
  <si>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</si>
  <si>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</si>
  <si>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</si>
  <si>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</si>
  <si>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</si>
  <si>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</si>
  <si>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</si>
  <si>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</si>
  <si>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</si>
  <si>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</si>
  <si>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</si>
  <si>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</si>
  <si>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</si>
  <si>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</si>
  <si>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</si>
  <si>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</si>
  <si>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</si>
  <si>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</si>
  <si>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</si>
  <si>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</si>
  <si>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</si>
  <si>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</si>
  <si>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</si>
  <si>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</si>
  <si>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</si>
  <si>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</si>
  <si>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</si>
  <si>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</si>
  <si>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</si>
  <si>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</si>
  <si>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</si>
  <si>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</si>
  <si>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</si>
  <si>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</si>
  <si>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</si>
  <si>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</si>
  <si>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</si>
  <si>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</si>
  <si>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</si>
  <si>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</si>
  <si>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</si>
  <si>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</si>
  <si>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</si>
  <si>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</si>
  <si>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</si>
  <si>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</si>
  <si>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</si>
  <si>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</si>
  <si>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</si>
  <si>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</si>
  <si>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</si>
  <si>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</si>
  <si>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</si>
  <si>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</si>
  <si>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 CON RESPALDO FRENTE 90° R8</t>
  </si>
  <si>
    <t>VELARDE SOLUCIONES</t>
  </si>
  <si>
    <t>RAFAEL VELARDE</t>
  </si>
  <si>
    <t>+569 4255 5273</t>
  </si>
  <si>
    <t>CUB MESA 90° R8 3 LADOS DESPUNTADA</t>
  </si>
  <si>
    <t>GREY SLATE 3156 MT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</si>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</sst>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1626870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B12" zoomScale="93" zoomScaleNormal="93" workbookViewId="0">
      <selection activeCell="C23" sqref="C2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169</v>
      </c>
      <c r="D10" s="243"/>
      <c r="E10" s="243"/>
      <c r="F10" s="244" t="s">
        <v>0</v>
      </c>
      <c r="G10" s="277">
        <v>45303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171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89478.669598680601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4">
        <v>1</v>
      </c>
      <c r="C21" s="325" t="s">
        <v>168</v>
      </c>
      <c r="D21" s="326">
        <v>2.0499999999999998</v>
      </c>
      <c r="E21" s="326">
        <v>0.6</v>
      </c>
      <c r="F21" s="325" t="s">
        <v>173</v>
      </c>
      <c r="G21" s="327">
        <v>112743</v>
      </c>
      <c r="H21" s="328">
        <f>G21*B21</f>
        <v>112743</v>
      </c>
      <c r="I21" s="265"/>
      <c r="J21" s="47"/>
      <c r="K21" s="47">
        <f>B21</f>
        <v>1</v>
      </c>
      <c r="L21" s="39">
        <f t="shared" ref="L21" si="1">D21+L$19</f>
        <v>2.0999999999999996</v>
      </c>
      <c r="M21" s="39">
        <f t="shared" ref="M21" si="2">E21+M$19</f>
        <v>0.6</v>
      </c>
      <c r="N21" s="261">
        <f t="shared" ref="N21" si="3">L21*M21</f>
        <v>1.2599999999999998</v>
      </c>
      <c r="O21" s="259">
        <f t="shared" ref="O21" si="4">N21*K21</f>
        <v>1.2599999999999998</v>
      </c>
      <c r="P21" s="252">
        <f t="shared" ref="P21" si="5">P$20*N21</f>
        <v>112743.12369433754</v>
      </c>
      <c r="Q21" s="258">
        <f t="shared" ref="Q21" si="6">P21+Q$20</f>
        <v>115743.12369433754</v>
      </c>
      <c r="R21" s="309"/>
      <c r="S21" s="14"/>
      <c r="T21" s="9"/>
      <c r="W21" s="4"/>
    </row>
    <row r="22" spans="2:24" ht="18" thickBot="1" x14ac:dyDescent="0.35">
      <c r="B22" s="324">
        <v>1</v>
      </c>
      <c r="C22" s="325" t="s">
        <v>168</v>
      </c>
      <c r="D22" s="326">
        <v>1.91</v>
      </c>
      <c r="E22" s="326">
        <v>0.56000000000000005</v>
      </c>
      <c r="F22" s="325" t="s">
        <v>173</v>
      </c>
      <c r="G22" s="327">
        <v>98212</v>
      </c>
      <c r="H22" s="328">
        <f>G22*B22</f>
        <v>98212</v>
      </c>
      <c r="I22" s="265"/>
      <c r="J22" s="47"/>
      <c r="K22" s="47">
        <f t="shared" ref="K22" si="7">B22</f>
        <v>1</v>
      </c>
      <c r="L22" s="39">
        <f t="shared" ref="L22" si="8">D22+L$19</f>
        <v>1.96</v>
      </c>
      <c r="M22" s="39">
        <f t="shared" ref="M22" si="9">E22+M$19</f>
        <v>0.56000000000000005</v>
      </c>
      <c r="N22" s="261">
        <f t="shared" ref="N22" si="10">L22*M22</f>
        <v>1.0976000000000001</v>
      </c>
      <c r="O22" s="259">
        <f t="shared" ref="O22" si="11">N22*K22</f>
        <v>1.0976000000000001</v>
      </c>
      <c r="P22" s="252">
        <f t="shared" ref="P22" si="12">P$20*N22</f>
        <v>98211.787751511845</v>
      </c>
      <c r="Q22" s="258">
        <f t="shared" ref="Q22" si="13">P22+Q$20</f>
        <v>101211.78775151185</v>
      </c>
      <c r="R22" s="309"/>
      <c r="S22" s="14"/>
      <c r="T22" s="9"/>
      <c r="W22" s="4"/>
    </row>
    <row r="23" spans="2:24" ht="17.399999999999999" x14ac:dyDescent="0.3">
      <c r="B23" s="324">
        <v>1</v>
      </c>
      <c r="C23" s="325" t="s">
        <v>172</v>
      </c>
      <c r="D23" s="326">
        <v>0.65</v>
      </c>
      <c r="E23" s="326">
        <v>0.27</v>
      </c>
      <c r="F23" s="325" t="s">
        <v>173</v>
      </c>
      <c r="G23" s="327">
        <v>16911</v>
      </c>
      <c r="H23" s="328">
        <f>G23*B23</f>
        <v>16911</v>
      </c>
      <c r="I23" s="265"/>
      <c r="J23" s="47"/>
      <c r="K23" s="47">
        <f t="shared" ref="K23" si="14">B23</f>
        <v>1</v>
      </c>
      <c r="L23" s="39">
        <f t="shared" ref="L23" si="15">D23+L$19</f>
        <v>0.70000000000000007</v>
      </c>
      <c r="M23" s="39">
        <f t="shared" ref="M23" si="16">E23+M$19</f>
        <v>0.27</v>
      </c>
      <c r="N23" s="261">
        <f t="shared" ref="N23" si="17">L23*M23</f>
        <v>0.18900000000000003</v>
      </c>
      <c r="O23" s="259">
        <f t="shared" ref="O23" si="18">N23*K23</f>
        <v>0.18900000000000003</v>
      </c>
      <c r="P23" s="252">
        <f t="shared" ref="P23" si="19">P$20*N23</f>
        <v>16911.468554150637</v>
      </c>
      <c r="Q23" s="258">
        <f t="shared" ref="Q23" si="20">P23+Q$20</f>
        <v>19911.468554150637</v>
      </c>
      <c r="R23" s="309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1" t="s">
        <v>29</v>
      </c>
      <c r="H25" s="312">
        <v>220000</v>
      </c>
      <c r="I25" s="265"/>
      <c r="J25" s="47"/>
      <c r="K25" s="47"/>
      <c r="L25" s="39">
        <f>SUM(L21:L24)</f>
        <v>4.76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H25*19%</f>
        <v>41800</v>
      </c>
      <c r="I26" s="265"/>
      <c r="J26" s="47"/>
      <c r="K26" s="47"/>
      <c r="L26" s="39"/>
      <c r="M26" s="12"/>
      <c r="N26" s="12"/>
      <c r="O26" s="253">
        <f>SUM(O21:O23)</f>
        <v>2.5465999999999998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261800</v>
      </c>
      <c r="I27" s="265"/>
      <c r="J27" s="47"/>
      <c r="K27" s="47"/>
      <c r="L27" s="39"/>
      <c r="M27" s="12"/>
      <c r="N27" s="12"/>
      <c r="O27" s="253">
        <f>O26</f>
        <v>2.5465999999999998</v>
      </c>
      <c r="P27" s="14"/>
      <c r="Q27" s="12"/>
      <c r="R27" s="239">
        <f>SUM(R21:R26)</f>
        <v>0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0.50931999999999999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3.0559199999999995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7" t="s">
        <v>22</v>
      </c>
      <c r="U30" s="314" t="s">
        <v>153</v>
      </c>
      <c r="V30" s="318">
        <v>44971</v>
      </c>
      <c r="W30" s="319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3.0559199999999995</v>
      </c>
      <c r="M31" s="12">
        <v>2500</v>
      </c>
      <c r="N31" s="12">
        <f t="shared" ref="N31:N36" si="21">L31*M31</f>
        <v>7639.7999999999984</v>
      </c>
      <c r="O31" s="14" t="s">
        <v>22</v>
      </c>
      <c r="P31" s="14"/>
      <c r="Q31" s="14"/>
      <c r="R31" s="241"/>
      <c r="S31" s="14"/>
      <c r="T31" s="317" t="s">
        <v>154</v>
      </c>
      <c r="U31" s="314">
        <v>3625</v>
      </c>
      <c r="V31" s="59" t="s">
        <v>155</v>
      </c>
      <c r="W31" s="319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0.82399999999999995</v>
      </c>
      <c r="M32" s="12">
        <v>25000</v>
      </c>
      <c r="N32" s="12">
        <f t="shared" si="21"/>
        <v>20600</v>
      </c>
      <c r="O32" s="39" t="s">
        <v>32</v>
      </c>
      <c r="P32" s="42"/>
      <c r="Q32" s="14"/>
      <c r="R32" s="240"/>
      <c r="S32" s="14"/>
      <c r="T32" s="317"/>
      <c r="U32" s="59">
        <v>906.25</v>
      </c>
      <c r="V32" s="59" t="s">
        <v>156</v>
      </c>
      <c r="W32" s="319"/>
    </row>
    <row r="33" spans="2:23" s="230" customFormat="1" ht="17.399999999999999" x14ac:dyDescent="0.35">
      <c r="I33" s="262"/>
      <c r="J33" s="232"/>
      <c r="K33" s="250"/>
      <c r="L33" s="14"/>
      <c r="M33" s="250">
        <v>46500</v>
      </c>
      <c r="N33" s="12">
        <f t="shared" si="21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9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2</v>
      </c>
      <c r="M34" s="250">
        <v>37059</v>
      </c>
      <c r="N34" s="12">
        <f t="shared" si="21"/>
        <v>74118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9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21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>
        <v>4.0999999999999996</v>
      </c>
      <c r="M36" s="12">
        <v>1500</v>
      </c>
      <c r="N36" s="12">
        <f t="shared" si="21"/>
        <v>6149.9999999999991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108507.8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N37*2.1</f>
        <v>227866.38</v>
      </c>
      <c r="O38" s="14" t="s">
        <v>141</v>
      </c>
      <c r="P38" s="14"/>
      <c r="Q38" s="40">
        <f>O29/Q37</f>
        <v>0.82396462467644505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89478.669598680601</v>
      </c>
      <c r="O39" s="45" t="s">
        <v>25</v>
      </c>
      <c r="P39" s="14"/>
      <c r="Q39" s="14"/>
      <c r="R39"/>
      <c r="S39" s="238"/>
      <c r="T39" s="59" t="s">
        <v>159</v>
      </c>
      <c r="U39" s="314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2.1</v>
      </c>
      <c r="O40" s="15"/>
      <c r="P40"/>
      <c r="Q40"/>
      <c r="R40"/>
      <c r="S40" s="238"/>
      <c r="T40" s="59" t="s">
        <v>161</v>
      </c>
      <c r="U40" s="315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6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45303</v>
      </c>
    </row>
    <row r="6" spans="2:31" ht="16.2" thickBot="1" x14ac:dyDescent="0.35">
      <c r="B6" s="140" t="s">
        <v>2</v>
      </c>
      <c r="C6" s="139" t="str">
        <f>'2229'!C10</f>
        <v>VELARDE SOLUCIONES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-20696.346700120775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220000</v>
      </c>
      <c r="E11" s="132">
        <f>D11*0.19</f>
        <v>41800</v>
      </c>
      <c r="F11" s="131">
        <f>E11+D11</f>
        <v>261800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85293.653299879225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58073.89078743961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67293.653299879225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161926.1092125604</v>
      </c>
      <c r="E13" s="221">
        <f>(D11/D12)-1</f>
        <v>2.7882772622422989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58293.653299879225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19293.653299879225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95821.919799275347</v>
      </c>
      <c r="F15" s="216">
        <f>E15-D12</f>
        <v>37748.029011835737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19293.653299879225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59293.653299879225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20600</v>
      </c>
      <c r="E19" s="123">
        <f>D19*0.19</f>
        <v>3914</v>
      </c>
      <c r="F19" s="120">
        <f>SUM(D19:E19)</f>
        <v>24514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7639.7999999999984</v>
      </c>
      <c r="E20" s="121">
        <f>D20*0.19</f>
        <v>1451.5619999999997</v>
      </c>
      <c r="F20" s="120">
        <f>SUM(D20:E20)</f>
        <v>9091.3619999999974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28239.8</v>
      </c>
      <c r="E21" s="116">
        <f>SUM(E18:E20)</f>
        <v>5365.5619999999999</v>
      </c>
      <c r="F21" s="115">
        <f>SUM(F18:F20)</f>
        <v>33605.361999999994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36434.438000000002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220000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28239.8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161926.1092125604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161926.1092125604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2024-01-12T14:57:02Z</cp:lastPrinted>
  <dcterms:created xsi:type="dcterms:W3CDTF">2013-03-18T13:35:42Z</dcterms:created>
  <dcterms:modified xsi:type="dcterms:W3CDTF">2024-01-14T20:36:35Z</dcterms:modified>
</cp:coreProperties>
</file>