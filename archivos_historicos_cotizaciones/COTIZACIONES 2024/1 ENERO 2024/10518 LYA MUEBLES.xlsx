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576701F7-A484-49A8-A026-45C5BE18C2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5" i="1" l="1"/>
  <c r="L22" i="1"/>
  <c r="S22" i="1" s="1"/>
  <c r="M22" i="1"/>
  <c r="O22" i="1" s="1"/>
  <c r="P22" i="1" s="1"/>
  <c r="N22" i="1"/>
  <c r="L23" i="1"/>
  <c r="S23" i="1" s="1"/>
  <c r="M23" i="1"/>
  <c r="O23" i="1" s="1"/>
  <c r="N23" i="1"/>
  <c r="L24" i="1"/>
  <c r="S24" i="1" s="1"/>
  <c r="M24" i="1"/>
  <c r="N24" i="1"/>
  <c r="L25" i="1"/>
  <c r="M25" i="1"/>
  <c r="N25" i="1"/>
  <c r="O25" i="1" s="1"/>
  <c r="L26" i="1"/>
  <c r="S26" i="1" s="1"/>
  <c r="M26" i="1"/>
  <c r="N26" i="1"/>
  <c r="O26" i="1"/>
  <c r="L27" i="1"/>
  <c r="S27" i="1" s="1"/>
  <c r="M27" i="1"/>
  <c r="N27" i="1"/>
  <c r="I22" i="1"/>
  <c r="I23" i="1"/>
  <c r="I24" i="1"/>
  <c r="I25" i="1"/>
  <c r="I26" i="1"/>
  <c r="I27" i="1"/>
  <c r="I21" i="1"/>
  <c r="I30" i="1" s="1"/>
  <c r="P26" i="1" l="1"/>
  <c r="O24" i="1"/>
  <c r="P24" i="1" s="1"/>
  <c r="O27" i="1"/>
  <c r="P23" i="1"/>
  <c r="P27" i="1"/>
  <c r="P25" i="1"/>
  <c r="L21" i="1"/>
  <c r="K46" i="1" l="1"/>
  <c r="M21" i="1"/>
  <c r="O37" i="1"/>
  <c r="N21" i="1"/>
  <c r="S21" i="1" l="1"/>
  <c r="S32" i="1" s="1"/>
  <c r="O21" i="1"/>
  <c r="P21" i="1" s="1"/>
  <c r="P31" i="1" s="1"/>
  <c r="V39" i="1"/>
  <c r="P32" i="1" l="1"/>
  <c r="T49" i="1"/>
  <c r="P33" i="1" l="1"/>
  <c r="N20" i="1"/>
  <c r="L20" i="1"/>
  <c r="O38" i="1" l="1"/>
  <c r="R42" i="1"/>
  <c r="R43" i="1" s="1"/>
  <c r="O39" i="1" l="1"/>
  <c r="T42" i="1" l="1"/>
  <c r="T4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1" i="1"/>
  <c r="F18" i="3" l="1"/>
  <c r="P34" i="1" l="1"/>
  <c r="M36" i="1" s="1"/>
  <c r="O36" i="1" l="1"/>
  <c r="T50" i="1"/>
  <c r="O42" i="1" l="1"/>
  <c r="O43" i="1" s="1"/>
  <c r="D20" i="3"/>
  <c r="E20" i="3" s="1"/>
  <c r="E21" i="3" s="1"/>
  <c r="O45" i="1" l="1"/>
  <c r="D21" i="3"/>
  <c r="M43" i="3" s="1"/>
  <c r="D12" i="3" s="1"/>
  <c r="F20" i="3"/>
  <c r="F21" i="3" s="1"/>
  <c r="O44" i="1" l="1"/>
  <c r="Q20" i="1" s="1"/>
  <c r="E15" i="3"/>
  <c r="Q23" i="1" l="1"/>
  <c r="R23" i="1" s="1"/>
  <c r="Q26" i="1"/>
  <c r="R26" i="1" s="1"/>
  <c r="Q25" i="1"/>
  <c r="R25" i="1" s="1"/>
  <c r="Q22" i="1"/>
  <c r="R22" i="1" s="1"/>
  <c r="Q27" i="1"/>
  <c r="R27" i="1" s="1"/>
  <c r="Q24" i="1"/>
  <c r="R24" i="1" s="1"/>
  <c r="Q21" i="1"/>
  <c r="F15" i="3"/>
  <c r="R21" i="1" l="1"/>
  <c r="I31" i="1" s="1"/>
  <c r="I32" i="1" l="1"/>
  <c r="D11" i="3"/>
  <c r="X9" i="3" s="1"/>
  <c r="X15" i="3" s="1"/>
  <c r="E11" i="3" l="1"/>
  <c r="D40" i="3" s="1"/>
  <c r="E13" i="3"/>
  <c r="D13" i="3"/>
  <c r="X11" i="3"/>
  <c r="X16" i="3"/>
  <c r="M42" i="3"/>
  <c r="M46" i="3" s="1"/>
  <c r="M49" i="3" s="1"/>
  <c r="X13" i="3"/>
  <c r="X12" i="3"/>
  <c r="X14" i="3"/>
  <c r="F11" i="3" l="1"/>
</calcChain>
</file>

<file path=xl/sharedStrings.xml><?xml version="1.0" encoding="utf-8"?>
<sst xmlns="http://schemas.openxmlformats.org/spreadsheetml/2006/main" count="239" uniqueCount="174">
  <si>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</si>
  <si>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</si>
  <si>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</si>
  <si>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</si>
  <si>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</si>
  <si>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</si>
  <si>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</si>
  <si>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</si>
  <si>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</si>
  <si>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</si>
  <si>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</si>
  <si>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</si>
  <si>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</si>
  <si>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</si>
  <si>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</si>
  <si>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</si>
  <si>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</si>
  <si>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</si>
  <si>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</si>
  <si>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</si>
  <si>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</si>
  <si>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</si>
  <si>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</si>
  <si>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</si>
  <si>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</si>
  <si>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</si>
  <si>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</si>
  <si>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</si>
  <si>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</si>
  <si>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</si>
  <si>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</si>
  <si>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</si>
  <si>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</si>
  <si>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</si>
  <si>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</si>
  <si>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</si>
  <si>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</si>
  <si>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</si>
  <si>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</si>
  <si>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</si>
  <si>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</si>
  <si>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</si>
  <si>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</si>
  <si>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</si>
  <si>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</si>
  <si>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</si>
  <si>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</si>
  <si>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</si>
  <si>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</si>
  <si>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</si>
  <si>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</si>
  <si>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</si>
  <si>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</si>
  <si>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</si>
  <si>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</si>
  <si>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</si>
  <si>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</si>
  <si>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</si>
  <si>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</si>
  <si>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</si>
  <si>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</si>
  <si>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</si>
  <si>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</si>
  <si>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</si>
  <si>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</si>
  <si>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</si>
  <si>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</si>
  <si>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</si>
  <si>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</si>
  <si>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</si>
  <si>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</si>
  <si>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</si>
  <si>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</si>
  <si>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</si>
  <si>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</si>
  <si>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</si>
  <si>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</si>
  <si>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</si>
  <si>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</si>
  <si>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</si>
  <si>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</si>
  <si>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</si>
  <si>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</si>
  <si>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</si>
  <si>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</si>
  <si>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</si>
  <si>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</si>
  <si>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</si>
  <si>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</si>
  <si>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</si>
  <si>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</si>
  <si>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</si>
  <si>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</si>
  <si>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</si>
  <si>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</si>
  <si>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</si>
  <si>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</si>
  <si>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</si>
  <si>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</si>
  <si>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</si>
  <si>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</si>
  <si>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</si>
  <si>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</si>
  <si>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</si>
  <si>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</si>
  <si>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</si>
  <si>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</si>
  <si>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</si>
  <si>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</si>
  <si>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</si>
  <si>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</si>
  <si>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</si>
  <si>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</si>
  <si>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</si>
  <si>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</si>
  <si>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</si>
  <si>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</si>
  <si>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</si>
  <si>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</si>
  <si>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</si>
  <si>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</si>
  <si>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</si>
  <si>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</si>
  <si>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</si>
  <si>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</si>
  <si>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</si>
  <si>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</si>
  <si>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</si>
  <si>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</si>
  <si>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</si>
  <si>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</si>
  <si>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</si>
  <si>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</si>
  <si>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</si>
  <si>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</si>
  <si>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</si>
  <si>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</si>
  <si>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</si>
  <si>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</si>
  <si>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</si>
  <si>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</si>
  <si>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</si>
  <si>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</si>
  <si>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</si>
  <si>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</si>
  <si>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</si>
  <si>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</si>
  <si>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</si>
  <si>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</si>
  <si>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</si>
  <si>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</si>
  <si>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</si>
  <si>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</si>
  <si>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ABONO 50% SALDO C/E</t>
  </si>
  <si>
    <t>ZACALO</t>
  </si>
  <si>
    <t>MDF18MM</t>
  </si>
  <si>
    <t>O</t>
  </si>
  <si>
    <t xml:space="preserve">NO </t>
  </si>
  <si>
    <t xml:space="preserve">IVA </t>
  </si>
  <si>
    <t>SANTIAGO</t>
  </si>
  <si>
    <t>DURACION COTIZACION: 5 DIAS                           FERNANDO DONOSO</t>
  </si>
  <si>
    <t>LYA MUEBLES</t>
  </si>
  <si>
    <t>ANDREA NUÑEZ</t>
  </si>
  <si>
    <r>
      <t> +56</t>
    </r>
    <r>
      <rPr>
        <i/>
        <sz val="11"/>
        <color rgb="FF1F497D"/>
        <rFont val="Arial"/>
        <family val="2"/>
      </rPr>
      <t xml:space="preserve">  </t>
    </r>
    <r>
      <rPr>
        <i/>
        <sz val="11"/>
        <color theme="1"/>
        <rFont val="Arial"/>
        <family val="2"/>
      </rPr>
      <t>9 6191 4275</t>
    </r>
  </si>
  <si>
    <t>10 DIAS HABILES</t>
  </si>
  <si>
    <t>NO</t>
  </si>
  <si>
    <t>CUBIERTA CON RESPALDO FRENTE 90° R8</t>
  </si>
  <si>
    <t>BLANCO OPACO</t>
  </si>
  <si>
    <t>SECTOR</t>
  </si>
  <si>
    <t>MB04</t>
  </si>
  <si>
    <t>MB05</t>
  </si>
  <si>
    <t>MB01</t>
  </si>
  <si>
    <t>MBO2</t>
  </si>
  <si>
    <t>MB03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</si>
</sst>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rgb="FF000000"/>
      <name val="Segoe UI"/>
      <family val="2"/>
    </font>
    <font>
      <i/>
      <sz val="12"/>
      <color theme="1"/>
      <name val="Calibri"/>
      <family val="2"/>
      <scheme val="minor"/>
    </font>
    <font>
      <i/>
      <sz val="11"/>
      <color theme="1"/>
      <name val="Arial"/>
      <family val="2"/>
    </font>
    <font>
      <i/>
      <sz val="11"/>
      <color rgb="FF1F497D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8" borderId="0" xfId="0" applyFont="1" applyFill="1" applyAlignment="1">
      <alignment shrinkToFit="1"/>
    </xf>
    <xf numFmtId="167" fontId="3" fillId="18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19" borderId="2" xfId="0" applyFont="1" applyFill="1" applyBorder="1" applyAlignment="1">
      <alignment horizontal="left" indent="1"/>
    </xf>
    <xf numFmtId="0" fontId="23" fillId="19" borderId="9" xfId="0" applyFont="1" applyFill="1" applyBorder="1"/>
    <xf numFmtId="0" fontId="23" fillId="19" borderId="3" xfId="0" applyFont="1" applyFill="1" applyBorder="1" applyAlignment="1">
      <alignment horizontal="center"/>
    </xf>
    <xf numFmtId="42" fontId="22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36" fillId="0" borderId="0" xfId="0" applyFont="1"/>
    <xf numFmtId="0" fontId="21" fillId="19" borderId="57" xfId="0" applyFont="1" applyFill="1" applyBorder="1" applyAlignment="1">
      <alignment horizontal="center" vertical="center"/>
    </xf>
    <xf numFmtId="0" fontId="21" fillId="19" borderId="4" xfId="0" applyFont="1" applyFill="1" applyBorder="1" applyAlignment="1">
      <alignment horizontal="center" vertical="center"/>
    </xf>
    <xf numFmtId="0" fontId="21" fillId="19" borderId="32" xfId="0" applyFont="1" applyFill="1" applyBorder="1" applyAlignment="1">
      <alignment horizontal="center" vertical="center"/>
    </xf>
    <xf numFmtId="0" fontId="0" fillId="0" borderId="47" xfId="0" applyBorder="1"/>
    <xf numFmtId="0" fontId="0" fillId="0" borderId="46" xfId="0" applyBorder="1"/>
    <xf numFmtId="0" fontId="0" fillId="0" borderId="53" xfId="0" applyBorder="1"/>
    <xf numFmtId="166" fontId="32" fillId="0" borderId="36" xfId="0" applyNumberFormat="1" applyFont="1" applyBorder="1" applyAlignment="1">
      <alignment horizontal="center" vertical="center"/>
    </xf>
    <xf numFmtId="1" fontId="32" fillId="0" borderId="28" xfId="0" applyNumberFormat="1" applyFont="1" applyBorder="1" applyAlignment="1">
      <alignment horizontal="center" vertical="center"/>
    </xf>
    <xf numFmtId="42" fontId="33" fillId="0" borderId="36" xfId="8" applyFont="1" applyFill="1" applyBorder="1" applyAlignment="1">
      <alignment horizontal="center" vertical="center"/>
    </xf>
    <xf numFmtId="42" fontId="33" fillId="0" borderId="27" xfId="8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center"/>
    </xf>
    <xf numFmtId="42" fontId="33" fillId="13" borderId="1" xfId="8" applyFont="1" applyFill="1" applyBorder="1"/>
    <xf numFmtId="0" fontId="33" fillId="0" borderId="1" xfId="0" applyFont="1" applyBorder="1" applyAlignment="1">
      <alignment horizontal="center"/>
    </xf>
    <xf numFmtId="42" fontId="33" fillId="0" borderId="1" xfId="0" applyNumberFormat="1" applyFont="1" applyBorder="1"/>
    <xf numFmtId="0" fontId="9" fillId="0" borderId="0" xfId="3" quotePrefix="1"/>
    <xf numFmtId="0" fontId="37" fillId="0" borderId="0" xfId="0" applyFont="1"/>
    <xf numFmtId="0" fontId="38" fillId="0" borderId="0" xfId="0" applyFont="1"/>
    <xf numFmtId="42" fontId="33" fillId="0" borderId="0" xfId="8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19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" fontId="32" fillId="0" borderId="0" xfId="0" applyNumberFormat="1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6" fontId="32" fillId="7" borderId="36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2066925</xdr:colOff>
      <xdr:row>34</xdr:row>
      <xdr:rowOff>19050</xdr:rowOff>
    </xdr:from>
    <xdr:to>
      <xdr:col>8</xdr:col>
      <xdr:colOff>1024815</xdr:colOff>
      <xdr:row>37</xdr:row>
      <xdr:rowOff>19051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77075" y="7810500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36</xdr:row>
      <xdr:rowOff>154305</xdr:rowOff>
    </xdr:from>
    <xdr:to>
      <xdr:col>8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34</xdr:row>
      <xdr:rowOff>9525</xdr:rowOff>
    </xdr:from>
    <xdr:to>
      <xdr:col>6</xdr:col>
      <xdr:colOff>1790700</xdr:colOff>
      <xdr:row>37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66725" y="5591175"/>
          <a:ext cx="6696075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13336</xdr:colOff>
      <xdr:row>29</xdr:row>
      <xdr:rowOff>11429</xdr:rowOff>
    </xdr:from>
    <xdr:to>
      <xdr:col>6</xdr:col>
      <xdr:colOff>1783080</xdr:colOff>
      <xdr:row>33</xdr:row>
      <xdr:rowOff>1904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3386" y="4716779"/>
          <a:ext cx="6379844" cy="9048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LAS CUBIERTAS SE ENTREGAN SOBRE MEDIDA EN EL</a:t>
          </a:r>
          <a:r>
            <a:rPr lang="es-CL" sz="1400" b="1" baseline="0"/>
            <a:t> LARGO</a:t>
          </a:r>
          <a:br>
            <a:rPr lang="es-CL" sz="1400" b="1" baseline="0"/>
          </a:b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7620</xdr:colOff>
      <xdr:row>0</xdr:row>
      <xdr:rowOff>0</xdr:rowOff>
    </xdr:from>
    <xdr:to>
      <xdr:col>2</xdr:col>
      <xdr:colOff>822718</xdr:colOff>
      <xdr:row>6</xdr:row>
      <xdr:rowOff>20955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" y="0"/>
          <a:ext cx="1519948" cy="1183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7"/>
  <sheetViews>
    <sheetView tabSelected="1" topLeftCell="B1" zoomScaleNormal="100" workbookViewId="0">
      <selection activeCell="B29" sqref="A29:XFD30"/>
    </sheetView>
  </sheetViews>
  <sheetFormatPr baseColWidth="10" defaultRowHeight="14.4" x14ac:dyDescent="0.3"/>
  <cols>
    <col min="1" max="1" width="6" customWidth="1"/>
    <col min="2" max="2" width="10.5546875" customWidth="1"/>
    <col min="3" max="3" width="43.44140625" customWidth="1"/>
    <col min="4" max="4" width="11.109375" customWidth="1"/>
    <col min="5" max="6" width="10.5546875" customWidth="1"/>
    <col min="7" max="7" width="32.44140625" customWidth="1"/>
    <col min="8" max="8" width="14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8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G2" s="241" t="s">
        <v>143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G3" s="59" t="s">
        <v>139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G4" s="59" t="s">
        <v>144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G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G6" s="59" t="s">
        <v>15</v>
      </c>
      <c r="O6" s="33" t="s">
        <v>20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G7" s="59" t="s">
        <v>126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00" t="s">
        <v>128</v>
      </c>
      <c r="C8" s="301"/>
      <c r="D8" s="302">
        <v>10518</v>
      </c>
      <c r="G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42" t="s">
        <v>2</v>
      </c>
      <c r="C10" s="279" t="s">
        <v>161</v>
      </c>
      <c r="D10" s="243"/>
      <c r="E10" s="243"/>
      <c r="F10" s="243"/>
      <c r="G10" s="244" t="s">
        <v>0</v>
      </c>
      <c r="H10" s="277">
        <v>45324</v>
      </c>
      <c r="I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308"/>
      <c r="G11" t="s">
        <v>125</v>
      </c>
      <c r="H11" s="288" t="s">
        <v>164</v>
      </c>
      <c r="I11" s="289"/>
      <c r="Q11" s="19"/>
      <c r="R11" s="25" t="s">
        <v>19</v>
      </c>
      <c r="S11" s="19"/>
    </row>
    <row r="12" spans="2:24" ht="16.8" x14ac:dyDescent="0.4">
      <c r="B12" s="246" t="s">
        <v>146</v>
      </c>
      <c r="C12" s="305"/>
      <c r="D12" s="247"/>
      <c r="E12" s="247"/>
      <c r="F12" s="247"/>
      <c r="G12" s="247" t="s">
        <v>129</v>
      </c>
      <c r="H12" s="278" t="s">
        <v>157</v>
      </c>
      <c r="I12" s="248"/>
      <c r="Q12" s="19"/>
      <c r="R12" s="25"/>
      <c r="S12" s="19"/>
    </row>
    <row r="13" spans="2:24" ht="15.6" x14ac:dyDescent="0.3">
      <c r="B13" s="246" t="s">
        <v>147</v>
      </c>
      <c r="C13" s="324" t="s">
        <v>162</v>
      </c>
      <c r="D13" s="247"/>
      <c r="E13" s="247"/>
      <c r="F13" s="247"/>
      <c r="G13" s="247"/>
      <c r="H13" s="278"/>
      <c r="I13" s="248"/>
      <c r="Q13" s="19"/>
      <c r="R13" s="25"/>
      <c r="S13" s="19"/>
    </row>
    <row r="14" spans="2:24" x14ac:dyDescent="0.3">
      <c r="B14" s="287" t="s">
        <v>140</v>
      </c>
      <c r="C14" s="323"/>
      <c r="G14" s="29" t="s">
        <v>137</v>
      </c>
      <c r="H14" s="290" t="s">
        <v>165</v>
      </c>
      <c r="I14" s="289"/>
      <c r="K14" s="29"/>
      <c r="Q14" s="20"/>
      <c r="R14" s="26" t="s">
        <v>18</v>
      </c>
      <c r="S14" s="20"/>
    </row>
    <row r="15" spans="2:24" ht="15.6" x14ac:dyDescent="0.3">
      <c r="B15" s="246" t="s">
        <v>4</v>
      </c>
      <c r="C15" s="325" t="s">
        <v>163</v>
      </c>
      <c r="D15" s="294"/>
      <c r="E15" s="247"/>
      <c r="F15" s="247"/>
      <c r="G15" s="247" t="s">
        <v>136</v>
      </c>
      <c r="H15" s="295" t="s">
        <v>165</v>
      </c>
      <c r="I15" s="248"/>
    </row>
    <row r="16" spans="2:24" ht="16.8" x14ac:dyDescent="0.4">
      <c r="B16" s="291" t="s">
        <v>3</v>
      </c>
      <c r="C16" s="305"/>
      <c r="G16" s="292" t="s">
        <v>131</v>
      </c>
      <c r="H16" s="293" t="s">
        <v>153</v>
      </c>
      <c r="I16" s="289"/>
    </row>
    <row r="17" spans="2:25" ht="15" thickBot="1" x14ac:dyDescent="0.35">
      <c r="B17" s="296" t="s">
        <v>13</v>
      </c>
      <c r="C17" s="297" t="s">
        <v>159</v>
      </c>
      <c r="D17" s="298"/>
      <c r="E17" s="299"/>
      <c r="F17" s="299"/>
      <c r="G17" s="327" t="s">
        <v>160</v>
      </c>
      <c r="H17" s="327"/>
      <c r="I17" s="328"/>
      <c r="J17" s="263"/>
      <c r="T17" s="6"/>
      <c r="U17" s="6"/>
    </row>
    <row r="18" spans="2:25" ht="15" thickBot="1" x14ac:dyDescent="0.35">
      <c r="B18" s="312"/>
      <c r="C18" s="313"/>
      <c r="D18" s="313"/>
      <c r="E18" s="313"/>
      <c r="F18" s="313"/>
      <c r="G18" s="313"/>
      <c r="H18" s="313"/>
      <c r="I18" s="314"/>
      <c r="J18" s="47"/>
      <c r="K18" s="5"/>
      <c r="V18" s="9"/>
      <c r="X18" s="6"/>
      <c r="Y18" s="6"/>
    </row>
    <row r="19" spans="2:25" ht="15" thickBot="1" x14ac:dyDescent="0.35">
      <c r="B19" s="329" t="s">
        <v>148</v>
      </c>
      <c r="C19" s="330"/>
      <c r="D19" s="330"/>
      <c r="E19" s="330"/>
      <c r="F19" s="330"/>
      <c r="G19" s="330"/>
      <c r="H19" s="330"/>
      <c r="I19" s="331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21</v>
      </c>
      <c r="R19" s="37" t="s">
        <v>135</v>
      </c>
      <c r="S19" s="10" t="s">
        <v>138</v>
      </c>
      <c r="U19" s="9"/>
      <c r="V19" s="9"/>
      <c r="X19" s="6"/>
      <c r="Y19" s="6"/>
    </row>
    <row r="20" spans="2:25" ht="18" thickBot="1" x14ac:dyDescent="0.35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168</v>
      </c>
      <c r="G20" s="310" t="s">
        <v>8</v>
      </c>
      <c r="H20" s="310" t="s">
        <v>5</v>
      </c>
      <c r="I20" s="311" t="s">
        <v>6</v>
      </c>
      <c r="J20" s="265"/>
      <c r="K20" s="47"/>
      <c r="L20" s="268" t="str">
        <f>B20</f>
        <v>UNIDAD</v>
      </c>
      <c r="M20" s="267" t="s">
        <v>133</v>
      </c>
      <c r="N20" s="39" t="str">
        <f t="shared" ref="N20:N21" si="0">E20</f>
        <v>ANCHO</v>
      </c>
      <c r="O20" s="261" t="s">
        <v>134</v>
      </c>
      <c r="P20" s="259" t="s">
        <v>17</v>
      </c>
      <c r="Q20" s="252">
        <f>O44</f>
        <v>52230.585557624676</v>
      </c>
      <c r="R20" s="258">
        <v>3000</v>
      </c>
      <c r="S20" s="38"/>
      <c r="T20" s="14" t="s">
        <v>130</v>
      </c>
      <c r="U20" s="9"/>
      <c r="X20" s="4"/>
    </row>
    <row r="21" spans="2:25" ht="18" thickBot="1" x14ac:dyDescent="0.35">
      <c r="B21" s="316">
        <v>2</v>
      </c>
      <c r="C21" s="315" t="s">
        <v>166</v>
      </c>
      <c r="D21" s="341">
        <v>3</v>
      </c>
      <c r="E21" s="315">
        <v>0.6</v>
      </c>
      <c r="F21" s="315" t="s">
        <v>169</v>
      </c>
      <c r="G21" s="315" t="s">
        <v>167</v>
      </c>
      <c r="H21" s="317">
        <v>98582</v>
      </c>
      <c r="I21" s="318">
        <f>H21*B21</f>
        <v>197164</v>
      </c>
      <c r="J21" s="265"/>
      <c r="K21" s="47"/>
      <c r="L21" s="47">
        <f>B21</f>
        <v>2</v>
      </c>
      <c r="M21" s="39">
        <f t="shared" ref="M21" si="1">D21+M$19</f>
        <v>3.05</v>
      </c>
      <c r="N21" s="39">
        <f t="shared" si="0"/>
        <v>0.6</v>
      </c>
      <c r="O21" s="261">
        <f t="shared" ref="O21" si="2">M21*N21</f>
        <v>1.8299999999999998</v>
      </c>
      <c r="P21" s="259">
        <f t="shared" ref="P21" si="3">O21*L21</f>
        <v>3.6599999999999997</v>
      </c>
      <c r="Q21" s="252">
        <f t="shared" ref="Q21" si="4">Q$20*O21</f>
        <v>95581.971570453155</v>
      </c>
      <c r="R21" s="258">
        <f t="shared" ref="R21" si="5">Q21+R$20</f>
        <v>98581.971570453155</v>
      </c>
      <c r="S21" s="304">
        <f t="shared" ref="S21:S27" si="6">L21*M21</f>
        <v>6.1</v>
      </c>
      <c r="T21" s="14"/>
      <c r="U21" s="9"/>
      <c r="X21" s="4"/>
    </row>
    <row r="22" spans="2:25" ht="18" thickBot="1" x14ac:dyDescent="0.35">
      <c r="B22" s="316">
        <v>2</v>
      </c>
      <c r="C22" s="315" t="s">
        <v>166</v>
      </c>
      <c r="D22" s="341">
        <v>1.81</v>
      </c>
      <c r="E22" s="315">
        <v>0.6</v>
      </c>
      <c r="F22" s="315" t="s">
        <v>169</v>
      </c>
      <c r="G22" s="315" t="s">
        <v>167</v>
      </c>
      <c r="H22" s="317">
        <v>61289</v>
      </c>
      <c r="I22" s="318">
        <f t="shared" ref="I22:I27" si="7">H22*B22</f>
        <v>122578</v>
      </c>
      <c r="J22" s="265"/>
      <c r="K22" s="47"/>
      <c r="L22" s="47">
        <f t="shared" ref="L22:L27" si="8">B22</f>
        <v>2</v>
      </c>
      <c r="M22" s="39">
        <f t="shared" ref="M22:M27" si="9">D22+M$19</f>
        <v>1.86</v>
      </c>
      <c r="N22" s="39">
        <f t="shared" ref="N22:N27" si="10">E22</f>
        <v>0.6</v>
      </c>
      <c r="O22" s="261">
        <f t="shared" ref="O22:O27" si="11">M22*N22</f>
        <v>1.1160000000000001</v>
      </c>
      <c r="P22" s="259">
        <f t="shared" ref="P22:P27" si="12">O22*L22</f>
        <v>2.2320000000000002</v>
      </c>
      <c r="Q22" s="252">
        <f t="shared" ref="Q22:Q27" si="13">Q$20*O22</f>
        <v>58289.333482309143</v>
      </c>
      <c r="R22" s="258">
        <f t="shared" ref="R22:R27" si="14">Q22+R$20</f>
        <v>61289.333482309143</v>
      </c>
      <c r="S22" s="304">
        <f t="shared" si="6"/>
        <v>3.72</v>
      </c>
      <c r="T22" s="14"/>
      <c r="U22" s="9"/>
      <c r="X22" s="4"/>
    </row>
    <row r="23" spans="2:25" ht="18" thickBot="1" x14ac:dyDescent="0.35">
      <c r="B23" s="316">
        <v>2</v>
      </c>
      <c r="C23" s="315" t="s">
        <v>166</v>
      </c>
      <c r="D23" s="341">
        <v>2.73</v>
      </c>
      <c r="E23" s="315">
        <v>0.6</v>
      </c>
      <c r="F23" s="315" t="s">
        <v>170</v>
      </c>
      <c r="G23" s="315" t="s">
        <v>167</v>
      </c>
      <c r="H23" s="317">
        <v>90121</v>
      </c>
      <c r="I23" s="318">
        <f t="shared" si="7"/>
        <v>180242</v>
      </c>
      <c r="J23" s="265"/>
      <c r="K23" s="47"/>
      <c r="L23" s="47">
        <f t="shared" si="8"/>
        <v>2</v>
      </c>
      <c r="M23" s="39">
        <f t="shared" si="9"/>
        <v>2.78</v>
      </c>
      <c r="N23" s="39">
        <f t="shared" si="10"/>
        <v>0.6</v>
      </c>
      <c r="O23" s="261">
        <f t="shared" si="11"/>
        <v>1.6679999999999999</v>
      </c>
      <c r="P23" s="259">
        <f t="shared" si="12"/>
        <v>3.3359999999999999</v>
      </c>
      <c r="Q23" s="252">
        <f t="shared" si="13"/>
        <v>87120.61671011796</v>
      </c>
      <c r="R23" s="258">
        <f t="shared" si="14"/>
        <v>90120.61671011796</v>
      </c>
      <c r="S23" s="304">
        <f t="shared" si="6"/>
        <v>5.56</v>
      </c>
      <c r="T23" s="14"/>
      <c r="U23" s="9"/>
      <c r="X23" s="4"/>
    </row>
    <row r="24" spans="2:25" ht="18" thickBot="1" x14ac:dyDescent="0.35">
      <c r="B24" s="316">
        <v>2</v>
      </c>
      <c r="C24" s="315" t="s">
        <v>166</v>
      </c>
      <c r="D24" s="341">
        <v>2.81</v>
      </c>
      <c r="E24" s="315">
        <v>0.6</v>
      </c>
      <c r="F24" s="315" t="s">
        <v>170</v>
      </c>
      <c r="G24" s="315" t="s">
        <v>167</v>
      </c>
      <c r="H24" s="317">
        <v>92628</v>
      </c>
      <c r="I24" s="318">
        <f t="shared" si="7"/>
        <v>185256</v>
      </c>
      <c r="J24" s="265"/>
      <c r="K24" s="47"/>
      <c r="L24" s="47">
        <f t="shared" si="8"/>
        <v>2</v>
      </c>
      <c r="M24" s="39">
        <f t="shared" si="9"/>
        <v>2.86</v>
      </c>
      <c r="N24" s="39">
        <f t="shared" si="10"/>
        <v>0.6</v>
      </c>
      <c r="O24" s="261">
        <f t="shared" si="11"/>
        <v>1.716</v>
      </c>
      <c r="P24" s="259">
        <f t="shared" si="12"/>
        <v>3.4319999999999999</v>
      </c>
      <c r="Q24" s="252">
        <f t="shared" si="13"/>
        <v>89627.684816883935</v>
      </c>
      <c r="R24" s="258">
        <f t="shared" si="14"/>
        <v>92627.684816883935</v>
      </c>
      <c r="S24" s="304">
        <f t="shared" si="6"/>
        <v>5.72</v>
      </c>
      <c r="T24" s="14"/>
      <c r="U24" s="9"/>
      <c r="X24" s="4"/>
    </row>
    <row r="25" spans="2:25" ht="18" thickBot="1" x14ac:dyDescent="0.35">
      <c r="B25" s="316">
        <v>2</v>
      </c>
      <c r="C25" s="315" t="s">
        <v>166</v>
      </c>
      <c r="D25" s="341">
        <v>2.4</v>
      </c>
      <c r="E25" s="315">
        <v>0.6</v>
      </c>
      <c r="F25" s="315" t="s">
        <v>171</v>
      </c>
      <c r="G25" s="315" t="s">
        <v>167</v>
      </c>
      <c r="H25" s="317">
        <v>79779</v>
      </c>
      <c r="I25" s="318">
        <f t="shared" si="7"/>
        <v>159558</v>
      </c>
      <c r="J25" s="265"/>
      <c r="K25" s="47"/>
      <c r="L25" s="47">
        <f t="shared" si="8"/>
        <v>2</v>
      </c>
      <c r="M25" s="39">
        <f t="shared" si="9"/>
        <v>2.4499999999999997</v>
      </c>
      <c r="N25" s="39">
        <f t="shared" si="10"/>
        <v>0.6</v>
      </c>
      <c r="O25" s="261">
        <f t="shared" si="11"/>
        <v>1.4699999999999998</v>
      </c>
      <c r="P25" s="259">
        <f t="shared" si="12"/>
        <v>2.9399999999999995</v>
      </c>
      <c r="Q25" s="252">
        <f t="shared" si="13"/>
        <v>76778.960769708254</v>
      </c>
      <c r="R25" s="258">
        <f t="shared" si="14"/>
        <v>79778.960769708254</v>
      </c>
      <c r="S25" s="304">
        <f t="shared" si="6"/>
        <v>4.8999999999999995</v>
      </c>
      <c r="T25" s="14"/>
      <c r="U25" s="9"/>
      <c r="X25" s="4"/>
    </row>
    <row r="26" spans="2:25" ht="18" thickBot="1" x14ac:dyDescent="0.35">
      <c r="B26" s="316">
        <v>1</v>
      </c>
      <c r="C26" s="315" t="s">
        <v>166</v>
      </c>
      <c r="D26" s="315">
        <v>1.87</v>
      </c>
      <c r="E26" s="315">
        <v>0.6</v>
      </c>
      <c r="F26" s="315" t="s">
        <v>172</v>
      </c>
      <c r="G26" s="315" t="s">
        <v>167</v>
      </c>
      <c r="H26" s="317">
        <v>63170</v>
      </c>
      <c r="I26" s="318">
        <f t="shared" si="7"/>
        <v>63170</v>
      </c>
      <c r="J26" s="265"/>
      <c r="K26" s="47"/>
      <c r="L26" s="47">
        <f t="shared" si="8"/>
        <v>1</v>
      </c>
      <c r="M26" s="39">
        <f t="shared" si="9"/>
        <v>1.9200000000000002</v>
      </c>
      <c r="N26" s="39">
        <f t="shared" si="10"/>
        <v>0.6</v>
      </c>
      <c r="O26" s="261">
        <f t="shared" si="11"/>
        <v>1.1520000000000001</v>
      </c>
      <c r="P26" s="259">
        <f t="shared" si="12"/>
        <v>1.1520000000000001</v>
      </c>
      <c r="Q26" s="252">
        <f t="shared" si="13"/>
        <v>60169.634562383631</v>
      </c>
      <c r="R26" s="258">
        <f t="shared" si="14"/>
        <v>63169.634562383631</v>
      </c>
      <c r="S26" s="304">
        <f t="shared" si="6"/>
        <v>1.9200000000000002</v>
      </c>
      <c r="T26" s="14"/>
      <c r="U26" s="9"/>
      <c r="X26" s="4"/>
    </row>
    <row r="27" spans="2:25" ht="17.399999999999999" x14ac:dyDescent="0.3">
      <c r="B27" s="316">
        <v>2</v>
      </c>
      <c r="C27" s="315" t="s">
        <v>166</v>
      </c>
      <c r="D27" s="315">
        <v>2.1</v>
      </c>
      <c r="E27" s="315">
        <v>0.6</v>
      </c>
      <c r="F27" s="315" t="s">
        <v>173</v>
      </c>
      <c r="G27" s="315" t="s">
        <v>167</v>
      </c>
      <c r="H27" s="317">
        <v>70377</v>
      </c>
      <c r="I27" s="318">
        <f t="shared" si="7"/>
        <v>140754</v>
      </c>
      <c r="J27" s="265"/>
      <c r="K27" s="47"/>
      <c r="L27" s="47">
        <f t="shared" si="8"/>
        <v>2</v>
      </c>
      <c r="M27" s="39">
        <f t="shared" si="9"/>
        <v>2.15</v>
      </c>
      <c r="N27" s="39">
        <f t="shared" si="10"/>
        <v>0.6</v>
      </c>
      <c r="O27" s="261">
        <f t="shared" si="11"/>
        <v>1.2899999999999998</v>
      </c>
      <c r="P27" s="259">
        <f t="shared" si="12"/>
        <v>2.5799999999999996</v>
      </c>
      <c r="Q27" s="252">
        <f t="shared" si="13"/>
        <v>67377.455369335818</v>
      </c>
      <c r="R27" s="258">
        <f t="shared" si="14"/>
        <v>70377.455369335818</v>
      </c>
      <c r="S27" s="304">
        <f t="shared" si="6"/>
        <v>4.3</v>
      </c>
      <c r="T27" s="14"/>
      <c r="U27" s="9"/>
      <c r="X27" s="4"/>
    </row>
    <row r="28" spans="2:25" ht="17.399999999999999" x14ac:dyDescent="0.3">
      <c r="B28" s="339"/>
      <c r="C28" s="340"/>
      <c r="D28" s="340"/>
      <c r="E28" s="340"/>
      <c r="F28" s="340"/>
      <c r="G28" s="340"/>
      <c r="H28" s="326"/>
      <c r="I28" s="326"/>
      <c r="J28" s="265"/>
      <c r="K28" s="47"/>
      <c r="L28" s="47"/>
      <c r="M28" s="39"/>
      <c r="N28" s="39"/>
      <c r="O28" s="261"/>
      <c r="P28" s="259"/>
      <c r="Q28" s="252"/>
      <c r="R28" s="258"/>
      <c r="S28" s="304"/>
      <c r="T28" s="14"/>
      <c r="U28" s="9"/>
      <c r="X28" s="4"/>
    </row>
    <row r="29" spans="2:25" ht="17.399999999999999" x14ac:dyDescent="0.3">
      <c r="B29" s="285"/>
      <c r="C29" s="285"/>
      <c r="D29" s="286"/>
      <c r="E29" s="286"/>
      <c r="F29" s="286"/>
      <c r="G29" s="285"/>
      <c r="H29" s="265"/>
      <c r="I29" s="232"/>
      <c r="J29" s="232"/>
      <c r="K29" s="47"/>
      <c r="L29" s="47"/>
      <c r="M29" s="46"/>
      <c r="N29" s="39"/>
      <c r="O29" s="261"/>
      <c r="P29" s="259"/>
      <c r="Q29" s="252"/>
      <c r="R29" s="258"/>
      <c r="S29" s="304"/>
      <c r="T29" s="14"/>
      <c r="U29" s="9"/>
      <c r="X29" s="4"/>
    </row>
    <row r="30" spans="2:25" ht="17.399999999999999" x14ac:dyDescent="0.3">
      <c r="B30" s="285"/>
      <c r="C30" s="285"/>
      <c r="D30" s="286"/>
      <c r="E30" s="286"/>
      <c r="F30" s="286"/>
      <c r="G30" s="285"/>
      <c r="H30" s="321" t="s">
        <v>30</v>
      </c>
      <c r="I30" s="322">
        <f>SUM(I21:I29)</f>
        <v>1048722</v>
      </c>
      <c r="J30" s="265"/>
      <c r="K30" s="47"/>
      <c r="L30" s="47"/>
      <c r="N30" s="39"/>
      <c r="O30" s="261"/>
      <c r="P30" s="259"/>
      <c r="Q30" s="252"/>
      <c r="R30" s="258"/>
      <c r="S30" s="304"/>
      <c r="T30" s="14"/>
      <c r="U30" s="9"/>
      <c r="X30" s="4"/>
    </row>
    <row r="31" spans="2:25" ht="20.100000000000001" customHeight="1" x14ac:dyDescent="0.3">
      <c r="B31" s="280"/>
      <c r="C31" s="282"/>
      <c r="D31" s="283"/>
      <c r="E31" s="283"/>
      <c r="F31" s="283"/>
      <c r="G31" s="284"/>
      <c r="H31" s="321" t="s">
        <v>158</v>
      </c>
      <c r="I31" s="322">
        <f>I30*19%</f>
        <v>199257.18</v>
      </c>
      <c r="J31" s="265"/>
      <c r="K31" s="47"/>
      <c r="L31" s="47"/>
      <c r="M31" s="39"/>
      <c r="N31" s="12"/>
      <c r="O31" s="12"/>
      <c r="P31" s="253">
        <f>SUM(P21:P27)</f>
        <v>19.331999999999997</v>
      </c>
      <c r="Q31" s="14"/>
      <c r="R31" s="12"/>
      <c r="S31" s="238"/>
      <c r="T31" s="14"/>
      <c r="U31" s="9"/>
      <c r="X31" s="4"/>
    </row>
    <row r="32" spans="2:25" ht="17.399999999999999" x14ac:dyDescent="0.3">
      <c r="B32" s="276"/>
      <c r="C32" s="281"/>
      <c r="D32" s="272"/>
      <c r="E32" s="272"/>
      <c r="F32" s="272"/>
      <c r="G32" s="273"/>
      <c r="H32" s="319" t="s">
        <v>6</v>
      </c>
      <c r="I32" s="320">
        <f>I30+I31</f>
        <v>1247979.18</v>
      </c>
      <c r="J32" s="265"/>
      <c r="K32" s="47"/>
      <c r="L32" s="47"/>
      <c r="M32" s="39"/>
      <c r="N32" s="12"/>
      <c r="O32" s="12"/>
      <c r="P32" s="253">
        <f>P31</f>
        <v>19.331999999999997</v>
      </c>
      <c r="Q32" s="14"/>
      <c r="R32" s="12"/>
      <c r="S32" s="238">
        <f>SUM(S21:S31)</f>
        <v>32.22</v>
      </c>
      <c r="T32" s="14"/>
      <c r="U32" s="9"/>
      <c r="X32" s="4"/>
    </row>
    <row r="33" spans="2:24" ht="17.399999999999999" x14ac:dyDescent="0.3">
      <c r="B33" s="276"/>
      <c r="C33" s="271"/>
      <c r="D33" s="272"/>
      <c r="E33" s="272"/>
      <c r="F33" s="272"/>
      <c r="G33" s="273"/>
      <c r="J33" s="265"/>
      <c r="K33" s="47"/>
      <c r="L33" s="47"/>
      <c r="M33" s="14"/>
      <c r="N33" s="12"/>
      <c r="O33" s="12"/>
      <c r="P33" s="39">
        <f>P32*20%</f>
        <v>3.8663999999999996</v>
      </c>
      <c r="Q33" s="39" t="s">
        <v>132</v>
      </c>
      <c r="R33" s="42"/>
      <c r="S33" s="239"/>
      <c r="T33" s="14"/>
      <c r="U33" s="9"/>
      <c r="X33" s="4"/>
    </row>
    <row r="34" spans="2:24" ht="17.399999999999999" x14ac:dyDescent="0.3">
      <c r="B34" s="271"/>
      <c r="C34" s="271"/>
      <c r="D34" s="272"/>
      <c r="E34" s="272"/>
      <c r="F34" s="272"/>
      <c r="G34" s="273"/>
      <c r="H34" s="274"/>
      <c r="I34" s="275"/>
      <c r="J34" s="265"/>
      <c r="K34" s="307"/>
      <c r="L34" s="47"/>
      <c r="M34" s="14"/>
      <c r="N34" s="12"/>
      <c r="O34" s="12"/>
      <c r="P34" s="46">
        <f>P32+P33</f>
        <v>23.198399999999996</v>
      </c>
      <c r="Q34" s="14"/>
      <c r="R34" s="14"/>
      <c r="S34" s="237">
        <v>40</v>
      </c>
      <c r="T34" s="14"/>
      <c r="U34" s="9"/>
      <c r="X34" s="4"/>
    </row>
    <row r="35" spans="2:24" ht="17.399999999999999" x14ac:dyDescent="0.35">
      <c r="B35" s="269"/>
      <c r="C35" s="230"/>
      <c r="D35" s="230"/>
      <c r="E35" s="232"/>
      <c r="F35" s="232"/>
      <c r="G35" s="233"/>
      <c r="H35" s="230"/>
      <c r="I35" s="275"/>
      <c r="J35" s="265"/>
      <c r="K35" s="307"/>
      <c r="L35" s="47"/>
      <c r="M35" s="14"/>
      <c r="N35" s="14"/>
      <c r="O35" s="14"/>
      <c r="P35" s="14"/>
      <c r="Q35" s="14"/>
      <c r="R35" s="14"/>
      <c r="S35" s="237"/>
      <c r="T35" s="14"/>
      <c r="U35" s="9"/>
      <c r="X35" s="4"/>
    </row>
    <row r="36" spans="2:24" ht="17.399999999999999" x14ac:dyDescent="0.35">
      <c r="B36" s="234"/>
      <c r="C36" s="235"/>
      <c r="D36" s="236"/>
      <c r="E36" s="234"/>
      <c r="F36" s="234"/>
      <c r="G36" s="230"/>
      <c r="H36" s="230"/>
      <c r="J36" s="265"/>
      <c r="K36" s="47"/>
      <c r="L36" s="47"/>
      <c r="M36" s="39">
        <f>P34*1</f>
        <v>23.198399999999996</v>
      </c>
      <c r="N36" s="12">
        <v>3500</v>
      </c>
      <c r="O36" s="12">
        <f t="shared" ref="O36:O41" si="15">M36*N36</f>
        <v>81194.39999999998</v>
      </c>
      <c r="P36" s="14" t="s">
        <v>22</v>
      </c>
      <c r="Q36" s="14" t="s">
        <v>23</v>
      </c>
      <c r="R36" s="14"/>
      <c r="S36" s="240"/>
      <c r="T36" s="14"/>
      <c r="U36" s="9"/>
      <c r="X36" s="4" t="s">
        <v>156</v>
      </c>
    </row>
    <row r="37" spans="2:24" ht="17.399999999999999" x14ac:dyDescent="0.35">
      <c r="B37" s="230"/>
      <c r="C37" s="230"/>
      <c r="D37" s="230"/>
      <c r="E37" s="230"/>
      <c r="F37" s="230"/>
      <c r="G37" s="230"/>
      <c r="H37" s="230"/>
      <c r="J37" s="265"/>
      <c r="K37" s="47"/>
      <c r="L37" s="47"/>
      <c r="M37" s="249">
        <v>5.2</v>
      </c>
      <c r="N37" s="12">
        <v>25000</v>
      </c>
      <c r="O37" s="12">
        <f>M37*N37</f>
        <v>130000</v>
      </c>
      <c r="P37" s="39" t="s">
        <v>155</v>
      </c>
      <c r="Q37" s="42"/>
      <c r="R37" s="14"/>
      <c r="S37" s="239"/>
      <c r="T37" s="14"/>
      <c r="U37" s="9"/>
      <c r="X37" s="4"/>
    </row>
    <row r="38" spans="2:24" s="230" customFormat="1" ht="17.399999999999999" x14ac:dyDescent="0.35">
      <c r="J38" s="262"/>
      <c r="K38" s="47"/>
      <c r="L38" s="250"/>
      <c r="M38" s="14">
        <v>6</v>
      </c>
      <c r="N38" s="250">
        <v>33240</v>
      </c>
      <c r="O38" s="12">
        <f t="shared" si="15"/>
        <v>199440</v>
      </c>
      <c r="P38" s="39" t="s">
        <v>32</v>
      </c>
      <c r="Q38" s="42"/>
      <c r="S38" s="239"/>
      <c r="T38" s="256"/>
      <c r="V38" s="230">
        <v>33390</v>
      </c>
      <c r="W38" s="231"/>
    </row>
    <row r="39" spans="2:24" s="230" customFormat="1" ht="17.399999999999999" x14ac:dyDescent="0.35">
      <c r="B39" s="24" t="s">
        <v>152</v>
      </c>
      <c r="J39" s="262"/>
      <c r="K39" s="306"/>
      <c r="L39" s="250"/>
      <c r="M39" s="14"/>
      <c r="N39" s="250">
        <v>20940</v>
      </c>
      <c r="O39" s="12">
        <f t="shared" si="15"/>
        <v>0</v>
      </c>
      <c r="P39" s="14" t="s">
        <v>142</v>
      </c>
      <c r="Q39" s="17"/>
      <c r="S39" s="237"/>
      <c r="T39" s="256"/>
      <c r="V39" s="230">
        <f>V38/1.19</f>
        <v>28058.823529411766</v>
      </c>
      <c r="W39" s="231"/>
    </row>
    <row r="40" spans="2:24" s="230" customFormat="1" ht="17.399999999999999" x14ac:dyDescent="0.35">
      <c r="B40" s="24" t="s">
        <v>145</v>
      </c>
      <c r="C40"/>
      <c r="D40"/>
      <c r="E40"/>
      <c r="F40"/>
      <c r="G40"/>
      <c r="J40" s="262"/>
      <c r="K40" s="306"/>
      <c r="L40" s="250"/>
      <c r="M40" s="249"/>
      <c r="N40" s="250">
        <v>800</v>
      </c>
      <c r="O40" s="12"/>
      <c r="P40" s="14" t="s">
        <v>154</v>
      </c>
      <c r="Q40" s="14"/>
      <c r="R40" s="230">
        <v>1.52</v>
      </c>
      <c r="S40" s="237"/>
      <c r="T40" s="237"/>
    </row>
    <row r="41" spans="2:24" s="230" customFormat="1" ht="17.399999999999999" x14ac:dyDescent="0.35">
      <c r="B41" s="29" t="s">
        <v>127</v>
      </c>
      <c r="C41"/>
      <c r="D41"/>
      <c r="E41"/>
      <c r="F41"/>
      <c r="G41" s="229" t="s">
        <v>16</v>
      </c>
      <c r="J41" s="303"/>
      <c r="K41" s="47"/>
      <c r="L41" s="250"/>
      <c r="M41" s="266">
        <v>32.22</v>
      </c>
      <c r="N41" s="12">
        <v>1500</v>
      </c>
      <c r="O41" s="12">
        <f t="shared" si="15"/>
        <v>48330</v>
      </c>
      <c r="P41" s="14" t="s">
        <v>24</v>
      </c>
      <c r="Q41" s="14"/>
      <c r="R41">
        <v>2.44</v>
      </c>
      <c r="S41"/>
      <c r="T41" s="237">
        <v>1500</v>
      </c>
      <c r="X41" s="231"/>
    </row>
    <row r="42" spans="2:24" s="230" customFormat="1" ht="17.399999999999999" x14ac:dyDescent="0.35">
      <c r="K42" s="47"/>
      <c r="L42" s="250"/>
      <c r="M42" s="14"/>
      <c r="N42" s="12"/>
      <c r="O42" s="12">
        <f>SUM(O36:O41)</f>
        <v>458964.39999999997</v>
      </c>
      <c r="P42" s="39" t="s">
        <v>25</v>
      </c>
      <c r="Q42" s="14"/>
      <c r="R42">
        <f>R40*R41</f>
        <v>3.7088000000000001</v>
      </c>
      <c r="S42"/>
      <c r="T42" s="237">
        <f>S34*T41</f>
        <v>60000</v>
      </c>
      <c r="X42" s="231"/>
    </row>
    <row r="43" spans="2:24" s="230" customFormat="1" ht="17.399999999999999" x14ac:dyDescent="0.35">
      <c r="K43" s="47"/>
      <c r="L43" s="250"/>
      <c r="M43" s="254" t="s">
        <v>35</v>
      </c>
      <c r="N43" s="12"/>
      <c r="O43" s="255">
        <f>O42*2.2</f>
        <v>1009721.68</v>
      </c>
      <c r="P43" s="14" t="s">
        <v>141</v>
      </c>
      <c r="Q43" s="14"/>
      <c r="R43" s="46">
        <f>P32/R42</f>
        <v>5.212467644521138</v>
      </c>
      <c r="S43"/>
      <c r="T43" s="257" t="e">
        <f>T42/#REF!</f>
        <v>#REF!</v>
      </c>
    </row>
    <row r="44" spans="2:24" s="230" customFormat="1" ht="17.399999999999999" x14ac:dyDescent="0.35">
      <c r="H44"/>
      <c r="I44" s="260"/>
      <c r="J44" s="260"/>
      <c r="K44" s="47"/>
      <c r="L44" s="250"/>
      <c r="M44" s="14"/>
      <c r="N44" s="12"/>
      <c r="O44" s="12">
        <f>O43/P32</f>
        <v>52230.585557624676</v>
      </c>
      <c r="P44" s="45" t="s">
        <v>26</v>
      </c>
      <c r="Q44" s="14"/>
      <c r="R44" s="14"/>
      <c r="S44"/>
      <c r="T44" s="237"/>
      <c r="W44" s="230">
        <v>2300</v>
      </c>
    </row>
    <row r="45" spans="2:24" s="230" customFormat="1" ht="17.399999999999999" x14ac:dyDescent="0.35">
      <c r="H45"/>
      <c r="K45" s="47">
        <v>54510</v>
      </c>
      <c r="L45" s="250"/>
      <c r="M45" s="13"/>
      <c r="N45" s="14"/>
      <c r="O45" s="17">
        <f>O43/O42</f>
        <v>2.2000000000000002</v>
      </c>
      <c r="P45" s="15"/>
      <c r="Q45"/>
      <c r="R45"/>
      <c r="S45"/>
      <c r="T45" s="237"/>
    </row>
    <row r="46" spans="2:24" s="230" customFormat="1" ht="17.399999999999999" x14ac:dyDescent="0.35">
      <c r="H46" s="23"/>
      <c r="K46" s="47">
        <f>K45/1.19</f>
        <v>45806.722689075636</v>
      </c>
      <c r="L46" s="12"/>
      <c r="T46" s="237"/>
    </row>
    <row r="47" spans="2:24" s="230" customFormat="1" ht="17.399999999999999" x14ac:dyDescent="0.35">
      <c r="B47"/>
      <c r="C47" s="228"/>
      <c r="D47" s="22"/>
      <c r="E47" s="22"/>
      <c r="F47" s="22"/>
      <c r="G47" s="21"/>
      <c r="H47" s="23"/>
      <c r="K47" s="47"/>
      <c r="L47" s="12"/>
      <c r="T47" s="237">
        <v>1.83</v>
      </c>
    </row>
    <row r="48" spans="2:24" ht="14.4" customHeight="1" x14ac:dyDescent="0.3">
      <c r="K48" s="47"/>
      <c r="L48" s="12"/>
      <c r="T48">
        <v>2.5</v>
      </c>
    </row>
    <row r="49" spans="11:20" x14ac:dyDescent="0.3">
      <c r="K49" s="47"/>
      <c r="L49" s="250"/>
      <c r="T49">
        <f>T47*T48</f>
        <v>4.5750000000000002</v>
      </c>
    </row>
    <row r="50" spans="11:20" x14ac:dyDescent="0.3">
      <c r="L50" s="250"/>
      <c r="T50" s="270">
        <f>P34/T49</f>
        <v>5.0706885245901629</v>
      </c>
    </row>
    <row r="51" spans="11:20" x14ac:dyDescent="0.3">
      <c r="L51" s="250"/>
    </row>
    <row r="52" spans="11:20" ht="15" customHeight="1" x14ac:dyDescent="0.3"/>
    <row r="54" spans="11:20" x14ac:dyDescent="0.3">
      <c r="O54">
        <v>40935</v>
      </c>
      <c r="P54" t="s">
        <v>17</v>
      </c>
      <c r="Q54" t="s">
        <v>28</v>
      </c>
    </row>
    <row r="56" spans="11:20" x14ac:dyDescent="0.3">
      <c r="O56" s="54"/>
      <c r="P56" s="54"/>
    </row>
    <row r="57" spans="11:20" x14ac:dyDescent="0.3">
      <c r="S57" s="18"/>
      <c r="T57" s="18"/>
    </row>
    <row r="58" spans="11:20" x14ac:dyDescent="0.3">
      <c r="S58" s="18"/>
      <c r="T58" s="18"/>
    </row>
    <row r="59" spans="11:20" x14ac:dyDescent="0.3">
      <c r="S59" s="18"/>
      <c r="T59" s="18"/>
    </row>
    <row r="60" spans="11:20" x14ac:dyDescent="0.3">
      <c r="S60" s="18"/>
      <c r="T60" s="18"/>
    </row>
    <row r="61" spans="11:20" x14ac:dyDescent="0.3">
      <c r="S61" s="18"/>
      <c r="T61" s="18"/>
    </row>
    <row r="62" spans="11:20" x14ac:dyDescent="0.3">
      <c r="S62" s="18"/>
      <c r="T62" s="18"/>
    </row>
    <row r="63" spans="11:20" x14ac:dyDescent="0.3">
      <c r="S63" s="18"/>
      <c r="T63" s="18"/>
    </row>
    <row r="64" spans="11:20" x14ac:dyDescent="0.3">
      <c r="S64" s="18"/>
      <c r="T64" s="18"/>
    </row>
    <row r="65" spans="3:20" x14ac:dyDescent="0.3">
      <c r="S65" s="18"/>
      <c r="T65" s="18"/>
    </row>
    <row r="68" spans="3:20" x14ac:dyDescent="0.3">
      <c r="O68" s="43"/>
    </row>
    <row r="69" spans="3:20" x14ac:dyDescent="0.3">
      <c r="O69" s="43"/>
    </row>
    <row r="70" spans="3:20" x14ac:dyDescent="0.3">
      <c r="O70" s="6"/>
    </row>
    <row r="71" spans="3:20" x14ac:dyDescent="0.3">
      <c r="O71" s="6"/>
    </row>
    <row r="79" spans="3:20" x14ac:dyDescent="0.3">
      <c r="C79" t="s">
        <v>149</v>
      </c>
    </row>
    <row r="80" spans="3:20" x14ac:dyDescent="0.3">
      <c r="C80" t="s">
        <v>148</v>
      </c>
    </row>
    <row r="83" spans="3:3" x14ac:dyDescent="0.3">
      <c r="C83" t="s">
        <v>148</v>
      </c>
    </row>
    <row r="160" spans="3:3" x14ac:dyDescent="0.3">
      <c r="C160" t="s">
        <v>148</v>
      </c>
    </row>
    <row r="161" spans="3:3" x14ac:dyDescent="0.3">
      <c r="C161" t="s">
        <v>150</v>
      </c>
    </row>
    <row r="162" spans="3:3" x14ac:dyDescent="0.3">
      <c r="C162" t="s">
        <v>151</v>
      </c>
    </row>
    <row r="587" spans="3:3" x14ac:dyDescent="0.3">
      <c r="C587" t="s">
        <v>148</v>
      </c>
    </row>
  </sheetData>
  <mergeCells count="2">
    <mergeCell ref="G17:I17"/>
    <mergeCell ref="B19:I19"/>
  </mergeCells>
  <phoneticPr fontId="34" type="noConversion"/>
  <hyperlinks>
    <hyperlink ref="G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45324</v>
      </c>
    </row>
    <row r="6" spans="2:31" ht="16.2" thickBot="1" x14ac:dyDescent="0.35">
      <c r="B6" s="140" t="s">
        <v>2</v>
      </c>
      <c r="C6" s="139" t="str">
        <f>'2229'!C10</f>
        <v>LYA MUEBLES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>
        <f>'2229'!D8</f>
        <v>10518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 t="e">
        <f>(E15-D11)/X8</f>
        <v>#REF!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 t="e">
        <f>'2229'!#REF!</f>
        <v>#REF!</v>
      </c>
      <c r="E11" s="132" t="e">
        <f>D11*0.19</f>
        <v>#REF!</v>
      </c>
      <c r="F11" s="131" t="e">
        <f>E11+D11</f>
        <v>#REF!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 t="e">
        <f t="shared" ref="X11:X16" si="2">V11+$X$9</f>
        <v>#REF!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440468.49078743963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 t="e">
        <f t="shared" si="2"/>
        <v>#REF!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 t="e">
        <f>D11-D12</f>
        <v>#REF!</v>
      </c>
      <c r="E13" s="221" t="e">
        <f>(D11/D12)-1</f>
        <v>#REF!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 t="e">
        <f t="shared" si="2"/>
        <v>#REF!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 t="e">
        <f t="shared" si="2"/>
        <v>#REF!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726773.00979927531</v>
      </c>
      <c r="F15" s="216">
        <f>E15-D12</f>
        <v>286304.51901183568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 t="e">
        <f t="shared" si="2"/>
        <v>#REF!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 t="e">
        <f t="shared" si="2"/>
        <v>#REF!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'2229'!O38</f>
        <v>199440</v>
      </c>
      <c r="E18" s="123">
        <f>D18*0.19</f>
        <v>37893.599999999999</v>
      </c>
      <c r="F18" s="120">
        <f>SUM(D18:E18)</f>
        <v>237333.6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'2229'!O37</f>
        <v>130000</v>
      </c>
      <c r="E19" s="123">
        <f>D19*0.19</f>
        <v>24700</v>
      </c>
      <c r="F19" s="120">
        <f>SUM(D19:E19)</f>
        <v>154700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'2229'!O36</f>
        <v>81194.39999999998</v>
      </c>
      <c r="E20" s="121">
        <f>D20*0.19</f>
        <v>15426.935999999996</v>
      </c>
      <c r="F20" s="120">
        <f>SUM(D20:E20)</f>
        <v>96621.335999999981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410634.39999999997</v>
      </c>
      <c r="E21" s="116">
        <f>SUM(E18:E20)</f>
        <v>78020.535999999993</v>
      </c>
      <c r="F21" s="115">
        <f>SUM(F18:F20)</f>
        <v>488654.93599999999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 t="e">
        <f>E11-E21</f>
        <v>#REF!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 t="e">
        <f>D11</f>
        <v>#REF!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410634.39999999997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 t="e">
        <f>M42-(SUM(M43:M45))</f>
        <v>#REF!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 t="e">
        <f>M46-SUM(M47:M48)</f>
        <v>#REF!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2023-11-21T13:01:06Z</cp:lastPrinted>
  <dcterms:created xsi:type="dcterms:W3CDTF">2013-03-18T13:35:42Z</dcterms:created>
  <dcterms:modified xsi:type="dcterms:W3CDTF">2024-01-04T00:55:23Z</dcterms:modified>
</cp:coreProperties>
</file>