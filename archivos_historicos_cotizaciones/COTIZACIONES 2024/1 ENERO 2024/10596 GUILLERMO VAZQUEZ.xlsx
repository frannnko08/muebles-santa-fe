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3 ENERO 2024\"/>
    </mc:Choice>
  </mc:AlternateContent>
  <xr:revisionPtr revIDLastSave="0" documentId="13_ncr:1_{59D402A5-844D-4DE3-B3A9-8D1757E725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L34" i="1"/>
  <c r="O24" i="1"/>
  <c r="K21" i="1"/>
  <c r="L21" i="1"/>
  <c r="M21" i="1"/>
  <c r="J38" i="1"/>
  <c r="N21" i="1" l="1"/>
  <c r="O21" i="1" s="1"/>
  <c r="R21" i="1"/>
  <c r="L23" i="1"/>
  <c r="R25" i="1"/>
  <c r="U31" i="1"/>
  <c r="U32" i="1" s="1"/>
  <c r="N30" i="1" l="1"/>
  <c r="O25" i="1" l="1"/>
  <c r="O26" i="1" s="1"/>
  <c r="O27" i="1" s="1"/>
  <c r="L29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6" i="1"/>
  <c r="N35" i="1" l="1"/>
  <c r="N36" i="1" s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F15" i="3"/>
  <c r="Q21" i="1" l="1"/>
  <c r="G21" i="1"/>
  <c r="H21" i="1" l="1"/>
  <c r="H24" i="1"/>
  <c r="D11" i="3" l="1"/>
  <c r="X9" i="3" s="1"/>
  <c r="X15" i="3" s="1"/>
  <c r="H25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<sst xmlns="http://schemas.openxmlformats.org/spreadsheetml/2006/main" count="228" uniqueCount="172">
  <si>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</si>
  <si>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</si>
  <si>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</si>
  <si>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</si>
  <si>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</si>
  <si>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</si>
  <si>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</si>
  <si>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</si>
  <si>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</si>
  <si>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</si>
  <si>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</si>
  <si>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</si>
  <si>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</si>
  <si>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</si>
  <si>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</si>
  <si>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</si>
  <si>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</si>
  <si>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</si>
  <si>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</si>
  <si>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</si>
  <si>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</si>
  <si>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</si>
  <si>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</si>
  <si>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</si>
  <si>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</si>
  <si>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</si>
  <si>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</si>
  <si>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</si>
  <si>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</si>
  <si>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</si>
  <si>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</si>
  <si>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</si>
  <si>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</si>
  <si>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</si>
  <si>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</si>
  <si>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</si>
  <si>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</si>
  <si>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</si>
  <si>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</si>
  <si>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</si>
  <si>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</si>
  <si>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</si>
  <si>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</si>
  <si>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</si>
  <si>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</si>
  <si>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</si>
  <si>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</si>
  <si>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</si>
  <si>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</si>
  <si>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</si>
  <si>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</si>
  <si>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</si>
  <si>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</si>
  <si>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</si>
  <si>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</si>
  <si>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</si>
  <si>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</si>
  <si>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</si>
  <si>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</si>
  <si>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</si>
  <si>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</si>
  <si>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</si>
  <si>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</si>
  <si>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</si>
  <si>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</si>
  <si>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</si>
  <si>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</si>
  <si>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</si>
  <si>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</si>
  <si>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</si>
  <si>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</si>
  <si>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</si>
  <si>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</si>
  <si>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</si>
  <si>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</si>
  <si>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</si>
  <si>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</si>
  <si>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</si>
  <si>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</si>
  <si>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</si>
  <si>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</si>
  <si>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</si>
  <si>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</si>
  <si>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</si>
  <si>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</si>
  <si>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</si>
  <si>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</si>
  <si>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</si>
  <si>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</si>
  <si>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</si>
  <si>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</si>
  <si>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</si>
  <si>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</si>
  <si>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</si>
  <si>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</si>
  <si>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</si>
  <si>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</si>
  <si>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</si>
  <si>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</si>
  <si>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</si>
  <si>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</si>
  <si>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</si>
  <si>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</si>
  <si>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</si>
  <si>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</si>
  <si>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</si>
  <si>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</si>
  <si>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</si>
  <si>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</si>
  <si>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</si>
  <si>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</si>
  <si>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</si>
  <si>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</si>
  <si>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</si>
  <si>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</si>
  <si>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</si>
  <si>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</si>
  <si>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</si>
  <si>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</si>
  <si>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</si>
  <si>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</si>
  <si>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</si>
  <si>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</si>
  <si>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</si>
  <si>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</si>
  <si>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</si>
  <si>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</si>
  <si>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</si>
  <si>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</si>
  <si>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</si>
  <si>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</si>
  <si>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</si>
  <si>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</si>
  <si>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</si>
  <si>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</si>
  <si>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</si>
  <si>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</si>
  <si>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</si>
  <si>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</si>
  <si>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</si>
  <si>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</si>
  <si>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</si>
  <si>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</si>
  <si>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</si>
  <si>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</si>
  <si>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</si>
  <si>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</si>
  <si>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</si>
  <si>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</si>
  <si>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</si>
  <si>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</si>
  <si>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</si>
  <si>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</si>
  <si>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</si>
  <si>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</si>
  <si>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</si>
  <si>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</si>
  <si>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</si>
  <si>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</si>
  <si>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</si>
  <si>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</si>
  <si>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</si>
  <si>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</si>
  <si>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</si>
  <si>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</si>
  <si>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</si>
  <si>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</si>
  <si>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5 DIAS HABILES</t>
  </si>
  <si>
    <t>CUBIERTA CON RESPALDO 90° R8</t>
  </si>
  <si>
    <t>OLIVE ELM 1503 MT</t>
  </si>
  <si>
    <t>GUILLERMO VAZQUEZ</t>
  </si>
  <si>
    <t>+569 7253 6592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</si>
</sst>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8194</xdr:colOff>
      <xdr:row>22</xdr:row>
      <xdr:rowOff>9525</xdr:rowOff>
    </xdr:from>
    <xdr:to>
      <xdr:col>5</xdr:col>
      <xdr:colOff>1635064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1" y="4827331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zoomScale="93" zoomScaleNormal="93" workbookViewId="0">
      <selection activeCell="B1" sqref="B1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10596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170</v>
      </c>
      <c r="D10" s="243"/>
      <c r="E10" s="243"/>
      <c r="F10" s="244" t="s">
        <v>0</v>
      </c>
      <c r="G10" s="277">
        <v>45316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9" t="s">
        <v>171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0" t="s">
        <v>165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89694.872004915014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3">
        <v>1</v>
      </c>
      <c r="C21" s="324" t="s">
        <v>168</v>
      </c>
      <c r="D21" s="325">
        <v>2.5499999999999998</v>
      </c>
      <c r="E21" s="325">
        <v>0.55000000000000004</v>
      </c>
      <c r="F21" s="324" t="s">
        <v>169</v>
      </c>
      <c r="G21" s="326">
        <f>P21</f>
        <v>131394.01800000001</v>
      </c>
      <c r="H21" s="327">
        <f t="shared" ref="H21" si="1">G21*B21</f>
        <v>131394.01800000001</v>
      </c>
      <c r="I21" s="265"/>
      <c r="J21" s="47"/>
      <c r="K21" s="47">
        <f t="shared" ref="K21" si="2">B21</f>
        <v>1</v>
      </c>
      <c r="L21" s="39">
        <f t="shared" ref="L21" si="3">D21+L$19</f>
        <v>2.57</v>
      </c>
      <c r="M21" s="39">
        <f t="shared" ref="M21" si="4">E21+M$19</f>
        <v>0.57000000000000006</v>
      </c>
      <c r="N21" s="261">
        <f t="shared" ref="N21" si="5">L21*M21</f>
        <v>1.4649000000000001</v>
      </c>
      <c r="O21" s="259">
        <f t="shared" ref="O21" si="6">N21*K21</f>
        <v>1.4649000000000001</v>
      </c>
      <c r="P21" s="252">
        <f t="shared" ref="P21" si="7">P$20*N21</f>
        <v>131394.01800000001</v>
      </c>
      <c r="Q21" s="258">
        <f t="shared" ref="Q21" si="8">P21+Q$20</f>
        <v>134394.01800000001</v>
      </c>
      <c r="R21" s="309">
        <f t="shared" ref="R21" si="9">L21*K21*2</f>
        <v>5.14</v>
      </c>
      <c r="S21" s="46"/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309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0" t="s">
        <v>29</v>
      </c>
      <c r="H23" s="311">
        <f>SUM(H21)</f>
        <v>131394.01800000001</v>
      </c>
      <c r="I23" s="265"/>
      <c r="J23" s="47"/>
      <c r="K23" s="47"/>
      <c r="L23" s="39">
        <f>SUM(L21:L22)</f>
        <v>2.57</v>
      </c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308" t="s">
        <v>52</v>
      </c>
      <c r="H24" s="305">
        <f>H23*19%</f>
        <v>24964.863420000001</v>
      </c>
      <c r="I24" s="265"/>
      <c r="J24" s="47"/>
      <c r="K24" s="47"/>
      <c r="L24" s="39"/>
      <c r="M24" s="12"/>
      <c r="N24" s="12"/>
      <c r="O24" s="253">
        <f>SUM(O21:O22)</f>
        <v>1.4649000000000001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306">
        <f>H23+H24</f>
        <v>156358.88142000002</v>
      </c>
      <c r="I25" s="265"/>
      <c r="J25" s="47"/>
      <c r="K25" s="47"/>
      <c r="L25" s="39"/>
      <c r="M25" s="12"/>
      <c r="N25" s="12"/>
      <c r="O25" s="253">
        <f>O24</f>
        <v>1.4649000000000001</v>
      </c>
      <c r="P25" s="14"/>
      <c r="Q25" s="12"/>
      <c r="R25" s="239">
        <f>SUM(R21:R24)</f>
        <v>5.14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0.29298000000000002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1.7578800000000001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16" t="s">
        <v>22</v>
      </c>
      <c r="U28" s="313" t="s">
        <v>153</v>
      </c>
      <c r="V28" s="317">
        <v>44971</v>
      </c>
      <c r="W28" s="318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1.7578800000000001</v>
      </c>
      <c r="M29" s="12">
        <v>3500</v>
      </c>
      <c r="N29" s="12">
        <f t="shared" ref="N29:N34" si="10">L29*M29</f>
        <v>6152.58</v>
      </c>
      <c r="O29" s="14" t="s">
        <v>22</v>
      </c>
      <c r="P29" s="14"/>
      <c r="Q29" s="14"/>
      <c r="R29" s="241"/>
      <c r="S29" s="14"/>
      <c r="T29" s="316" t="s">
        <v>154</v>
      </c>
      <c r="U29" s="313">
        <v>3625</v>
      </c>
      <c r="V29" s="59" t="s">
        <v>155</v>
      </c>
      <c r="W29" s="318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0.48</v>
      </c>
      <c r="M30" s="12">
        <v>25000</v>
      </c>
      <c r="N30" s="12">
        <f t="shared" si="10"/>
        <v>12000</v>
      </c>
      <c r="O30" s="39" t="s">
        <v>32</v>
      </c>
      <c r="P30" s="42"/>
      <c r="Q30" s="14"/>
      <c r="R30" s="240"/>
      <c r="S30" s="14"/>
      <c r="T30" s="316"/>
      <c r="U30" s="59">
        <v>906.25</v>
      </c>
      <c r="V30" s="59" t="s">
        <v>156</v>
      </c>
      <c r="W30" s="318"/>
    </row>
    <row r="31" spans="2:24" s="230" customFormat="1" ht="17.399999999999999" x14ac:dyDescent="0.35">
      <c r="I31" s="262"/>
      <c r="J31" s="232"/>
      <c r="K31" s="250"/>
      <c r="L31" s="14"/>
      <c r="M31" s="250">
        <v>46500</v>
      </c>
      <c r="N31" s="12">
        <f t="shared" si="10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18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>
        <v>1</v>
      </c>
      <c r="M32" s="250">
        <v>40561</v>
      </c>
      <c r="N32" s="12">
        <f t="shared" si="10"/>
        <v>40561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18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10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304"/>
      <c r="K34" s="250"/>
      <c r="L34" s="266">
        <f>L23</f>
        <v>2.57</v>
      </c>
      <c r="M34" s="12">
        <v>1500</v>
      </c>
      <c r="N34" s="12">
        <f t="shared" si="10"/>
        <v>3854.9999999999995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62568.58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N35*2.1</f>
        <v>131394.01800000001</v>
      </c>
      <c r="O36" s="14" t="s">
        <v>141</v>
      </c>
      <c r="P36" s="14"/>
      <c r="Q36" s="40">
        <f>O27/Q35</f>
        <v>0.47397540983606556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48209</v>
      </c>
      <c r="K37" s="250"/>
      <c r="L37" s="14"/>
      <c r="M37" s="12"/>
      <c r="N37" s="12">
        <f>N36/O25</f>
        <v>89694.872004915014</v>
      </c>
      <c r="O37" s="45" t="s">
        <v>25</v>
      </c>
      <c r="P37" s="14"/>
      <c r="Q37" s="14"/>
      <c r="R37"/>
      <c r="S37" s="238"/>
      <c r="T37" s="59" t="s">
        <v>159</v>
      </c>
      <c r="U37" s="313">
        <v>43650</v>
      </c>
    </row>
    <row r="38" spans="2:23" s="230" customFormat="1" ht="17.399999999999999" x14ac:dyDescent="0.35">
      <c r="G38"/>
      <c r="J38" s="230">
        <f>J37/1.19</f>
        <v>40511.764705882357</v>
      </c>
      <c r="K38" s="250"/>
      <c r="L38" s="13"/>
      <c r="M38" s="14"/>
      <c r="N38" s="17">
        <f>N36/N35</f>
        <v>2.1</v>
      </c>
      <c r="O38" s="15"/>
      <c r="P38"/>
      <c r="Q38"/>
      <c r="R38"/>
      <c r="S38" s="238"/>
      <c r="T38" s="59" t="s">
        <v>161</v>
      </c>
      <c r="U38" s="314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15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45316</v>
      </c>
    </row>
    <row r="6" spans="2:31" ht="16.2" thickBot="1" x14ac:dyDescent="0.35">
      <c r="B6" s="140" t="s">
        <v>2</v>
      </c>
      <c r="C6" s="139" t="str">
        <f>'2229'!C10</f>
        <v>GUILLERMO VAZQUEZ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10596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-8702.6685334541089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131394.01800000001</v>
      </c>
      <c r="E11" s="132">
        <f>D11*0.19</f>
        <v>24964.863420000001</v>
      </c>
      <c r="F11" s="131">
        <f>E11+D11</f>
        <v>156358.88142000002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97287.331466545889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47986.670787439616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79287.331466545889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83407.347212560388</v>
      </c>
      <c r="E13" s="221">
        <f>(D11/D12)-1</f>
        <v>1.7381357331918106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70287.331466545889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31287.331466545889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79178.006799275361</v>
      </c>
      <c r="F15" s="216">
        <f>E15-D12</f>
        <v>31191.336011835745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31287.331466545889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71287.331466545889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12000</v>
      </c>
      <c r="E19" s="123">
        <f>D19*0.19</f>
        <v>2280</v>
      </c>
      <c r="F19" s="120">
        <f>SUM(D19:E19)</f>
        <v>14280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6152.58</v>
      </c>
      <c r="E20" s="121">
        <f>D20*0.19</f>
        <v>1168.9902</v>
      </c>
      <c r="F20" s="120">
        <f>SUM(D20:E20)</f>
        <v>7321.5702000000001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18152.580000000002</v>
      </c>
      <c r="E21" s="116">
        <f>SUM(E18:E20)</f>
        <v>3448.9902000000002</v>
      </c>
      <c r="F21" s="115">
        <f>SUM(F18:F20)</f>
        <v>21601.570200000002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21515.873220000001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131394.01800000001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18152.580000000002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83407.347212560388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83407.347212560388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2024-01-25T16:22:08Z</cp:lastPrinted>
  <dcterms:created xsi:type="dcterms:W3CDTF">2013-03-18T13:35:42Z</dcterms:created>
  <dcterms:modified xsi:type="dcterms:W3CDTF">2024-01-26T11:48:55Z</dcterms:modified>
</cp:coreProperties>
</file>