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3 ENERO 2024\"/>
    </mc:Choice>
  </mc:AlternateContent>
  <xr:revisionPtr revIDLastSave="0" documentId="13_ncr:1_{D28E6E23-98D2-46F2-8B0F-3B0F00CF40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5" i="1" l="1"/>
  <c r="K22" i="1"/>
  <c r="L22" i="1"/>
  <c r="M22" i="1"/>
  <c r="R22" i="1"/>
  <c r="K21" i="1"/>
  <c r="J39" i="1"/>
  <c r="L21" i="1"/>
  <c r="L24" i="1" s="1"/>
  <c r="M21" i="1"/>
  <c r="N22" i="1" l="1"/>
  <c r="O22" i="1" s="1"/>
  <c r="S21" i="1"/>
  <c r="R21" i="1"/>
  <c r="R26" i="1" s="1"/>
  <c r="N21" i="1"/>
  <c r="O21" i="1" s="1"/>
  <c r="U32" i="1"/>
  <c r="U33" i="1" s="1"/>
  <c r="O25" i="1" l="1"/>
  <c r="N31" i="1"/>
  <c r="O26" i="1" l="1"/>
  <c r="O27" i="1" s="1"/>
  <c r="O28" i="1" s="1"/>
  <c r="L30" i="1" s="1"/>
  <c r="M20" i="1"/>
  <c r="K20" i="1"/>
  <c r="N32" i="1" l="1"/>
  <c r="Q36" i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Q37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2" i="1" l="1"/>
  <c r="Q22" i="1" s="1"/>
  <c r="G22" i="1" s="1"/>
  <c r="H22" i="1" s="1"/>
  <c r="P21" i="1"/>
  <c r="F15" i="3"/>
  <c r="Q21" i="1" l="1"/>
  <c r="G21" i="1" s="1"/>
  <c r="H21" i="1" s="1"/>
  <c r="H24" i="1" s="1"/>
  <c r="H25" i="1" l="1"/>
  <c r="D11" i="3" l="1"/>
  <c r="X9" i="3" s="1"/>
  <c r="X15" i="3" s="1"/>
  <c r="H26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<sst xmlns="http://schemas.openxmlformats.org/spreadsheetml/2006/main" count="232" uniqueCount="174">
  <si>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</si>
  <si>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</si>
  <si>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</si>
  <si>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</si>
  <si>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</si>
  <si>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</si>
  <si>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</si>
  <si>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</si>
  <si>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</si>
  <si>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</si>
  <si>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</si>
  <si>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</si>
  <si>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</si>
  <si>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</si>
  <si>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</si>
  <si>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</si>
  <si>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</si>
  <si>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</si>
  <si>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</si>
  <si>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</si>
  <si>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</si>
  <si>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</si>
  <si>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</si>
  <si>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</si>
  <si>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</si>
  <si>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</si>
  <si>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</si>
  <si>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</si>
  <si>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</si>
  <si>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</si>
  <si>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</si>
  <si>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</si>
  <si>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</si>
  <si>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</si>
  <si>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</si>
  <si>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</si>
  <si>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</si>
  <si>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</si>
  <si>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</si>
  <si>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</si>
  <si>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</si>
  <si>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</si>
  <si>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</si>
  <si>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</si>
  <si>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</si>
  <si>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</si>
  <si>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</si>
  <si>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</si>
  <si>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</si>
  <si>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</si>
  <si>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</si>
  <si>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</si>
  <si>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</si>
  <si>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</si>
  <si>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</si>
  <si>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</si>
  <si>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</si>
  <si>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</si>
  <si>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</si>
  <si>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</si>
  <si>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</si>
  <si>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</si>
  <si>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</si>
  <si>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</si>
  <si>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</si>
  <si>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</si>
  <si>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</si>
  <si>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</si>
  <si>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</si>
  <si>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</si>
  <si>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</si>
  <si>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</si>
  <si>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</si>
  <si>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</si>
  <si>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</si>
  <si>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</si>
  <si>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</si>
  <si>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</si>
  <si>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</si>
  <si>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</si>
  <si>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</si>
  <si>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</si>
  <si>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</si>
  <si>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</si>
  <si>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</si>
  <si>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</si>
  <si>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</si>
  <si>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</si>
  <si>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</si>
  <si>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</si>
  <si>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</si>
  <si>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</si>
  <si>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</si>
  <si>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</si>
  <si>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</si>
  <si>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</si>
  <si>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</si>
  <si>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</si>
  <si>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</si>
  <si>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</si>
  <si>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</si>
  <si>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</si>
  <si>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</si>
  <si>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</si>
  <si>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</si>
  <si>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</si>
  <si>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</si>
  <si>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</si>
  <si>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</si>
  <si>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</si>
  <si>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</si>
  <si>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</si>
  <si>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</si>
  <si>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</si>
  <si>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</si>
  <si>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</si>
  <si>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</si>
  <si>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</si>
  <si>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</si>
  <si>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</si>
  <si>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</si>
  <si>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</si>
  <si>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</si>
  <si>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</si>
  <si>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</si>
  <si>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</si>
  <si>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</si>
  <si>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</si>
  <si>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</si>
  <si>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</si>
  <si>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</si>
  <si>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</si>
  <si>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</si>
  <si>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</si>
  <si>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</si>
  <si>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</si>
  <si>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</si>
  <si>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</si>
  <si>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</si>
  <si>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</si>
  <si>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</si>
  <si>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</si>
  <si>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</si>
  <si>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</si>
  <si>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</si>
  <si>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</si>
  <si>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</si>
  <si>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</si>
  <si>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</si>
  <si>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</si>
  <si>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</si>
  <si>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</si>
  <si>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</si>
  <si>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</si>
  <si>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</si>
  <si>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</si>
  <si>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</si>
  <si>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</si>
  <si>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</si>
  <si>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</si>
  <si>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</si>
  <si>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</si>
  <si>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</si>
  <si>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</si>
  <si>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</si>
  <si>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</si>
  <si>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</si>
  <si>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</si>
  <si>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5 DIAS HABILES</t>
  </si>
  <si>
    <t>DIEGO OSORNO</t>
  </si>
  <si>
    <t>CUBIERTA CON RESPALDO APARTE FRENTE 90° R8</t>
  </si>
  <si>
    <t>+569 84053429</t>
  </si>
  <si>
    <t>BIRD MAPPLE</t>
  </si>
  <si>
    <t>10551C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</si>
</sst>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6" fillId="0" borderId="0" xfId="0" quotePrefix="1" applyFont="1"/>
    <xf numFmtId="0" fontId="32" fillId="0" borderId="19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166" fontId="32" fillId="0" borderId="18" xfId="0" applyNumberFormat="1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23</xdr:row>
      <xdr:rowOff>9525</xdr:rowOff>
    </xdr:from>
    <xdr:to>
      <xdr:col>5</xdr:col>
      <xdr:colOff>1594096</xdr:colOff>
      <xdr:row>26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  <a:endParaRPr lang="es-CL" sz="12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RESPALDO APARTE DE 6 CMS DESDE SU BASE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, , 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C6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03" t="s">
        <v>173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9" t="s">
        <v>163</v>
      </c>
      <c r="C10" s="279" t="s">
        <v>169</v>
      </c>
      <c r="D10" s="243"/>
      <c r="E10" s="243"/>
      <c r="F10" s="244" t="s">
        <v>0</v>
      </c>
      <c r="G10" s="277">
        <v>45314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7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40" t="s">
        <v>171</v>
      </c>
      <c r="D15" s="295"/>
      <c r="E15" s="247"/>
      <c r="F15" s="247" t="s">
        <v>135</v>
      </c>
      <c r="G15" s="296" t="s">
        <v>136</v>
      </c>
      <c r="H15" s="248"/>
    </row>
    <row r="16" spans="2:23" ht="16.8" x14ac:dyDescent="0.4">
      <c r="B16" s="292" t="s">
        <v>3</v>
      </c>
      <c r="C16" s="312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167</v>
      </c>
      <c r="D17" s="299"/>
      <c r="E17" s="300"/>
      <c r="F17" s="328" t="s">
        <v>166</v>
      </c>
      <c r="G17" s="328"/>
      <c r="H17" s="329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0" t="s">
        <v>148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0.02</v>
      </c>
      <c r="M19" s="14">
        <v>0.02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0" t="s">
        <v>7</v>
      </c>
      <c r="C20" s="321" t="s">
        <v>1</v>
      </c>
      <c r="D20" s="321" t="s">
        <v>10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118569.11926202504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23">
        <v>1</v>
      </c>
      <c r="C21" s="324" t="s">
        <v>170</v>
      </c>
      <c r="D21" s="325">
        <v>1.7</v>
      </c>
      <c r="E21" s="325">
        <v>0.56000000000000005</v>
      </c>
      <c r="F21" s="324" t="s">
        <v>172</v>
      </c>
      <c r="G21" s="326">
        <f>Q21</f>
        <v>121284.5533757962</v>
      </c>
      <c r="H21" s="327">
        <f>G21*B21</f>
        <v>121284.5533757962</v>
      </c>
      <c r="I21" s="265"/>
      <c r="J21" s="47"/>
      <c r="K21" s="47">
        <f>B21</f>
        <v>1</v>
      </c>
      <c r="L21" s="39">
        <f t="shared" ref="L21" si="1">D21+L$19</f>
        <v>1.72</v>
      </c>
      <c r="M21" s="39">
        <f t="shared" ref="M21" si="2">E21+M$19</f>
        <v>0.58000000000000007</v>
      </c>
      <c r="N21" s="261">
        <f t="shared" ref="N21" si="3">L21*M21</f>
        <v>0.99760000000000015</v>
      </c>
      <c r="O21" s="259">
        <f t="shared" ref="O21" si="4">N21*K21</f>
        <v>0.99760000000000015</v>
      </c>
      <c r="P21" s="252">
        <f t="shared" ref="P21" si="5">P$20*N21</f>
        <v>118284.5533757962</v>
      </c>
      <c r="Q21" s="258">
        <f t="shared" ref="Q21" si="6">P21+Q$20</f>
        <v>121284.5533757962</v>
      </c>
      <c r="R21" s="309">
        <f>L21*K21*2</f>
        <v>3.44</v>
      </c>
      <c r="S21" s="46">
        <f>M21*K21*2</f>
        <v>1.1600000000000001</v>
      </c>
      <c r="T21" s="9"/>
      <c r="W21" s="4"/>
    </row>
    <row r="22" spans="2:24" ht="18" thickBot="1" x14ac:dyDescent="0.35">
      <c r="B22" s="341">
        <v>1</v>
      </c>
      <c r="C22" s="342" t="s">
        <v>170</v>
      </c>
      <c r="D22" s="343">
        <v>1.4</v>
      </c>
      <c r="E22" s="343">
        <v>0.56000000000000005</v>
      </c>
      <c r="F22" s="342" t="s">
        <v>172</v>
      </c>
      <c r="G22" s="344">
        <f t="shared" ref="G22" si="7">Q22</f>
        <v>100653.52662420383</v>
      </c>
      <c r="H22" s="345">
        <f t="shared" ref="H22" si="8">G22*B22</f>
        <v>100653.52662420383</v>
      </c>
      <c r="I22" s="265"/>
      <c r="J22" s="47"/>
      <c r="K22" s="47">
        <f t="shared" ref="K22" si="9">B22</f>
        <v>1</v>
      </c>
      <c r="L22" s="39">
        <f t="shared" ref="L22" si="10">D22+L$19</f>
        <v>1.42</v>
      </c>
      <c r="M22" s="39">
        <f t="shared" ref="M22" si="11">E22+M$19</f>
        <v>0.58000000000000007</v>
      </c>
      <c r="N22" s="261">
        <f t="shared" ref="N22" si="12">L22*M22</f>
        <v>0.82360000000000011</v>
      </c>
      <c r="O22" s="259">
        <f t="shared" ref="O22" si="13">N22*K22</f>
        <v>0.82360000000000011</v>
      </c>
      <c r="P22" s="252">
        <f t="shared" ref="P22" si="14">P$20*N22</f>
        <v>97653.526624203834</v>
      </c>
      <c r="Q22" s="258">
        <f t="shared" ref="Q22" si="15">P22+Q$20</f>
        <v>100653.52662420383</v>
      </c>
      <c r="R22" s="309">
        <f t="shared" ref="R22" si="16">L22*K22*2</f>
        <v>2.84</v>
      </c>
      <c r="S22" s="46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/>
      <c r="O23" s="259"/>
      <c r="P23" s="252"/>
      <c r="Q23" s="258"/>
      <c r="R23" s="309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10" t="s">
        <v>29</v>
      </c>
      <c r="H24" s="311">
        <f>SUM(H21:H22)</f>
        <v>221938.08000000002</v>
      </c>
      <c r="I24" s="265"/>
      <c r="J24" s="47"/>
      <c r="K24" s="47"/>
      <c r="L24" s="39">
        <f>SUM(L21:L23)</f>
        <v>3.1399999999999997</v>
      </c>
      <c r="M24" s="39"/>
      <c r="N24" s="261"/>
      <c r="O24" s="259"/>
      <c r="P24" s="252"/>
      <c r="Q24" s="258"/>
      <c r="R24" s="309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8" t="s">
        <v>52</v>
      </c>
      <c r="H25" s="305">
        <f>H24*19%</f>
        <v>42168.235200000003</v>
      </c>
      <c r="I25" s="265"/>
      <c r="J25" s="47"/>
      <c r="K25" s="47"/>
      <c r="L25" s="39"/>
      <c r="M25" s="12"/>
      <c r="N25" s="12"/>
      <c r="O25" s="253">
        <f>SUM(O21:O22)</f>
        <v>1.8212000000000002</v>
      </c>
      <c r="P25" s="14"/>
      <c r="Q25" s="12"/>
      <c r="R25" s="239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6">
        <f>H24+H25</f>
        <v>264106.31520000001</v>
      </c>
      <c r="I26" s="265"/>
      <c r="J26" s="47"/>
      <c r="K26" s="47"/>
      <c r="L26" s="39"/>
      <c r="M26" s="12"/>
      <c r="N26" s="12"/>
      <c r="O26" s="253">
        <f>O25</f>
        <v>1.8212000000000002</v>
      </c>
      <c r="P26" s="14"/>
      <c r="Q26" s="12"/>
      <c r="R26" s="239">
        <f>SUM(R21:R25)</f>
        <v>6.2799999999999994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0.36424000000000006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2.1854400000000003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16" t="s">
        <v>22</v>
      </c>
      <c r="U29" s="313" t="s">
        <v>153</v>
      </c>
      <c r="V29" s="317">
        <v>44971</v>
      </c>
      <c r="W29" s="318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2.1854400000000003</v>
      </c>
      <c r="M30" s="12">
        <v>3500</v>
      </c>
      <c r="N30" s="12">
        <f t="shared" ref="N30:N35" si="17">L30*M30</f>
        <v>7649.0400000000009</v>
      </c>
      <c r="O30" s="14" t="s">
        <v>22</v>
      </c>
      <c r="P30" s="14"/>
      <c r="Q30" s="14"/>
      <c r="R30" s="241"/>
      <c r="S30" s="14"/>
      <c r="T30" s="316" t="s">
        <v>154</v>
      </c>
      <c r="U30" s="313">
        <v>3625</v>
      </c>
      <c r="V30" s="59" t="s">
        <v>155</v>
      </c>
      <c r="W30" s="318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0.6</v>
      </c>
      <c r="M31" s="12">
        <v>23850</v>
      </c>
      <c r="N31" s="12">
        <f t="shared" si="17"/>
        <v>14310</v>
      </c>
      <c r="O31" s="39" t="s">
        <v>32</v>
      </c>
      <c r="P31" s="42"/>
      <c r="Q31" s="14"/>
      <c r="R31" s="240"/>
      <c r="S31" s="14"/>
      <c r="T31" s="316"/>
      <c r="U31" s="59">
        <v>906.25</v>
      </c>
      <c r="V31" s="59" t="s">
        <v>156</v>
      </c>
      <c r="W31" s="318"/>
    </row>
    <row r="32" spans="2:24" s="230" customFormat="1" ht="17.399999999999999" x14ac:dyDescent="0.35">
      <c r="I32" s="262"/>
      <c r="J32" s="232"/>
      <c r="K32" s="250"/>
      <c r="L32" s="14">
        <v>0</v>
      </c>
      <c r="M32" s="250">
        <v>56000</v>
      </c>
      <c r="N32" s="12">
        <f t="shared" si="17"/>
        <v>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18" t="s">
        <v>157</v>
      </c>
      <c r="W32" s="59"/>
    </row>
    <row r="33" spans="2:23" s="230" customFormat="1" ht="17.399999999999999" x14ac:dyDescent="0.35">
      <c r="B33" s="24" t="s">
        <v>152</v>
      </c>
      <c r="I33" s="262"/>
      <c r="J33" s="232"/>
      <c r="K33" s="250"/>
      <c r="L33" s="14">
        <v>2</v>
      </c>
      <c r="M33" s="250">
        <v>40650</v>
      </c>
      <c r="N33" s="12">
        <f t="shared" si="17"/>
        <v>81300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18" t="s">
        <v>158</v>
      </c>
      <c r="W33" s="59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17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304"/>
      <c r="K35" s="250"/>
      <c r="L35" s="266">
        <f>L24</f>
        <v>3.1399999999999997</v>
      </c>
      <c r="M35" s="12">
        <v>1500</v>
      </c>
      <c r="N35" s="12">
        <f t="shared" si="17"/>
        <v>4709.9999999999991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SUM(N30:N35)</f>
        <v>107969.04000000001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</f>
        <v>215938.08000000002</v>
      </c>
      <c r="O37" s="14" t="s">
        <v>141</v>
      </c>
      <c r="P37" s="14"/>
      <c r="Q37" s="40">
        <f>O28/Q36</f>
        <v>0.5892579810181191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48209</v>
      </c>
      <c r="K38" s="250"/>
      <c r="L38" s="14"/>
      <c r="M38" s="12"/>
      <c r="N38" s="12">
        <f>N37/O26</f>
        <v>118569.11926202504</v>
      </c>
      <c r="O38" s="45" t="s">
        <v>25</v>
      </c>
      <c r="P38" s="14"/>
      <c r="Q38" s="14"/>
      <c r="R38"/>
      <c r="S38" s="238"/>
      <c r="T38" s="59" t="s">
        <v>159</v>
      </c>
      <c r="U38" s="313">
        <v>43650</v>
      </c>
    </row>
    <row r="39" spans="2:23" s="230" customFormat="1" ht="17.399999999999999" x14ac:dyDescent="0.35">
      <c r="G39"/>
      <c r="H39" s="230" t="s">
        <v>165</v>
      </c>
      <c r="J39" s="230">
        <f>J38/1.19</f>
        <v>40511.764705882357</v>
      </c>
      <c r="K39" s="250"/>
      <c r="L39" s="13"/>
      <c r="M39" s="14"/>
      <c r="N39" s="17">
        <f>N37/N36</f>
        <v>2</v>
      </c>
      <c r="O39" s="15"/>
      <c r="P39"/>
      <c r="Q39"/>
      <c r="R39"/>
      <c r="S39" s="238"/>
      <c r="T39" s="59" t="s">
        <v>161</v>
      </c>
      <c r="U39" s="314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15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45314</v>
      </c>
    </row>
    <row r="6" spans="2:31" ht="16.2" thickBot="1" x14ac:dyDescent="0.35">
      <c r="B6" s="140" t="s">
        <v>2</v>
      </c>
      <c r="C6" s="139" t="str">
        <f>'2229'!C10</f>
        <v>DIEGO OSORNO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99</v>
      </c>
      <c r="I7" s="335"/>
      <c r="J7" s="335"/>
      <c r="K7" s="336"/>
      <c r="N7" s="75"/>
      <c r="O7" s="333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10551C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3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-22746.56903345411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221938.08000000002</v>
      </c>
      <c r="E11" s="132">
        <f>D11*0.19</f>
        <v>42168.235200000003</v>
      </c>
      <c r="F11" s="131">
        <f>E11+D11</f>
        <v>264106.31520000001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83243.430966545886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51793.130787439615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65243.430966545886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170144.9492125604</v>
      </c>
      <c r="E13" s="221">
        <f>(D11/D12)-1</f>
        <v>3.2850871655324294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56243.430966545886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17243.43096654589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85458.665799275361</v>
      </c>
      <c r="F15" s="216">
        <f>E15-D12</f>
        <v>33665.535011835746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17243.43096654589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57243.430966545886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14310</v>
      </c>
      <c r="E19" s="123">
        <f>D19*0.19</f>
        <v>2718.9</v>
      </c>
      <c r="F19" s="120">
        <f>SUM(D19:E19)</f>
        <v>17028.900000000001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7649.0400000000009</v>
      </c>
      <c r="E20" s="121">
        <f>D20*0.19</f>
        <v>1453.3176000000001</v>
      </c>
      <c r="F20" s="120">
        <f>SUM(D20:E20)</f>
        <v>9102.3576000000012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21959.040000000001</v>
      </c>
      <c r="E21" s="116">
        <f>SUM(E18:E20)</f>
        <v>4172.2175999999999</v>
      </c>
      <c r="F21" s="115">
        <f>SUM(F18:F20)</f>
        <v>26131.257600000004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37996.017600000006</v>
      </c>
    </row>
    <row r="41" spans="2:16" ht="15" thickBot="1" x14ac:dyDescent="0.35">
      <c r="H41" s="337" t="s">
        <v>61</v>
      </c>
      <c r="I41" s="338"/>
      <c r="J41" s="338"/>
      <c r="K41" s="338"/>
      <c r="L41" s="338"/>
      <c r="M41" s="339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221938.08000000002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21959.040000000001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170144.9492125604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170144.9492125604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2024-01-23T13:53:41Z</cp:lastPrinted>
  <dcterms:created xsi:type="dcterms:W3CDTF">2013-03-18T13:35:42Z</dcterms:created>
  <dcterms:modified xsi:type="dcterms:W3CDTF">2024-01-24T12:35:15Z</dcterms:modified>
</cp:coreProperties>
</file>