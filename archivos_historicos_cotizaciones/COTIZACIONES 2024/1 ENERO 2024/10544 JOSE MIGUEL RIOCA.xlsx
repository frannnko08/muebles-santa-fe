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C950C9A5-1DB9-4039-BC6B-D374D73AFBB4}" xr6:coauthVersionLast="47" xr6:coauthVersionMax="47" xr10:uidLastSave="{00000000-0000-0000-0000-000000000000}"/>
  <bookViews>
    <workbookView minimized="1" xWindow="19248" yWindow="11328" windowWidth="3792" windowHeight="912" xr2:uid="{00000000-000D-0000-FFFF-FFFF00000000}"/>
  </bookViews>
  <sheets>
    <sheet name="2229" sheetId="1" r:id="rId1"/>
    <sheet name="COSTOS" sheetId="3" r:id="rId2"/>
  </sheets>
  <definedNames>
    <definedName name="_xlnm.Print_Area" localSheetId="0">'2229'!$B$1:$J$45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M29" i="1"/>
  <c r="J22" i="1"/>
  <c r="J23" i="1"/>
  <c r="J24" i="1"/>
  <c r="J25" i="1"/>
  <c r="J26" i="1"/>
  <c r="J27" i="1"/>
  <c r="J28" i="1"/>
  <c r="J21" i="1"/>
  <c r="M22" i="1"/>
  <c r="T22" i="1" s="1"/>
  <c r="N22" i="1"/>
  <c r="M23" i="1"/>
  <c r="N23" i="1"/>
  <c r="M24" i="1"/>
  <c r="T24" i="1" s="1"/>
  <c r="N24" i="1"/>
  <c r="P24" i="1" s="1"/>
  <c r="Q24" i="1" s="1"/>
  <c r="M25" i="1"/>
  <c r="N25" i="1"/>
  <c r="M26" i="1"/>
  <c r="T26" i="1" s="1"/>
  <c r="N26" i="1"/>
  <c r="M27" i="1"/>
  <c r="N27" i="1"/>
  <c r="M28" i="1"/>
  <c r="T28" i="1" s="1"/>
  <c r="N28" i="1"/>
  <c r="O22" i="1"/>
  <c r="O23" i="1"/>
  <c r="O24" i="1"/>
  <c r="O25" i="1"/>
  <c r="O26" i="1"/>
  <c r="O27" i="1"/>
  <c r="O28" i="1"/>
  <c r="O21" i="1"/>
  <c r="M21" i="1"/>
  <c r="N21" i="1"/>
  <c r="N34" i="1" s="1"/>
  <c r="P25" i="1" l="1"/>
  <c r="Q25" i="1" s="1"/>
  <c r="P27" i="1"/>
  <c r="Q27" i="1" s="1"/>
  <c r="P23" i="1"/>
  <c r="Q23" i="1" s="1"/>
  <c r="T27" i="1"/>
  <c r="T23" i="1"/>
  <c r="P28" i="1"/>
  <c r="Q28" i="1" s="1"/>
  <c r="P26" i="1"/>
  <c r="Q26" i="1" s="1"/>
  <c r="P22" i="1"/>
  <c r="Q22" i="1" s="1"/>
  <c r="T25" i="1"/>
  <c r="T21" i="1"/>
  <c r="P21" i="1"/>
  <c r="Q21" i="1" s="1"/>
  <c r="L50" i="1"/>
  <c r="P41" i="1"/>
  <c r="Q35" i="1" l="1"/>
  <c r="W43" i="1"/>
  <c r="Q36" i="1" l="1"/>
  <c r="U53" i="1"/>
  <c r="Q37" i="1" l="1"/>
  <c r="Q38" i="1" s="1"/>
  <c r="O20" i="1"/>
  <c r="M20" i="1"/>
  <c r="P42" i="1" l="1"/>
  <c r="S46" i="1"/>
  <c r="S47" i="1" s="1"/>
  <c r="P43" i="1" l="1"/>
  <c r="U46" i="1" l="1"/>
  <c r="U4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45" i="1"/>
  <c r="F18" i="3" l="1"/>
  <c r="N40" i="1" l="1"/>
  <c r="P40" i="1" l="1"/>
  <c r="U54" i="1"/>
  <c r="P46" i="1" l="1"/>
  <c r="P47" i="1" s="1"/>
  <c r="P48" i="1" s="1"/>
  <c r="D20" i="3"/>
  <c r="E20" i="3" s="1"/>
  <c r="E21" i="3" s="1"/>
  <c r="P49" i="1" l="1"/>
  <c r="D21" i="3"/>
  <c r="M43" i="3" s="1"/>
  <c r="D12" i="3" s="1"/>
  <c r="F20" i="3"/>
  <c r="F21" i="3" s="1"/>
  <c r="R20" i="1" l="1"/>
  <c r="E15" i="3"/>
  <c r="R24" i="1" l="1"/>
  <c r="S24" i="1" s="1"/>
  <c r="R28" i="1"/>
  <c r="S28" i="1" s="1"/>
  <c r="R25" i="1"/>
  <c r="S25" i="1" s="1"/>
  <c r="R23" i="1"/>
  <c r="S23" i="1" s="1"/>
  <c r="R27" i="1"/>
  <c r="S27" i="1" s="1"/>
  <c r="R22" i="1"/>
  <c r="S22" i="1" s="1"/>
  <c r="R26" i="1"/>
  <c r="S26" i="1" s="1"/>
  <c r="R21" i="1"/>
  <c r="F15" i="3"/>
  <c r="S21" i="1" l="1"/>
  <c r="T36" i="1"/>
  <c r="J32" i="1" l="1"/>
  <c r="J33" i="1" l="1"/>
  <c r="L30" i="1"/>
  <c r="J34" i="1"/>
  <c r="D11" i="3" s="1"/>
  <c r="X9" i="3" l="1"/>
  <c r="D13" i="3"/>
  <c r="E13" i="3"/>
  <c r="E11" i="3"/>
  <c r="D40" i="3" s="1"/>
  <c r="M42" i="3"/>
  <c r="M46" i="3" s="1"/>
  <c r="M49" i="3" s="1"/>
  <c r="F11" i="3" l="1"/>
  <c r="X15" i="3"/>
  <c r="X13" i="3"/>
  <c r="X12" i="3"/>
  <c r="X16" i="3"/>
  <c r="X14" i="3"/>
  <c r="X11" i="3"/>
</calcChain>
</file>

<file path=xl/sharedStrings.xml><?xml version="1.0" encoding="utf-8"?>
<sst xmlns="http://schemas.openxmlformats.org/spreadsheetml/2006/main" count="236" uniqueCount="170">
  <si>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</si>
  <si>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</si>
  <si>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</si>
  <si>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</si>
  <si>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</si>
  <si>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</si>
  <si>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</si>
  <si>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</si>
  <si>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</si>
  <si>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</si>
  <si>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</si>
  <si>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</si>
  <si>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</si>
  <si>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</si>
  <si>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</si>
  <si>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</si>
  <si>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</si>
  <si>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</si>
  <si>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</si>
  <si>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</si>
  <si>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</si>
  <si>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</si>
  <si>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</si>
  <si>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</si>
  <si>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</si>
  <si>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</si>
  <si>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</si>
  <si>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</si>
  <si>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</si>
  <si>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</si>
  <si>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</si>
  <si>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</si>
  <si>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</si>
  <si>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</si>
  <si>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</si>
  <si>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</si>
  <si>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</si>
  <si>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</si>
  <si>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</si>
  <si>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</si>
  <si>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</si>
  <si>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</si>
  <si>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</si>
  <si>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</si>
  <si>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</si>
  <si>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</si>
  <si>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</si>
  <si>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</si>
  <si>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</si>
  <si>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</si>
  <si>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</si>
  <si>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</si>
  <si>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</si>
  <si>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</si>
  <si>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</si>
  <si>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</si>
  <si>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</si>
  <si>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</si>
  <si>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</si>
  <si>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</si>
  <si>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</si>
  <si>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</si>
  <si>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</si>
  <si>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</si>
  <si>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</si>
  <si>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</si>
  <si>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</si>
  <si>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</si>
  <si>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</si>
  <si>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</si>
  <si>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</si>
  <si>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</si>
  <si>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</si>
  <si>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</si>
  <si>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</si>
  <si>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</si>
  <si>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</si>
  <si>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</si>
  <si>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</si>
  <si>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</si>
  <si>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</si>
  <si>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</si>
  <si>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</si>
  <si>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</si>
  <si>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</si>
  <si>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</si>
  <si>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</si>
  <si>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</si>
  <si>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</si>
  <si>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</si>
  <si>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</si>
  <si>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</si>
  <si>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</si>
  <si>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</si>
  <si>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</si>
  <si>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</si>
  <si>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</si>
  <si>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</si>
  <si>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</si>
  <si>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</si>
  <si>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</si>
  <si>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</si>
  <si>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</si>
  <si>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</si>
  <si>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</si>
  <si>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</si>
  <si>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</si>
  <si>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</si>
  <si>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</si>
  <si>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</si>
  <si>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</si>
  <si>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</si>
  <si>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</si>
  <si>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</si>
  <si>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</si>
  <si>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</si>
  <si>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</si>
  <si>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</si>
  <si>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</si>
  <si>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</si>
  <si>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</si>
  <si>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</si>
  <si>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</si>
  <si>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</si>
  <si>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</si>
  <si>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</si>
  <si>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</si>
  <si>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</si>
  <si>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</si>
  <si>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</si>
  <si>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</si>
  <si>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</si>
  <si>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</si>
  <si>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</si>
  <si>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</si>
  <si>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</si>
  <si>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</si>
  <si>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</si>
  <si>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</si>
  <si>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</si>
  <si>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</si>
  <si>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</si>
  <si>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</si>
  <si>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</si>
  <si>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</si>
  <si>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</si>
  <si>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</si>
  <si>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</si>
  <si>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</si>
  <si>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</si>
  <si>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</si>
  <si>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</si>
  <si>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</si>
  <si>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ZACALO</t>
  </si>
  <si>
    <t>MDF18MM</t>
  </si>
  <si>
    <t>O</t>
  </si>
  <si>
    <t>SANTIAGO</t>
  </si>
  <si>
    <t>CUENTA CORRIENTE BANCO SANTANDER Nº 87316181 A NOMBRE DE MUEBLES SANTA FE SPA</t>
  </si>
  <si>
    <t xml:space="preserve">IVA </t>
  </si>
  <si>
    <t>DURACION COTIZACION: 5 DIAS                           FERNANDO DONOSO</t>
  </si>
  <si>
    <t>JOSE MIGUEL RIOCA</t>
  </si>
  <si>
    <t>+5697449 5259</t>
  </si>
  <si>
    <t>BLANCO BRILLO</t>
  </si>
  <si>
    <t>CUBIERTA MESON ATENCION</t>
  </si>
  <si>
    <t>FRENTE</t>
  </si>
  <si>
    <t>FONDO</t>
  </si>
  <si>
    <t>CORTE CUBIERTAS</t>
  </si>
  <si>
    <t>RECARGO 5%</t>
  </si>
  <si>
    <t>CONTADO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</si>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</sst>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4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8" borderId="7" xfId="6" applyFont="1" applyFill="1" applyBorder="1" applyAlignment="1">
      <alignment horizontal="right"/>
    </xf>
    <xf numFmtId="42" fontId="0" fillId="9" borderId="10" xfId="6" applyFont="1" applyFill="1" applyBorder="1" applyAlignment="1">
      <alignment horizontal="right"/>
    </xf>
    <xf numFmtId="42" fontId="0" fillId="9" borderId="14" xfId="6" applyFont="1" applyFill="1" applyBorder="1" applyAlignment="1">
      <alignment horizontal="right"/>
    </xf>
    <xf numFmtId="9" fontId="0" fillId="0" borderId="0" xfId="1" applyFont="1"/>
    <xf numFmtId="42" fontId="7" fillId="8" borderId="7" xfId="6" applyFont="1" applyFill="1" applyBorder="1"/>
    <xf numFmtId="0" fontId="13" fillId="8" borderId="18" xfId="0" applyFont="1" applyFill="1" applyBorder="1" applyAlignment="1">
      <alignment horizontal="center"/>
    </xf>
    <xf numFmtId="41" fontId="14" fillId="8" borderId="19" xfId="4" applyFont="1" applyFill="1" applyBorder="1"/>
    <xf numFmtId="42" fontId="0" fillId="9" borderId="20" xfId="6" applyFont="1" applyFill="1" applyBorder="1" applyAlignment="1">
      <alignment horizontal="right"/>
    </xf>
    <xf numFmtId="42" fontId="7" fillId="10" borderId="7" xfId="0" applyNumberFormat="1" applyFont="1" applyFill="1" applyBorder="1"/>
    <xf numFmtId="0" fontId="7" fillId="10" borderId="19" xfId="0" applyFont="1" applyFill="1" applyBorder="1" applyAlignment="1">
      <alignment horizontal="center"/>
    </xf>
    <xf numFmtId="0" fontId="7" fillId="9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0" borderId="7" xfId="6" applyFont="1" applyFill="1" applyBorder="1" applyAlignment="1">
      <alignment horizontal="right"/>
    </xf>
    <xf numFmtId="0" fontId="7" fillId="10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0" borderId="2" xfId="0" applyFont="1" applyFill="1" applyBorder="1"/>
    <xf numFmtId="42" fontId="0" fillId="0" borderId="29" xfId="6" applyFont="1" applyBorder="1" applyAlignment="1">
      <alignment horizontal="center"/>
    </xf>
    <xf numFmtId="42" fontId="7" fillId="11" borderId="7" xfId="6" applyFont="1" applyFill="1" applyBorder="1"/>
    <xf numFmtId="41" fontId="7" fillId="11" borderId="18" xfId="0" applyNumberFormat="1" applyFont="1" applyFill="1" applyBorder="1" applyAlignment="1">
      <alignment horizontal="left" indent="1"/>
    </xf>
    <xf numFmtId="42" fontId="7" fillId="11" borderId="18" xfId="0" applyNumberFormat="1" applyFont="1" applyFill="1" applyBorder="1"/>
    <xf numFmtId="0" fontId="7" fillId="11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1" borderId="7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41" fontId="7" fillId="11" borderId="18" xfId="4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/>
    </xf>
    <xf numFmtId="0" fontId="7" fillId="11" borderId="19" xfId="0" applyFont="1" applyFill="1" applyBorder="1"/>
    <xf numFmtId="42" fontId="7" fillId="12" borderId="7" xfId="6" applyFont="1" applyFill="1" applyBorder="1"/>
    <xf numFmtId="42" fontId="7" fillId="12" borderId="18" xfId="6" applyFont="1" applyFill="1" applyBorder="1"/>
    <xf numFmtId="42" fontId="0" fillId="12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4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42" fontId="7" fillId="8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42" fontId="2" fillId="8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0" borderId="2" xfId="0" quotePrefix="1" applyFill="1" applyBorder="1" applyAlignment="1">
      <alignment horizontal="left"/>
    </xf>
    <xf numFmtId="0" fontId="0" fillId="10" borderId="9" xfId="0" quotePrefix="1" applyFill="1" applyBorder="1" applyAlignment="1">
      <alignment horizontal="left"/>
    </xf>
    <xf numFmtId="0" fontId="0" fillId="10" borderId="8" xfId="0" quotePrefix="1" applyFill="1" applyBorder="1" applyAlignment="1">
      <alignment horizontal="left"/>
    </xf>
    <xf numFmtId="0" fontId="0" fillId="9" borderId="17" xfId="0" quotePrefix="1" applyFill="1" applyBorder="1" applyAlignment="1">
      <alignment horizontal="left"/>
    </xf>
    <xf numFmtId="0" fontId="0" fillId="9" borderId="16" xfId="0" quotePrefix="1" applyFill="1" applyBorder="1" applyAlignment="1">
      <alignment horizontal="left"/>
    </xf>
    <xf numFmtId="0" fontId="0" fillId="9" borderId="15" xfId="0" quotePrefix="1" applyFill="1" applyBorder="1" applyAlignment="1">
      <alignment horizontal="left"/>
    </xf>
    <xf numFmtId="0" fontId="0" fillId="9" borderId="23" xfId="0" quotePrefix="1" applyFill="1" applyBorder="1" applyAlignment="1">
      <alignment horizontal="left"/>
    </xf>
    <xf numFmtId="0" fontId="0" fillId="9" borderId="22" xfId="0" quotePrefix="1" applyFill="1" applyBorder="1" applyAlignment="1">
      <alignment horizontal="left"/>
    </xf>
    <xf numFmtId="0" fontId="0" fillId="9" borderId="21" xfId="0" quotePrefix="1" applyFill="1" applyBorder="1" applyAlignment="1">
      <alignment horizontal="left"/>
    </xf>
    <xf numFmtId="0" fontId="0" fillId="9" borderId="13" xfId="0" quotePrefix="1" applyFill="1" applyBorder="1" applyAlignment="1">
      <alignment horizontal="left"/>
    </xf>
    <xf numFmtId="0" fontId="0" fillId="9" borderId="12" xfId="0" quotePrefix="1" applyFill="1" applyBorder="1" applyAlignment="1">
      <alignment horizontal="left"/>
    </xf>
    <xf numFmtId="0" fontId="0" fillId="9" borderId="11" xfId="0" quotePrefix="1" applyFill="1" applyBorder="1" applyAlignment="1">
      <alignment horizontal="left"/>
    </xf>
    <xf numFmtId="0" fontId="7" fillId="8" borderId="2" xfId="0" quotePrefix="1" applyFont="1" applyFill="1" applyBorder="1" applyAlignment="1">
      <alignment horizontal="left"/>
    </xf>
    <xf numFmtId="0" fontId="7" fillId="8" borderId="9" xfId="0" quotePrefix="1" applyFont="1" applyFill="1" applyBorder="1" applyAlignment="1">
      <alignment horizontal="left"/>
    </xf>
    <xf numFmtId="0" fontId="7" fillId="8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8" borderId="9" xfId="0" applyFont="1" applyFill="1" applyBorder="1"/>
    <xf numFmtId="0" fontId="7" fillId="0" borderId="13" xfId="0" applyFont="1" applyBorder="1" applyAlignment="1">
      <alignment horizontal="center"/>
    </xf>
    <xf numFmtId="0" fontId="7" fillId="8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8" borderId="47" xfId="0" applyFont="1" applyFill="1" applyBorder="1" applyAlignment="1">
      <alignment horizontal="center"/>
    </xf>
    <xf numFmtId="0" fontId="7" fillId="8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6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3" borderId="19" xfId="0" applyFont="1" applyFill="1" applyBorder="1" applyAlignment="1">
      <alignment horizontal="center"/>
    </xf>
    <xf numFmtId="0" fontId="5" fillId="13" borderId="18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7" borderId="0" xfId="0" applyFont="1" applyFill="1" applyAlignment="1">
      <alignment shrinkToFit="1"/>
    </xf>
    <xf numFmtId="167" fontId="3" fillId="17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2" applyNumberFormat="1" applyFont="1" applyFill="1" applyBorder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8" borderId="2" xfId="0" applyFont="1" applyFill="1" applyBorder="1" applyAlignment="1">
      <alignment horizontal="left" indent="1"/>
    </xf>
    <xf numFmtId="0" fontId="21" fillId="18" borderId="9" xfId="0" applyFont="1" applyFill="1" applyBorder="1"/>
    <xf numFmtId="0" fontId="21" fillId="18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0" fillId="12" borderId="0" xfId="0" applyFill="1"/>
    <xf numFmtId="0" fontId="26" fillId="12" borderId="0" xfId="0" applyFont="1" applyFill="1" applyAlignment="1">
      <alignment horizontal="left"/>
    </xf>
    <xf numFmtId="0" fontId="4" fillId="12" borderId="0" xfId="0" applyFont="1" applyFill="1"/>
    <xf numFmtId="0" fontId="26" fillId="12" borderId="0" xfId="0" applyFont="1" applyFill="1"/>
    <xf numFmtId="0" fontId="13" fillId="12" borderId="0" xfId="0" applyFont="1" applyFill="1"/>
    <xf numFmtId="0" fontId="27" fillId="12" borderId="0" xfId="0" applyFont="1" applyFill="1"/>
    <xf numFmtId="0" fontId="0" fillId="19" borderId="0" xfId="0" applyFill="1"/>
    <xf numFmtId="14" fontId="26" fillId="19" borderId="0" xfId="0" applyNumberFormat="1" applyFont="1" applyFill="1" applyAlignment="1">
      <alignment horizontal="left"/>
    </xf>
    <xf numFmtId="0" fontId="7" fillId="19" borderId="0" xfId="0" applyFont="1" applyFill="1"/>
    <xf numFmtId="0" fontId="26" fillId="19" borderId="0" xfId="0" applyFont="1" applyFill="1" applyAlignment="1">
      <alignment horizontal="left"/>
    </xf>
    <xf numFmtId="0" fontId="32" fillId="19" borderId="0" xfId="3" quotePrefix="1" applyFont="1" applyFill="1" applyBorder="1"/>
    <xf numFmtId="0" fontId="26" fillId="19" borderId="0" xfId="0" applyFont="1" applyFill="1"/>
    <xf numFmtId="0" fontId="7" fillId="12" borderId="46" xfId="0" applyFont="1" applyFill="1" applyBorder="1"/>
    <xf numFmtId="0" fontId="0" fillId="12" borderId="46" xfId="0" applyFill="1" applyBorder="1" applyAlignment="1">
      <alignment horizontal="left"/>
    </xf>
    <xf numFmtId="14" fontId="26" fillId="12" borderId="46" xfId="0" applyNumberFormat="1" applyFont="1" applyFill="1" applyBorder="1" applyAlignment="1">
      <alignment horizontal="left"/>
    </xf>
    <xf numFmtId="0" fontId="0" fillId="12" borderId="53" xfId="0" applyFill="1" applyBorder="1"/>
    <xf numFmtId="0" fontId="0" fillId="19" borderId="55" xfId="0" applyFill="1" applyBorder="1"/>
    <xf numFmtId="0" fontId="0" fillId="12" borderId="55" xfId="0" applyFill="1" applyBorder="1"/>
    <xf numFmtId="0" fontId="6" fillId="12" borderId="54" xfId="0" applyFont="1" applyFill="1" applyBorder="1"/>
    <xf numFmtId="0" fontId="10" fillId="0" borderId="0" xfId="0" applyFont="1" applyAlignment="1">
      <alignment horizontal="center"/>
    </xf>
    <xf numFmtId="0" fontId="5" fillId="19" borderId="0" xfId="0" applyFont="1" applyFill="1"/>
    <xf numFmtId="0" fontId="7" fillId="12" borderId="0" xfId="0" applyFont="1" applyFill="1"/>
    <xf numFmtId="0" fontId="5" fillId="19" borderId="37" xfId="3" applyFont="1" applyFill="1" applyBorder="1" applyAlignment="1">
      <alignment horizontal="left"/>
    </xf>
    <xf numFmtId="0" fontId="7" fillId="19" borderId="37" xfId="3" applyFont="1" applyFill="1" applyBorder="1" applyAlignment="1">
      <alignment horizontal="left"/>
    </xf>
    <xf numFmtId="0" fontId="7" fillId="19" borderId="37" xfId="0" applyFont="1" applyFill="1" applyBorder="1"/>
    <xf numFmtId="0" fontId="33" fillId="19" borderId="0" xfId="0" applyFont="1" applyFill="1"/>
    <xf numFmtId="0" fontId="34" fillId="12" borderId="0" xfId="0" applyFont="1" applyFill="1"/>
    <xf numFmtId="0" fontId="0" fillId="12" borderId="47" xfId="0" applyFill="1" applyBorder="1"/>
    <xf numFmtId="0" fontId="0" fillId="19" borderId="54" xfId="0" applyFill="1" applyBorder="1"/>
    <xf numFmtId="0" fontId="0" fillId="12" borderId="54" xfId="0" applyFill="1" applyBorder="1"/>
    <xf numFmtId="0" fontId="0" fillId="19" borderId="44" xfId="0" applyFill="1" applyBorder="1"/>
    <xf numFmtId="0" fontId="19" fillId="18" borderId="25" xfId="0" applyFont="1" applyFill="1" applyBorder="1" applyAlignment="1">
      <alignment horizontal="center" vertical="center"/>
    </xf>
    <xf numFmtId="0" fontId="19" fillId="18" borderId="42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8" fillId="12" borderId="0" xfId="3" applyFill="1"/>
    <xf numFmtId="42" fontId="30" fillId="0" borderId="0" xfId="8" applyFont="1" applyFill="1" applyBorder="1"/>
    <xf numFmtId="3" fontId="10" fillId="0" borderId="0" xfId="0" applyNumberFormat="1" applyFont="1" applyAlignment="1">
      <alignment horizontal="center"/>
    </xf>
    <xf numFmtId="0" fontId="35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1" fontId="29" fillId="0" borderId="0" xfId="0" applyNumberFormat="1" applyFont="1" applyAlignment="1">
      <alignment horizontal="center" vertical="center"/>
    </xf>
    <xf numFmtId="42" fontId="1" fillId="0" borderId="0" xfId="8" applyFont="1" applyFill="1" applyBorder="1" applyAlignment="1">
      <alignment horizontal="center" vertical="center"/>
    </xf>
    <xf numFmtId="42" fontId="1" fillId="0" borderId="28" xfId="8" applyFont="1" applyFill="1" applyBorder="1" applyAlignment="1">
      <alignment horizontal="center" vertical="center"/>
    </xf>
    <xf numFmtId="42" fontId="1" fillId="0" borderId="27" xfId="8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2" fontId="1" fillId="0" borderId="2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42" fontId="1" fillId="0" borderId="29" xfId="8" applyFont="1" applyFill="1" applyBorder="1"/>
    <xf numFmtId="1" fontId="36" fillId="0" borderId="28" xfId="0" applyNumberFormat="1" applyFont="1" applyBorder="1" applyAlignment="1">
      <alignment horizontal="center" vertical="center"/>
    </xf>
    <xf numFmtId="166" fontId="36" fillId="0" borderId="36" xfId="0" applyNumberFormat="1" applyFont="1" applyBorder="1" applyAlignment="1">
      <alignment horizontal="center" vertical="center"/>
    </xf>
    <xf numFmtId="42" fontId="1" fillId="0" borderId="36" xfId="8" applyFont="1" applyFill="1" applyBorder="1" applyAlignment="1">
      <alignment horizontal="center" vertical="center"/>
    </xf>
    <xf numFmtId="0" fontId="0" fillId="16" borderId="0" xfId="0" applyFill="1"/>
    <xf numFmtId="166" fontId="37" fillId="0" borderId="36" xfId="0" applyNumberFormat="1" applyFont="1" applyBorder="1" applyAlignment="1">
      <alignment horizontal="center" vertical="center"/>
    </xf>
    <xf numFmtId="1" fontId="36" fillId="0" borderId="0" xfId="0" applyNumberFormat="1" applyFont="1" applyAlignment="1">
      <alignment horizontal="center" vertical="center"/>
    </xf>
    <xf numFmtId="166" fontId="37" fillId="0" borderId="0" xfId="0" applyNumberFormat="1" applyFont="1" applyAlignment="1">
      <alignment horizontal="center" vertical="center"/>
    </xf>
    <xf numFmtId="166" fontId="36" fillId="0" borderId="0" xfId="0" applyNumberFormat="1" applyFont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166" fontId="37" fillId="0" borderId="1" xfId="0" applyNumberFormat="1" applyFont="1" applyBorder="1" applyAlignment="1">
      <alignment horizontal="center" vertical="center"/>
    </xf>
    <xf numFmtId="166" fontId="36" fillId="0" borderId="1" xfId="0" applyNumberFormat="1" applyFont="1" applyBorder="1" applyAlignment="1">
      <alignment horizontal="center" vertical="center"/>
    </xf>
    <xf numFmtId="166" fontId="36" fillId="0" borderId="57" xfId="0" applyNumberFormat="1" applyFont="1" applyBorder="1" applyAlignment="1">
      <alignment horizontal="center" vertical="center"/>
    </xf>
    <xf numFmtId="42" fontId="1" fillId="0" borderId="1" xfId="8" applyFont="1" applyFill="1" applyBorder="1" applyAlignment="1">
      <alignment horizontal="center" vertical="center"/>
    </xf>
    <xf numFmtId="0" fontId="17" fillId="19" borderId="37" xfId="0" applyFont="1" applyFill="1" applyBorder="1" applyAlignment="1">
      <alignment horizontal="left"/>
    </xf>
    <xf numFmtId="0" fontId="17" fillId="19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0" borderId="48" xfId="0" applyFont="1" applyFill="1" applyBorder="1" applyAlignment="1">
      <alignment horizontal="center"/>
    </xf>
    <xf numFmtId="0" fontId="7" fillId="10" borderId="51" xfId="0" applyFont="1" applyFill="1" applyBorder="1" applyAlignment="1">
      <alignment horizontal="center"/>
    </xf>
    <xf numFmtId="0" fontId="7" fillId="10" borderId="52" xfId="0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/>
    </xf>
    <xf numFmtId="0" fontId="7" fillId="15" borderId="9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38</xdr:row>
      <xdr:rowOff>28575</xdr:rowOff>
    </xdr:from>
    <xdr:to>
      <xdr:col>10</xdr:col>
      <xdr:colOff>234240</xdr:colOff>
      <xdr:row>41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62925" y="71532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8</xdr:col>
      <xdr:colOff>222885</xdr:colOff>
      <xdr:row>40</xdr:row>
      <xdr:rowOff>154305</xdr:rowOff>
    </xdr:from>
    <xdr:to>
      <xdr:col>9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37</xdr:row>
      <xdr:rowOff>209550</xdr:rowOff>
    </xdr:from>
    <xdr:to>
      <xdr:col>7</xdr:col>
      <xdr:colOff>1733550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00050" y="5905500"/>
          <a:ext cx="67818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22861</xdr:colOff>
      <xdr:row>30</xdr:row>
      <xdr:rowOff>240030</xdr:rowOff>
    </xdr:from>
    <xdr:to>
      <xdr:col>7</xdr:col>
      <xdr:colOff>1792605</xdr:colOff>
      <xdr:row>35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3386" y="5574030"/>
          <a:ext cx="6417944" cy="94107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 CUBIERTAS SE ENTREGAN</a:t>
          </a:r>
          <a:r>
            <a:rPr lang="es-CL" sz="1400" b="1" baseline="0"/>
            <a:t> CORTADAS A LA MEDIDA , CLIENTE APORTA LAMINADO</a:t>
          </a:r>
        </a:p>
        <a:p>
          <a:pPr algn="l"/>
          <a:r>
            <a:rPr lang="es-CL" sz="14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591"/>
  <sheetViews>
    <sheetView tabSelected="1" topLeftCell="A14" zoomScaleNormal="100" workbookViewId="0">
      <selection activeCell="J13" sqref="J13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1.109375" customWidth="1"/>
    <col min="5" max="7" width="10.5546875" customWidth="1"/>
    <col min="8" max="8" width="34.44140625" customWidth="1"/>
    <col min="9" max="9" width="14" customWidth="1"/>
    <col min="10" max="10" width="15.44140625" customWidth="1"/>
    <col min="11" max="11" width="13.44140625" customWidth="1"/>
    <col min="13" max="13" width="9.5546875" style="17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8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H2" s="236" t="s">
        <v>144</v>
      </c>
      <c r="R2" s="1"/>
      <c r="S2" s="1"/>
      <c r="T2" s="2"/>
      <c r="U2" s="2"/>
      <c r="V2" s="1"/>
      <c r="W2" s="1"/>
      <c r="X2" s="2"/>
      <c r="Y2" s="3"/>
    </row>
    <row r="3" spans="2:25" x14ac:dyDescent="0.3">
      <c r="H3" s="55" t="s">
        <v>140</v>
      </c>
      <c r="R3" s="1"/>
      <c r="S3" s="1"/>
      <c r="T3" s="2"/>
      <c r="U3" s="2"/>
      <c r="V3" s="1"/>
      <c r="W3" s="1"/>
      <c r="X3" s="2"/>
      <c r="Y3" s="3"/>
    </row>
    <row r="4" spans="2:25" x14ac:dyDescent="0.3">
      <c r="H4" s="55" t="s">
        <v>145</v>
      </c>
      <c r="R4" s="1"/>
      <c r="S4" s="1"/>
      <c r="T4" s="2"/>
      <c r="U4" s="2"/>
      <c r="V4" s="1"/>
      <c r="W4" s="1"/>
      <c r="X4" s="2"/>
      <c r="Y4" s="3"/>
    </row>
    <row r="5" spans="2:25" x14ac:dyDescent="0.3">
      <c r="H5" s="55" t="s">
        <v>14</v>
      </c>
      <c r="R5" s="1"/>
      <c r="S5" s="1"/>
      <c r="T5" s="2"/>
      <c r="U5" s="2"/>
      <c r="V5" s="1"/>
      <c r="W5" s="1"/>
      <c r="X5" s="2"/>
      <c r="Y5" s="3"/>
    </row>
    <row r="6" spans="2:25" ht="15.6" x14ac:dyDescent="0.3">
      <c r="H6" s="55" t="s">
        <v>15</v>
      </c>
      <c r="P6" s="30" t="s">
        <v>20</v>
      </c>
      <c r="R6" s="1"/>
      <c r="S6" s="1"/>
      <c r="T6" s="2"/>
      <c r="U6" s="2"/>
      <c r="V6" s="1"/>
      <c r="W6" s="1"/>
      <c r="X6" s="2"/>
    </row>
    <row r="7" spans="2:25" ht="15" thickBot="1" x14ac:dyDescent="0.35">
      <c r="H7" s="55" t="s">
        <v>126</v>
      </c>
      <c r="R7" s="1"/>
      <c r="S7" s="1"/>
      <c r="T7" s="2"/>
      <c r="U7" s="2"/>
      <c r="V7" s="1"/>
      <c r="W7" s="1"/>
      <c r="X7" s="2"/>
    </row>
    <row r="8" spans="2:25" ht="21.6" thickBot="1" x14ac:dyDescent="0.45">
      <c r="B8" s="274" t="s">
        <v>128</v>
      </c>
      <c r="C8" s="275"/>
      <c r="D8" s="276">
        <v>10544</v>
      </c>
      <c r="H8" s="55"/>
      <c r="L8" s="300"/>
      <c r="S8" s="1"/>
      <c r="T8" s="2"/>
      <c r="U8" s="2"/>
      <c r="V8" s="1"/>
      <c r="W8" s="1"/>
      <c r="X8" s="2"/>
    </row>
    <row r="9" spans="2:25" ht="15" thickBot="1" x14ac:dyDescent="0.35">
      <c r="L9" s="71"/>
      <c r="S9" s="1"/>
      <c r="T9" s="2"/>
      <c r="U9" s="2"/>
      <c r="V9" s="3"/>
      <c r="W9" s="1"/>
      <c r="X9" s="2"/>
    </row>
    <row r="10" spans="2:25" x14ac:dyDescent="0.3">
      <c r="B10" s="308" t="s">
        <v>2</v>
      </c>
      <c r="C10" s="293" t="s">
        <v>160</v>
      </c>
      <c r="D10" s="293"/>
      <c r="E10" s="293"/>
      <c r="F10" s="293"/>
      <c r="G10" s="293"/>
      <c r="H10" s="294" t="s">
        <v>0</v>
      </c>
      <c r="I10" s="295">
        <v>45310</v>
      </c>
      <c r="J10" s="296"/>
      <c r="S10" s="1"/>
      <c r="T10" s="2"/>
      <c r="U10" s="2"/>
      <c r="V10" s="3"/>
      <c r="W10" s="1"/>
      <c r="X10" s="2"/>
    </row>
    <row r="11" spans="2:25" ht="15.6" x14ac:dyDescent="0.3">
      <c r="B11" s="309" t="s">
        <v>12</v>
      </c>
      <c r="C11" s="301"/>
      <c r="D11" s="289"/>
      <c r="E11" s="289"/>
      <c r="F11" s="289"/>
      <c r="G11" s="289"/>
      <c r="H11" s="287" t="s">
        <v>125</v>
      </c>
      <c r="I11" s="288">
        <v>45317</v>
      </c>
      <c r="J11" s="297"/>
      <c r="N11">
        <v>225990</v>
      </c>
      <c r="R11" s="18"/>
      <c r="S11" s="23" t="s">
        <v>19</v>
      </c>
      <c r="T11" s="18"/>
    </row>
    <row r="12" spans="2:25" x14ac:dyDescent="0.3">
      <c r="B12" s="310" t="s">
        <v>147</v>
      </c>
      <c r="C12" s="302"/>
      <c r="D12" s="302"/>
      <c r="E12" s="302"/>
      <c r="F12" s="302"/>
      <c r="G12" s="302"/>
      <c r="H12" s="281" t="s">
        <v>129</v>
      </c>
      <c r="I12" s="282" t="s">
        <v>169</v>
      </c>
      <c r="J12" s="298"/>
      <c r="N12" s="332"/>
      <c r="R12" s="18"/>
      <c r="S12" s="23"/>
      <c r="T12" s="18"/>
    </row>
    <row r="13" spans="2:25" x14ac:dyDescent="0.3">
      <c r="B13" s="309" t="s">
        <v>148</v>
      </c>
      <c r="C13" s="289"/>
      <c r="D13" s="289"/>
      <c r="E13" s="289"/>
      <c r="F13" s="289"/>
      <c r="G13" s="289"/>
      <c r="H13" s="287"/>
      <c r="I13" s="290"/>
      <c r="J13" s="297"/>
      <c r="R13" s="18"/>
      <c r="S13" s="23"/>
      <c r="T13" s="18"/>
    </row>
    <row r="14" spans="2:25" x14ac:dyDescent="0.3">
      <c r="B14" s="310" t="s">
        <v>141</v>
      </c>
      <c r="C14" s="315"/>
      <c r="D14" s="302"/>
      <c r="E14" s="302"/>
      <c r="F14" s="302"/>
      <c r="G14" s="302"/>
      <c r="H14" s="283" t="s">
        <v>138</v>
      </c>
      <c r="I14" s="284" t="s">
        <v>169</v>
      </c>
      <c r="J14" s="298"/>
      <c r="R14" s="19"/>
      <c r="S14" s="24" t="s">
        <v>18</v>
      </c>
      <c r="T14" s="19"/>
    </row>
    <row r="15" spans="2:25" ht="15.6" x14ac:dyDescent="0.3">
      <c r="B15" s="309" t="s">
        <v>4</v>
      </c>
      <c r="C15" s="291" t="s">
        <v>161</v>
      </c>
      <c r="D15" s="306"/>
      <c r="E15" s="289"/>
      <c r="F15" s="289"/>
      <c r="G15" s="289"/>
      <c r="H15" s="287" t="s">
        <v>136</v>
      </c>
      <c r="I15" s="292" t="s">
        <v>137</v>
      </c>
      <c r="J15" s="297"/>
      <c r="L15" s="134"/>
      <c r="M15"/>
    </row>
    <row r="16" spans="2:25" x14ac:dyDescent="0.3">
      <c r="B16" s="299" t="s">
        <v>3</v>
      </c>
      <c r="C16" s="307"/>
      <c r="D16" s="302"/>
      <c r="E16" s="302"/>
      <c r="F16" s="302"/>
      <c r="G16" s="302"/>
      <c r="H16" s="285" t="s">
        <v>131</v>
      </c>
      <c r="I16" s="286" t="s">
        <v>168</v>
      </c>
      <c r="J16" s="298"/>
    </row>
    <row r="17" spans="2:26" ht="16.2" thickBot="1" x14ac:dyDescent="0.35">
      <c r="B17" s="311" t="s">
        <v>13</v>
      </c>
      <c r="C17" s="303" t="s">
        <v>156</v>
      </c>
      <c r="D17" s="304"/>
      <c r="E17" s="305"/>
      <c r="F17" s="305"/>
      <c r="G17" s="305"/>
      <c r="H17" s="342" t="s">
        <v>159</v>
      </c>
      <c r="I17" s="342"/>
      <c r="J17" s="343"/>
      <c r="K17" s="251"/>
      <c r="L17">
        <v>142784</v>
      </c>
      <c r="U17" s="5"/>
      <c r="V17" s="5"/>
    </row>
    <row r="18" spans="2:26" ht="15.75" customHeight="1" thickBot="1" x14ac:dyDescent="0.35">
      <c r="B18" s="272"/>
      <c r="J18" s="273"/>
      <c r="K18" s="44"/>
      <c r="L18" s="4">
        <v>85767</v>
      </c>
      <c r="W18" s="8"/>
      <c r="Y18" s="5"/>
      <c r="Z18" s="5"/>
    </row>
    <row r="19" spans="2:26" ht="20.100000000000001" customHeight="1" x14ac:dyDescent="0.3">
      <c r="B19" s="344" t="s">
        <v>149</v>
      </c>
      <c r="C19" s="345"/>
      <c r="D19" s="345"/>
      <c r="E19" s="345"/>
      <c r="F19" s="345"/>
      <c r="G19" s="345"/>
      <c r="H19" s="345"/>
      <c r="I19" s="345"/>
      <c r="J19" s="346"/>
      <c r="K19" s="252"/>
      <c r="L19" s="4"/>
      <c r="M19" s="238"/>
      <c r="N19" s="13">
        <v>0.05</v>
      </c>
      <c r="O19" s="13"/>
      <c r="P19" s="13"/>
      <c r="Q19" s="239" t="s">
        <v>6</v>
      </c>
      <c r="R19" s="33" t="s">
        <v>21</v>
      </c>
      <c r="S19" s="34" t="s">
        <v>135</v>
      </c>
      <c r="T19" s="9" t="s">
        <v>139</v>
      </c>
      <c r="V19" s="8"/>
      <c r="W19" s="8"/>
      <c r="Y19" s="5"/>
      <c r="Z19" s="5"/>
    </row>
    <row r="20" spans="2:26" ht="20.100000000000001" customHeight="1" thickBot="1" x14ac:dyDescent="0.35">
      <c r="B20" s="312" t="s">
        <v>7</v>
      </c>
      <c r="C20" s="313" t="s">
        <v>1</v>
      </c>
      <c r="D20" s="313" t="s">
        <v>10</v>
      </c>
      <c r="E20" s="313" t="s">
        <v>11</v>
      </c>
      <c r="F20" s="313" t="s">
        <v>164</v>
      </c>
      <c r="G20" s="313" t="s">
        <v>165</v>
      </c>
      <c r="H20" s="313" t="s">
        <v>8</v>
      </c>
      <c r="I20" s="313" t="s">
        <v>5</v>
      </c>
      <c r="J20" s="314" t="s">
        <v>6</v>
      </c>
      <c r="K20" s="253"/>
      <c r="L20" s="44"/>
      <c r="M20" s="256" t="str">
        <f>B20</f>
        <v>UNIDAD</v>
      </c>
      <c r="N20" s="255" t="s">
        <v>133</v>
      </c>
      <c r="O20" s="36" t="str">
        <f t="shared" ref="O20" si="0">E20</f>
        <v>ANCHO</v>
      </c>
      <c r="P20" s="249" t="s">
        <v>134</v>
      </c>
      <c r="Q20" s="247" t="s">
        <v>17</v>
      </c>
      <c r="R20" s="240">
        <f>P48</f>
        <v>103887.97667115297</v>
      </c>
      <c r="S20" s="246">
        <v>5000</v>
      </c>
      <c r="T20" s="35"/>
      <c r="U20" s="13" t="s">
        <v>130</v>
      </c>
      <c r="V20" s="8"/>
      <c r="Y20" s="3"/>
    </row>
    <row r="21" spans="2:26" ht="20.100000000000001" customHeight="1" thickBot="1" x14ac:dyDescent="0.35">
      <c r="B21" s="329">
        <v>1</v>
      </c>
      <c r="C21" s="333" t="s">
        <v>163</v>
      </c>
      <c r="D21" s="330">
        <v>1.81</v>
      </c>
      <c r="E21" s="330">
        <v>0.4</v>
      </c>
      <c r="F21" s="330">
        <v>0.2</v>
      </c>
      <c r="G21" s="330">
        <v>0.15</v>
      </c>
      <c r="H21" s="330" t="s">
        <v>162</v>
      </c>
      <c r="I21" s="331">
        <v>150334</v>
      </c>
      <c r="J21" s="324">
        <f>I21*B21</f>
        <v>150334</v>
      </c>
      <c r="K21" s="253"/>
      <c r="L21" s="44"/>
      <c r="M21" s="44">
        <f t="shared" ref="M21" si="1">B21</f>
        <v>1</v>
      </c>
      <c r="N21" s="36">
        <f t="shared" ref="N21" si="2">D21+N$19</f>
        <v>1.86</v>
      </c>
      <c r="O21" s="36">
        <f>E21+F21+G21</f>
        <v>0.75000000000000011</v>
      </c>
      <c r="P21" s="249">
        <f t="shared" ref="P21" si="3">N21*O21</f>
        <v>1.3950000000000002</v>
      </c>
      <c r="Q21" s="247">
        <f t="shared" ref="Q21" si="4">P21*M21</f>
        <v>1.3950000000000002</v>
      </c>
      <c r="R21" s="240">
        <f t="shared" ref="R21" si="5">R$20*P21</f>
        <v>144923.72745625841</v>
      </c>
      <c r="S21" s="246">
        <f t="shared" ref="S21" si="6">R21+S$20</f>
        <v>149923.72745625841</v>
      </c>
      <c r="T21" s="278">
        <f t="shared" ref="T21" si="7">M21*N21</f>
        <v>1.86</v>
      </c>
      <c r="U21" s="13"/>
      <c r="V21" s="8"/>
      <c r="Y21" s="3"/>
    </row>
    <row r="22" spans="2:26" ht="20.100000000000001" customHeight="1" thickBot="1" x14ac:dyDescent="0.35">
      <c r="B22" s="329">
        <v>1</v>
      </c>
      <c r="C22" s="333" t="s">
        <v>163</v>
      </c>
      <c r="D22" s="330">
        <v>1.77</v>
      </c>
      <c r="E22" s="330">
        <v>0.4</v>
      </c>
      <c r="F22" s="330">
        <v>0.2</v>
      </c>
      <c r="G22" s="330">
        <v>0.15</v>
      </c>
      <c r="H22" s="330" t="s">
        <v>162</v>
      </c>
      <c r="I22" s="331">
        <v>147208</v>
      </c>
      <c r="J22" s="324">
        <f t="shared" ref="J22:J29" si="8">I22*B22</f>
        <v>147208</v>
      </c>
      <c r="K22" s="253"/>
      <c r="L22" s="44"/>
      <c r="M22" s="44">
        <f t="shared" ref="M22:M29" si="9">B22</f>
        <v>1</v>
      </c>
      <c r="N22" s="36">
        <f t="shared" ref="N22:N28" si="10">D22+N$19</f>
        <v>1.82</v>
      </c>
      <c r="O22" s="36">
        <f t="shared" ref="O22:O28" si="11">E22+F22+G22</f>
        <v>0.75000000000000011</v>
      </c>
      <c r="P22" s="249">
        <f t="shared" ref="P22:P28" si="12">N22*O22</f>
        <v>1.3650000000000002</v>
      </c>
      <c r="Q22" s="247">
        <f t="shared" ref="Q22:Q28" si="13">P22*M22</f>
        <v>1.3650000000000002</v>
      </c>
      <c r="R22" s="240">
        <f t="shared" ref="R22:R28" si="14">R$20*P22</f>
        <v>141807.08815612382</v>
      </c>
      <c r="S22" s="246">
        <f t="shared" ref="S22:S28" si="15">R22+S$20</f>
        <v>146807.08815612382</v>
      </c>
      <c r="T22" s="278">
        <f t="shared" ref="T22:T28" si="16">M22*N22</f>
        <v>1.82</v>
      </c>
      <c r="U22" s="13"/>
      <c r="V22" s="8"/>
      <c r="Y22" s="3"/>
    </row>
    <row r="23" spans="2:26" ht="20.100000000000001" customHeight="1" thickBot="1" x14ac:dyDescent="0.35">
      <c r="B23" s="329">
        <v>1</v>
      </c>
      <c r="C23" s="333" t="s">
        <v>163</v>
      </c>
      <c r="D23" s="330">
        <v>0.83499999999999996</v>
      </c>
      <c r="E23" s="330">
        <v>0.4</v>
      </c>
      <c r="F23" s="330">
        <v>0.2</v>
      </c>
      <c r="G23" s="330">
        <v>0.15</v>
      </c>
      <c r="H23" s="330" t="s">
        <v>162</v>
      </c>
      <c r="I23" s="331">
        <v>74151</v>
      </c>
      <c r="J23" s="324">
        <f t="shared" si="8"/>
        <v>74151</v>
      </c>
      <c r="K23" s="253"/>
      <c r="L23" s="44"/>
      <c r="M23" s="44">
        <f t="shared" si="9"/>
        <v>1</v>
      </c>
      <c r="N23" s="36">
        <f t="shared" si="10"/>
        <v>0.88500000000000001</v>
      </c>
      <c r="O23" s="36">
        <f t="shared" si="11"/>
        <v>0.75000000000000011</v>
      </c>
      <c r="P23" s="249">
        <f t="shared" si="12"/>
        <v>0.66375000000000006</v>
      </c>
      <c r="Q23" s="247">
        <f t="shared" si="13"/>
        <v>0.66375000000000006</v>
      </c>
      <c r="R23" s="240">
        <f t="shared" si="14"/>
        <v>68955.64451547779</v>
      </c>
      <c r="S23" s="246">
        <f t="shared" si="15"/>
        <v>73955.64451547779</v>
      </c>
      <c r="T23" s="278">
        <f t="shared" si="16"/>
        <v>0.88500000000000001</v>
      </c>
      <c r="U23" s="13"/>
      <c r="V23" s="8"/>
      <c r="Y23" s="3"/>
    </row>
    <row r="24" spans="2:26" ht="20.100000000000001" customHeight="1" thickBot="1" x14ac:dyDescent="0.35">
      <c r="B24" s="329">
        <v>2</v>
      </c>
      <c r="C24" s="333" t="s">
        <v>163</v>
      </c>
      <c r="D24" s="330">
        <v>1.57</v>
      </c>
      <c r="E24" s="330">
        <v>0.4</v>
      </c>
      <c r="F24" s="330">
        <v>0.2</v>
      </c>
      <c r="G24" s="330">
        <v>0.15</v>
      </c>
      <c r="H24" s="330" t="s">
        <v>162</v>
      </c>
      <c r="I24" s="331">
        <v>131581</v>
      </c>
      <c r="J24" s="324">
        <f t="shared" si="8"/>
        <v>263162</v>
      </c>
      <c r="K24" s="253"/>
      <c r="L24" s="44"/>
      <c r="M24" s="44">
        <f t="shared" si="9"/>
        <v>2</v>
      </c>
      <c r="N24" s="36">
        <f t="shared" si="10"/>
        <v>1.62</v>
      </c>
      <c r="O24" s="36">
        <f t="shared" si="11"/>
        <v>0.75000000000000011</v>
      </c>
      <c r="P24" s="249">
        <f t="shared" si="12"/>
        <v>1.2150000000000003</v>
      </c>
      <c r="Q24" s="247">
        <f t="shared" si="13"/>
        <v>2.4300000000000006</v>
      </c>
      <c r="R24" s="240">
        <f t="shared" si="14"/>
        <v>126223.89165545089</v>
      </c>
      <c r="S24" s="246">
        <f t="shared" si="15"/>
        <v>131223.89165545089</v>
      </c>
      <c r="T24" s="278">
        <f t="shared" si="16"/>
        <v>3.24</v>
      </c>
      <c r="U24" s="13"/>
      <c r="V24" s="8"/>
      <c r="Y24" s="3"/>
    </row>
    <row r="25" spans="2:26" ht="20.100000000000001" customHeight="1" thickBot="1" x14ac:dyDescent="0.35">
      <c r="B25" s="329">
        <v>1</v>
      </c>
      <c r="C25" s="333" t="s">
        <v>163</v>
      </c>
      <c r="D25" s="330">
        <v>1</v>
      </c>
      <c r="E25" s="330">
        <v>0.4</v>
      </c>
      <c r="F25" s="330">
        <v>0.2</v>
      </c>
      <c r="G25" s="330">
        <v>0.15</v>
      </c>
      <c r="H25" s="330" t="s">
        <v>162</v>
      </c>
      <c r="I25" s="331">
        <v>87043</v>
      </c>
      <c r="J25" s="324">
        <f t="shared" si="8"/>
        <v>87043</v>
      </c>
      <c r="K25" s="253"/>
      <c r="L25" s="44"/>
      <c r="M25" s="44">
        <f t="shared" si="9"/>
        <v>1</v>
      </c>
      <c r="N25" s="36">
        <f t="shared" si="10"/>
        <v>1.05</v>
      </c>
      <c r="O25" s="36">
        <f t="shared" si="11"/>
        <v>0.75000000000000011</v>
      </c>
      <c r="P25" s="249">
        <f t="shared" si="12"/>
        <v>0.7875000000000002</v>
      </c>
      <c r="Q25" s="247">
        <f t="shared" si="13"/>
        <v>0.7875000000000002</v>
      </c>
      <c r="R25" s="240">
        <f t="shared" si="14"/>
        <v>81811.781628532975</v>
      </c>
      <c r="S25" s="246">
        <f t="shared" si="15"/>
        <v>86811.781628532975</v>
      </c>
      <c r="T25" s="278">
        <f t="shared" si="16"/>
        <v>1.05</v>
      </c>
      <c r="U25" s="13"/>
      <c r="V25" s="8"/>
      <c r="Y25" s="3"/>
    </row>
    <row r="26" spans="2:26" ht="20.100000000000001" customHeight="1" thickBot="1" x14ac:dyDescent="0.35">
      <c r="B26" s="329">
        <v>2</v>
      </c>
      <c r="C26" s="333" t="s">
        <v>163</v>
      </c>
      <c r="D26" s="330">
        <v>1.57</v>
      </c>
      <c r="E26" s="330">
        <v>0.4</v>
      </c>
      <c r="F26" s="330">
        <v>0.2</v>
      </c>
      <c r="G26" s="330">
        <v>0.15</v>
      </c>
      <c r="H26" s="330" t="s">
        <v>162</v>
      </c>
      <c r="I26" s="331">
        <v>131581</v>
      </c>
      <c r="J26" s="324">
        <f t="shared" si="8"/>
        <v>263162</v>
      </c>
      <c r="K26" s="253"/>
      <c r="L26" s="44"/>
      <c r="M26" s="44">
        <f t="shared" si="9"/>
        <v>2</v>
      </c>
      <c r="N26" s="36">
        <f t="shared" si="10"/>
        <v>1.62</v>
      </c>
      <c r="O26" s="36">
        <f t="shared" si="11"/>
        <v>0.75000000000000011</v>
      </c>
      <c r="P26" s="249">
        <f t="shared" si="12"/>
        <v>1.2150000000000003</v>
      </c>
      <c r="Q26" s="247">
        <f t="shared" si="13"/>
        <v>2.4300000000000006</v>
      </c>
      <c r="R26" s="240">
        <f t="shared" si="14"/>
        <v>126223.89165545089</v>
      </c>
      <c r="S26" s="246">
        <f t="shared" si="15"/>
        <v>131223.89165545089</v>
      </c>
      <c r="T26" s="278">
        <f t="shared" si="16"/>
        <v>3.24</v>
      </c>
      <c r="U26" s="13"/>
      <c r="V26" s="8"/>
      <c r="Y26" s="3"/>
    </row>
    <row r="27" spans="2:26" ht="20.100000000000001" customHeight="1" thickBot="1" x14ac:dyDescent="0.35">
      <c r="B27" s="329">
        <v>2</v>
      </c>
      <c r="C27" s="333" t="s">
        <v>163</v>
      </c>
      <c r="D27" s="330">
        <v>1.57</v>
      </c>
      <c r="E27" s="330">
        <v>0.4</v>
      </c>
      <c r="F27" s="330">
        <v>0.2</v>
      </c>
      <c r="G27" s="330">
        <v>0.15</v>
      </c>
      <c r="H27" s="330" t="s">
        <v>162</v>
      </c>
      <c r="I27" s="331">
        <v>131581</v>
      </c>
      <c r="J27" s="324">
        <f t="shared" si="8"/>
        <v>263162</v>
      </c>
      <c r="K27" s="253"/>
      <c r="L27" s="44"/>
      <c r="M27" s="44">
        <f t="shared" si="9"/>
        <v>2</v>
      </c>
      <c r="N27" s="36">
        <f t="shared" si="10"/>
        <v>1.62</v>
      </c>
      <c r="O27" s="36">
        <f t="shared" si="11"/>
        <v>0.75000000000000011</v>
      </c>
      <c r="P27" s="249">
        <f t="shared" si="12"/>
        <v>1.2150000000000003</v>
      </c>
      <c r="Q27" s="247">
        <f t="shared" si="13"/>
        <v>2.4300000000000006</v>
      </c>
      <c r="R27" s="240">
        <f t="shared" si="14"/>
        <v>126223.89165545089</v>
      </c>
      <c r="S27" s="246">
        <f t="shared" si="15"/>
        <v>131223.89165545089</v>
      </c>
      <c r="T27" s="278">
        <f t="shared" si="16"/>
        <v>3.24</v>
      </c>
      <c r="U27" s="13"/>
      <c r="V27" s="8"/>
      <c r="Y27" s="3"/>
    </row>
    <row r="28" spans="2:26" ht="20.100000000000001" customHeight="1" x14ac:dyDescent="0.3">
      <c r="B28" s="329">
        <v>2</v>
      </c>
      <c r="C28" s="333" t="s">
        <v>163</v>
      </c>
      <c r="D28" s="330">
        <v>1.57</v>
      </c>
      <c r="E28" s="330">
        <v>0.4</v>
      </c>
      <c r="F28" s="330">
        <v>0.2</v>
      </c>
      <c r="G28" s="330">
        <v>0.15</v>
      </c>
      <c r="H28" s="330" t="s">
        <v>162</v>
      </c>
      <c r="I28" s="331">
        <v>131581</v>
      </c>
      <c r="J28" s="324">
        <f t="shared" si="8"/>
        <v>263162</v>
      </c>
      <c r="K28" s="253"/>
      <c r="L28" s="44"/>
      <c r="M28" s="44">
        <f t="shared" si="9"/>
        <v>2</v>
      </c>
      <c r="N28" s="36">
        <f t="shared" si="10"/>
        <v>1.62</v>
      </c>
      <c r="O28" s="36">
        <f t="shared" si="11"/>
        <v>0.75000000000000011</v>
      </c>
      <c r="P28" s="249">
        <f t="shared" si="12"/>
        <v>1.2150000000000003</v>
      </c>
      <c r="Q28" s="247">
        <f t="shared" si="13"/>
        <v>2.4300000000000006</v>
      </c>
      <c r="R28" s="240">
        <f t="shared" si="14"/>
        <v>126223.89165545089</v>
      </c>
      <c r="S28" s="246">
        <f t="shared" si="15"/>
        <v>131223.89165545089</v>
      </c>
      <c r="T28" s="278">
        <f t="shared" si="16"/>
        <v>3.24</v>
      </c>
      <c r="U28" s="13"/>
      <c r="V28" s="8"/>
      <c r="Y28" s="3"/>
    </row>
    <row r="29" spans="2:26" ht="20.100000000000001" customHeight="1" x14ac:dyDescent="0.3">
      <c r="B29" s="337">
        <v>12</v>
      </c>
      <c r="C29" s="338" t="s">
        <v>166</v>
      </c>
      <c r="D29" s="339"/>
      <c r="E29" s="339"/>
      <c r="F29" s="339"/>
      <c r="G29" s="339"/>
      <c r="H29" s="340"/>
      <c r="I29" s="341">
        <v>10000</v>
      </c>
      <c r="J29" s="341">
        <f t="shared" si="8"/>
        <v>120000</v>
      </c>
      <c r="K29" s="253"/>
      <c r="L29" s="44"/>
      <c r="M29" s="44">
        <f t="shared" si="9"/>
        <v>12</v>
      </c>
      <c r="N29" s="36"/>
      <c r="O29" s="36"/>
      <c r="P29" s="249"/>
      <c r="Q29" s="247"/>
      <c r="R29" s="240"/>
      <c r="S29" s="246"/>
      <c r="T29" s="278"/>
      <c r="U29" s="13"/>
      <c r="V29" s="8"/>
      <c r="Y29" s="3"/>
    </row>
    <row r="30" spans="2:26" ht="20.100000000000001" customHeight="1" x14ac:dyDescent="0.3">
      <c r="B30" s="334"/>
      <c r="C30" s="335"/>
      <c r="D30" s="336"/>
      <c r="E30" s="336"/>
      <c r="F30" s="336"/>
      <c r="G30" s="336"/>
      <c r="H30" s="336" t="s">
        <v>129</v>
      </c>
      <c r="I30" s="341" t="s">
        <v>167</v>
      </c>
      <c r="J30" s="341">
        <v>75569</v>
      </c>
      <c r="K30" s="253"/>
      <c r="L30" s="44">
        <f>J32*5%</f>
        <v>85347.650000000009</v>
      </c>
      <c r="M30" s="44"/>
      <c r="N30" s="36"/>
      <c r="O30" s="36"/>
      <c r="P30" s="249"/>
      <c r="Q30" s="247"/>
      <c r="R30" s="240"/>
      <c r="S30" s="246"/>
      <c r="T30" s="278"/>
      <c r="U30" s="13"/>
      <c r="V30" s="8"/>
      <c r="Y30" s="3"/>
    </row>
    <row r="31" spans="2:26" ht="20.100000000000001" customHeight="1" thickBot="1" x14ac:dyDescent="0.35">
      <c r="B31" s="321"/>
      <c r="C31" s="271"/>
      <c r="D31" s="271"/>
      <c r="E31" s="271"/>
      <c r="F31" s="271"/>
      <c r="G31" s="271"/>
      <c r="H31" s="271"/>
      <c r="I31" s="322"/>
      <c r="J31" s="322"/>
      <c r="K31" s="253"/>
      <c r="L31" s="44"/>
      <c r="M31" s="44"/>
      <c r="N31" s="36"/>
      <c r="O31" s="36"/>
      <c r="P31" s="249"/>
      <c r="Q31" s="247"/>
      <c r="R31" s="240"/>
      <c r="S31" s="246"/>
      <c r="T31" s="278"/>
      <c r="U31" s="13"/>
      <c r="V31" s="8"/>
      <c r="Y31" s="3"/>
    </row>
    <row r="32" spans="2:26" ht="20.100000000000001" customHeight="1" x14ac:dyDescent="0.3">
      <c r="B32" s="321"/>
      <c r="C32" s="271"/>
      <c r="D32" s="271"/>
      <c r="E32" s="271"/>
      <c r="F32" s="271"/>
      <c r="G32" s="271"/>
      <c r="H32" s="271"/>
      <c r="I32" s="323" t="s">
        <v>30</v>
      </c>
      <c r="J32" s="324">
        <f>SUM(J21:J31)</f>
        <v>1706953</v>
      </c>
      <c r="K32" s="253"/>
      <c r="L32" s="44"/>
      <c r="M32" s="44"/>
      <c r="N32" s="36"/>
      <c r="O32" s="36"/>
      <c r="P32" s="249"/>
      <c r="Q32" s="247"/>
      <c r="R32" s="240"/>
      <c r="S32" s="246"/>
      <c r="T32" s="278"/>
      <c r="U32" s="13"/>
      <c r="V32" s="8"/>
      <c r="Y32" s="3"/>
    </row>
    <row r="33" spans="2:25" ht="18" x14ac:dyDescent="0.3">
      <c r="B33" s="270"/>
      <c r="C33" s="270"/>
      <c r="D33" s="271"/>
      <c r="E33" s="271"/>
      <c r="F33" s="271"/>
      <c r="G33" s="271"/>
      <c r="H33" s="270"/>
      <c r="I33" s="325" t="s">
        <v>158</v>
      </c>
      <c r="J33" s="326">
        <f>J32*19%</f>
        <v>324321.07</v>
      </c>
      <c r="K33" s="227"/>
      <c r="L33" s="44"/>
      <c r="M33" s="44"/>
      <c r="N33" s="43"/>
      <c r="O33" s="36"/>
      <c r="P33" s="249"/>
      <c r="Q33" s="247"/>
      <c r="R33" s="240"/>
      <c r="S33" s="246"/>
      <c r="T33" s="278"/>
      <c r="U33" s="13"/>
      <c r="V33" s="8"/>
      <c r="Y33" s="3"/>
    </row>
    <row r="34" spans="2:25" ht="18" customHeight="1" thickBot="1" x14ac:dyDescent="0.4">
      <c r="B34" s="270"/>
      <c r="C34" s="270"/>
      <c r="D34" s="271"/>
      <c r="E34" s="271"/>
      <c r="F34" s="271"/>
      <c r="G34" s="271"/>
      <c r="H34" s="270"/>
      <c r="I34" s="327" t="s">
        <v>6</v>
      </c>
      <c r="J34" s="328">
        <f>J32+J33</f>
        <v>2031274.07</v>
      </c>
      <c r="K34" s="253"/>
      <c r="L34" s="44"/>
      <c r="M34" s="44"/>
      <c r="N34" s="258" t="e">
        <f>N21+#REF!</f>
        <v>#REF!</v>
      </c>
      <c r="O34" s="36"/>
      <c r="P34" s="249"/>
      <c r="Q34" s="247"/>
      <c r="R34" s="240"/>
      <c r="S34" s="246"/>
      <c r="T34" s="278"/>
      <c r="U34" s="13"/>
      <c r="V34" s="8"/>
      <c r="Y34" s="3"/>
    </row>
    <row r="35" spans="2:25" ht="18" customHeight="1" x14ac:dyDescent="0.3">
      <c r="B35" s="265"/>
      <c r="C35" s="267"/>
      <c r="D35" s="268"/>
      <c r="E35" s="268"/>
      <c r="F35" s="268"/>
      <c r="G35" s="268"/>
      <c r="H35" s="269"/>
      <c r="I35" s="317"/>
      <c r="J35" s="316"/>
      <c r="K35" s="253"/>
      <c r="L35" s="44">
        <v>103577</v>
      </c>
      <c r="M35" s="44"/>
      <c r="N35" s="36"/>
      <c r="O35" s="11"/>
      <c r="P35" s="11"/>
      <c r="Q35" s="241">
        <f>SUM(Q21:Q33)</f>
        <v>13.931250000000002</v>
      </c>
      <c r="R35" s="13"/>
      <c r="S35" s="11"/>
      <c r="T35" s="233"/>
      <c r="U35" s="13"/>
      <c r="V35" s="8"/>
      <c r="Y35" s="3"/>
    </row>
    <row r="36" spans="2:25" ht="18" customHeight="1" x14ac:dyDescent="0.3">
      <c r="B36" s="264"/>
      <c r="C36" s="266"/>
      <c r="D36" s="260"/>
      <c r="E36" s="260"/>
      <c r="F36" s="260"/>
      <c r="G36" s="260"/>
      <c r="H36" s="261"/>
      <c r="I36" s="300"/>
      <c r="J36" s="316"/>
      <c r="K36" s="253"/>
      <c r="L36" s="44"/>
      <c r="M36" s="44"/>
      <c r="N36" s="36"/>
      <c r="O36" s="11"/>
      <c r="P36" s="11"/>
      <c r="Q36" s="241">
        <f>Q35</f>
        <v>13.931250000000002</v>
      </c>
      <c r="R36" s="13"/>
      <c r="S36" s="11"/>
      <c r="T36" s="233">
        <f>SUM(T21:T35)</f>
        <v>18.575000000000003</v>
      </c>
      <c r="U36" s="13"/>
      <c r="V36" s="8"/>
      <c r="Y36" s="3"/>
    </row>
    <row r="37" spans="2:25" ht="17.399999999999999" x14ac:dyDescent="0.3">
      <c r="B37" s="264"/>
      <c r="C37" s="259"/>
      <c r="D37" s="260"/>
      <c r="E37" s="260"/>
      <c r="F37" s="260"/>
      <c r="G37" s="260"/>
      <c r="H37" s="261"/>
      <c r="K37" s="253"/>
      <c r="L37" s="44"/>
      <c r="M37" s="44"/>
      <c r="N37" s="13"/>
      <c r="O37" s="11"/>
      <c r="P37" s="11"/>
      <c r="Q37" s="36">
        <f>Q36*20%</f>
        <v>2.7862500000000008</v>
      </c>
      <c r="R37" s="36" t="s">
        <v>132</v>
      </c>
      <c r="S37" s="39"/>
      <c r="T37" s="234"/>
      <c r="U37" s="13"/>
      <c r="V37" s="8"/>
      <c r="Y37" s="3"/>
    </row>
    <row r="38" spans="2:25" ht="17.399999999999999" x14ac:dyDescent="0.3">
      <c r="B38" s="259"/>
      <c r="C38" s="259"/>
      <c r="D38" s="260"/>
      <c r="E38" s="260"/>
      <c r="F38" s="260"/>
      <c r="G38" s="260"/>
      <c r="H38" s="261"/>
      <c r="I38" s="262"/>
      <c r="J38" s="263"/>
      <c r="K38" s="253"/>
      <c r="L38" s="280"/>
      <c r="M38" s="44"/>
      <c r="N38" s="13"/>
      <c r="O38" s="11"/>
      <c r="P38" s="11"/>
      <c r="Q38" s="43">
        <f>Q36+Q37</f>
        <v>16.717500000000001</v>
      </c>
      <c r="R38" s="13"/>
      <c r="S38" s="13"/>
      <c r="T38" s="232">
        <v>40</v>
      </c>
      <c r="U38" s="13"/>
      <c r="V38" s="8"/>
      <c r="Y38" s="3"/>
    </row>
    <row r="39" spans="2:25" ht="17.399999999999999" x14ac:dyDescent="0.35">
      <c r="B39" s="257"/>
      <c r="C39" s="225"/>
      <c r="D39" s="225"/>
      <c r="E39" s="227"/>
      <c r="F39" s="227"/>
      <c r="G39" s="227"/>
      <c r="H39" s="228"/>
      <c r="I39" s="225"/>
      <c r="J39" s="263"/>
      <c r="K39" s="253"/>
      <c r="L39" s="280"/>
      <c r="M39" s="44"/>
      <c r="N39" s="13"/>
      <c r="O39" s="13"/>
      <c r="P39" s="13"/>
      <c r="Q39" s="13"/>
      <c r="R39" s="13"/>
      <c r="S39" s="13"/>
      <c r="T39" s="232"/>
      <c r="U39" s="13"/>
      <c r="V39" s="8"/>
      <c r="Y39" s="3"/>
    </row>
    <row r="40" spans="2:25" ht="17.399999999999999" x14ac:dyDescent="0.35">
      <c r="B40" s="229"/>
      <c r="C40" s="230"/>
      <c r="D40" s="231"/>
      <c r="E40" s="229"/>
      <c r="F40" s="229"/>
      <c r="G40" s="229"/>
      <c r="H40" s="225"/>
      <c r="I40" s="225"/>
      <c r="K40" s="253"/>
      <c r="L40" s="44"/>
      <c r="M40" s="44"/>
      <c r="N40" s="36">
        <f>Q38*1</f>
        <v>16.717500000000001</v>
      </c>
      <c r="O40" s="11">
        <v>3500</v>
      </c>
      <c r="P40" s="11">
        <f t="shared" ref="P40:P45" si="17">N40*O40</f>
        <v>58511.250000000007</v>
      </c>
      <c r="Q40" s="13" t="s">
        <v>22</v>
      </c>
      <c r="R40" s="13" t="s">
        <v>23</v>
      </c>
      <c r="S40" s="13"/>
      <c r="T40" s="235"/>
      <c r="U40" s="13"/>
      <c r="V40" s="8"/>
      <c r="Y40" s="3" t="s">
        <v>155</v>
      </c>
    </row>
    <row r="41" spans="2:25" ht="17.399999999999999" x14ac:dyDescent="0.35">
      <c r="B41" s="225"/>
      <c r="C41" s="225"/>
      <c r="D41" s="225"/>
      <c r="E41" s="225"/>
      <c r="F41" s="225"/>
      <c r="G41" s="225"/>
      <c r="H41" s="225"/>
      <c r="I41" s="225"/>
      <c r="K41" s="253"/>
      <c r="L41" s="44"/>
      <c r="M41" s="44"/>
      <c r="N41" s="237">
        <v>5</v>
      </c>
      <c r="O41" s="11">
        <v>27000</v>
      </c>
      <c r="P41" s="11">
        <f>N41*O41</f>
        <v>135000</v>
      </c>
      <c r="Q41" s="36" t="s">
        <v>154</v>
      </c>
      <c r="R41" s="39"/>
      <c r="S41" s="13"/>
      <c r="T41" s="234"/>
      <c r="U41" s="13"/>
      <c r="V41" s="8"/>
      <c r="Y41" s="3"/>
    </row>
    <row r="42" spans="2:25" s="225" customFormat="1" ht="17.399999999999999" x14ac:dyDescent="0.35">
      <c r="K42" s="250"/>
      <c r="L42" s="44"/>
      <c r="M42" s="238"/>
      <c r="N42" s="13"/>
      <c r="O42" s="238">
        <v>50000</v>
      </c>
      <c r="P42" s="11">
        <f t="shared" si="17"/>
        <v>0</v>
      </c>
      <c r="Q42" s="36" t="s">
        <v>32</v>
      </c>
      <c r="R42" s="39"/>
      <c r="T42" s="234"/>
      <c r="U42" s="244"/>
      <c r="W42" s="225">
        <v>33390</v>
      </c>
      <c r="X42" s="226"/>
    </row>
    <row r="43" spans="2:25" s="225" customFormat="1" ht="18" x14ac:dyDescent="0.35">
      <c r="B43" s="318" t="s">
        <v>157</v>
      </c>
      <c r="C43" s="319"/>
      <c r="D43" s="319"/>
      <c r="E43" s="319"/>
      <c r="F43" s="319"/>
      <c r="G43" s="319"/>
      <c r="H43" s="319"/>
      <c r="K43" s="250"/>
      <c r="L43" s="279"/>
      <c r="M43" s="238"/>
      <c r="N43" s="13">
        <v>10</v>
      </c>
      <c r="O43" s="238">
        <v>22000</v>
      </c>
      <c r="P43" s="11">
        <f t="shared" si="17"/>
        <v>220000</v>
      </c>
      <c r="Q43" s="13" t="s">
        <v>143</v>
      </c>
      <c r="R43" s="16"/>
      <c r="T43" s="232"/>
      <c r="U43" s="244"/>
      <c r="W43" s="225">
        <f>W42/1.19</f>
        <v>28058.823529411766</v>
      </c>
      <c r="X43" s="226"/>
    </row>
    <row r="44" spans="2:25" s="225" customFormat="1" ht="18" x14ac:dyDescent="0.35">
      <c r="B44" s="318" t="s">
        <v>146</v>
      </c>
      <c r="C44" s="319"/>
      <c r="D44" s="319"/>
      <c r="E44" s="319"/>
      <c r="F44" s="319"/>
      <c r="G44" s="319"/>
      <c r="H44" s="319"/>
      <c r="K44" s="250"/>
      <c r="L44" s="279"/>
      <c r="M44" s="238"/>
      <c r="N44" s="237"/>
      <c r="O44" s="238">
        <v>800</v>
      </c>
      <c r="P44" s="11"/>
      <c r="Q44" s="13" t="s">
        <v>153</v>
      </c>
      <c r="R44" s="13"/>
      <c r="S44" s="225">
        <v>1.52</v>
      </c>
      <c r="T44" s="232"/>
      <c r="U44" s="232"/>
    </row>
    <row r="45" spans="2:25" s="225" customFormat="1" ht="18" x14ac:dyDescent="0.35">
      <c r="B45" s="319" t="s">
        <v>127</v>
      </c>
      <c r="C45" s="319"/>
      <c r="D45" s="319"/>
      <c r="E45" s="319"/>
      <c r="F45" s="319"/>
      <c r="G45" s="319"/>
      <c r="H45" s="320" t="s">
        <v>16</v>
      </c>
      <c r="K45" s="277"/>
      <c r="L45" s="44"/>
      <c r="M45" s="238"/>
      <c r="N45" s="254"/>
      <c r="O45" s="11">
        <v>1500</v>
      </c>
      <c r="P45" s="11">
        <f t="shared" si="17"/>
        <v>0</v>
      </c>
      <c r="Q45" s="13" t="s">
        <v>24</v>
      </c>
      <c r="R45" s="13"/>
      <c r="S45">
        <v>2.44</v>
      </c>
      <c r="T45"/>
      <c r="U45" s="232">
        <v>1500</v>
      </c>
      <c r="Y45" s="226"/>
    </row>
    <row r="46" spans="2:25" s="225" customFormat="1" ht="17.399999999999999" x14ac:dyDescent="0.35">
      <c r="L46" s="44"/>
      <c r="M46" s="238"/>
      <c r="N46" s="43"/>
      <c r="O46" s="11"/>
      <c r="P46" s="11">
        <f>SUM(P40:P45)</f>
        <v>413511.25</v>
      </c>
      <c r="Q46" s="36" t="s">
        <v>25</v>
      </c>
      <c r="R46" s="13"/>
      <c r="S46">
        <f>S44*S45</f>
        <v>3.7088000000000001</v>
      </c>
      <c r="T46"/>
      <c r="U46" s="232">
        <f>T38*U45</f>
        <v>60000</v>
      </c>
      <c r="Y46" s="226"/>
    </row>
    <row r="47" spans="2:25" s="225" customFormat="1" ht="17.399999999999999" x14ac:dyDescent="0.35">
      <c r="L47" s="44"/>
      <c r="M47" s="238"/>
      <c r="N47" s="242" t="s">
        <v>35</v>
      </c>
      <c r="O47" s="11"/>
      <c r="P47" s="243">
        <f>P46*3.5</f>
        <v>1447289.375</v>
      </c>
      <c r="Q47" s="13" t="s">
        <v>142</v>
      </c>
      <c r="R47" s="13"/>
      <c r="S47" s="43">
        <f>Q36/S46</f>
        <v>3.756268874029336</v>
      </c>
      <c r="T47"/>
      <c r="U47" s="245" t="e">
        <f>U46/#REF!</f>
        <v>#REF!</v>
      </c>
    </row>
    <row r="48" spans="2:25" s="225" customFormat="1" ht="17.399999999999999" x14ac:dyDescent="0.35">
      <c r="I48"/>
      <c r="J48" s="248"/>
      <c r="K48" s="248"/>
      <c r="L48" s="44"/>
      <c r="M48" s="238"/>
      <c r="N48" s="13"/>
      <c r="O48" s="11"/>
      <c r="P48" s="11">
        <f>P47/Q36</f>
        <v>103887.97667115297</v>
      </c>
      <c r="Q48" s="42" t="s">
        <v>26</v>
      </c>
      <c r="R48" s="13"/>
      <c r="S48" s="13"/>
      <c r="T48"/>
      <c r="U48" s="232"/>
      <c r="X48" s="225">
        <v>2300</v>
      </c>
    </row>
    <row r="49" spans="2:21" s="225" customFormat="1" ht="17.399999999999999" x14ac:dyDescent="0.35">
      <c r="I49"/>
      <c r="L49" s="44">
        <v>39110</v>
      </c>
      <c r="M49" s="238"/>
      <c r="N49" s="12"/>
      <c r="O49" s="13"/>
      <c r="P49" s="16">
        <f>P47/P46</f>
        <v>3.5</v>
      </c>
      <c r="Q49" s="14"/>
      <c r="R49"/>
      <c r="S49"/>
      <c r="T49"/>
      <c r="U49" s="232"/>
    </row>
    <row r="50" spans="2:21" s="225" customFormat="1" ht="17.399999999999999" x14ac:dyDescent="0.35">
      <c r="I50" s="22"/>
      <c r="L50" s="44">
        <f>L49/1.19</f>
        <v>32865.546218487398</v>
      </c>
      <c r="M50" s="11"/>
      <c r="U50" s="232"/>
    </row>
    <row r="51" spans="2:21" s="225" customFormat="1" ht="17.399999999999999" x14ac:dyDescent="0.35">
      <c r="B51"/>
      <c r="C51" s="224"/>
      <c r="D51" s="21"/>
      <c r="E51" s="21"/>
      <c r="F51" s="21"/>
      <c r="G51" s="21"/>
      <c r="H51" s="20"/>
      <c r="I51" s="22"/>
      <c r="L51" s="44"/>
      <c r="M51" s="11"/>
      <c r="U51" s="232">
        <v>1.83</v>
      </c>
    </row>
    <row r="52" spans="2:21" ht="14.4" customHeight="1" x14ac:dyDescent="0.3">
      <c r="L52" s="44"/>
      <c r="M52" s="11"/>
      <c r="U52">
        <v>2.5</v>
      </c>
    </row>
    <row r="53" spans="2:21" x14ac:dyDescent="0.3">
      <c r="L53" s="44"/>
      <c r="M53" s="238"/>
      <c r="U53">
        <f>U51*U52</f>
        <v>4.5750000000000002</v>
      </c>
    </row>
    <row r="54" spans="2:21" x14ac:dyDescent="0.3">
      <c r="M54" s="238"/>
      <c r="U54" s="258">
        <f>Q38/U53</f>
        <v>3.654098360655738</v>
      </c>
    </row>
    <row r="55" spans="2:21" x14ac:dyDescent="0.3">
      <c r="M55" s="238"/>
    </row>
    <row r="56" spans="2:21" ht="15" customHeight="1" x14ac:dyDescent="0.3"/>
    <row r="58" spans="2:21" x14ac:dyDescent="0.3">
      <c r="P58">
        <v>40935</v>
      </c>
      <c r="Q58" t="s">
        <v>17</v>
      </c>
      <c r="R58" t="s">
        <v>28</v>
      </c>
    </row>
    <row r="60" spans="2:21" x14ac:dyDescent="0.3">
      <c r="P60" s="50"/>
      <c r="Q60" s="50"/>
    </row>
    <row r="61" spans="2:21" x14ac:dyDescent="0.3">
      <c r="T61" s="17"/>
      <c r="U61" s="17"/>
    </row>
    <row r="62" spans="2:21" x14ac:dyDescent="0.3">
      <c r="T62" s="17"/>
      <c r="U62" s="17"/>
    </row>
    <row r="63" spans="2:21" x14ac:dyDescent="0.3">
      <c r="T63" s="17"/>
      <c r="U63" s="17"/>
    </row>
    <row r="64" spans="2:21" x14ac:dyDescent="0.3">
      <c r="T64" s="17"/>
      <c r="U64" s="17"/>
    </row>
    <row r="65" spans="16:21" x14ac:dyDescent="0.3">
      <c r="T65" s="17"/>
      <c r="U65" s="17"/>
    </row>
    <row r="66" spans="16:21" x14ac:dyDescent="0.3">
      <c r="T66" s="17"/>
      <c r="U66" s="17"/>
    </row>
    <row r="67" spans="16:21" x14ac:dyDescent="0.3">
      <c r="T67" s="17"/>
      <c r="U67" s="17"/>
    </row>
    <row r="68" spans="16:21" x14ac:dyDescent="0.3">
      <c r="T68" s="17"/>
      <c r="U68" s="17"/>
    </row>
    <row r="69" spans="16:21" x14ac:dyDescent="0.3">
      <c r="T69" s="17"/>
      <c r="U69" s="17"/>
    </row>
    <row r="72" spans="16:21" x14ac:dyDescent="0.3">
      <c r="P72" s="40"/>
    </row>
    <row r="73" spans="16:21" x14ac:dyDescent="0.3">
      <c r="P73" s="40"/>
    </row>
    <row r="74" spans="16:21" x14ac:dyDescent="0.3">
      <c r="P74" s="5"/>
    </row>
    <row r="75" spans="16:21" x14ac:dyDescent="0.3">
      <c r="P75" s="5"/>
    </row>
    <row r="83" spans="3:3" x14ac:dyDescent="0.3">
      <c r="C83" t="s">
        <v>150</v>
      </c>
    </row>
    <row r="84" spans="3:3" x14ac:dyDescent="0.3">
      <c r="C84" t="s">
        <v>149</v>
      </c>
    </row>
    <row r="87" spans="3:3" x14ac:dyDescent="0.3">
      <c r="C87" t="s">
        <v>149</v>
      </c>
    </row>
    <row r="164" spans="3:3" x14ac:dyDescent="0.3">
      <c r="C164" t="s">
        <v>149</v>
      </c>
    </row>
    <row r="165" spans="3:3" x14ac:dyDescent="0.3">
      <c r="C165" t="s">
        <v>151</v>
      </c>
    </row>
    <row r="166" spans="3:3" x14ac:dyDescent="0.3">
      <c r="C166" t="s">
        <v>152</v>
      </c>
    </row>
    <row r="591" spans="3:3" x14ac:dyDescent="0.3">
      <c r="C591" t="s">
        <v>149</v>
      </c>
    </row>
  </sheetData>
  <mergeCells count="2">
    <mergeCell ref="H17:J17"/>
    <mergeCell ref="B19:J19"/>
  </mergeCells>
  <phoneticPr fontId="31" type="noConversion"/>
  <hyperlinks>
    <hyperlink ref="H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'2229'!I10</f>
        <v>45310</v>
      </c>
    </row>
    <row r="6" spans="2:31" ht="16.2" thickBot="1" x14ac:dyDescent="0.35">
      <c r="B6" s="136" t="s">
        <v>2</v>
      </c>
      <c r="C6" s="135" t="str">
        <f>'2229'!C10</f>
        <v>JOSE MIGUEL RIOCA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48" t="s">
        <v>100</v>
      </c>
      <c r="I7" s="349"/>
      <c r="J7" s="349"/>
      <c r="K7" s="350"/>
      <c r="N7" s="71"/>
      <c r="O7" s="347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>
        <f>'2229'!D8</f>
        <v>10544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47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-277125.70961678744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'2229'!J34</f>
        <v>2031274.07</v>
      </c>
      <c r="E11" s="128">
        <f>D11*0.19</f>
        <v>385942.07329999999</v>
      </c>
      <c r="F11" s="127">
        <f>E11+D11</f>
        <v>2417216.1433000001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-171135.70961678744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223345.34078743961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-189135.70961678744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1807928.7292125605</v>
      </c>
      <c r="E13" s="217">
        <f>(D11/D12)-1</f>
        <v>8.0947680521940573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-198135.70961678744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-237135.70961678744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368519.81229927531</v>
      </c>
      <c r="F15" s="212">
        <f>E15-D12</f>
        <v>145174.4715118357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-237135.70961678744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-197135.70961678744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'2229'!P42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'2229'!P41</f>
        <v>135000</v>
      </c>
      <c r="E19" s="119">
        <f>D19*0.19</f>
        <v>25650</v>
      </c>
      <c r="F19" s="116">
        <f>SUM(D19:E19)</f>
        <v>160650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'2229'!P40</f>
        <v>58511.250000000007</v>
      </c>
      <c r="E20" s="117">
        <f>D20*0.19</f>
        <v>11117.137500000001</v>
      </c>
      <c r="F20" s="116">
        <f>SUM(D20:E20)</f>
        <v>69628.387500000012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193511.25</v>
      </c>
      <c r="E21" s="112">
        <f>SUM(E18:E20)</f>
        <v>36767.137499999997</v>
      </c>
      <c r="F21" s="111">
        <f>SUM(F18:F20)</f>
        <v>230278.38750000001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349174.93579999998</v>
      </c>
    </row>
    <row r="41" spans="2:16" ht="15" thickBot="1" x14ac:dyDescent="0.35">
      <c r="H41" s="351" t="s">
        <v>62</v>
      </c>
      <c r="I41" s="352"/>
      <c r="J41" s="352"/>
      <c r="K41" s="352"/>
      <c r="L41" s="352"/>
      <c r="M41" s="353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2031274.07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193511.25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1807928.7292125605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1807928.7292125605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2024-01-19T19:43:12Z</cp:lastPrinted>
  <dcterms:created xsi:type="dcterms:W3CDTF">2013-03-18T13:35:42Z</dcterms:created>
  <dcterms:modified xsi:type="dcterms:W3CDTF">2024-01-22T01:54:27Z</dcterms:modified>
</cp:coreProperties>
</file>