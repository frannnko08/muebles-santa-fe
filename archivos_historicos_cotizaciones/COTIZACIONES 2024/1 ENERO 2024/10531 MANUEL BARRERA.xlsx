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F34F623B-A402-43D0-898B-B79EC1F2F9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8" i="1" l="1"/>
  <c r="H23" i="1"/>
  <c r="O26" i="1"/>
  <c r="K23" i="1"/>
  <c r="L23" i="1"/>
  <c r="M23" i="1"/>
  <c r="N23" i="1"/>
  <c r="O23" i="1" s="1"/>
  <c r="M22" i="1"/>
  <c r="L22" i="1"/>
  <c r="K22" i="1"/>
  <c r="H22" i="1"/>
  <c r="N22" i="1" l="1"/>
  <c r="O22" i="1" s="1"/>
  <c r="H21" i="1"/>
  <c r="K21" i="1"/>
  <c r="J40" i="1"/>
  <c r="L21" i="1"/>
  <c r="L25" i="1" s="1"/>
  <c r="M21" i="1"/>
  <c r="N21" i="1" l="1"/>
  <c r="O21" i="1" s="1"/>
  <c r="R27" i="1"/>
  <c r="U33" i="1"/>
  <c r="U34" i="1" s="1"/>
  <c r="N32" i="1" l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2" i="1" l="1"/>
  <c r="Q22" i="1" s="1"/>
  <c r="P23" i="1"/>
  <c r="Q23" i="1" s="1"/>
  <c r="P21" i="1"/>
  <c r="F15" i="3"/>
  <c r="Q21" i="1" l="1"/>
  <c r="H25" i="1" l="1"/>
  <c r="H26" i="1" s="1"/>
  <c r="D11" i="3" l="1"/>
  <c r="X9" i="3" s="1"/>
  <c r="X15" i="3" s="1"/>
  <c r="H27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<sst xmlns="http://schemas.openxmlformats.org/spreadsheetml/2006/main" count="233" uniqueCount="174">
  <si>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</si>
  <si>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</si>
  <si>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</si>
  <si>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</si>
  <si>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</si>
  <si>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</si>
  <si>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</si>
  <si>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</si>
  <si>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</si>
  <si>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</si>
  <si>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</si>
  <si>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</si>
  <si>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</si>
  <si>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</si>
  <si>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</si>
  <si>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</si>
  <si>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</si>
  <si>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</si>
  <si>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</si>
  <si>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</si>
  <si>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</si>
  <si>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</si>
  <si>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</si>
  <si>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</si>
  <si>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</si>
  <si>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</si>
  <si>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</si>
  <si>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</si>
  <si>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</si>
  <si>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</si>
  <si>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</si>
  <si>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</si>
  <si>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</si>
  <si>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</si>
  <si>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</si>
  <si>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</si>
  <si>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</si>
  <si>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</si>
  <si>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</si>
  <si>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</si>
  <si>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</si>
  <si>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</si>
  <si>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</si>
  <si>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</si>
  <si>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</si>
  <si>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</si>
  <si>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</si>
  <si>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</si>
  <si>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</si>
  <si>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</si>
  <si>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</si>
  <si>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</si>
  <si>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</si>
  <si>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</si>
  <si>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</si>
  <si>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</si>
  <si>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</si>
  <si>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</si>
  <si>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</si>
  <si>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</si>
  <si>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</si>
  <si>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</si>
  <si>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</si>
  <si>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</si>
  <si>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</si>
  <si>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</si>
  <si>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</si>
  <si>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</si>
  <si>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</si>
  <si>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</si>
  <si>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</si>
  <si>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</si>
  <si>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</si>
  <si>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</si>
  <si>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</si>
  <si>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</si>
  <si>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</si>
  <si>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</si>
  <si>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</si>
  <si>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</si>
  <si>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</si>
  <si>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</si>
  <si>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</si>
  <si>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</si>
  <si>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</si>
  <si>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</si>
  <si>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</si>
  <si>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</si>
  <si>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</si>
  <si>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</si>
  <si>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</si>
  <si>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</si>
  <si>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</si>
  <si>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</si>
  <si>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</si>
  <si>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</si>
  <si>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</si>
  <si>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</si>
  <si>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</si>
  <si>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</si>
  <si>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</si>
  <si>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</si>
  <si>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</si>
  <si>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</si>
  <si>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</si>
  <si>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</si>
  <si>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</si>
  <si>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</si>
  <si>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</si>
  <si>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</si>
  <si>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</si>
  <si>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</si>
  <si>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</si>
  <si>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</si>
  <si>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</si>
  <si>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</si>
  <si>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</si>
  <si>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</si>
  <si>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</si>
  <si>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</si>
  <si>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</si>
  <si>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</si>
  <si>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</si>
  <si>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</si>
  <si>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</si>
  <si>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</si>
  <si>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</si>
  <si>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</si>
  <si>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</si>
  <si>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</si>
  <si>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</si>
  <si>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</si>
  <si>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</si>
  <si>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</si>
  <si>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</si>
  <si>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</si>
  <si>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</si>
  <si>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</si>
  <si>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</si>
  <si>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</si>
  <si>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</si>
  <si>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</si>
  <si>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</si>
  <si>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</si>
  <si>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</si>
  <si>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</si>
  <si>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</si>
  <si>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</si>
  <si>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</si>
  <si>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</si>
  <si>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</si>
  <si>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</si>
  <si>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</si>
  <si>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</si>
  <si>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</si>
  <si>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</si>
  <si>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</si>
  <si>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</si>
  <si>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</si>
  <si>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</si>
  <si>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</si>
  <si>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</si>
  <si>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</si>
  <si>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</si>
  <si>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</si>
  <si>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</si>
  <si>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5 DIAS HABILES</t>
  </si>
  <si>
    <t>DURACION COTIZACION: 5 DIAS                            FERNANDO DONOSO</t>
  </si>
  <si>
    <t>SANTIAGO</t>
  </si>
  <si>
    <t>+569 8706 3966</t>
  </si>
  <si>
    <t>CUBIERTA RECTA CON REGRUESO POR SUS 4 LADOS</t>
  </si>
  <si>
    <t xml:space="preserve">DIVISION ENCHAPE RECTO 2 CARAS </t>
  </si>
  <si>
    <t>BLANCO OPACO</t>
  </si>
  <si>
    <t>MANUEL BARRERA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</si>
</sst>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1626870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0050" y="5153025"/>
          <a:ext cx="6036945" cy="82867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</a:t>
          </a:r>
          <a:r>
            <a:rPr lang="es-CL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</a:t>
          </a:r>
          <a:r>
            <a:rPr lang="es-CL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CUBIERTAS SE ENTREGAN CORTADAS A LA MEDIDA Y ENCHAPAS POR SUS CUATRO CANTO CON TAPACANTO DE PVC 0,4MM COLOR BLANCO.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15MM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zoomScale="93" zoomScaleNormal="93" workbookViewId="0">
      <selection activeCell="A24" sqref="A24"/>
    </sheetView>
  </sheetViews>
  <sheetFormatPr baseColWidth="10" defaultRowHeight="14.4" x14ac:dyDescent="0.3"/>
  <cols>
    <col min="1" max="1" width="6" customWidth="1"/>
    <col min="2" max="2" width="10.5546875" customWidth="1"/>
    <col min="3" max="3" width="54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10531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20" t="s">
        <v>163</v>
      </c>
      <c r="C10" s="279" t="s">
        <v>173</v>
      </c>
      <c r="D10" s="243"/>
      <c r="E10" s="243"/>
      <c r="F10" s="244" t="s">
        <v>0</v>
      </c>
      <c r="G10" s="277">
        <v>45301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3"/>
      <c r="F11" t="s">
        <v>124</v>
      </c>
      <c r="G11" s="289" t="s">
        <v>166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3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0" t="s">
        <v>169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3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168</v>
      </c>
      <c r="D17" s="299"/>
      <c r="E17" s="300"/>
      <c r="F17" s="332" t="s">
        <v>167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41934.478114478123</v>
      </c>
      <c r="Q20" s="258">
        <v>10000</v>
      </c>
      <c r="R20" s="38"/>
      <c r="S20" s="14" t="s">
        <v>129</v>
      </c>
      <c r="T20" s="9"/>
      <c r="W20" s="4"/>
    </row>
    <row r="21" spans="2:24" ht="18" thickBot="1" x14ac:dyDescent="0.35">
      <c r="B21" s="324">
        <v>6</v>
      </c>
      <c r="C21" s="325" t="s">
        <v>170</v>
      </c>
      <c r="D21" s="326">
        <v>1.6</v>
      </c>
      <c r="E21" s="326">
        <v>1.2</v>
      </c>
      <c r="F21" s="325" t="s">
        <v>172</v>
      </c>
      <c r="G21" s="327">
        <v>93030</v>
      </c>
      <c r="H21" s="328">
        <f>G21*B21</f>
        <v>558180</v>
      </c>
      <c r="I21" s="265"/>
      <c r="J21" s="47"/>
      <c r="K21" s="47">
        <f>B21</f>
        <v>6</v>
      </c>
      <c r="L21" s="39">
        <f t="shared" ref="L21" si="1">D21+L$19</f>
        <v>1.6500000000000001</v>
      </c>
      <c r="M21" s="39">
        <f t="shared" ref="M21" si="2">E21+M$19</f>
        <v>1.2</v>
      </c>
      <c r="N21" s="261">
        <f t="shared" ref="N21" si="3">L21*M21</f>
        <v>1.98</v>
      </c>
      <c r="O21" s="259">
        <f t="shared" ref="O21" si="4">N21*K21</f>
        <v>11.879999999999999</v>
      </c>
      <c r="P21" s="252">
        <f t="shared" ref="P21" si="5">P$20*N21</f>
        <v>83030.266666666677</v>
      </c>
      <c r="Q21" s="258">
        <f t="shared" ref="Q21" si="6">P21+Q$20</f>
        <v>93030.266666666677</v>
      </c>
      <c r="R21" s="309"/>
      <c r="S21" s="14"/>
      <c r="T21" s="9"/>
      <c r="W21" s="4"/>
    </row>
    <row r="22" spans="2:24" ht="18" thickBot="1" x14ac:dyDescent="0.35">
      <c r="B22" s="324">
        <v>3</v>
      </c>
      <c r="C22" s="325" t="s">
        <v>170</v>
      </c>
      <c r="D22" s="326">
        <v>1.6</v>
      </c>
      <c r="E22" s="326">
        <v>0.6</v>
      </c>
      <c r="F22" s="325" t="s">
        <v>172</v>
      </c>
      <c r="G22" s="327">
        <v>51515</v>
      </c>
      <c r="H22" s="328">
        <f>G22*B22</f>
        <v>154545</v>
      </c>
      <c r="I22" s="265"/>
      <c r="J22" s="47"/>
      <c r="K22" s="47">
        <f t="shared" ref="K22" si="7">B22</f>
        <v>3</v>
      </c>
      <c r="L22" s="39">
        <f t="shared" ref="L22" si="8">D22+L$19</f>
        <v>1.6500000000000001</v>
      </c>
      <c r="M22" s="39">
        <f t="shared" ref="M22" si="9">E22+M$19</f>
        <v>0.6</v>
      </c>
      <c r="N22" s="261">
        <f t="shared" ref="N22" si="10">L22*M22</f>
        <v>0.99</v>
      </c>
      <c r="O22" s="259">
        <f t="shared" ref="O22" si="11">N22*K22</f>
        <v>2.9699999999999998</v>
      </c>
      <c r="P22" s="252">
        <f t="shared" ref="P22" si="12">P$20*N22</f>
        <v>41515.133333333339</v>
      </c>
      <c r="Q22" s="258">
        <f t="shared" ref="Q22" si="13">P22+Q$20</f>
        <v>51515.133333333339</v>
      </c>
      <c r="R22" s="309"/>
      <c r="S22" s="14"/>
      <c r="T22" s="9"/>
      <c r="W22" s="4"/>
    </row>
    <row r="23" spans="2:24" ht="17.399999999999999" x14ac:dyDescent="0.3">
      <c r="B23" s="329">
        <v>6</v>
      </c>
      <c r="C23" s="329" t="s">
        <v>171</v>
      </c>
      <c r="D23" s="330">
        <v>1.6</v>
      </c>
      <c r="E23" s="330">
        <v>0.3</v>
      </c>
      <c r="F23" s="325" t="s">
        <v>172</v>
      </c>
      <c r="G23" s="331">
        <v>25758</v>
      </c>
      <c r="H23" s="328">
        <f>G23*B23</f>
        <v>154548</v>
      </c>
      <c r="I23" s="265"/>
      <c r="J23" s="47"/>
      <c r="K23" s="47">
        <f t="shared" ref="K23" si="14">B23</f>
        <v>6</v>
      </c>
      <c r="L23" s="39">
        <f t="shared" ref="L23" si="15">D23+L$19</f>
        <v>1.6500000000000001</v>
      </c>
      <c r="M23" s="39">
        <f t="shared" ref="M23" si="16">E23+M$19</f>
        <v>0.3</v>
      </c>
      <c r="N23" s="261">
        <f t="shared" ref="N23" si="17">L23*M23</f>
        <v>0.495</v>
      </c>
      <c r="O23" s="259">
        <f t="shared" ref="O23" si="18">N23*K23</f>
        <v>2.9699999999999998</v>
      </c>
      <c r="P23" s="252">
        <f t="shared" ref="P23" si="19">P$20*N23</f>
        <v>20757.566666666669</v>
      </c>
      <c r="Q23" s="258">
        <f t="shared" ref="Q23" si="20">P23+Q$20</f>
        <v>30757.566666666669</v>
      </c>
      <c r="R23" s="309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11" t="s">
        <v>29</v>
      </c>
      <c r="H25" s="312">
        <f>SUM(H21:H24)</f>
        <v>867273</v>
      </c>
      <c r="I25" s="265"/>
      <c r="J25" s="47"/>
      <c r="K25" s="47"/>
      <c r="L25" s="39">
        <f>SUM(L21:L24)</f>
        <v>4.95</v>
      </c>
      <c r="M25" s="39"/>
      <c r="N25" s="261"/>
      <c r="O25" s="259"/>
      <c r="P25" s="252"/>
      <c r="Q25" s="258"/>
      <c r="R25" s="309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8" t="s">
        <v>52</v>
      </c>
      <c r="H26" s="305">
        <f>H25*19%</f>
        <v>164781.87</v>
      </c>
      <c r="I26" s="265"/>
      <c r="J26" s="47"/>
      <c r="K26" s="47"/>
      <c r="L26" s="39"/>
      <c r="M26" s="12"/>
      <c r="N26" s="12"/>
      <c r="O26" s="253">
        <f>SUM(O21:O23)</f>
        <v>17.819999999999997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6">
        <f>H25+H26</f>
        <v>1032054.87</v>
      </c>
      <c r="I27" s="265"/>
      <c r="J27" s="47"/>
      <c r="K27" s="47"/>
      <c r="L27" s="39"/>
      <c r="M27" s="12"/>
      <c r="N27" s="12"/>
      <c r="O27" s="253">
        <f>O26</f>
        <v>17.819999999999997</v>
      </c>
      <c r="P27" s="14"/>
      <c r="Q27" s="12"/>
      <c r="R27" s="239">
        <f>SUM(R21:R26)</f>
        <v>0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3.5639999999999996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21.383999999999997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17" t="s">
        <v>22</v>
      </c>
      <c r="U30" s="314" t="s">
        <v>153</v>
      </c>
      <c r="V30" s="318">
        <v>44971</v>
      </c>
      <c r="W30" s="319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21.383999999999997</v>
      </c>
      <c r="M31" s="12">
        <v>3500</v>
      </c>
      <c r="N31" s="12">
        <f t="shared" ref="N31:N36" si="21">L31*M31</f>
        <v>74843.999999999985</v>
      </c>
      <c r="O31" s="14" t="s">
        <v>22</v>
      </c>
      <c r="P31" s="14"/>
      <c r="Q31" s="14"/>
      <c r="R31" s="241"/>
      <c r="S31" s="14"/>
      <c r="T31" s="317" t="s">
        <v>154</v>
      </c>
      <c r="U31" s="314">
        <v>3625</v>
      </c>
      <c r="V31" s="59" t="s">
        <v>155</v>
      </c>
      <c r="W31" s="319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6</v>
      </c>
      <c r="M32" s="12">
        <v>23500</v>
      </c>
      <c r="N32" s="12">
        <f t="shared" si="21"/>
        <v>141000</v>
      </c>
      <c r="O32" s="39" t="s">
        <v>32</v>
      </c>
      <c r="P32" s="42"/>
      <c r="Q32" s="14"/>
      <c r="R32" s="240"/>
      <c r="S32" s="14"/>
      <c r="T32" s="317"/>
      <c r="U32" s="59">
        <v>906.25</v>
      </c>
      <c r="V32" s="59" t="s">
        <v>156</v>
      </c>
      <c r="W32" s="319"/>
    </row>
    <row r="33" spans="2:23" s="230" customFormat="1" ht="17.399999999999999" x14ac:dyDescent="0.35">
      <c r="I33" s="262"/>
      <c r="J33" s="232"/>
      <c r="K33" s="250"/>
      <c r="L33" s="14">
        <v>4</v>
      </c>
      <c r="M33" s="250">
        <v>35000</v>
      </c>
      <c r="N33" s="12">
        <f t="shared" si="21"/>
        <v>140000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19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/>
      <c r="M34" s="250">
        <v>33500</v>
      </c>
      <c r="N34" s="12">
        <f t="shared" si="21"/>
        <v>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19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21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304"/>
      <c r="K36" s="250"/>
      <c r="L36" s="266"/>
      <c r="M36" s="12">
        <v>1500</v>
      </c>
      <c r="N36" s="12">
        <f t="shared" si="21"/>
        <v>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355844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N37*2.1</f>
        <v>747272.4</v>
      </c>
      <c r="O38" s="14" t="s">
        <v>141</v>
      </c>
      <c r="P38" s="14"/>
      <c r="Q38" s="40">
        <f>O29/Q37</f>
        <v>5.7657463330457279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48209</v>
      </c>
      <c r="K39" s="250"/>
      <c r="L39" s="14"/>
      <c r="M39" s="12"/>
      <c r="N39" s="12">
        <f>N38/O27</f>
        <v>41934.478114478123</v>
      </c>
      <c r="O39" s="45" t="s">
        <v>25</v>
      </c>
      <c r="P39" s="14"/>
      <c r="Q39" s="14"/>
      <c r="R39"/>
      <c r="S39" s="238"/>
      <c r="T39" s="59" t="s">
        <v>159</v>
      </c>
      <c r="U39" s="314">
        <v>43650</v>
      </c>
    </row>
    <row r="40" spans="2:23" s="230" customFormat="1" ht="17.399999999999999" x14ac:dyDescent="0.35">
      <c r="G40"/>
      <c r="H40" s="230" t="s">
        <v>165</v>
      </c>
      <c r="J40" s="230">
        <f>J39/1.19</f>
        <v>40511.764705882357</v>
      </c>
      <c r="K40" s="250"/>
      <c r="L40" s="13"/>
      <c r="M40" s="14"/>
      <c r="N40" s="17">
        <f>N38/N37</f>
        <v>2.1</v>
      </c>
      <c r="O40" s="15"/>
      <c r="P40"/>
      <c r="Q40"/>
      <c r="R40"/>
      <c r="S40" s="238"/>
      <c r="T40" s="59" t="s">
        <v>161</v>
      </c>
      <c r="U40" s="315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16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45301</v>
      </c>
    </row>
    <row r="6" spans="2:31" ht="16.2" thickBot="1" x14ac:dyDescent="0.35">
      <c r="B6" s="140" t="s">
        <v>2</v>
      </c>
      <c r="C6" s="139" t="str">
        <f>'2229'!C10</f>
        <v>MANUEL BARRERA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10531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-38484.02503345412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867273</v>
      </c>
      <c r="E11" s="132">
        <f>D11*0.19</f>
        <v>164781.87</v>
      </c>
      <c r="F11" s="131">
        <f>E11+D11</f>
        <v>1032054.87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67505.97496654588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385678.09078743961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49505.97496654588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481594.90921256039</v>
      </c>
      <c r="E13" s="221">
        <f>(D11/D12)-1</f>
        <v>1.2486965703166786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40505.97496654588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1505.9749665458803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636368.84979927528</v>
      </c>
      <c r="F15" s="216">
        <f>E15-D12</f>
        <v>250690.75901183567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1505.9749665458803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41505.97496654588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140000</v>
      </c>
      <c r="E18" s="123">
        <f>D18*0.19</f>
        <v>26600</v>
      </c>
      <c r="F18" s="120">
        <f>SUM(D18:E18)</f>
        <v>166600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141000</v>
      </c>
      <c r="E19" s="123">
        <f>D19*0.19</f>
        <v>26790</v>
      </c>
      <c r="F19" s="120">
        <f>SUM(D19:E19)</f>
        <v>167790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74843.999999999985</v>
      </c>
      <c r="E20" s="121">
        <f>D20*0.19</f>
        <v>14220.359999999997</v>
      </c>
      <c r="F20" s="120">
        <f>SUM(D20:E20)</f>
        <v>89064.359999999986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355844</v>
      </c>
      <c r="E21" s="116">
        <f>SUM(E18:E20)</f>
        <v>67610.36</v>
      </c>
      <c r="F21" s="115">
        <f>SUM(F18:F20)</f>
        <v>423454.36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97171.51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867273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355844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481594.90921256039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481594.90921256039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2024-01-10T15:35:44Z</cp:lastPrinted>
  <dcterms:created xsi:type="dcterms:W3CDTF">2013-03-18T13:35:42Z</dcterms:created>
  <dcterms:modified xsi:type="dcterms:W3CDTF">2024-01-10T18:55:27Z</dcterms:modified>
</cp:coreProperties>
</file>