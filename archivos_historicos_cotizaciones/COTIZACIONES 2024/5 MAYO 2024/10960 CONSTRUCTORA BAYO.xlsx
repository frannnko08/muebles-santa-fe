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4\"/>
    </mc:Choice>
  </mc:AlternateContent>
  <xr:revisionPtr revIDLastSave="0" documentId="13_ncr:1_{AD7B3A76-4922-4B55-9B48-F9F6DB6041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1" l="1"/>
  <c r="L22" i="1"/>
  <c r="M22" i="1"/>
  <c r="N22" i="1"/>
  <c r="O22" i="1"/>
  <c r="K22" i="1"/>
  <c r="R22" i="1" s="1"/>
  <c r="H22" i="1"/>
  <c r="H21" i="1"/>
  <c r="H25" i="1" s="1"/>
  <c r="J31" i="1"/>
  <c r="K10" i="1"/>
  <c r="H26" i="1" l="1"/>
  <c r="J39" i="1"/>
  <c r="L21" i="1" l="1"/>
  <c r="L25" i="1" s="1"/>
  <c r="M21" i="1"/>
  <c r="N21" i="1" l="1"/>
  <c r="O21" i="1" s="1"/>
  <c r="O26" i="1" s="1"/>
  <c r="R21" i="1"/>
  <c r="N32" i="1"/>
  <c r="O27" i="1" l="1"/>
  <c r="S44" i="1"/>
  <c r="O28" i="1" l="1"/>
  <c r="M20" i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O29" i="1" l="1"/>
  <c r="N31" i="1" l="1"/>
  <c r="S45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P22" i="1" s="1"/>
  <c r="Q22" i="1" s="1"/>
  <c r="E15" i="3"/>
  <c r="P21" i="1" l="1"/>
  <c r="F15" i="3"/>
  <c r="Q21" i="1" l="1"/>
  <c r="R27" i="1"/>
  <c r="H27" i="1" l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<sst xmlns="http://schemas.openxmlformats.org/spreadsheetml/2006/main" count="220" uniqueCount="165">
  <si>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</si>
  <si>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</si>
  <si>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</si>
  <si>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</si>
  <si>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</si>
  <si>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</si>
  <si>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</si>
  <si>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</si>
  <si>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</si>
  <si>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</si>
  <si>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</si>
  <si>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</si>
  <si>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</si>
  <si>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</si>
  <si>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</si>
  <si>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</si>
  <si>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</si>
  <si>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</si>
  <si>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</si>
  <si>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</si>
  <si>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</si>
  <si>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</si>
  <si>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</si>
  <si>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</si>
  <si>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</si>
  <si>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</si>
  <si>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</si>
  <si>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</si>
  <si>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</si>
  <si>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</si>
  <si>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</si>
  <si>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</si>
  <si>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</si>
  <si>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</si>
  <si>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</si>
  <si>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</si>
  <si>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</si>
  <si>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</si>
  <si>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</si>
  <si>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</si>
  <si>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</si>
  <si>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</si>
  <si>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</si>
  <si>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</si>
  <si>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</si>
  <si>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</si>
  <si>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</si>
  <si>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</si>
  <si>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</si>
  <si>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</si>
  <si>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</si>
  <si>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</si>
  <si>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</si>
  <si>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</si>
  <si>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</si>
  <si>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</si>
  <si>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</si>
  <si>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</si>
  <si>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</si>
  <si>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</si>
  <si>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</si>
  <si>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</si>
  <si>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</si>
  <si>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</si>
  <si>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</si>
  <si>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</si>
  <si>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</si>
  <si>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</si>
  <si>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</si>
  <si>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</si>
  <si>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</si>
  <si>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</si>
  <si>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</si>
  <si>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</si>
  <si>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</si>
  <si>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</si>
  <si>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</si>
  <si>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</si>
  <si>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</si>
  <si>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</si>
  <si>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</si>
  <si>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</si>
  <si>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</si>
  <si>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</si>
  <si>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</si>
  <si>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</si>
  <si>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</si>
  <si>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</si>
  <si>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</si>
  <si>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</si>
  <si>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</si>
  <si>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</si>
  <si>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</si>
  <si>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</si>
  <si>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</si>
  <si>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</si>
  <si>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</si>
  <si>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</si>
  <si>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</si>
  <si>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</si>
  <si>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</si>
  <si>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</si>
  <si>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</si>
  <si>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</si>
  <si>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</si>
  <si>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</si>
  <si>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</si>
  <si>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</si>
  <si>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</si>
  <si>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</si>
  <si>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</si>
  <si>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</si>
  <si>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</si>
  <si>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</si>
  <si>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</si>
  <si>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</si>
  <si>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</si>
  <si>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</si>
  <si>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</si>
  <si>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</si>
  <si>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</si>
  <si>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</si>
  <si>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</si>
  <si>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</si>
  <si>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</si>
  <si>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</si>
  <si>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</si>
  <si>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</si>
  <si>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</si>
  <si>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</si>
  <si>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</si>
  <si>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</si>
  <si>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</si>
  <si>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</si>
  <si>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</si>
  <si>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</si>
  <si>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</si>
  <si>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</si>
  <si>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</si>
  <si>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</si>
  <si>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</si>
  <si>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</si>
  <si>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</si>
  <si>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</si>
  <si>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</si>
  <si>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</si>
  <si>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</si>
  <si>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</si>
  <si>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</si>
  <si>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</si>
  <si>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</si>
  <si>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</si>
  <si>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</si>
  <si>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</si>
  <si>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</si>
  <si>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</si>
  <si>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</si>
  <si>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</si>
  <si>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7 DIAS HABILES</t>
  </si>
  <si>
    <t>+569 96799204</t>
  </si>
  <si>
    <t>N° 10960</t>
  </si>
  <si>
    <t>CONSTRUCTORA BAYO</t>
  </si>
  <si>
    <t>E/R 1 CARA</t>
  </si>
  <si>
    <t>E/R 2 CARAS</t>
  </si>
  <si>
    <t>BLANCO 2114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</si>
</sst>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37" fillId="0" borderId="6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29</xdr:row>
      <xdr:rowOff>28575</xdr:rowOff>
    </xdr:from>
    <xdr:to>
      <xdr:col>8</xdr:col>
      <xdr:colOff>100890</xdr:colOff>
      <xdr:row>32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222690</xdr:colOff>
      <xdr:row>23</xdr:row>
      <xdr:rowOff>84014</xdr:rowOff>
    </xdr:from>
    <xdr:to>
      <xdr:col>5</xdr:col>
      <xdr:colOff>1849560</xdr:colOff>
      <xdr:row>27</xdr:row>
      <xdr:rowOff>17339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634792" y="4702667"/>
          <a:ext cx="6229972" cy="819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/>
            <a:t>SUSTRATO</a:t>
          </a:r>
          <a:r>
            <a:rPr lang="es-CL" sz="1200" b="1" baseline="0"/>
            <a:t> : MDF 18MM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D18" zoomScale="98" zoomScaleNormal="98" workbookViewId="0">
      <selection activeCell="G22" sqref="G22"/>
    </sheetView>
  </sheetViews>
  <sheetFormatPr baseColWidth="10" defaultRowHeight="14.4" x14ac:dyDescent="0.3"/>
  <cols>
    <col min="1" max="1" width="6" customWidth="1"/>
    <col min="2" max="2" width="10.5546875" customWidth="1"/>
    <col min="3" max="3" width="52" customWidth="1"/>
    <col min="4" max="4" width="11.109375" customWidth="1"/>
    <col min="5" max="5" width="10.5546875" customWidth="1"/>
    <col min="6" max="6" width="35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1" t="s">
        <v>160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161</v>
      </c>
      <c r="D10" s="243"/>
      <c r="E10" s="243"/>
      <c r="F10" s="244" t="s">
        <v>0</v>
      </c>
      <c r="G10" s="277">
        <v>45425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4" t="s">
        <v>159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8" t="s">
        <v>155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0" t="s">
        <v>149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41755.723270440256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3">
        <v>2</v>
      </c>
      <c r="C21" s="327" t="s">
        <v>162</v>
      </c>
      <c r="D21" s="313">
        <v>2.6</v>
      </c>
      <c r="E21" s="313">
        <v>0.6</v>
      </c>
      <c r="F21" s="312" t="s">
        <v>164</v>
      </c>
      <c r="G21" s="314">
        <v>69392</v>
      </c>
      <c r="H21" s="315">
        <f t="shared" ref="H21" si="1">G21*B21</f>
        <v>138784</v>
      </c>
      <c r="I21" s="265">
        <v>20000</v>
      </c>
      <c r="J21" s="47"/>
      <c r="K21" s="325">
        <v>2</v>
      </c>
      <c r="L21" s="326">
        <f t="shared" ref="L21:M21" si="2">D21+L$19</f>
        <v>2.65</v>
      </c>
      <c r="M21" s="326">
        <f t="shared" si="2"/>
        <v>0.6</v>
      </c>
      <c r="N21" s="261">
        <f>L21*M21</f>
        <v>1.5899999999999999</v>
      </c>
      <c r="O21" s="259">
        <f>N21*K21</f>
        <v>3.1799999999999997</v>
      </c>
      <c r="P21" s="252">
        <f>P$20*N21</f>
        <v>66391.600000000006</v>
      </c>
      <c r="Q21" s="258">
        <f>P21+Q$20</f>
        <v>69391.600000000006</v>
      </c>
      <c r="R21" s="308">
        <f>K21*L21</f>
        <v>5.3</v>
      </c>
      <c r="S21" s="14"/>
      <c r="T21" s="9"/>
      <c r="W21" s="4"/>
    </row>
    <row r="22" spans="2:24" ht="17.399999999999999" x14ac:dyDescent="0.3">
      <c r="B22" s="323"/>
      <c r="C22" s="327" t="s">
        <v>163</v>
      </c>
      <c r="D22" s="313">
        <v>2.6</v>
      </c>
      <c r="E22" s="313">
        <v>0.84</v>
      </c>
      <c r="F22" s="312" t="s">
        <v>164</v>
      </c>
      <c r="G22" s="314">
        <v>195936</v>
      </c>
      <c r="H22" s="315">
        <f t="shared" ref="H22" si="3">G22*B22</f>
        <v>0</v>
      </c>
      <c r="I22" s="265"/>
      <c r="J22" s="47"/>
      <c r="K22" s="325">
        <f>B22</f>
        <v>0</v>
      </c>
      <c r="L22" s="326">
        <f t="shared" ref="L22" si="4">D22+L$19</f>
        <v>2.65</v>
      </c>
      <c r="M22" s="326">
        <f t="shared" ref="M22" si="5">E22+M$19</f>
        <v>0.84</v>
      </c>
      <c r="N22" s="261">
        <f>L22*M22</f>
        <v>2.226</v>
      </c>
      <c r="O22" s="259">
        <f>N22*K22</f>
        <v>0</v>
      </c>
      <c r="P22" s="252">
        <f>P$20*N22</f>
        <v>92948.24</v>
      </c>
      <c r="Q22" s="258">
        <f>P22+Q$20</f>
        <v>95948.24</v>
      </c>
      <c r="R22" s="308">
        <f>K22*L22</f>
        <v>0</v>
      </c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18"/>
      <c r="H23" s="318"/>
      <c r="I23" s="265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2"/>
      <c r="I24" s="232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9" t="s">
        <v>30</v>
      </c>
      <c r="H25" s="310">
        <f>SUM(H21:H24)</f>
        <v>138784</v>
      </c>
      <c r="I25" s="265"/>
      <c r="J25" s="47"/>
      <c r="K25" s="47"/>
      <c r="L25" s="39">
        <f>SUM(L21:L24)</f>
        <v>5.3</v>
      </c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53</v>
      </c>
      <c r="H26" s="304">
        <f>H25*19%</f>
        <v>26368.959999999999</v>
      </c>
      <c r="I26" s="265"/>
      <c r="J26" s="47"/>
      <c r="K26" s="47"/>
      <c r="L26" s="39"/>
      <c r="M26" s="12"/>
      <c r="N26" s="12"/>
      <c r="O26" s="253">
        <f>SUM(O21:O22)</f>
        <v>3.1799999999999997</v>
      </c>
      <c r="P26" s="14"/>
      <c r="Q26" s="12"/>
      <c r="R26" s="238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165152.95999999999</v>
      </c>
      <c r="I27" s="265"/>
      <c r="J27" s="47"/>
      <c r="K27" s="47"/>
      <c r="L27" s="39"/>
      <c r="M27" s="12"/>
      <c r="N27" s="12"/>
      <c r="O27" s="253">
        <f>O26</f>
        <v>3.1799999999999997</v>
      </c>
      <c r="P27" s="14"/>
      <c r="Q27" s="12"/>
      <c r="R27" s="238">
        <f>SUM(R21:R26)</f>
        <v>5.3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>
        <v>32</v>
      </c>
      <c r="K28" s="47"/>
      <c r="L28" s="39"/>
      <c r="M28" s="12"/>
      <c r="N28" s="12"/>
      <c r="O28" s="39">
        <f>O27*20%</f>
        <v>0.63600000000000001</v>
      </c>
      <c r="P28" s="39" t="s">
        <v>132</v>
      </c>
      <c r="Q28" s="42"/>
      <c r="R28" s="239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320">
        <v>32</v>
      </c>
      <c r="K29" s="47"/>
      <c r="L29" s="14"/>
      <c r="M29" s="12"/>
      <c r="N29" s="12"/>
      <c r="O29" s="46">
        <f>O27+O28</f>
        <v>3.8159999999999998</v>
      </c>
      <c r="P29" s="14"/>
      <c r="Q29" s="14"/>
      <c r="R29" s="237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2"/>
      <c r="F30" s="233"/>
      <c r="G30" s="230"/>
      <c r="H30" s="275"/>
      <c r="I30" s="265"/>
      <c r="J30" s="320">
        <v>55</v>
      </c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2:24" ht="17.399999999999999" x14ac:dyDescent="0.35">
      <c r="B31" s="234"/>
      <c r="C31" s="235"/>
      <c r="D31" s="236"/>
      <c r="E31" s="234"/>
      <c r="F31" s="230"/>
      <c r="G31" s="230"/>
      <c r="I31" s="265"/>
      <c r="J31" s="47">
        <f>SUM(J28:J30)</f>
        <v>119</v>
      </c>
      <c r="K31" s="47"/>
      <c r="L31" s="39">
        <f>O29</f>
        <v>3.8159999999999998</v>
      </c>
      <c r="M31" s="12">
        <v>3500</v>
      </c>
      <c r="N31" s="12">
        <f t="shared" ref="N31:N36" si="6">L31*M31</f>
        <v>13356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1</v>
      </c>
      <c r="M32" s="12">
        <v>25000</v>
      </c>
      <c r="N32" s="12">
        <f t="shared" si="6"/>
        <v>25000</v>
      </c>
      <c r="O32" s="39" t="s">
        <v>156</v>
      </c>
      <c r="P32" s="42"/>
      <c r="Q32" s="14"/>
      <c r="R32" s="239"/>
      <c r="S32" s="14"/>
      <c r="T32" s="9"/>
      <c r="W32" s="4"/>
    </row>
    <row r="33" spans="2:23" s="230" customFormat="1" ht="17.399999999999999" x14ac:dyDescent="0.35">
      <c r="I33" s="262"/>
      <c r="J33" s="47"/>
      <c r="K33" s="250"/>
      <c r="L33" s="14"/>
      <c r="M33" s="250">
        <v>55000</v>
      </c>
      <c r="N33" s="12">
        <f t="shared" si="6"/>
        <v>0</v>
      </c>
      <c r="O33" s="39" t="s">
        <v>32</v>
      </c>
      <c r="P33" s="42"/>
      <c r="R33" s="239"/>
      <c r="S33" s="256"/>
      <c r="V33" s="231"/>
    </row>
    <row r="34" spans="2:23" s="230" customFormat="1" ht="17.399999999999999" x14ac:dyDescent="0.35">
      <c r="B34" s="24" t="s">
        <v>153</v>
      </c>
      <c r="I34" s="262"/>
      <c r="J34" s="319"/>
      <c r="K34" s="250"/>
      <c r="L34" s="14">
        <v>1</v>
      </c>
      <c r="M34" s="250">
        <v>22000</v>
      </c>
      <c r="N34" s="12">
        <f t="shared" si="6"/>
        <v>22000</v>
      </c>
      <c r="O34" s="14" t="s">
        <v>143</v>
      </c>
      <c r="P34" s="17"/>
      <c r="R34" s="237"/>
      <c r="S34" s="256"/>
      <c r="V34" s="231"/>
    </row>
    <row r="35" spans="2:23" s="230" customFormat="1" ht="17.399999999999999" x14ac:dyDescent="0.35">
      <c r="B35" s="24" t="s">
        <v>146</v>
      </c>
      <c r="C35"/>
      <c r="D35"/>
      <c r="E35"/>
      <c r="F35"/>
      <c r="I35" s="262"/>
      <c r="J35" s="319"/>
      <c r="K35" s="250"/>
      <c r="L35" s="249"/>
      <c r="M35" s="250">
        <v>800</v>
      </c>
      <c r="N35" s="12">
        <f t="shared" si="6"/>
        <v>0</v>
      </c>
      <c r="O35" s="14" t="s">
        <v>34</v>
      </c>
      <c r="P35" s="14"/>
      <c r="Q35" s="230">
        <v>1.52</v>
      </c>
      <c r="R35" s="237"/>
      <c r="S35" s="237"/>
    </row>
    <row r="36" spans="2:23" s="230" customFormat="1" ht="17.399999999999999" x14ac:dyDescent="0.35">
      <c r="B36" s="29" t="s">
        <v>127</v>
      </c>
      <c r="C36"/>
      <c r="D36"/>
      <c r="E36"/>
      <c r="F36" s="229" t="s">
        <v>16</v>
      </c>
      <c r="I36" s="303"/>
      <c r="J36" s="47"/>
      <c r="K36" s="250"/>
      <c r="L36" s="266"/>
      <c r="M36" s="12">
        <v>1500</v>
      </c>
      <c r="N36" s="12">
        <f t="shared" si="6"/>
        <v>0</v>
      </c>
      <c r="O36" s="14" t="s">
        <v>24</v>
      </c>
      <c r="P36" s="14"/>
      <c r="Q36">
        <v>2.44</v>
      </c>
      <c r="R36"/>
      <c r="S36" s="237">
        <v>1500</v>
      </c>
      <c r="W36" s="231"/>
    </row>
    <row r="37" spans="2:23" s="230" customFormat="1" ht="17.399999999999999" x14ac:dyDescent="0.35">
      <c r="J37" s="47"/>
      <c r="K37" s="250"/>
      <c r="L37" s="14"/>
      <c r="M37" s="12"/>
      <c r="N37" s="12">
        <f>SUM(N31:N36)</f>
        <v>60356</v>
      </c>
      <c r="O37" s="39" t="s">
        <v>25</v>
      </c>
      <c r="P37" s="14"/>
      <c r="Q37">
        <f>Q35*Q36</f>
        <v>3.7088000000000001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43190</v>
      </c>
      <c r="K38" s="250"/>
      <c r="L38" s="254" t="s">
        <v>35</v>
      </c>
      <c r="M38" s="12"/>
      <c r="N38" s="255">
        <f>N37*2.2</f>
        <v>132783.20000000001</v>
      </c>
      <c r="O38" s="14" t="s">
        <v>142</v>
      </c>
      <c r="P38" s="14"/>
      <c r="Q38" s="46">
        <f>O27/Q37</f>
        <v>0.85742018981880919</v>
      </c>
      <c r="R38"/>
      <c r="S38" s="257" t="e">
        <f>S37/#REF!</f>
        <v>#REF!</v>
      </c>
    </row>
    <row r="39" spans="2:23" s="230" customFormat="1" ht="17.399999999999999" x14ac:dyDescent="0.35">
      <c r="G39"/>
      <c r="H39" s="260"/>
      <c r="I39" s="260"/>
      <c r="J39" s="47">
        <f>J38/1.19</f>
        <v>36294.117647058825</v>
      </c>
      <c r="K39" s="250"/>
      <c r="L39" s="14"/>
      <c r="M39" s="12"/>
      <c r="N39" s="12">
        <f>N38/O27</f>
        <v>41755.723270440256</v>
      </c>
      <c r="O39" s="45" t="s">
        <v>26</v>
      </c>
      <c r="P39" s="14"/>
      <c r="Q39" s="14"/>
      <c r="R39"/>
      <c r="S39" s="237"/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2.2000000000000002</v>
      </c>
      <c r="O40" s="15"/>
      <c r="P40"/>
      <c r="Q40"/>
      <c r="R40"/>
      <c r="S40" s="237"/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O29/S44</f>
        <v>0.83409836065573761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45425</v>
      </c>
    </row>
    <row r="6" spans="2:31" ht="16.2" thickBot="1" x14ac:dyDescent="0.35">
      <c r="B6" s="140" t="s">
        <v>2</v>
      </c>
      <c r="C6" s="139" t="str">
        <f>'2229'!C10</f>
        <v>CONSTRUCTORA BAYO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10960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-4378.3917001207765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138784</v>
      </c>
      <c r="E11" s="132">
        <f>D11*0.19</f>
        <v>26368.959999999999</v>
      </c>
      <c r="F11" s="131">
        <f>E11+D11</f>
        <v>165152.95999999999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101611.60829987923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68190.090787439607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83611.608299879226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70593.909212560393</v>
      </c>
      <c r="E13" s="221">
        <f>(D11/D12)-1</f>
        <v>1.0352517264218624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74611.608299879226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35611.608299879226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112513.64979927534</v>
      </c>
      <c r="F15" s="216">
        <f>E15-D12</f>
        <v>44323.559011835736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35611.608299879226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75611.608299879226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13356</v>
      </c>
      <c r="E20" s="121">
        <f>D20*0.19</f>
        <v>2537.64</v>
      </c>
      <c r="F20" s="120">
        <f>SUM(D20:E20)</f>
        <v>15893.64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38356</v>
      </c>
      <c r="E21" s="116">
        <f>SUM(E18:E20)</f>
        <v>7287.6399999999994</v>
      </c>
      <c r="F21" s="115">
        <f>SUM(F18:F20)</f>
        <v>45643.64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19081.32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138784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38356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70593.909212560393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70593.909212560393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2024-05-13T15:07:00Z</cp:lastPrinted>
  <dcterms:created xsi:type="dcterms:W3CDTF">2013-03-18T13:35:42Z</dcterms:created>
  <dcterms:modified xsi:type="dcterms:W3CDTF">2024-05-15T15:23:41Z</dcterms:modified>
</cp:coreProperties>
</file>