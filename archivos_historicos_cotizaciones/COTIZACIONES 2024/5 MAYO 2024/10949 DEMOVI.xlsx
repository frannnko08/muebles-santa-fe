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678EEDEC-FB17-4D8D-8DBE-CC23704D5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 l="1"/>
  <c r="L21" i="1" l="1"/>
  <c r="L24" i="1" s="1"/>
  <c r="M21" i="1"/>
  <c r="N21" i="1" l="1"/>
  <c r="O21" i="1" s="1"/>
  <c r="O25" i="1" s="1"/>
  <c r="O26" i="1" s="1"/>
  <c r="O27" i="1" s="1"/>
  <c r="O28" i="1" s="1"/>
  <c r="R21" i="1"/>
  <c r="N31" i="1"/>
  <c r="S43" i="1" l="1"/>
  <c r="M20" i="1" l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L30" i="1" l="1"/>
  <c r="N30" i="1" l="1"/>
  <c r="N36" i="1" s="1"/>
  <c r="N37" i="1" s="1"/>
  <c r="S44" i="1"/>
  <c r="D20" i="3" l="1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F15" i="3"/>
  <c r="Q21" i="1" l="1"/>
  <c r="R26" i="1"/>
  <c r="H21" i="1" l="1"/>
  <c r="H24" i="1" s="1"/>
  <c r="K15" i="1" s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<sst xmlns="http://schemas.openxmlformats.org/spreadsheetml/2006/main" count="222" uniqueCount="168">
  <si>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</si>
  <si>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</si>
  <si>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</si>
  <si>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</si>
  <si>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</si>
  <si>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</si>
  <si>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</si>
  <si>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</si>
  <si>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</si>
  <si>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</si>
  <si>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</si>
  <si>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</si>
  <si>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</si>
  <si>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</si>
  <si>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</si>
  <si>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</si>
  <si>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</si>
  <si>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</si>
  <si>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</si>
  <si>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</si>
  <si>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</si>
  <si>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</si>
  <si>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</si>
  <si>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</si>
  <si>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</si>
  <si>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</si>
  <si>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</si>
  <si>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</si>
  <si>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</si>
  <si>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</si>
  <si>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</si>
  <si>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</si>
  <si>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</si>
  <si>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</si>
  <si>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</si>
  <si>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</si>
  <si>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</si>
  <si>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</si>
  <si>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</si>
  <si>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</si>
  <si>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</si>
  <si>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</si>
  <si>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</si>
  <si>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</si>
  <si>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</si>
  <si>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</si>
  <si>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</si>
  <si>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</si>
  <si>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</si>
  <si>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</si>
  <si>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</si>
  <si>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</si>
  <si>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</si>
  <si>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</si>
  <si>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</si>
  <si>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</si>
  <si>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</si>
  <si>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</si>
  <si>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</si>
  <si>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</si>
  <si>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</si>
  <si>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</si>
  <si>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</si>
  <si>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</si>
  <si>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</si>
  <si>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</si>
  <si>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</si>
  <si>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</si>
  <si>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</si>
  <si>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</si>
  <si>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</si>
  <si>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</si>
  <si>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</si>
  <si>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</si>
  <si>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</si>
  <si>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</si>
  <si>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</si>
  <si>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</si>
  <si>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</si>
  <si>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</si>
  <si>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</si>
  <si>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</si>
  <si>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</si>
  <si>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</si>
  <si>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</si>
  <si>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</si>
  <si>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</si>
  <si>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</si>
  <si>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</si>
  <si>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</si>
  <si>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</si>
  <si>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</si>
  <si>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</si>
  <si>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</si>
  <si>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</si>
  <si>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</si>
  <si>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</si>
  <si>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</si>
  <si>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</si>
  <si>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</si>
  <si>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</si>
  <si>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</si>
  <si>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</si>
  <si>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</si>
  <si>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</si>
  <si>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</si>
  <si>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</si>
  <si>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</si>
  <si>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</si>
  <si>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</si>
  <si>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</si>
  <si>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</si>
  <si>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</si>
  <si>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</si>
  <si>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</si>
  <si>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</si>
  <si>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</si>
  <si>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</si>
  <si>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</si>
  <si>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</si>
  <si>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</si>
  <si>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</si>
  <si>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</si>
  <si>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</si>
  <si>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</si>
  <si>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</si>
  <si>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</si>
  <si>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</si>
  <si>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</si>
  <si>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</si>
  <si>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</si>
  <si>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</si>
  <si>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</si>
  <si>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</si>
  <si>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</si>
  <si>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</si>
  <si>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</si>
  <si>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</si>
  <si>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</si>
  <si>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</si>
  <si>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</si>
  <si>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</si>
  <si>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</si>
  <si>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</si>
  <si>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</si>
  <si>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</si>
  <si>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</si>
  <si>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</si>
  <si>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</si>
  <si>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</si>
  <si>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</si>
  <si>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</si>
  <si>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</si>
  <si>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</si>
  <si>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</si>
  <si>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SANTIAGO</t>
  </si>
  <si>
    <t>DURACION COTIZACION: 5 DIAS                   FRANCO DONOSO</t>
  </si>
  <si>
    <t>D HOME  DESIGN SPA</t>
  </si>
  <si>
    <t>77.855.367-8</t>
  </si>
  <si>
    <t>VENTA DE MUEBLES</t>
  </si>
  <si>
    <t>JUAN GONZALEZ</t>
  </si>
  <si>
    <t>JGONZALEZ@DEMOVI.CL</t>
  </si>
  <si>
    <t>AV. PORTALES 4311 SAN BERNARDO</t>
  </si>
  <si>
    <t>SI</t>
  </si>
  <si>
    <t>CONTADO</t>
  </si>
  <si>
    <t>CUBIERTA CON RESPALDO R8</t>
  </si>
  <si>
    <t>DARK STEEL 2315 MT</t>
  </si>
  <si>
    <t>N° 10949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</si>
</sst>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27</xdr:row>
      <xdr:rowOff>9525</xdr:rowOff>
    </xdr:from>
    <xdr:to>
      <xdr:col>5</xdr:col>
      <xdr:colOff>1749491</xdr:colOff>
      <xdr:row>30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223973</xdr:rowOff>
    </xdr:from>
    <xdr:to>
      <xdr:col>5</xdr:col>
      <xdr:colOff>1749490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GONZALEZ@DEMOVI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zoomScale="98" zoomScaleNormal="98" workbookViewId="0">
      <selection activeCell="D14" sqref="D14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157</v>
      </c>
      <c r="D10" s="243"/>
      <c r="E10" s="243"/>
      <c r="F10" s="244" t="s">
        <v>0</v>
      </c>
      <c r="G10" s="276">
        <v>45419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 t="s">
        <v>158</v>
      </c>
      <c r="F11" t="s">
        <v>125</v>
      </c>
      <c r="G11" s="288">
        <v>45421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 t="s">
        <v>159</v>
      </c>
      <c r="D12" s="247"/>
      <c r="E12" s="247"/>
      <c r="F12" s="247" t="s">
        <v>129</v>
      </c>
      <c r="G12" s="277" t="s">
        <v>163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 t="s">
        <v>161</v>
      </c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>
        <v>56942194105</v>
      </c>
      <c r="D15" s="294"/>
      <c r="E15" s="247"/>
      <c r="F15" s="247" t="s">
        <v>136</v>
      </c>
      <c r="G15" s="295" t="s">
        <v>137</v>
      </c>
      <c r="H15" s="248"/>
      <c r="K15" s="18">
        <f>H24/L13</f>
        <v>8954.7604608853853</v>
      </c>
    </row>
    <row r="16" spans="2:23" ht="16.8" x14ac:dyDescent="0.4">
      <c r="B16" s="291" t="s">
        <v>3</v>
      </c>
      <c r="C16" s="310" t="s">
        <v>162</v>
      </c>
      <c r="F16" s="292" t="s">
        <v>131</v>
      </c>
      <c r="G16" s="293" t="s">
        <v>164</v>
      </c>
      <c r="H16" s="289"/>
    </row>
    <row r="17" spans="1:24" ht="15" thickBot="1" x14ac:dyDescent="0.35">
      <c r="B17" s="296" t="s">
        <v>13</v>
      </c>
      <c r="C17" s="297" t="s">
        <v>155</v>
      </c>
      <c r="D17" s="298"/>
      <c r="E17" s="299"/>
      <c r="F17" s="328" t="s">
        <v>156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109380.74074074073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23">
        <v>2</v>
      </c>
      <c r="C21" s="324" t="s">
        <v>165</v>
      </c>
      <c r="D21" s="325">
        <v>2.4500000000000002</v>
      </c>
      <c r="E21" s="325">
        <v>0.54</v>
      </c>
      <c r="F21" s="324" t="s">
        <v>166</v>
      </c>
      <c r="G21" s="326">
        <f>P21</f>
        <v>147664</v>
      </c>
      <c r="H21" s="327">
        <f t="shared" ref="H21" si="1">G21*B21</f>
        <v>295328</v>
      </c>
      <c r="I21" s="265"/>
      <c r="J21" s="47"/>
      <c r="K21" s="316">
        <f t="shared" si="0"/>
        <v>2</v>
      </c>
      <c r="L21" s="317">
        <f t="shared" ref="L21:M21" si="2">D21+L$19</f>
        <v>2.5</v>
      </c>
      <c r="M21" s="317">
        <f t="shared" si="2"/>
        <v>0.54</v>
      </c>
      <c r="N21" s="261">
        <f>L21*M21</f>
        <v>1.35</v>
      </c>
      <c r="O21" s="259">
        <f>N21*K21</f>
        <v>2.7</v>
      </c>
      <c r="P21" s="252">
        <f>P$20*N21</f>
        <v>147664</v>
      </c>
      <c r="Q21" s="258">
        <f>P21+Q$20</f>
        <v>150664</v>
      </c>
      <c r="R21" s="307">
        <f>K21*L21</f>
        <v>5</v>
      </c>
      <c r="S21" s="14"/>
      <c r="T21" s="9"/>
      <c r="W21" s="4"/>
    </row>
    <row r="22" spans="1:24" ht="17.399999999999999" x14ac:dyDescent="0.3">
      <c r="B22" s="285"/>
      <c r="C22" s="285"/>
      <c r="D22" s="286"/>
      <c r="E22" s="286"/>
      <c r="F22" s="285"/>
      <c r="G22" s="311"/>
      <c r="H22" s="311"/>
      <c r="I22" s="265"/>
      <c r="K22" s="318"/>
      <c r="L22" s="319"/>
      <c r="M22" s="319"/>
      <c r="N22" s="261"/>
      <c r="O22" s="259"/>
      <c r="P22" s="252"/>
      <c r="Q22" s="258"/>
      <c r="R22" s="307"/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SUM(H21:H23)</f>
        <v>295328</v>
      </c>
      <c r="I24" s="265"/>
      <c r="J24" s="47"/>
      <c r="K24" s="47"/>
      <c r="L24" s="39">
        <f>SUM(L21:L23)</f>
        <v>2.5</v>
      </c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56112.32</v>
      </c>
      <c r="I25" s="265"/>
      <c r="J25" s="47"/>
      <c r="K25" s="47"/>
      <c r="L25" s="39"/>
      <c r="M25" s="12"/>
      <c r="N25" s="12"/>
      <c r="O25" s="253">
        <f>SUM(O21:O21)</f>
        <v>2.7</v>
      </c>
      <c r="P25" s="14"/>
      <c r="Q25" s="12"/>
      <c r="R25" s="238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351440.32</v>
      </c>
      <c r="I26" s="265"/>
      <c r="J26" s="47"/>
      <c r="K26" s="47"/>
      <c r="L26" s="39"/>
      <c r="M26" s="12"/>
      <c r="N26" s="12"/>
      <c r="O26" s="253">
        <f>O25</f>
        <v>2.7</v>
      </c>
      <c r="P26" s="14"/>
      <c r="Q26" s="12"/>
      <c r="R26" s="238">
        <f>SUM(R21:R25)</f>
        <v>5</v>
      </c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O26*0.2</f>
        <v>0.54</v>
      </c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313"/>
      <c r="K28" s="47"/>
      <c r="L28" s="14"/>
      <c r="M28" s="12"/>
      <c r="N28" s="12"/>
      <c r="O28" s="46">
        <f>O26+O27</f>
        <v>3.24</v>
      </c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J29" s="313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39">
        <f>O28</f>
        <v>3.24</v>
      </c>
      <c r="M30" s="12">
        <v>3500</v>
      </c>
      <c r="N30" s="12">
        <f t="shared" ref="N30:N35" si="3">L30*M30</f>
        <v>11340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1</v>
      </c>
      <c r="M31" s="12">
        <v>25000</v>
      </c>
      <c r="N31" s="12">
        <f t="shared" si="3"/>
        <v>25000</v>
      </c>
      <c r="O31" s="39" t="s">
        <v>154</v>
      </c>
      <c r="P31" s="42"/>
      <c r="Q31" s="14"/>
      <c r="R31" s="239"/>
      <c r="S31" s="14"/>
      <c r="T31" s="9"/>
      <c r="W31" s="4"/>
    </row>
    <row r="32" spans="1:24" s="230" customFormat="1" ht="17.399999999999999" x14ac:dyDescent="0.35">
      <c r="B32" s="24" t="s">
        <v>153</v>
      </c>
      <c r="I32" s="262"/>
      <c r="J32" s="47"/>
      <c r="K32" s="250"/>
      <c r="L32" s="14"/>
      <c r="M32" s="250">
        <v>150000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2"/>
      <c r="K33" s="250"/>
      <c r="L33" s="14">
        <v>2</v>
      </c>
      <c r="M33" s="250">
        <v>45200</v>
      </c>
      <c r="N33" s="12">
        <f t="shared" si="3"/>
        <v>90400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312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1.83</v>
      </c>
      <c r="R34" s="237"/>
      <c r="S34" s="237"/>
    </row>
    <row r="35" spans="2:23" s="230" customFormat="1" ht="17.399999999999999" x14ac:dyDescent="0.35">
      <c r="I35" s="302"/>
      <c r="J35" s="47"/>
      <c r="K35" s="250"/>
      <c r="L35" s="266">
        <v>5</v>
      </c>
      <c r="M35" s="12">
        <v>1500</v>
      </c>
      <c r="N35" s="12">
        <f t="shared" si="3"/>
        <v>7500</v>
      </c>
      <c r="O35" s="14" t="s">
        <v>24</v>
      </c>
      <c r="P35" s="14"/>
      <c r="Q35">
        <v>3.66</v>
      </c>
      <c r="R35"/>
      <c r="S35" s="237">
        <v>1500</v>
      </c>
      <c r="W35" s="231"/>
    </row>
    <row r="36" spans="2:23" s="230" customFormat="1" ht="17.399999999999999" x14ac:dyDescent="0.35">
      <c r="I36" s="265"/>
      <c r="J36" s="47"/>
      <c r="K36" s="250"/>
      <c r="L36" s="14"/>
      <c r="M36" s="12"/>
      <c r="N36" s="12">
        <f>SUM(N30:N35)</f>
        <v>134240</v>
      </c>
      <c r="O36" s="39" t="s">
        <v>25</v>
      </c>
      <c r="P36" s="14"/>
      <c r="Q36">
        <f>Q34*Q35</f>
        <v>6.6978000000000009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58690</v>
      </c>
      <c r="K37" s="250"/>
      <c r="L37" s="254" t="s">
        <v>35</v>
      </c>
      <c r="M37" s="12"/>
      <c r="N37" s="255">
        <f>N36*2.2</f>
        <v>295328</v>
      </c>
      <c r="O37" s="14" t="s">
        <v>142</v>
      </c>
      <c r="P37" s="14"/>
      <c r="Q37" s="46">
        <f>O28/Q36</f>
        <v>0.48374092985756512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49319.327731092439</v>
      </c>
      <c r="K38" s="250"/>
      <c r="L38" s="14"/>
      <c r="M38" s="12"/>
      <c r="N38" s="12">
        <f>N37/O26</f>
        <v>109380.74074074073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0.70819672131147537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  <hyperlink ref="C14" r:id="rId2" xr:uid="{9293C3B1-A191-4074-BB3F-30F6EC53B675}"/>
  </hyperlinks>
  <pageMargins left="0.23622047244094491" right="0.23622047244094491" top="0.74803149606299213" bottom="0.74803149606299213" header="0.31496062992125984" footer="0.31496062992125984"/>
  <pageSetup scale="81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45419</v>
      </c>
    </row>
    <row r="6" spans="2:31" ht="16.2" thickBot="1" x14ac:dyDescent="0.35">
      <c r="B6" s="140" t="s">
        <v>2</v>
      </c>
      <c r="C6" s="139" t="str">
        <f>'2229'!C10</f>
        <v>D HOME  DESIGN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10949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-31023.458366787439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295328</v>
      </c>
      <c r="E11" s="132">
        <f>D11*0.19</f>
        <v>56112.32</v>
      </c>
      <c r="F11" s="131">
        <f>E11+D11</f>
        <v>351440.32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74966.541633212561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66174.090787439607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56966.541633212561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229153.90921256039</v>
      </c>
      <c r="E13" s="221">
        <f>(D11/D12)-1</f>
        <v>3.4628947143170379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47966.541633212561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8966.5416332125606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109187.24979927535</v>
      </c>
      <c r="F15" s="216">
        <f>E15-D12</f>
        <v>43013.159011835742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8966.5416332125606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48966.541633212561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11340</v>
      </c>
      <c r="E20" s="121">
        <f>D20*0.19</f>
        <v>2154.6</v>
      </c>
      <c r="F20" s="120">
        <f>SUM(D20:E20)</f>
        <v>13494.6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36340</v>
      </c>
      <c r="E21" s="116">
        <f>SUM(E18:E20)</f>
        <v>6904.6</v>
      </c>
      <c r="F21" s="115">
        <f>SUM(F18:F20)</f>
        <v>43244.6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49207.72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295328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36340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229153.90921256039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229153.90921256039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2024-04-01T14:24:21Z</cp:lastPrinted>
  <dcterms:created xsi:type="dcterms:W3CDTF">2013-03-18T13:35:42Z</dcterms:created>
  <dcterms:modified xsi:type="dcterms:W3CDTF">2024-05-07T12:37:14Z</dcterms:modified>
</cp:coreProperties>
</file>