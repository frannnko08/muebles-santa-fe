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4B50355A-023E-4594-9163-25F8C380D2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N39" i="1"/>
  <c r="L32" i="1"/>
  <c r="K22" i="1"/>
  <c r="K23" i="1"/>
  <c r="K21" i="1"/>
  <c r="L23" i="1" l="1"/>
  <c r="L26" i="1" s="1"/>
  <c r="M23" i="1"/>
  <c r="M22" i="1"/>
  <c r="N23" i="1" l="1"/>
  <c r="O23" i="1" s="1"/>
  <c r="J40" i="1"/>
  <c r="L22" i="1" l="1"/>
  <c r="N22" i="1" l="1"/>
  <c r="O22" i="1" s="1"/>
  <c r="L21" i="1" l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N32" i="1" l="1"/>
  <c r="S46" i="1"/>
  <c r="N38" i="1" l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G23" i="1" s="1"/>
  <c r="H23" i="1" s="1"/>
  <c r="P22" i="1"/>
  <c r="P21" i="1"/>
  <c r="F15" i="3"/>
  <c r="Q22" i="1" l="1"/>
  <c r="G22" i="1" s="1"/>
  <c r="Q21" i="1"/>
  <c r="G21" i="1" s="1"/>
  <c r="H21" i="1" s="1"/>
  <c r="R28" i="1"/>
  <c r="H22" i="1" l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<sst xmlns="http://schemas.openxmlformats.org/spreadsheetml/2006/main" count="222" uniqueCount="165">
  <si>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</si>
  <si>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</si>
  <si>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</si>
  <si>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</si>
  <si>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</si>
  <si>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</si>
  <si>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</si>
  <si>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</si>
  <si>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</si>
  <si>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</si>
  <si>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</si>
  <si>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</si>
  <si>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</si>
  <si>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</si>
  <si>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</si>
  <si>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</si>
  <si>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</si>
  <si>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</si>
  <si>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</si>
  <si>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</si>
  <si>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</si>
  <si>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</si>
  <si>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</si>
  <si>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</si>
  <si>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</si>
  <si>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</si>
  <si>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</si>
  <si>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</si>
  <si>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</si>
  <si>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</si>
  <si>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</si>
  <si>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</si>
  <si>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</si>
  <si>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</si>
  <si>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</si>
  <si>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</si>
  <si>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</si>
  <si>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</si>
  <si>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</si>
  <si>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</si>
  <si>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</si>
  <si>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</si>
  <si>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</si>
  <si>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</si>
  <si>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</si>
  <si>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</si>
  <si>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</si>
  <si>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</si>
  <si>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</si>
  <si>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</si>
  <si>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</si>
  <si>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</si>
  <si>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</si>
  <si>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</si>
  <si>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</si>
  <si>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</si>
  <si>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</si>
  <si>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</si>
  <si>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</si>
  <si>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</si>
  <si>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</si>
  <si>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</si>
  <si>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</si>
  <si>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</si>
  <si>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</si>
  <si>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</si>
  <si>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</si>
  <si>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</si>
  <si>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</si>
  <si>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</si>
  <si>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</si>
  <si>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</si>
  <si>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</si>
  <si>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</si>
  <si>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</si>
  <si>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</si>
  <si>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</si>
  <si>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</si>
  <si>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</si>
  <si>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</si>
  <si>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</si>
  <si>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</si>
  <si>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</si>
  <si>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</si>
  <si>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</si>
  <si>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</si>
  <si>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</si>
  <si>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</si>
  <si>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</si>
  <si>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</si>
  <si>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</si>
  <si>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</si>
  <si>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</si>
  <si>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</si>
  <si>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</si>
  <si>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</si>
  <si>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</si>
  <si>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</si>
  <si>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</si>
  <si>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</si>
  <si>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</si>
  <si>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</si>
  <si>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</si>
  <si>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</si>
  <si>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</si>
  <si>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</si>
  <si>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</si>
  <si>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</si>
  <si>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</si>
  <si>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</si>
  <si>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</si>
  <si>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</si>
  <si>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</si>
  <si>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</si>
  <si>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</si>
  <si>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</si>
  <si>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</si>
  <si>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</si>
  <si>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</si>
  <si>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</si>
  <si>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</si>
  <si>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</si>
  <si>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</si>
  <si>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</si>
  <si>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</si>
  <si>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</si>
  <si>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</si>
  <si>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</si>
  <si>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</si>
  <si>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</si>
  <si>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</si>
  <si>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</si>
  <si>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</si>
  <si>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</si>
  <si>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</si>
  <si>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</si>
  <si>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</si>
  <si>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</si>
  <si>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</si>
  <si>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</si>
  <si>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</si>
  <si>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</si>
  <si>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</si>
  <si>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</si>
  <si>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</si>
  <si>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</si>
  <si>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</si>
  <si>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</si>
  <si>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</si>
  <si>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</si>
  <si>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</si>
  <si>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</si>
  <si>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</si>
  <si>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</si>
  <si>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</si>
  <si>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</si>
  <si>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</si>
  <si>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</si>
  <si>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COMERCIALIZADORA MDM SPA</t>
  </si>
  <si>
    <t>DANIELA</t>
  </si>
  <si>
    <t>+56997448059</t>
  </si>
  <si>
    <t>CUB S/R 180°</t>
  </si>
  <si>
    <t>CUB CON RESPALDO 180°</t>
  </si>
  <si>
    <t>N° 10970</t>
  </si>
  <si>
    <t>BLANCO OPACO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</si>
</sst>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6" fontId="3" fillId="4" borderId="0" xfId="0" applyNumberFormat="1" applyFon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OBSERVACIONES:LAS CUBIERTAS SE ENTREGAN CON SOBRE MEDIDA</a:t>
          </a:r>
          <a:r>
            <a:rPr lang="es-CL" sz="1200" b="1" baseline="0"/>
            <a:t> EN EL LARGO 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CUBIERTAS SIN RESPALDO LLEVAN REGRUESO INTERIOR IDEM AL ANCHO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8" zoomScaleNormal="98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26.88671875" customWidth="1"/>
    <col min="4" max="4" width="11.109375" customWidth="1"/>
    <col min="5" max="5" width="10.5546875" customWidth="1"/>
    <col min="6" max="6" width="32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45440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>
        <v>45443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1"/>
      <c r="D12" s="247"/>
      <c r="E12" s="247"/>
      <c r="F12" s="247" t="s">
        <v>129</v>
      </c>
      <c r="G12" s="278" t="s">
        <v>156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159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156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160</v>
      </c>
      <c r="D15" s="295"/>
      <c r="E15" s="247"/>
      <c r="F15" s="247" t="s">
        <v>136</v>
      </c>
      <c r="G15" s="296" t="s">
        <v>156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153</v>
      </c>
      <c r="D17" s="299"/>
      <c r="E17" s="300"/>
      <c r="F17" s="329" t="s">
        <v>154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85836.909871244643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161</v>
      </c>
      <c r="D21" s="313">
        <v>2.5</v>
      </c>
      <c r="E21" s="313">
        <v>0.55000000000000004</v>
      </c>
      <c r="F21" s="312" t="s">
        <v>164</v>
      </c>
      <c r="G21" s="314">
        <f>Q21</f>
        <v>125386.26609442061</v>
      </c>
      <c r="H21" s="315">
        <f t="shared" ref="H21:H22" si="1">G21*B21</f>
        <v>125386.26609442061</v>
      </c>
      <c r="I21" s="265"/>
      <c r="J21" s="47"/>
      <c r="K21" s="325">
        <f>B21</f>
        <v>1</v>
      </c>
      <c r="L21" s="326">
        <f t="shared" ref="L21:M22" si="2">D21+L$19</f>
        <v>2.5499999999999998</v>
      </c>
      <c r="M21" s="326">
        <f t="shared" si="2"/>
        <v>0.55000000000000004</v>
      </c>
      <c r="N21" s="261">
        <f>L21*M21</f>
        <v>1.4025000000000001</v>
      </c>
      <c r="O21" s="259">
        <f>N21*K21</f>
        <v>1.4025000000000001</v>
      </c>
      <c r="P21" s="252">
        <f>P$20*N21</f>
        <v>120386.26609442061</v>
      </c>
      <c r="Q21" s="258">
        <f>P21+Q$20</f>
        <v>125386.26609442061</v>
      </c>
      <c r="R21" s="308">
        <f>K21*L21</f>
        <v>2.5499999999999998</v>
      </c>
      <c r="S21" s="14"/>
      <c r="T21" s="9"/>
      <c r="W21" s="4"/>
    </row>
    <row r="22" spans="2:24" ht="17.399999999999999" x14ac:dyDescent="0.3">
      <c r="B22" s="323">
        <v>1</v>
      </c>
      <c r="C22" s="312" t="s">
        <v>161</v>
      </c>
      <c r="D22" s="313">
        <v>2.8</v>
      </c>
      <c r="E22" s="313">
        <v>0.55000000000000004</v>
      </c>
      <c r="F22" s="312" t="s">
        <v>164</v>
      </c>
      <c r="G22" s="314">
        <f t="shared" ref="G22" si="3">Q22</f>
        <v>139549.35622317597</v>
      </c>
      <c r="H22" s="315">
        <f t="shared" si="1"/>
        <v>139549.35622317597</v>
      </c>
      <c r="I22" s="265"/>
      <c r="K22" s="325">
        <f t="shared" ref="K22:K23" si="4">B22</f>
        <v>1</v>
      </c>
      <c r="L22" s="328">
        <f t="shared" si="2"/>
        <v>2.8499999999999996</v>
      </c>
      <c r="M22" s="328">
        <f t="shared" si="2"/>
        <v>0.55000000000000004</v>
      </c>
      <c r="N22" s="261">
        <f t="shared" ref="N22" si="5">L22*M22</f>
        <v>1.5674999999999999</v>
      </c>
      <c r="O22" s="259">
        <f t="shared" ref="O22" si="6">N22*K22</f>
        <v>1.5674999999999999</v>
      </c>
      <c r="P22" s="252">
        <f t="shared" ref="P22" si="7">P$20*N22</f>
        <v>134549.35622317597</v>
      </c>
      <c r="Q22" s="258">
        <f t="shared" ref="Q22" si="8">P22+Q$20</f>
        <v>139549.35622317597</v>
      </c>
      <c r="R22" s="308"/>
      <c r="S22" s="14"/>
      <c r="T22" s="9"/>
      <c r="W22" s="4"/>
    </row>
    <row r="23" spans="2:24" ht="17.399999999999999" x14ac:dyDescent="0.3">
      <c r="B23" s="323">
        <v>1</v>
      </c>
      <c r="C23" s="312" t="s">
        <v>162</v>
      </c>
      <c r="D23" s="313">
        <v>1</v>
      </c>
      <c r="E23" s="313">
        <v>0.5</v>
      </c>
      <c r="F23" s="312" t="s">
        <v>164</v>
      </c>
      <c r="G23" s="314">
        <f t="shared" ref="G23" si="9">Q23</f>
        <v>50064.377682403443</v>
      </c>
      <c r="H23" s="315">
        <f t="shared" ref="H23" si="10">G23*B23</f>
        <v>50064.377682403443</v>
      </c>
      <c r="I23" s="265"/>
      <c r="K23" s="325">
        <f t="shared" si="4"/>
        <v>1</v>
      </c>
      <c r="L23" s="327">
        <f t="shared" ref="L23" si="11">D23+L$19</f>
        <v>1.05</v>
      </c>
      <c r="M23" s="327">
        <f t="shared" ref="M23" si="12">E23+M$19</f>
        <v>0.5</v>
      </c>
      <c r="N23" s="261">
        <f t="shared" ref="N23" si="13">L23*M23</f>
        <v>0.52500000000000002</v>
      </c>
      <c r="O23" s="259">
        <f t="shared" ref="O23" si="14">N23*K23</f>
        <v>0.52500000000000002</v>
      </c>
      <c r="P23" s="252">
        <f t="shared" ref="P23" si="15">P$20*N23</f>
        <v>45064.377682403443</v>
      </c>
      <c r="Q23" s="258">
        <f t="shared" ref="Q23" si="16">P23+Q$20</f>
        <v>50064.377682403443</v>
      </c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8"/>
      <c r="H24" s="318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315000</v>
      </c>
      <c r="I26" s="265"/>
      <c r="J26" s="47"/>
      <c r="K26" s="47"/>
      <c r="L26" s="39">
        <f>K23*L23</f>
        <v>1.05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H26*0.19</f>
        <v>59850</v>
      </c>
      <c r="I27" s="265"/>
      <c r="J27" s="47"/>
      <c r="K27" s="47"/>
      <c r="L27" s="39"/>
      <c r="M27" s="12"/>
      <c r="N27" s="12"/>
      <c r="O27" s="253">
        <f>SUM(O21:O23)</f>
        <v>3.4949999999999997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374850</v>
      </c>
      <c r="I28" s="265"/>
      <c r="J28" s="47"/>
      <c r="K28" s="47"/>
      <c r="L28" s="39"/>
      <c r="M28" s="12"/>
      <c r="N28" s="12"/>
      <c r="O28" s="253">
        <f>O27</f>
        <v>3.4949999999999997</v>
      </c>
      <c r="P28" s="14"/>
      <c r="Q28" s="12"/>
      <c r="R28" s="238">
        <f>SUM(R21:R27)</f>
        <v>2.5499999999999998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0.69899999999999995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20"/>
      <c r="K30" s="47"/>
      <c r="L30" s="14"/>
      <c r="M30" s="12"/>
      <c r="N30" s="12"/>
      <c r="O30" s="46">
        <f>O28+O29</f>
        <v>4.194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20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O302*2</f>
        <v>0</v>
      </c>
      <c r="M32" s="12">
        <v>3500</v>
      </c>
      <c r="N32" s="12">
        <f t="shared" ref="N32:N37" si="17">L32*M32</f>
        <v>0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2</v>
      </c>
      <c r="M33" s="12">
        <v>25000</v>
      </c>
      <c r="N33" s="12">
        <f t="shared" si="17"/>
        <v>50000</v>
      </c>
      <c r="O33" s="39" t="s">
        <v>155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40754</v>
      </c>
      <c r="N34" s="12">
        <f t="shared" si="17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152</v>
      </c>
      <c r="I35" s="262"/>
      <c r="J35" s="319"/>
      <c r="K35" s="250"/>
      <c r="L35" s="14">
        <v>3</v>
      </c>
      <c r="M35" s="250">
        <v>25000</v>
      </c>
      <c r="N35" s="12">
        <f t="shared" si="17"/>
        <v>75000</v>
      </c>
      <c r="O35" s="14" t="s">
        <v>142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J36" s="319"/>
      <c r="K36" s="250"/>
      <c r="L36" s="249"/>
      <c r="M36" s="250">
        <v>800</v>
      </c>
      <c r="N36" s="12">
        <f t="shared" si="17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/>
      <c r="M37" s="12">
        <v>1500</v>
      </c>
      <c r="N37" s="12">
        <f t="shared" si="17"/>
        <v>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125000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31300</v>
      </c>
      <c r="K39" s="250"/>
      <c r="L39" s="254" t="s">
        <v>35</v>
      </c>
      <c r="M39" s="12"/>
      <c r="N39" s="255">
        <f>N38*2.4</f>
        <v>300000</v>
      </c>
      <c r="O39" s="14" t="s">
        <v>141</v>
      </c>
      <c r="P39" s="14"/>
      <c r="Q39" s="46">
        <f>O28/Q38</f>
        <v>0.94235332182916298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26302.521008403364</v>
      </c>
      <c r="K40" s="250"/>
      <c r="L40" s="14"/>
      <c r="M40" s="12"/>
      <c r="N40" s="12">
        <f>N39/O28</f>
        <v>85836.909871244643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2.4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0.91672131147540981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45440</v>
      </c>
    </row>
    <row r="6" spans="2:31" ht="16.2" thickBot="1" x14ac:dyDescent="0.35">
      <c r="B6" s="140" t="s">
        <v>2</v>
      </c>
      <c r="C6" s="139" t="str">
        <f>'2229'!C10</f>
        <v>COMERCIALIZADORA MDM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100</v>
      </c>
      <c r="I7" s="336"/>
      <c r="J7" s="336"/>
      <c r="K7" s="337"/>
      <c r="N7" s="75"/>
      <c r="O7" s="334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10970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4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-30545.625033454111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315000</v>
      </c>
      <c r="E11" s="132">
        <f>D11*0.19</f>
        <v>59850</v>
      </c>
      <c r="F11" s="131">
        <f>E11+D11</f>
        <v>374850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75444.374966545889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79834.090787439607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57444.374966545889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235165.90921256039</v>
      </c>
      <c r="E13" s="221">
        <f>(D11/D12)-1</f>
        <v>2.9456828141087734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48444.374966545889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9444.374966545889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131726.24979927533</v>
      </c>
      <c r="F15" s="216">
        <f>E15-D12</f>
        <v>51892.159011835727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9444.374966545889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49444.374966545889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50000</v>
      </c>
      <c r="E21" s="116">
        <f>SUM(E18:E20)</f>
        <v>9500</v>
      </c>
      <c r="F21" s="115">
        <f>SUM(F18:F20)</f>
        <v>59500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50350</v>
      </c>
    </row>
    <row r="41" spans="2:16" ht="15" thickBot="1" x14ac:dyDescent="0.35">
      <c r="H41" s="338" t="s">
        <v>62</v>
      </c>
      <c r="I41" s="339"/>
      <c r="J41" s="339"/>
      <c r="K41" s="339"/>
      <c r="L41" s="339"/>
      <c r="M41" s="340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315000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50000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235165.90921256039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235165.90921256039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2024-04-10T14:12:54Z</cp:lastPrinted>
  <dcterms:created xsi:type="dcterms:W3CDTF">2013-03-18T13:35:42Z</dcterms:created>
  <dcterms:modified xsi:type="dcterms:W3CDTF">2024-05-28T15:30:00Z</dcterms:modified>
</cp:coreProperties>
</file>