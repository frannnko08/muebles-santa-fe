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4\"/>
    </mc:Choice>
  </mc:AlternateContent>
  <xr:revisionPtr revIDLastSave="0" documentId="13_ncr:1_{1756084B-B65A-480A-89BE-5A54665903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H22" i="1" s="1"/>
  <c r="G21" i="1"/>
  <c r="N39" i="1"/>
  <c r="O27" i="1"/>
  <c r="K22" i="1"/>
  <c r="L22" i="1"/>
  <c r="M22" i="1"/>
  <c r="N22" i="1" s="1"/>
  <c r="O22" i="1" s="1"/>
  <c r="R22" i="1"/>
  <c r="K21" i="1" l="1"/>
  <c r="L21" i="1"/>
  <c r="M21" i="1"/>
  <c r="R21" i="1" l="1"/>
  <c r="N21" i="1"/>
  <c r="O21" i="1" s="1"/>
  <c r="J40" i="1" l="1"/>
  <c r="L26" i="1" l="1"/>
  <c r="N33" i="1" l="1"/>
  <c r="O28" i="1" l="1"/>
  <c r="O29" i="1" s="1"/>
  <c r="O30" i="1" s="1"/>
  <c r="S45" i="1"/>
  <c r="M20" i="1" l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L32" i="1" l="1"/>
  <c r="N32" i="1" l="1"/>
  <c r="N38" i="1" s="1"/>
  <c r="S46" i="1"/>
  <c r="D20" i="3" l="1"/>
  <c r="E20" i="3" s="1"/>
  <c r="E21" i="3" s="1"/>
  <c r="N41" i="1" l="1"/>
  <c r="D21" i="3"/>
  <c r="M43" i="3" s="1"/>
  <c r="D12" i="3" s="1"/>
  <c r="F20" i="3"/>
  <c r="F21" i="3" s="1"/>
  <c r="N40" i="1" l="1"/>
  <c r="P20" i="1" s="1"/>
  <c r="P22" i="1" s="1"/>
  <c r="Q22" i="1" s="1"/>
  <c r="E15" i="3"/>
  <c r="P21" i="1" l="1"/>
  <c r="F15" i="3"/>
  <c r="Q21" i="1" l="1"/>
  <c r="H21" i="1" s="1"/>
  <c r="H24" i="1" s="1"/>
  <c r="R28" i="1"/>
  <c r="K15" i="1" l="1"/>
  <c r="H25" i="1" l="1"/>
  <c r="H2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<sst xmlns="http://schemas.openxmlformats.org/spreadsheetml/2006/main" count="221" uniqueCount="164">
  <si>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</si>
  <si>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</si>
  <si>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</si>
  <si>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</si>
  <si>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</si>
  <si>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</si>
  <si>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</si>
  <si>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</si>
  <si>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</si>
  <si>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</si>
  <si>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</si>
  <si>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</si>
  <si>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</si>
  <si>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</si>
  <si>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</si>
  <si>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</si>
  <si>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</si>
  <si>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</si>
  <si>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</si>
  <si>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</si>
  <si>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</si>
  <si>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</si>
  <si>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</si>
  <si>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</si>
  <si>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</si>
  <si>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</si>
  <si>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</si>
  <si>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</si>
  <si>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</si>
  <si>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</si>
  <si>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</si>
  <si>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</si>
  <si>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</si>
  <si>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</si>
  <si>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</si>
  <si>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</si>
  <si>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</si>
  <si>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</si>
  <si>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</si>
  <si>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</si>
  <si>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</si>
  <si>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</si>
  <si>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</si>
  <si>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</si>
  <si>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</si>
  <si>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</si>
  <si>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</si>
  <si>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</si>
  <si>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</si>
  <si>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</si>
  <si>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</si>
  <si>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</si>
  <si>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</si>
  <si>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</si>
  <si>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</si>
  <si>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</si>
  <si>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</si>
  <si>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</si>
  <si>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</si>
  <si>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</si>
  <si>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</si>
  <si>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</si>
  <si>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</si>
  <si>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</si>
  <si>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</si>
  <si>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</si>
  <si>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</si>
  <si>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</si>
  <si>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</si>
  <si>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</si>
  <si>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</si>
  <si>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</si>
  <si>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</si>
  <si>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</si>
  <si>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</si>
  <si>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</si>
  <si>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</si>
  <si>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</si>
  <si>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</si>
  <si>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</si>
  <si>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</si>
  <si>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</si>
  <si>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</si>
  <si>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</si>
  <si>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</si>
  <si>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</si>
  <si>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</si>
  <si>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</si>
  <si>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</si>
  <si>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</si>
  <si>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</si>
  <si>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</si>
  <si>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</si>
  <si>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</si>
  <si>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</si>
  <si>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</si>
  <si>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</si>
  <si>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</si>
  <si>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</si>
  <si>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</si>
  <si>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</si>
  <si>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</si>
  <si>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</si>
  <si>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</si>
  <si>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</si>
  <si>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</si>
  <si>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</si>
  <si>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</si>
  <si>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</si>
  <si>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</si>
  <si>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</si>
  <si>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</si>
  <si>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</si>
  <si>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</si>
  <si>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</si>
  <si>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</si>
  <si>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</si>
  <si>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</si>
  <si>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</si>
  <si>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</si>
  <si>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</si>
  <si>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</si>
  <si>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</si>
  <si>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</si>
  <si>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</si>
  <si>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</si>
  <si>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</si>
  <si>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</si>
  <si>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</si>
  <si>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</si>
  <si>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</si>
  <si>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</si>
  <si>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</si>
  <si>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</si>
  <si>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</si>
  <si>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</si>
  <si>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</si>
  <si>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</si>
  <si>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</si>
  <si>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</si>
  <si>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</si>
  <si>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</si>
  <si>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</si>
  <si>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</si>
  <si>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</si>
  <si>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</si>
  <si>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</si>
  <si>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</si>
  <si>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</si>
  <si>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</si>
  <si>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</si>
  <si>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</si>
  <si>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MDF25MM</t>
  </si>
  <si>
    <t>SANTIAGO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</si>
  <si>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</si>
  <si>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</si>
  <si>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</si>
  <si>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NICOLE NAVARRO</t>
  </si>
  <si>
    <t>N° 10972</t>
  </si>
  <si>
    <t>+569 6833 8010</t>
  </si>
  <si>
    <t>CUBIERTA CON RESPALDO 90° R6</t>
  </si>
  <si>
    <t>BLANCO BRILLANTE</t>
  </si>
  <si>
    <t>3-5 DIAS HABILES</t>
  </si>
  <si>
    <t>ABONO 50%, SALDO C/ENTREGA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</si>
</sst>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27</xdr:row>
      <xdr:rowOff>5249</xdr:rowOff>
    </xdr:from>
    <xdr:to>
      <xdr:col>8</xdr:col>
      <xdr:colOff>7776</xdr:colOff>
      <xdr:row>30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27</xdr:row>
      <xdr:rowOff>9525</xdr:rowOff>
    </xdr:from>
    <xdr:to>
      <xdr:col>5</xdr:col>
      <xdr:colOff>1679511</xdr:colOff>
      <xdr:row>30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22</xdr:row>
      <xdr:rowOff>225489</xdr:rowOff>
    </xdr:from>
    <xdr:to>
      <xdr:col>5</xdr:col>
      <xdr:colOff>1656183</xdr:colOff>
      <xdr:row>26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SOBREMEDIDAS EN EL LARGO.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SUSTRATO: MDF 18MM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3"/>
  <sheetViews>
    <sheetView tabSelected="1" topLeftCell="A7" zoomScale="98" zoomScaleNormal="98" workbookViewId="0">
      <selection activeCell="F17" sqref="F17:H17"/>
    </sheetView>
  </sheetViews>
  <sheetFormatPr baseColWidth="10" defaultRowHeight="14.4" x14ac:dyDescent="0.3"/>
  <cols>
    <col min="1" max="1" width="6" customWidth="1"/>
    <col min="2" max="2" width="10.5546875" customWidth="1"/>
    <col min="3" max="3" width="43.109375" customWidth="1"/>
    <col min="4" max="4" width="11.109375" customWidth="1"/>
    <col min="5" max="5" width="10.5546875" customWidth="1"/>
    <col min="6" max="6" width="2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158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157</v>
      </c>
      <c r="D10" s="243"/>
      <c r="E10" s="243"/>
      <c r="F10" s="244" t="s">
        <v>0</v>
      </c>
      <c r="G10" s="276">
        <v>45442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162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159</v>
      </c>
      <c r="D15" s="294"/>
      <c r="E15" s="247"/>
      <c r="F15" s="247" t="s">
        <v>136</v>
      </c>
      <c r="G15" s="295" t="s">
        <v>137</v>
      </c>
      <c r="H15" s="248"/>
      <c r="K15" s="18">
        <f>H24/L13</f>
        <v>2688.5961188599154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163</v>
      </c>
      <c r="H16" s="289"/>
    </row>
    <row r="17" spans="1:24" ht="15" thickBot="1" x14ac:dyDescent="0.35">
      <c r="B17" s="296" t="s">
        <v>13</v>
      </c>
      <c r="C17" s="297" t="s">
        <v>153</v>
      </c>
      <c r="D17" s="298"/>
      <c r="E17" s="299"/>
      <c r="F17" s="323" t="s">
        <v>154</v>
      </c>
      <c r="G17" s="323"/>
      <c r="H17" s="324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25" t="s">
        <v>148</v>
      </c>
      <c r="C19" s="326"/>
      <c r="D19" s="326"/>
      <c r="E19" s="326"/>
      <c r="F19" s="326"/>
      <c r="G19" s="326"/>
      <c r="H19" s="32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15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67047.183364839308</v>
      </c>
      <c r="Q20" s="258">
        <v>3000</v>
      </c>
      <c r="R20" s="38"/>
      <c r="S20" s="14" t="s">
        <v>130</v>
      </c>
      <c r="T20" s="9"/>
      <c r="W20" s="4"/>
    </row>
    <row r="21" spans="1:24" ht="17.399999999999999" x14ac:dyDescent="0.3">
      <c r="B21" s="335">
        <v>1</v>
      </c>
      <c r="C21" s="336" t="s">
        <v>160</v>
      </c>
      <c r="D21" s="337">
        <v>1.7</v>
      </c>
      <c r="E21" s="337">
        <v>0.55000000000000004</v>
      </c>
      <c r="F21" s="336" t="s">
        <v>161</v>
      </c>
      <c r="G21" s="338">
        <f>P21</f>
        <v>64532.913988657841</v>
      </c>
      <c r="H21" s="339">
        <f t="shared" ref="H21" si="1">G21*B21</f>
        <v>64532.913988657841</v>
      </c>
      <c r="I21" s="265"/>
      <c r="J21" s="47"/>
      <c r="K21" s="47">
        <f t="shared" ref="K21" si="2">B21</f>
        <v>1</v>
      </c>
      <c r="L21" s="39">
        <f t="shared" ref="L21" si="3">D21+L$19</f>
        <v>1.75</v>
      </c>
      <c r="M21" s="39">
        <f t="shared" ref="M21" si="4">E21+M$19</f>
        <v>0.55000000000000004</v>
      </c>
      <c r="N21" s="261">
        <f t="shared" ref="N21" si="5">L21*M21</f>
        <v>0.96250000000000013</v>
      </c>
      <c r="O21" s="259">
        <f t="shared" ref="O21" si="6">N21*K21</f>
        <v>0.96250000000000013</v>
      </c>
      <c r="P21" s="252">
        <f t="shared" ref="P21" si="7">P$20*N21</f>
        <v>64532.913988657841</v>
      </c>
      <c r="Q21" s="258">
        <f t="shared" ref="Q21" si="8">P21+Q$20</f>
        <v>67532.913988657849</v>
      </c>
      <c r="R21" s="307">
        <f t="shared" ref="R21" si="9">K21*L21</f>
        <v>1.75</v>
      </c>
      <c r="S21" s="14"/>
      <c r="T21" s="9"/>
      <c r="W21" s="4"/>
    </row>
    <row r="22" spans="1:24" ht="18" thickBot="1" x14ac:dyDescent="0.35">
      <c r="B22" s="318">
        <v>1</v>
      </c>
      <c r="C22" s="319" t="s">
        <v>160</v>
      </c>
      <c r="D22" s="320">
        <v>0.75</v>
      </c>
      <c r="E22" s="320">
        <v>0.45</v>
      </c>
      <c r="F22" s="319" t="s">
        <v>161</v>
      </c>
      <c r="G22" s="321">
        <f>P22</f>
        <v>24136.986011342153</v>
      </c>
      <c r="H22" s="322">
        <f t="shared" ref="H22" si="10">G22*B22</f>
        <v>24136.986011342153</v>
      </c>
      <c r="I22" s="265"/>
      <c r="J22" s="47"/>
      <c r="K22" s="47">
        <f t="shared" ref="K22" si="11">B22</f>
        <v>1</v>
      </c>
      <c r="L22" s="39">
        <f t="shared" ref="L22" si="12">D22+L$19</f>
        <v>0.8</v>
      </c>
      <c r="M22" s="39">
        <f t="shared" ref="M22" si="13">E22+M$19</f>
        <v>0.45</v>
      </c>
      <c r="N22" s="261">
        <f t="shared" ref="N22" si="14">L22*M22</f>
        <v>0.36000000000000004</v>
      </c>
      <c r="O22" s="259">
        <f t="shared" ref="O22" si="15">N22*K22</f>
        <v>0.36000000000000004</v>
      </c>
      <c r="P22" s="252">
        <f t="shared" ref="P22" si="16">P$20*N22</f>
        <v>24136.986011342153</v>
      </c>
      <c r="Q22" s="258">
        <f t="shared" ref="Q22" si="17">P22+Q$20</f>
        <v>27136.986011342153</v>
      </c>
      <c r="R22" s="307">
        <f t="shared" ref="R22" si="18">K22*L22</f>
        <v>0.8</v>
      </c>
      <c r="S22" s="14"/>
      <c r="T22" s="9"/>
      <c r="W22" s="4"/>
    </row>
    <row r="23" spans="1:24" ht="18" thickBot="1" x14ac:dyDescent="0.35">
      <c r="B23" s="285"/>
      <c r="C23" s="285"/>
      <c r="D23" s="286"/>
      <c r="E23" s="286"/>
      <c r="F23" s="285"/>
      <c r="G23" s="340"/>
      <c r="H23" s="340"/>
      <c r="I23" s="341"/>
      <c r="J23" s="47"/>
      <c r="K23" s="47"/>
      <c r="L23" s="39"/>
      <c r="M23" s="39"/>
      <c r="N23" s="261"/>
      <c r="O23" s="259"/>
      <c r="P23" s="252"/>
      <c r="Q23" s="258"/>
      <c r="R23" s="307"/>
      <c r="S23" s="14"/>
      <c r="T23" s="9"/>
      <c r="W23" s="4"/>
    </row>
    <row r="24" spans="1:24" ht="17.399999999999999" x14ac:dyDescent="0.3">
      <c r="B24" s="285"/>
      <c r="C24" s="285"/>
      <c r="D24" s="286"/>
      <c r="E24" s="286"/>
      <c r="F24" s="285"/>
      <c r="G24" s="308" t="s">
        <v>30</v>
      </c>
      <c r="H24" s="309">
        <f>SUM(H21:H22)</f>
        <v>88669.9</v>
      </c>
      <c r="I24" s="232"/>
      <c r="J24" s="47"/>
      <c r="K24" s="47"/>
      <c r="L24" s="39"/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7.399999999999999" x14ac:dyDescent="0.3">
      <c r="B25" s="279"/>
      <c r="C25" s="282"/>
      <c r="D25" s="283"/>
      <c r="E25" s="283"/>
      <c r="F25" s="284"/>
      <c r="G25" s="306" t="s">
        <v>53</v>
      </c>
      <c r="H25" s="303">
        <f>H24*0.19</f>
        <v>16847.280999999999</v>
      </c>
      <c r="I25" s="232"/>
      <c r="J25" s="47"/>
      <c r="K25" s="47"/>
      <c r="L25" s="39"/>
      <c r="M25" s="39"/>
      <c r="N25" s="261"/>
      <c r="O25" s="259"/>
      <c r="P25" s="252"/>
      <c r="Q25" s="258"/>
      <c r="R25" s="307"/>
      <c r="S25" s="14"/>
      <c r="T25" s="9"/>
      <c r="W25" s="4"/>
    </row>
    <row r="26" spans="1:24" ht="18" thickBot="1" x14ac:dyDescent="0.35">
      <c r="B26" s="275"/>
      <c r="C26" s="281"/>
      <c r="D26" s="272"/>
      <c r="E26" s="272"/>
      <c r="F26" s="273"/>
      <c r="G26" s="280" t="s">
        <v>6</v>
      </c>
      <c r="H26" s="304">
        <f>H24+H25</f>
        <v>105517.181</v>
      </c>
      <c r="I26" s="265"/>
      <c r="J26" s="47"/>
      <c r="K26" s="47"/>
      <c r="L26" s="39">
        <f>SUM(L21:L21)</f>
        <v>1.75</v>
      </c>
      <c r="M26" s="39"/>
      <c r="N26" s="261"/>
      <c r="O26" s="259"/>
      <c r="P26" s="252"/>
      <c r="Q26" s="258"/>
      <c r="R26" s="307"/>
      <c r="S26" s="14"/>
      <c r="T26" s="9"/>
      <c r="W26" s="4"/>
    </row>
    <row r="27" spans="1:24" ht="17.399999999999999" x14ac:dyDescent="0.3">
      <c r="B27" s="275"/>
      <c r="C27" s="271"/>
      <c r="D27" s="272"/>
      <c r="E27" s="272"/>
      <c r="F27" s="273"/>
      <c r="I27" s="265"/>
      <c r="J27" s="47"/>
      <c r="K27" s="47"/>
      <c r="L27" s="39"/>
      <c r="M27" s="12"/>
      <c r="N27" s="12"/>
      <c r="O27" s="253">
        <f>SUM(O21:O23)</f>
        <v>1.3225000000000002</v>
      </c>
      <c r="P27" s="14"/>
      <c r="Q27" s="12"/>
      <c r="R27" s="238"/>
      <c r="S27" s="14"/>
      <c r="T27" s="9"/>
      <c r="W27" s="4"/>
    </row>
    <row r="28" spans="1:24" ht="17.399999999999999" x14ac:dyDescent="0.35">
      <c r="B28" s="269"/>
      <c r="C28" s="230"/>
      <c r="D28" s="230"/>
      <c r="E28" s="232"/>
      <c r="F28" s="233"/>
      <c r="G28" s="230"/>
      <c r="H28" s="274"/>
      <c r="I28" s="265"/>
      <c r="J28" s="47"/>
      <c r="K28" s="47"/>
      <c r="L28" s="39"/>
      <c r="M28" s="12"/>
      <c r="N28" s="12"/>
      <c r="O28" s="253">
        <f>O27</f>
        <v>1.3225000000000002</v>
      </c>
      <c r="P28" s="14"/>
      <c r="Q28" s="12"/>
      <c r="R28" s="238">
        <f>SUM(R21:R27)</f>
        <v>2.5499999999999998</v>
      </c>
      <c r="S28" s="14"/>
      <c r="T28" s="9"/>
      <c r="W28" s="4"/>
    </row>
    <row r="29" spans="1:24" ht="17.399999999999999" x14ac:dyDescent="0.35">
      <c r="B29" s="234"/>
      <c r="C29" s="235"/>
      <c r="D29" s="236"/>
      <c r="E29" s="234"/>
      <c r="F29" s="230"/>
      <c r="G29" s="230"/>
      <c r="I29" s="265"/>
      <c r="J29" s="47"/>
      <c r="K29" s="47"/>
      <c r="L29" s="14"/>
      <c r="M29" s="12"/>
      <c r="N29" s="12"/>
      <c r="O29" s="39">
        <f>O28*0.2</f>
        <v>0.26450000000000007</v>
      </c>
      <c r="P29" s="39" t="s">
        <v>132</v>
      </c>
      <c r="Q29" s="42"/>
      <c r="R29" s="239"/>
      <c r="S29" s="14"/>
      <c r="T29" s="9"/>
      <c r="W29" s="4"/>
    </row>
    <row r="30" spans="1:24" ht="17.399999999999999" x14ac:dyDescent="0.35">
      <c r="B30" s="230"/>
      <c r="C30" s="230"/>
      <c r="D30" s="230"/>
      <c r="E30" s="230"/>
      <c r="F30" s="230"/>
      <c r="G30" s="230"/>
      <c r="I30" s="265"/>
      <c r="J30" s="312"/>
      <c r="K30" s="47"/>
      <c r="L30" s="14"/>
      <c r="M30" s="12"/>
      <c r="N30" s="12"/>
      <c r="O30" s="46">
        <f>O28+O29</f>
        <v>1.5870000000000002</v>
      </c>
      <c r="P30" s="14"/>
      <c r="Q30" s="14"/>
      <c r="R30" s="237">
        <v>40</v>
      </c>
      <c r="S30" s="14"/>
      <c r="T30" s="9"/>
      <c r="W30" s="4"/>
    </row>
    <row r="31" spans="1:24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312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1:24" ht="17.399999999999999" x14ac:dyDescent="0.35">
      <c r="A32" s="230"/>
      <c r="B32" s="24" t="s">
        <v>155</v>
      </c>
      <c r="C32" s="230"/>
      <c r="D32" s="230"/>
      <c r="E32" s="230"/>
      <c r="F32" s="230"/>
      <c r="G32" s="230"/>
      <c r="H32" s="230"/>
      <c r="I32" s="265"/>
      <c r="J32" s="47"/>
      <c r="K32" s="47"/>
      <c r="L32" s="39">
        <f>O30</f>
        <v>1.5870000000000002</v>
      </c>
      <c r="M32" s="12">
        <v>3500</v>
      </c>
      <c r="N32" s="12">
        <f t="shared" ref="N32:N37" si="19">L32*M32</f>
        <v>5554.5000000000009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1:23" ht="17.399999999999999" x14ac:dyDescent="0.35">
      <c r="A33" s="230"/>
      <c r="B33" s="24" t="s">
        <v>156</v>
      </c>
      <c r="G33" s="230"/>
      <c r="H33" s="230"/>
      <c r="I33" s="265"/>
      <c r="J33" s="47"/>
      <c r="K33" s="47"/>
      <c r="L33" s="249">
        <v>0.23699999999999999</v>
      </c>
      <c r="M33" s="12">
        <v>25000</v>
      </c>
      <c r="N33" s="12">
        <f t="shared" si="19"/>
        <v>5925</v>
      </c>
      <c r="O33" s="39" t="s">
        <v>152</v>
      </c>
      <c r="P33" s="42"/>
      <c r="Q33" s="14"/>
      <c r="R33" s="239"/>
      <c r="S33" s="14"/>
      <c r="T33" s="9"/>
      <c r="W33" s="4"/>
    </row>
    <row r="34" spans="1:23" s="230" customFormat="1" ht="17.399999999999999" x14ac:dyDescent="0.35">
      <c r="B34" s="29" t="s">
        <v>127</v>
      </c>
      <c r="C34"/>
      <c r="D34"/>
      <c r="E34"/>
      <c r="F34" s="229" t="s">
        <v>16</v>
      </c>
      <c r="I34" s="262"/>
      <c r="J34" s="47"/>
      <c r="K34" s="250"/>
      <c r="L34" s="14"/>
      <c r="M34" s="250">
        <v>150000</v>
      </c>
      <c r="N34" s="12">
        <f t="shared" si="19"/>
        <v>0</v>
      </c>
      <c r="O34" s="39" t="s">
        <v>32</v>
      </c>
      <c r="P34" s="42"/>
      <c r="R34" s="239"/>
      <c r="S34" s="256"/>
      <c r="V34" s="231"/>
    </row>
    <row r="35" spans="1:23" s="230" customFormat="1" ht="17.399999999999999" x14ac:dyDescent="0.35">
      <c r="I35" s="262"/>
      <c r="J35" s="311"/>
      <c r="K35" s="250"/>
      <c r="L35" s="14">
        <v>1</v>
      </c>
      <c r="M35" s="250">
        <v>25000</v>
      </c>
      <c r="N35" s="12">
        <f t="shared" si="19"/>
        <v>25000</v>
      </c>
      <c r="O35" s="14" t="s">
        <v>143</v>
      </c>
      <c r="P35" s="17"/>
      <c r="R35" s="237"/>
      <c r="S35" s="256"/>
      <c r="V35" s="231"/>
    </row>
    <row r="36" spans="1:23" s="230" customFormat="1" ht="17.399999999999999" x14ac:dyDescent="0.35">
      <c r="I36" s="262"/>
      <c r="J36" s="311"/>
      <c r="K36" s="250"/>
      <c r="L36" s="249"/>
      <c r="M36" s="250">
        <v>800</v>
      </c>
      <c r="N36" s="12">
        <f t="shared" si="19"/>
        <v>0</v>
      </c>
      <c r="O36" s="14" t="s">
        <v>34</v>
      </c>
      <c r="P36" s="14"/>
      <c r="Q36" s="230">
        <v>1.83</v>
      </c>
      <c r="R36" s="237"/>
      <c r="S36" s="237"/>
    </row>
    <row r="37" spans="1:23" s="230" customFormat="1" ht="17.399999999999999" x14ac:dyDescent="0.35">
      <c r="I37" s="302"/>
      <c r="J37" s="47"/>
      <c r="K37" s="250"/>
      <c r="L37" s="266">
        <v>2.5499999999999998</v>
      </c>
      <c r="M37" s="12">
        <v>1500</v>
      </c>
      <c r="N37" s="12">
        <f t="shared" si="19"/>
        <v>3824.9999999999995</v>
      </c>
      <c r="O37" s="14" t="s">
        <v>24</v>
      </c>
      <c r="P37" s="14"/>
      <c r="Q37">
        <v>3.66</v>
      </c>
      <c r="R37"/>
      <c r="S37" s="237">
        <v>1500</v>
      </c>
      <c r="W37" s="231"/>
    </row>
    <row r="38" spans="1:23" s="230" customFormat="1" ht="17.399999999999999" x14ac:dyDescent="0.35">
      <c r="I38" s="265"/>
      <c r="J38" s="47"/>
      <c r="K38" s="250"/>
      <c r="L38" s="14"/>
      <c r="M38" s="12"/>
      <c r="N38" s="12">
        <f>SUM(N32:N37)</f>
        <v>40304.5</v>
      </c>
      <c r="O38" s="39" t="s">
        <v>25</v>
      </c>
      <c r="P38" s="14"/>
      <c r="Q38">
        <f>Q36*Q37</f>
        <v>6.6978000000000009</v>
      </c>
      <c r="R38"/>
      <c r="S38" s="237">
        <f>R30*S37</f>
        <v>60000</v>
      </c>
      <c r="W38" s="231"/>
    </row>
    <row r="39" spans="1:23" s="230" customFormat="1" ht="17.399999999999999" x14ac:dyDescent="0.35">
      <c r="J39" s="47">
        <v>58690</v>
      </c>
      <c r="K39" s="250"/>
      <c r="L39" s="254" t="s">
        <v>35</v>
      </c>
      <c r="M39" s="12"/>
      <c r="N39" s="255">
        <f>N38*2.2</f>
        <v>88669.900000000009</v>
      </c>
      <c r="O39" s="14" t="s">
        <v>142</v>
      </c>
      <c r="P39" s="14"/>
      <c r="Q39" s="46">
        <f>O30/Q38</f>
        <v>0.23694347397652959</v>
      </c>
      <c r="R39"/>
      <c r="S39" s="257" t="e">
        <f>S38/#REF!</f>
        <v>#REF!</v>
      </c>
    </row>
    <row r="40" spans="1:23" s="230" customFormat="1" ht="17.399999999999999" x14ac:dyDescent="0.35">
      <c r="G40"/>
      <c r="H40" s="260"/>
      <c r="I40" s="260"/>
      <c r="J40" s="47">
        <f>J39/1.19</f>
        <v>49319.327731092439</v>
      </c>
      <c r="K40" s="250"/>
      <c r="L40" s="14"/>
      <c r="M40" s="12"/>
      <c r="N40" s="12">
        <f>N39/O28</f>
        <v>67047.183364839308</v>
      </c>
      <c r="O40" s="45" t="s">
        <v>26</v>
      </c>
      <c r="P40" s="14"/>
      <c r="Q40" s="14"/>
      <c r="R40"/>
      <c r="S40" s="237"/>
    </row>
    <row r="41" spans="1:23" s="230" customFormat="1" ht="17.399999999999999" x14ac:dyDescent="0.35">
      <c r="G41"/>
      <c r="J41" s="47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7"/>
    </row>
    <row r="42" spans="1:23" s="230" customFormat="1" ht="17.399999999999999" x14ac:dyDescent="0.35">
      <c r="G42" s="23"/>
      <c r="J42" s="47"/>
      <c r="K42" s="12"/>
      <c r="S42" s="237"/>
    </row>
    <row r="43" spans="1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1:23" ht="14.4" customHeight="1" x14ac:dyDescent="0.3">
      <c r="J44" s="47"/>
      <c r="K44" s="12"/>
      <c r="S44">
        <v>2.5</v>
      </c>
    </row>
    <row r="45" spans="1:23" x14ac:dyDescent="0.3">
      <c r="J45" s="47"/>
      <c r="K45" s="250"/>
      <c r="S45">
        <f>S43*S44</f>
        <v>4.5750000000000002</v>
      </c>
    </row>
    <row r="46" spans="1:23" x14ac:dyDescent="0.3">
      <c r="K46" s="250"/>
      <c r="S46" s="270">
        <f>O30/S45</f>
        <v>0.34688524590163938</v>
      </c>
    </row>
    <row r="47" spans="1:23" x14ac:dyDescent="0.3">
      <c r="K47" s="250"/>
    </row>
    <row r="48" spans="1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149</v>
      </c>
    </row>
    <row r="76" spans="3:14" x14ac:dyDescent="0.3">
      <c r="C76" t="s">
        <v>148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150</v>
      </c>
    </row>
    <row r="158" spans="3:3" x14ac:dyDescent="0.3">
      <c r="C158" t="s">
        <v>151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45442</v>
      </c>
    </row>
    <row r="6" spans="2:31" ht="16.2" thickBot="1" x14ac:dyDescent="0.35">
      <c r="B6" s="140" t="s">
        <v>2</v>
      </c>
      <c r="C6" s="139" t="str">
        <f>'2229'!C10</f>
        <v>NICOLE NAVARRO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9" t="s">
        <v>100</v>
      </c>
      <c r="I7" s="330"/>
      <c r="J7" s="330"/>
      <c r="K7" s="331"/>
      <c r="N7" s="75"/>
      <c r="O7" s="328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10972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8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-3417.0792001207715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88669.9</v>
      </c>
      <c r="E11" s="132">
        <f>D11*0.19</f>
        <v>16847.280999999999</v>
      </c>
      <c r="F11" s="131">
        <f>E11+D11</f>
        <v>105517.181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102572.92079987923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41313.590787439614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84572.920799879226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47356.30921256038</v>
      </c>
      <c r="E13" s="221">
        <f>(D11/D12)-1</f>
        <v>1.1462646627888349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75572.920799879226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36572.920799879226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68167.424799275366</v>
      </c>
      <c r="F15" s="216">
        <f>E15-D12</f>
        <v>26853.834011835752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36572.920799879226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76572.920799879226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5925</v>
      </c>
      <c r="E19" s="123">
        <f>D19*0.19</f>
        <v>1125.75</v>
      </c>
      <c r="F19" s="120">
        <f>SUM(D19:E19)</f>
        <v>7050.75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5554.5000000000009</v>
      </c>
      <c r="E20" s="121">
        <f>D20*0.19</f>
        <v>1055.3550000000002</v>
      </c>
      <c r="F20" s="120">
        <f>SUM(D20:E20)</f>
        <v>6609.8550000000014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11479.5</v>
      </c>
      <c r="E21" s="116">
        <f>SUM(E18:E20)</f>
        <v>2181.1050000000005</v>
      </c>
      <c r="F21" s="115">
        <f>SUM(F18:F20)</f>
        <v>13660.605000000001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14666.175999999999</v>
      </c>
    </row>
    <row r="41" spans="2:16" ht="15" thickBot="1" x14ac:dyDescent="0.35">
      <c r="H41" s="332" t="s">
        <v>62</v>
      </c>
      <c r="I41" s="333"/>
      <c r="J41" s="333"/>
      <c r="K41" s="333"/>
      <c r="L41" s="333"/>
      <c r="M41" s="334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88669.9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11479.5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47356.30921256038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47356.30921256038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2024-05-29T20:24:35Z</cp:lastPrinted>
  <dcterms:created xsi:type="dcterms:W3CDTF">2013-03-18T13:35:42Z</dcterms:created>
  <dcterms:modified xsi:type="dcterms:W3CDTF">2024-05-30T21:19:00Z</dcterms:modified>
</cp:coreProperties>
</file>