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13844237-A8E3-46E5-8B91-D0D951F8D6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H21" i="1"/>
  <c r="L22" i="1"/>
  <c r="M22" i="1"/>
  <c r="H22" i="1"/>
  <c r="J31" i="1"/>
  <c r="K10" i="1"/>
  <c r="N22" i="1" l="1"/>
  <c r="O22" i="1" s="1"/>
  <c r="R22" i="1"/>
  <c r="J39" i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F15" i="3"/>
  <c r="Q21" i="1" l="1"/>
  <c r="R27" i="1"/>
  <c r="H27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<sst xmlns="http://schemas.openxmlformats.org/spreadsheetml/2006/main" count="221" uniqueCount="166">
  <si>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</si>
  <si>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</si>
  <si>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</si>
  <si>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</si>
  <si>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</si>
  <si>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</si>
  <si>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</si>
  <si>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</si>
  <si>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</si>
  <si>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</si>
  <si>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</si>
  <si>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</si>
  <si>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</si>
  <si>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</si>
  <si>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</si>
  <si>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</si>
  <si>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</si>
  <si>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</si>
  <si>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</si>
  <si>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</si>
  <si>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</si>
  <si>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</si>
  <si>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</si>
  <si>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</si>
  <si>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</si>
  <si>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</si>
  <si>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</si>
  <si>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</si>
  <si>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</si>
  <si>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</si>
  <si>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</si>
  <si>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</si>
  <si>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</si>
  <si>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</si>
  <si>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</si>
  <si>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</si>
  <si>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</si>
  <si>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</si>
  <si>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</si>
  <si>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</si>
  <si>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</si>
  <si>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</si>
  <si>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</si>
  <si>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</si>
  <si>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</si>
  <si>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</si>
  <si>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</si>
  <si>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</si>
  <si>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</si>
  <si>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</si>
  <si>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</si>
  <si>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</si>
  <si>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</si>
  <si>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</si>
  <si>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</si>
  <si>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</si>
  <si>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</si>
  <si>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</si>
  <si>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</si>
  <si>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</si>
  <si>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</si>
  <si>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</si>
  <si>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</si>
  <si>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</si>
  <si>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</si>
  <si>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</si>
  <si>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</si>
  <si>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</si>
  <si>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</si>
  <si>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</si>
  <si>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</si>
  <si>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</si>
  <si>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</si>
  <si>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</si>
  <si>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</si>
  <si>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</si>
  <si>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</si>
  <si>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</si>
  <si>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</si>
  <si>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</si>
  <si>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</si>
  <si>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</si>
  <si>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</si>
  <si>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</si>
  <si>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</si>
  <si>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</si>
  <si>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</si>
  <si>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</si>
  <si>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</si>
  <si>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</si>
  <si>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</si>
  <si>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</si>
  <si>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</si>
  <si>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</si>
  <si>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</si>
  <si>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</si>
  <si>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</si>
  <si>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</si>
  <si>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</si>
  <si>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</si>
  <si>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</si>
  <si>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</si>
  <si>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</si>
  <si>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</si>
  <si>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</si>
  <si>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</si>
  <si>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</si>
  <si>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</si>
  <si>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</si>
  <si>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</si>
  <si>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</si>
  <si>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</si>
  <si>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</si>
  <si>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</si>
  <si>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</si>
  <si>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</si>
  <si>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</si>
  <si>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</si>
  <si>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</si>
  <si>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</si>
  <si>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</si>
  <si>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</si>
  <si>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</si>
  <si>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</si>
  <si>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</si>
  <si>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</si>
  <si>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</si>
  <si>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</si>
  <si>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</si>
  <si>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</si>
  <si>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</si>
  <si>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</si>
  <si>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</si>
  <si>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</si>
  <si>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</si>
  <si>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</si>
  <si>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</si>
  <si>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</si>
  <si>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</si>
  <si>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</si>
  <si>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</si>
  <si>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</si>
  <si>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</si>
  <si>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</si>
  <si>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</si>
  <si>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</si>
  <si>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</si>
  <si>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</si>
  <si>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</si>
  <si>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</si>
  <si>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</si>
  <si>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</si>
  <si>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</si>
  <si>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</si>
  <si>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</si>
  <si>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</si>
  <si>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</si>
  <si>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</si>
  <si>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</si>
  <si>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CUB CON RESPALDO FRENTE 90° R6</t>
  </si>
  <si>
    <t>EMBALAR</t>
  </si>
  <si>
    <t>N° 10955</t>
  </si>
  <si>
    <t>RUBEN TEJEDA</t>
  </si>
  <si>
    <t>+569 3370 3456</t>
  </si>
  <si>
    <t>LISO</t>
  </si>
  <si>
    <t>GRANITO O 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</si>
</sst>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23</xdr:row>
      <xdr:rowOff>84014</xdr:rowOff>
    </xdr:from>
    <xdr:to>
      <xdr:col>5</xdr:col>
      <xdr:colOff>1849560</xdr:colOff>
      <xdr:row>27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B9" zoomScale="98" zoomScaleNormal="98" workbookViewId="0">
      <selection activeCell="B22" sqref="B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162</v>
      </c>
      <c r="D10" s="243"/>
      <c r="E10" s="243"/>
      <c r="F10" s="244" t="s">
        <v>0</v>
      </c>
      <c r="G10" s="277">
        <v>45425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163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58356.215088967983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159</v>
      </c>
      <c r="D21" s="313">
        <v>2.76</v>
      </c>
      <c r="E21" s="313">
        <v>0.6</v>
      </c>
      <c r="F21" s="312" t="s">
        <v>164</v>
      </c>
      <c r="G21" s="314">
        <v>101389</v>
      </c>
      <c r="H21" s="315">
        <f t="shared" ref="H21:H22" si="1">G21*B21</f>
        <v>101389</v>
      </c>
      <c r="I21" s="265">
        <v>20000</v>
      </c>
      <c r="J21" s="47"/>
      <c r="K21" s="325">
        <f>B21</f>
        <v>1</v>
      </c>
      <c r="L21" s="326">
        <f t="shared" ref="L21:M21" si="2">D21+L$19</f>
        <v>2.8099999999999996</v>
      </c>
      <c r="M21" s="326">
        <f t="shared" si="2"/>
        <v>0.6</v>
      </c>
      <c r="N21" s="261">
        <f>L21*M21</f>
        <v>1.6859999999999997</v>
      </c>
      <c r="O21" s="259">
        <f>N21*K21</f>
        <v>1.6859999999999997</v>
      </c>
      <c r="P21" s="252">
        <f>P$20*N21</f>
        <v>98388.578640000007</v>
      </c>
      <c r="Q21" s="258">
        <f>P21+Q$20</f>
        <v>101388.57864000001</v>
      </c>
      <c r="R21" s="308">
        <f>K21*L21</f>
        <v>2.8099999999999996</v>
      </c>
      <c r="S21" s="14"/>
      <c r="T21" s="9"/>
      <c r="W21" s="4"/>
    </row>
    <row r="22" spans="2:24" ht="17.399999999999999" x14ac:dyDescent="0.3">
      <c r="B22" s="323">
        <v>1</v>
      </c>
      <c r="C22" s="312" t="s">
        <v>159</v>
      </c>
      <c r="D22" s="313">
        <v>2.76</v>
      </c>
      <c r="E22" s="313">
        <v>0.6</v>
      </c>
      <c r="F22" s="312" t="s">
        <v>165</v>
      </c>
      <c r="G22" s="314">
        <v>138789</v>
      </c>
      <c r="H22" s="315">
        <f t="shared" si="1"/>
        <v>138789</v>
      </c>
      <c r="I22" s="265"/>
      <c r="J22" s="47"/>
      <c r="K22" s="325"/>
      <c r="L22" s="326">
        <f t="shared" ref="L22" si="3">D22+L$19</f>
        <v>2.8099999999999996</v>
      </c>
      <c r="M22" s="326">
        <f t="shared" ref="M22" si="4">E22+M$19</f>
        <v>0.6</v>
      </c>
      <c r="N22" s="261">
        <f>L22*M22</f>
        <v>1.6859999999999997</v>
      </c>
      <c r="O22" s="259">
        <f>N22*K22</f>
        <v>0</v>
      </c>
      <c r="P22" s="252">
        <f>P$20*N22</f>
        <v>98388.578640000007</v>
      </c>
      <c r="Q22" s="258">
        <f>P22+Q$20</f>
        <v>101388.57864000001</v>
      </c>
      <c r="R22" s="308">
        <f>K22*L22</f>
        <v>0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8"/>
      <c r="H23" s="318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v>450000</v>
      </c>
      <c r="I25" s="265"/>
      <c r="J25" s="47"/>
      <c r="K25" s="47"/>
      <c r="L25" s="39">
        <f>SUM(L21:L24)</f>
        <v>5.6199999999999992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/>
      <c r="I26" s="265"/>
      <c r="J26" s="47"/>
      <c r="K26" s="47"/>
      <c r="L26" s="39"/>
      <c r="M26" s="12"/>
      <c r="N26" s="12"/>
      <c r="O26" s="253">
        <f>SUM(O21:O22)</f>
        <v>1.6859999999999997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450000</v>
      </c>
      <c r="I27" s="265"/>
      <c r="J27" s="47"/>
      <c r="K27" s="47"/>
      <c r="L27" s="39"/>
      <c r="M27" s="12"/>
      <c r="N27" s="12"/>
      <c r="O27" s="253">
        <f>O26</f>
        <v>1.6859999999999997</v>
      </c>
      <c r="P27" s="14"/>
      <c r="Q27" s="12"/>
      <c r="R27" s="238">
        <f>SUM(R21:R26)</f>
        <v>2.8099999999999996</v>
      </c>
      <c r="S27" s="14"/>
      <c r="T27" s="9"/>
      <c r="W27" s="4"/>
    </row>
    <row r="28" spans="2:24" ht="17.399999999999999" x14ac:dyDescent="0.3">
      <c r="B28" s="276"/>
      <c r="C28" s="271" t="s">
        <v>160</v>
      </c>
      <c r="D28" s="272"/>
      <c r="E28" s="272"/>
      <c r="F28" s="273"/>
      <c r="I28" s="265"/>
      <c r="J28" s="47">
        <v>32</v>
      </c>
      <c r="K28" s="47"/>
      <c r="L28" s="39"/>
      <c r="M28" s="12"/>
      <c r="N28" s="12"/>
      <c r="O28" s="39">
        <f>O27*20%</f>
        <v>0.33719999999999994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20">
        <v>32</v>
      </c>
      <c r="K29" s="47"/>
      <c r="L29" s="14"/>
      <c r="M29" s="12"/>
      <c r="N29" s="12"/>
      <c r="O29" s="46">
        <f>O27+O28</f>
        <v>2.0231999999999997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20">
        <v>55</v>
      </c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>
        <f>SUM(J28:J30)</f>
        <v>119</v>
      </c>
      <c r="K31" s="47"/>
      <c r="L31" s="39">
        <f>O29</f>
        <v>2.0231999999999997</v>
      </c>
      <c r="M31" s="12">
        <v>3.5</v>
      </c>
      <c r="N31" s="12">
        <f t="shared" ref="N31:N36" si="5">L31*M31</f>
        <v>7.0811999999999991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5"/>
        <v>12500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55000</v>
      </c>
      <c r="N33" s="12">
        <f t="shared" si="5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9"/>
      <c r="K34" s="250"/>
      <c r="L34" s="14">
        <v>1</v>
      </c>
      <c r="M34" s="250">
        <v>28000</v>
      </c>
      <c r="N34" s="12">
        <f t="shared" si="5"/>
        <v>28000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9"/>
      <c r="K35" s="250"/>
      <c r="L35" s="249"/>
      <c r="M35" s="250">
        <v>800</v>
      </c>
      <c r="N35" s="12">
        <f t="shared" si="5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2.81</v>
      </c>
      <c r="M36" s="12">
        <v>1500</v>
      </c>
      <c r="N36" s="12">
        <f t="shared" si="5"/>
        <v>4215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44722.081200000001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43190</v>
      </c>
      <c r="K38" s="250"/>
      <c r="L38" s="254" t="s">
        <v>35</v>
      </c>
      <c r="M38" s="12"/>
      <c r="N38" s="255">
        <f>N37*2.2</f>
        <v>98388.578640000007</v>
      </c>
      <c r="O38" s="14" t="s">
        <v>142</v>
      </c>
      <c r="P38" s="14"/>
      <c r="Q38" s="46">
        <f>O27/Q37</f>
        <v>0.45459447799827429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36294.117647058825</v>
      </c>
      <c r="K39" s="250"/>
      <c r="L39" s="14"/>
      <c r="M39" s="12"/>
      <c r="N39" s="12">
        <f>N38/O27</f>
        <v>58356.215088967983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0.44222950819672124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45425</v>
      </c>
    </row>
    <row r="6" spans="2:31" ht="16.2" thickBot="1" x14ac:dyDescent="0.35">
      <c r="B6" s="140" t="s">
        <v>2</v>
      </c>
      <c r="C6" s="139" t="str">
        <f>'2229'!C10</f>
        <v>RUBEN TEJEDA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10955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-63356.177703454101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450000</v>
      </c>
      <c r="E11" s="132">
        <f>D11*0.19</f>
        <v>85500</v>
      </c>
      <c r="F11" s="131">
        <f>E11+D11</f>
        <v>535500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42633.822296545899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42341.171987439615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24633.822296545899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407658.82801256038</v>
      </c>
      <c r="E13" s="221">
        <f>(D11/D12)-1</f>
        <v>9.6279533342509076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15633.822296545899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-23366.177703454101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69862.933779275365</v>
      </c>
      <c r="F15" s="216">
        <f>E15-D12</f>
        <v>27521.76179183575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-23366.177703454101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16633.822296545899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7.0811999999999991</v>
      </c>
      <c r="E20" s="121">
        <f>D20*0.19</f>
        <v>1.3454279999999998</v>
      </c>
      <c r="F20" s="120">
        <f>SUM(D20:E20)</f>
        <v>8.4266279999999991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12507.081200000001</v>
      </c>
      <c r="E21" s="116">
        <f>SUM(E18:E20)</f>
        <v>2376.3454280000001</v>
      </c>
      <c r="F21" s="115">
        <f>SUM(F18:F20)</f>
        <v>14883.426627999999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83123.654571999999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450000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12507.081200000001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407658.82801256038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407658.82801256038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2024-05-13T15:07:00Z</cp:lastPrinted>
  <dcterms:created xsi:type="dcterms:W3CDTF">2013-03-18T13:35:42Z</dcterms:created>
  <dcterms:modified xsi:type="dcterms:W3CDTF">2024-05-13T19:40:57Z</dcterms:modified>
</cp:coreProperties>
</file>