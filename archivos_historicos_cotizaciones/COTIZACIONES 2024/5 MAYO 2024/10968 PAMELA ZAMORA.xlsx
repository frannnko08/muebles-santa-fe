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6A53E3F1-96EA-417A-9AD2-4B69272D52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M21" i="1"/>
  <c r="R21" i="1" l="1"/>
  <c r="N21" i="1"/>
  <c r="O21" i="1" s="1"/>
  <c r="O25" i="1" s="1"/>
  <c r="J38" i="1" l="1"/>
  <c r="L24" i="1" l="1"/>
  <c r="N31" i="1" l="1"/>
  <c r="O26" i="1" l="1"/>
  <c r="O27" i="1" s="1"/>
  <c r="O28" i="1" s="1"/>
  <c r="S43" i="1"/>
  <c r="M20" i="1" l="1"/>
  <c r="K20" i="1"/>
  <c r="N32" i="1" l="1"/>
  <c r="Q36" i="1"/>
  <c r="Q37" i="1" s="1"/>
  <c r="N33" i="1" l="1"/>
  <c r="S36" i="1" l="1"/>
  <c r="S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5" i="1"/>
  <c r="N34" i="1"/>
  <c r="F18" i="3" l="1"/>
  <c r="L30" i="1" l="1"/>
  <c r="N30" i="1" l="1"/>
  <c r="N36" i="1" s="1"/>
  <c r="N37" i="1" s="1"/>
  <c r="S44" i="1"/>
  <c r="D20" i="3" l="1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G21" i="1" s="1"/>
  <c r="F15" i="3"/>
  <c r="Q21" i="1" l="1"/>
  <c r="H21" i="1" s="1"/>
  <c r="R26" i="1"/>
  <c r="H24" i="1" l="1"/>
  <c r="K15" i="1" s="1"/>
  <c r="H25" i="1" l="1"/>
  <c r="H26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<sst xmlns="http://schemas.openxmlformats.org/spreadsheetml/2006/main" count="219" uniqueCount="164">
  <si>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</si>
  <si>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</si>
  <si>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</si>
  <si>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</si>
  <si>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</si>
  <si>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</si>
  <si>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</si>
  <si>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</si>
  <si>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</si>
  <si>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</si>
  <si>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</si>
  <si>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</si>
  <si>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</si>
  <si>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</si>
  <si>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</si>
  <si>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</si>
  <si>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</si>
  <si>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</si>
  <si>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</si>
  <si>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</si>
  <si>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</si>
  <si>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</si>
  <si>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</si>
  <si>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</si>
  <si>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</si>
  <si>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</si>
  <si>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</si>
  <si>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</si>
  <si>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</si>
  <si>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</si>
  <si>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</si>
  <si>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</si>
  <si>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</si>
  <si>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</si>
  <si>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</si>
  <si>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</si>
  <si>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</si>
  <si>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</si>
  <si>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</si>
  <si>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</si>
  <si>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</si>
  <si>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</si>
  <si>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</si>
  <si>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</si>
  <si>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</si>
  <si>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</si>
  <si>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</si>
  <si>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</si>
  <si>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</si>
  <si>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</si>
  <si>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</si>
  <si>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</si>
  <si>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</si>
  <si>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</si>
  <si>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</si>
  <si>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</si>
  <si>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</si>
  <si>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</si>
  <si>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</si>
  <si>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</si>
  <si>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</si>
  <si>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</si>
  <si>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</si>
  <si>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</si>
  <si>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</si>
  <si>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</si>
  <si>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</si>
  <si>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</si>
  <si>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</si>
  <si>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</si>
  <si>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</si>
  <si>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</si>
  <si>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</si>
  <si>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</si>
  <si>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</si>
  <si>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</si>
  <si>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</si>
  <si>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</si>
  <si>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</si>
  <si>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</si>
  <si>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</si>
  <si>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</si>
  <si>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</si>
  <si>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</si>
  <si>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</si>
  <si>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</si>
  <si>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</si>
  <si>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</si>
  <si>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</si>
  <si>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</si>
  <si>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</si>
  <si>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</si>
  <si>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</si>
  <si>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</si>
  <si>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</si>
  <si>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</si>
  <si>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</si>
  <si>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</si>
  <si>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</si>
  <si>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</si>
  <si>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</si>
  <si>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</si>
  <si>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</si>
  <si>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</si>
  <si>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</si>
  <si>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</si>
  <si>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</si>
  <si>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</si>
  <si>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</si>
  <si>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</si>
  <si>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</si>
  <si>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</si>
  <si>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</si>
  <si>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</si>
  <si>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</si>
  <si>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</si>
  <si>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</si>
  <si>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</si>
  <si>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</si>
  <si>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</si>
  <si>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</si>
  <si>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</si>
  <si>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</si>
  <si>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</si>
  <si>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</si>
  <si>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</si>
  <si>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</si>
  <si>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</si>
  <si>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</si>
  <si>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</si>
  <si>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</si>
  <si>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</si>
  <si>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</si>
  <si>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</si>
  <si>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</si>
  <si>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</si>
  <si>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</si>
  <si>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</si>
  <si>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</si>
  <si>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</si>
  <si>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</si>
  <si>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</si>
  <si>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</si>
  <si>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</si>
  <si>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</si>
  <si>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</si>
  <si>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</si>
  <si>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</si>
  <si>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</si>
  <si>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</si>
  <si>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</si>
  <si>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</si>
  <si>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</si>
  <si>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</si>
  <si>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CONTADO</t>
  </si>
  <si>
    <t>DURACION COTIZACION: 5 DIAS                   FERNANDO DONOSO</t>
  </si>
  <si>
    <t>BLANCO OPACO</t>
  </si>
  <si>
    <t>3-5 DIAS HABILES</t>
  </si>
  <si>
    <t>PAMELA ZAMORA</t>
  </si>
  <si>
    <t>+569 9844 6502</t>
  </si>
  <si>
    <t>CUBIERTA SIN RESPALDO R2</t>
  </si>
  <si>
    <t>N° 10968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</si>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</sst>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27</xdr:row>
      <xdr:rowOff>5249</xdr:rowOff>
    </xdr:from>
    <xdr:to>
      <xdr:col>8</xdr:col>
      <xdr:colOff>7776</xdr:colOff>
      <xdr:row>30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27</xdr:row>
      <xdr:rowOff>9525</xdr:rowOff>
    </xdr:from>
    <xdr:to>
      <xdr:col>5</xdr:col>
      <xdr:colOff>1749491</xdr:colOff>
      <xdr:row>30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22</xdr:row>
      <xdr:rowOff>223973</xdr:rowOff>
    </xdr:from>
    <xdr:to>
      <xdr:col>5</xdr:col>
      <xdr:colOff>1749490</xdr:colOff>
      <xdr:row>26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</a:t>
          </a:r>
          <a:r>
            <a:rPr lang="es-CL" sz="1200" b="1" baseline="0"/>
            <a:t> SOBREMEDIDAS EN EL LARGO.</a:t>
          </a:r>
          <a:endParaRPr lang="es-CL" sz="1200" b="1"/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1"/>
  <sheetViews>
    <sheetView tabSelected="1" topLeftCell="A9" zoomScale="98" zoomScaleNormal="98" workbookViewId="0">
      <selection activeCell="C36" sqref="C36"/>
    </sheetView>
  </sheetViews>
  <sheetFormatPr baseColWidth="10" defaultRowHeight="14.4" x14ac:dyDescent="0.3"/>
  <cols>
    <col min="1" max="1" width="6" customWidth="1"/>
    <col min="2" max="2" width="10.5546875" customWidth="1"/>
    <col min="3" max="3" width="48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4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158</v>
      </c>
      <c r="D10" s="243"/>
      <c r="E10" s="243"/>
      <c r="F10" s="244" t="s">
        <v>0</v>
      </c>
      <c r="G10" s="276">
        <v>45435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5" t="s">
        <v>159</v>
      </c>
      <c r="D15" s="294"/>
      <c r="E15" s="247"/>
      <c r="F15" s="247" t="s">
        <v>136</v>
      </c>
      <c r="G15" s="295" t="s">
        <v>137</v>
      </c>
      <c r="H15" s="248"/>
      <c r="K15" s="18">
        <f>H24/L13</f>
        <v>2593.9721043056402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154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8" t="s">
        <v>155</v>
      </c>
      <c r="G17" s="328"/>
      <c r="H17" s="329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7.399999999999999" x14ac:dyDescent="0.3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N38</f>
        <v>46748.196721311484</v>
      </c>
      <c r="Q20" s="258">
        <v>3000</v>
      </c>
      <c r="R20" s="38"/>
      <c r="S20" s="14" t="s">
        <v>130</v>
      </c>
      <c r="T20" s="9"/>
      <c r="W20" s="4"/>
    </row>
    <row r="21" spans="1:24" ht="18" thickBot="1" x14ac:dyDescent="0.35">
      <c r="B21" s="323">
        <v>1</v>
      </c>
      <c r="C21" s="324" t="s">
        <v>160</v>
      </c>
      <c r="D21" s="325">
        <v>3</v>
      </c>
      <c r="E21" s="325">
        <v>0.6</v>
      </c>
      <c r="F21" s="324" t="s">
        <v>156</v>
      </c>
      <c r="G21" s="326">
        <f>P21</f>
        <v>85549.200000000012</v>
      </c>
      <c r="H21" s="327">
        <f t="shared" ref="H21" si="1">G21*B21</f>
        <v>85549.200000000012</v>
      </c>
      <c r="I21" s="265"/>
      <c r="J21" s="47"/>
      <c r="K21" s="316">
        <f t="shared" ref="K21" si="2">B21</f>
        <v>1</v>
      </c>
      <c r="L21" s="317">
        <f t="shared" ref="L21" si="3">D21+L$19</f>
        <v>3.05</v>
      </c>
      <c r="M21" s="317">
        <f t="shared" ref="M21" si="4">E21+M$19</f>
        <v>0.6</v>
      </c>
      <c r="N21" s="261">
        <f t="shared" ref="N21" si="5">L21*M21</f>
        <v>1.8299999999999998</v>
      </c>
      <c r="O21" s="259">
        <f t="shared" ref="O21" si="6">N21*K21</f>
        <v>1.8299999999999998</v>
      </c>
      <c r="P21" s="252">
        <f t="shared" ref="P21" si="7">P$20*N21</f>
        <v>85549.200000000012</v>
      </c>
      <c r="Q21" s="258">
        <f t="shared" ref="Q21" si="8">P21+Q$20</f>
        <v>88549.200000000012</v>
      </c>
      <c r="R21" s="307">
        <f t="shared" ref="R21" si="9">K21*L21</f>
        <v>3.05</v>
      </c>
      <c r="S21" s="14"/>
      <c r="T21" s="9"/>
      <c r="W21" s="4"/>
    </row>
    <row r="22" spans="1:24" ht="17.399999999999999" x14ac:dyDescent="0.3">
      <c r="B22" s="285"/>
      <c r="C22" s="285"/>
      <c r="D22" s="286"/>
      <c r="E22" s="286"/>
      <c r="F22" s="285"/>
      <c r="G22" s="311"/>
      <c r="H22" s="311"/>
      <c r="I22" s="265"/>
      <c r="K22" s="318"/>
      <c r="L22" s="319"/>
      <c r="M22" s="319"/>
      <c r="N22" s="261"/>
      <c r="O22" s="259"/>
      <c r="P22" s="252"/>
      <c r="Q22" s="258"/>
      <c r="R22" s="307"/>
      <c r="S22" s="14"/>
      <c r="T22" s="9"/>
      <c r="W22" s="4"/>
    </row>
    <row r="23" spans="1:24" ht="18" thickBot="1" x14ac:dyDescent="0.35">
      <c r="B23" s="285"/>
      <c r="C23" s="285"/>
      <c r="D23" s="286"/>
      <c r="E23" s="286"/>
      <c r="F23" s="285"/>
      <c r="G23" s="265"/>
      <c r="H23" s="232"/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85"/>
      <c r="C24" s="285"/>
      <c r="D24" s="286"/>
      <c r="E24" s="286"/>
      <c r="F24" s="285"/>
      <c r="G24" s="308" t="s">
        <v>30</v>
      </c>
      <c r="H24" s="309">
        <f>SUM(H21:H23)</f>
        <v>85549.200000000012</v>
      </c>
      <c r="I24" s="265"/>
      <c r="J24" s="47"/>
      <c r="K24" s="47"/>
      <c r="L24" s="39">
        <f>SUM(L21:L23)</f>
        <v>3.05</v>
      </c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7.399999999999999" x14ac:dyDescent="0.3">
      <c r="B25" s="279"/>
      <c r="C25" s="282"/>
      <c r="D25" s="283"/>
      <c r="E25" s="283"/>
      <c r="F25" s="284"/>
      <c r="G25" s="306" t="s">
        <v>53</v>
      </c>
      <c r="H25" s="303">
        <f>H24*0.19</f>
        <v>16254.348000000002</v>
      </c>
      <c r="I25" s="265"/>
      <c r="J25" s="47"/>
      <c r="K25" s="47"/>
      <c r="L25" s="39"/>
      <c r="M25" s="12"/>
      <c r="N25" s="12"/>
      <c r="O25" s="253">
        <f>SUM(O21:O21)</f>
        <v>1.8299999999999998</v>
      </c>
      <c r="P25" s="14"/>
      <c r="Q25" s="12"/>
      <c r="R25" s="238"/>
      <c r="S25" s="14"/>
      <c r="T25" s="9"/>
      <c r="W25" s="4"/>
    </row>
    <row r="26" spans="1:24" ht="18" thickBot="1" x14ac:dyDescent="0.35">
      <c r="B26" s="275"/>
      <c r="C26" s="281"/>
      <c r="D26" s="272"/>
      <c r="E26" s="272"/>
      <c r="F26" s="273"/>
      <c r="G26" s="280" t="s">
        <v>6</v>
      </c>
      <c r="H26" s="304">
        <f>H24+H25</f>
        <v>101803.54800000001</v>
      </c>
      <c r="I26" s="265"/>
      <c r="J26" s="47"/>
      <c r="K26" s="47"/>
      <c r="L26" s="39"/>
      <c r="M26" s="12"/>
      <c r="N26" s="12"/>
      <c r="O26" s="253">
        <f>O25</f>
        <v>1.8299999999999998</v>
      </c>
      <c r="P26" s="14"/>
      <c r="Q26" s="12"/>
      <c r="R26" s="238">
        <f>SUM(R21:R25)</f>
        <v>3.05</v>
      </c>
      <c r="S26" s="14"/>
      <c r="T26" s="9"/>
      <c r="W26" s="4"/>
    </row>
    <row r="27" spans="1:24" ht="17.399999999999999" x14ac:dyDescent="0.3">
      <c r="B27" s="275"/>
      <c r="C27" s="271"/>
      <c r="D27" s="272"/>
      <c r="E27" s="272"/>
      <c r="F27" s="273"/>
      <c r="I27" s="265"/>
      <c r="J27" s="47"/>
      <c r="K27" s="47"/>
      <c r="L27" s="14"/>
      <c r="M27" s="12"/>
      <c r="N27" s="12"/>
      <c r="O27" s="39">
        <f>O26*0.2</f>
        <v>0.36599999999999999</v>
      </c>
      <c r="P27" s="39" t="s">
        <v>132</v>
      </c>
      <c r="Q27" s="42"/>
      <c r="R27" s="239"/>
      <c r="S27" s="14"/>
      <c r="T27" s="9"/>
      <c r="W27" s="4"/>
    </row>
    <row r="28" spans="1:24" ht="17.399999999999999" x14ac:dyDescent="0.35">
      <c r="B28" s="269"/>
      <c r="C28" s="230"/>
      <c r="D28" s="230"/>
      <c r="E28" s="232"/>
      <c r="F28" s="233"/>
      <c r="G28" s="230"/>
      <c r="H28" s="274"/>
      <c r="I28" s="265"/>
      <c r="J28" s="313"/>
      <c r="K28" s="47"/>
      <c r="L28" s="14"/>
      <c r="M28" s="12"/>
      <c r="N28" s="12"/>
      <c r="O28" s="46">
        <f>O26+O27</f>
        <v>2.1959999999999997</v>
      </c>
      <c r="P28" s="14"/>
      <c r="Q28" s="14"/>
      <c r="R28" s="237">
        <v>40</v>
      </c>
      <c r="S28" s="14"/>
      <c r="T28" s="9"/>
      <c r="W28" s="4"/>
    </row>
    <row r="29" spans="1:24" ht="17.399999999999999" x14ac:dyDescent="0.35">
      <c r="B29" s="234"/>
      <c r="C29" s="235"/>
      <c r="D29" s="236"/>
      <c r="E29" s="234"/>
      <c r="F29" s="230"/>
      <c r="G29" s="230"/>
      <c r="J29" s="313"/>
      <c r="K29" s="47"/>
      <c r="L29" s="14"/>
      <c r="M29" s="14"/>
      <c r="N29" s="14"/>
      <c r="O29" s="14"/>
      <c r="P29" s="14"/>
      <c r="Q29" s="14"/>
      <c r="R29" s="237"/>
      <c r="S29" s="14"/>
      <c r="T29" s="9"/>
      <c r="W29" s="4"/>
    </row>
    <row r="30" spans="1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39">
        <f>O28</f>
        <v>2.1959999999999997</v>
      </c>
      <c r="M30" s="12">
        <v>3500</v>
      </c>
      <c r="N30" s="12">
        <f t="shared" ref="N30:N35" si="10">L30*M30</f>
        <v>7685.9999999999991</v>
      </c>
      <c r="O30" s="14" t="s">
        <v>22</v>
      </c>
      <c r="P30" s="14" t="s">
        <v>23</v>
      </c>
      <c r="Q30" s="14"/>
      <c r="R30" s="240"/>
      <c r="S30" s="14"/>
      <c r="T30" s="9"/>
      <c r="W30" s="4"/>
    </row>
    <row r="31" spans="1:24" ht="17.399999999999999" x14ac:dyDescent="0.35">
      <c r="A31" s="230"/>
      <c r="B31" s="230"/>
      <c r="C31" s="230"/>
      <c r="D31" s="230"/>
      <c r="E31" s="230"/>
      <c r="F31" s="230"/>
      <c r="G31" s="230"/>
      <c r="H31" s="230"/>
      <c r="I31" s="265"/>
      <c r="J31" s="47"/>
      <c r="K31" s="47"/>
      <c r="L31" s="249">
        <v>0.32800000000000001</v>
      </c>
      <c r="M31" s="12">
        <v>25000</v>
      </c>
      <c r="N31" s="12">
        <f t="shared" si="10"/>
        <v>8200</v>
      </c>
      <c r="O31" s="39" t="s">
        <v>152</v>
      </c>
      <c r="P31" s="42"/>
      <c r="Q31" s="14"/>
      <c r="R31" s="239"/>
      <c r="S31" s="14"/>
      <c r="T31" s="9"/>
      <c r="W31" s="4"/>
    </row>
    <row r="32" spans="1:24" s="230" customFormat="1" ht="17.399999999999999" x14ac:dyDescent="0.35">
      <c r="B32" s="24" t="s">
        <v>162</v>
      </c>
      <c r="I32" s="262"/>
      <c r="J32" s="47"/>
      <c r="K32" s="250"/>
      <c r="L32" s="14"/>
      <c r="M32" s="250">
        <v>150000</v>
      </c>
      <c r="N32" s="12">
        <f t="shared" si="10"/>
        <v>0</v>
      </c>
      <c r="O32" s="39" t="s">
        <v>32</v>
      </c>
      <c r="P32" s="42"/>
      <c r="R32" s="239"/>
      <c r="S32" s="256"/>
      <c r="V32" s="231"/>
    </row>
    <row r="33" spans="2:23" s="230" customFormat="1" ht="17.399999999999999" x14ac:dyDescent="0.35">
      <c r="B33" s="24" t="s">
        <v>163</v>
      </c>
      <c r="C33"/>
      <c r="D33"/>
      <c r="E33"/>
      <c r="F33"/>
      <c r="I33" s="262"/>
      <c r="J33" s="312"/>
      <c r="K33" s="250"/>
      <c r="L33" s="14">
        <v>1</v>
      </c>
      <c r="M33" s="250">
        <v>23000</v>
      </c>
      <c r="N33" s="12">
        <f t="shared" si="10"/>
        <v>23000</v>
      </c>
      <c r="O33" s="14" t="s">
        <v>143</v>
      </c>
      <c r="P33" s="17"/>
      <c r="R33" s="237"/>
      <c r="S33" s="256"/>
      <c r="V33" s="231"/>
    </row>
    <row r="34" spans="2:23" s="230" customFormat="1" ht="17.399999999999999" x14ac:dyDescent="0.35">
      <c r="B34" s="29" t="s">
        <v>127</v>
      </c>
      <c r="C34"/>
      <c r="D34"/>
      <c r="E34"/>
      <c r="F34" s="229" t="s">
        <v>16</v>
      </c>
      <c r="I34" s="262"/>
      <c r="J34" s="312"/>
      <c r="K34" s="250"/>
      <c r="L34" s="249"/>
      <c r="M34" s="250">
        <v>800</v>
      </c>
      <c r="N34" s="12">
        <f t="shared" si="10"/>
        <v>0</v>
      </c>
      <c r="O34" s="14" t="s">
        <v>34</v>
      </c>
      <c r="P34" s="14"/>
      <c r="Q34" s="230">
        <v>1.83</v>
      </c>
      <c r="R34" s="237"/>
      <c r="S34" s="237"/>
    </row>
    <row r="35" spans="2:23" s="230" customFormat="1" ht="17.399999999999999" x14ac:dyDescent="0.35">
      <c r="I35" s="302"/>
      <c r="J35" s="47"/>
      <c r="K35" s="250"/>
      <c r="L35" s="266"/>
      <c r="M35" s="12">
        <v>1500</v>
      </c>
      <c r="N35" s="12">
        <f t="shared" si="10"/>
        <v>0</v>
      </c>
      <c r="O35" s="14" t="s">
        <v>24</v>
      </c>
      <c r="P35" s="14"/>
      <c r="Q35">
        <v>3.66</v>
      </c>
      <c r="R35"/>
      <c r="S35" s="237">
        <v>1500</v>
      </c>
      <c r="W35" s="231"/>
    </row>
    <row r="36" spans="2:23" s="230" customFormat="1" ht="17.399999999999999" x14ac:dyDescent="0.35">
      <c r="I36" s="265"/>
      <c r="J36" s="47"/>
      <c r="K36" s="250"/>
      <c r="L36" s="14"/>
      <c r="M36" s="12"/>
      <c r="N36" s="12">
        <f>SUM(N30:N35)</f>
        <v>38886</v>
      </c>
      <c r="O36" s="39" t="s">
        <v>25</v>
      </c>
      <c r="P36" s="14"/>
      <c r="Q36">
        <f>Q34*Q35</f>
        <v>6.6978000000000009</v>
      </c>
      <c r="R36"/>
      <c r="S36" s="237">
        <f>R28*S35</f>
        <v>60000</v>
      </c>
      <c r="W36" s="231"/>
    </row>
    <row r="37" spans="2:23" s="230" customFormat="1" ht="17.399999999999999" x14ac:dyDescent="0.35">
      <c r="J37" s="47">
        <v>58690</v>
      </c>
      <c r="K37" s="250"/>
      <c r="L37" s="254" t="s">
        <v>35</v>
      </c>
      <c r="M37" s="12"/>
      <c r="N37" s="255">
        <f>N36*2.2</f>
        <v>85549.200000000012</v>
      </c>
      <c r="O37" s="14" t="s">
        <v>142</v>
      </c>
      <c r="P37" s="14"/>
      <c r="Q37" s="46">
        <f>O28/Q36</f>
        <v>0.32786885245901631</v>
      </c>
      <c r="R37"/>
      <c r="S37" s="257" t="e">
        <f>S36/#REF!</f>
        <v>#REF!</v>
      </c>
    </row>
    <row r="38" spans="2:23" s="230" customFormat="1" ht="17.399999999999999" x14ac:dyDescent="0.35">
      <c r="G38"/>
      <c r="H38" s="260"/>
      <c r="I38" s="260"/>
      <c r="J38" s="47">
        <f>J37/1.19</f>
        <v>49319.327731092439</v>
      </c>
      <c r="K38" s="250"/>
      <c r="L38" s="14"/>
      <c r="M38" s="12"/>
      <c r="N38" s="12">
        <f>N37/O26</f>
        <v>46748.196721311484</v>
      </c>
      <c r="O38" s="45" t="s">
        <v>26</v>
      </c>
      <c r="P38" s="14"/>
      <c r="Q38" s="14"/>
      <c r="R38"/>
      <c r="S38" s="237"/>
    </row>
    <row r="39" spans="2:23" s="230" customFormat="1" ht="17.399999999999999" x14ac:dyDescent="0.35">
      <c r="G39"/>
      <c r="J39" s="47"/>
      <c r="K39" s="250"/>
      <c r="L39" s="13"/>
      <c r="M39" s="14"/>
      <c r="N39" s="17">
        <f>N37/N36</f>
        <v>2.2000000000000002</v>
      </c>
      <c r="O39" s="15"/>
      <c r="P39"/>
      <c r="Q39"/>
      <c r="R39"/>
      <c r="S39" s="237"/>
    </row>
    <row r="40" spans="2:23" s="230" customFormat="1" ht="17.399999999999999" x14ac:dyDescent="0.35">
      <c r="G40" s="23"/>
      <c r="J40" s="47"/>
      <c r="K40" s="12"/>
      <c r="S40" s="237"/>
    </row>
    <row r="41" spans="2:23" s="230" customFormat="1" ht="17.399999999999999" x14ac:dyDescent="0.35">
      <c r="B41"/>
      <c r="C41" s="228"/>
      <c r="D41" s="22"/>
      <c r="E41" s="22"/>
      <c r="F41" s="21"/>
      <c r="G41" s="23"/>
      <c r="J41" s="47"/>
      <c r="K41" s="12"/>
      <c r="S41" s="237">
        <v>1.83</v>
      </c>
    </row>
    <row r="42" spans="2:23" ht="14.4" customHeight="1" x14ac:dyDescent="0.3">
      <c r="J42" s="47"/>
      <c r="K42" s="12"/>
      <c r="S42">
        <v>2.5</v>
      </c>
    </row>
    <row r="43" spans="2:23" x14ac:dyDescent="0.3">
      <c r="J43" s="47"/>
      <c r="K43" s="250"/>
      <c r="S43">
        <f>S41*S42</f>
        <v>4.5750000000000002</v>
      </c>
    </row>
    <row r="44" spans="2:23" x14ac:dyDescent="0.3">
      <c r="K44" s="250"/>
      <c r="S44" s="270">
        <f>O28/S43</f>
        <v>0.47999999999999993</v>
      </c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28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45435</v>
      </c>
    </row>
    <row r="6" spans="2:31" ht="16.2" thickBot="1" x14ac:dyDescent="0.35">
      <c r="B6" s="140" t="s">
        <v>2</v>
      </c>
      <c r="C6" s="139" t="str">
        <f>'2229'!C10</f>
        <v>PAMELA ZAMORA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-1685.1750334541091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'2229'!H24</f>
        <v>85549.200000000012</v>
      </c>
      <c r="E11" s="132">
        <f>D11*0.19</f>
        <v>16254.348000000002</v>
      </c>
      <c r="F11" s="131">
        <f>E11+D11</f>
        <v>101803.54800000001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104304.82496654589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45720.090787439614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86304.824966545886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39829.109212560397</v>
      </c>
      <c r="E13" s="221">
        <f>(D11/D12)-1</f>
        <v>0.87115114004765704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77304.824966545886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38304.824966545893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75438.149799275358</v>
      </c>
      <c r="F15" s="216">
        <f>E15-D12</f>
        <v>29718.059011835743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38304.824966545893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78304.824966545886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'2229'!N31</f>
        <v>8200</v>
      </c>
      <c r="E19" s="123">
        <f>D19*0.19</f>
        <v>1558</v>
      </c>
      <c r="F19" s="120">
        <f>SUM(D19:E19)</f>
        <v>9758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'2229'!N30</f>
        <v>7685.9999999999991</v>
      </c>
      <c r="E20" s="121">
        <f>D20*0.19</f>
        <v>1460.34</v>
      </c>
      <c r="F20" s="120">
        <f>SUM(D20:E20)</f>
        <v>9146.3399999999983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15886</v>
      </c>
      <c r="E21" s="116">
        <f>SUM(E18:E20)</f>
        <v>3018.34</v>
      </c>
      <c r="F21" s="115">
        <f>SUM(F18:F20)</f>
        <v>18904.339999999997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13236.008000000002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85549.200000000012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15886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39829.109212560397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39829.109212560397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2024-05-23T20:22:07Z</cp:lastPrinted>
  <dcterms:created xsi:type="dcterms:W3CDTF">2013-03-18T13:35:42Z</dcterms:created>
  <dcterms:modified xsi:type="dcterms:W3CDTF">2024-05-24T13:37:36Z</dcterms:modified>
</cp:coreProperties>
</file>