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04A80545-BAB6-49A8-98F2-6982B5EEB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R26" i="1"/>
  <c r="H24" i="1" l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<sst xmlns="http://schemas.openxmlformats.org/spreadsheetml/2006/main" count="219" uniqueCount="165">
  <si>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</si>
  <si>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</si>
  <si>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</si>
  <si>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</si>
  <si>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</si>
  <si>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</si>
  <si>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</si>
  <si>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</si>
  <si>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</si>
  <si>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</si>
  <si>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</si>
  <si>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</si>
  <si>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</si>
  <si>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</si>
  <si>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</si>
  <si>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</si>
  <si>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</si>
  <si>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</si>
  <si>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</si>
  <si>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</si>
  <si>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</si>
  <si>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</si>
  <si>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</si>
  <si>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</si>
  <si>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</si>
  <si>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</si>
  <si>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</si>
  <si>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</si>
  <si>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</si>
  <si>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</si>
  <si>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</si>
  <si>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</si>
  <si>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</si>
  <si>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</si>
  <si>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</si>
  <si>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</si>
  <si>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</si>
  <si>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</si>
  <si>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</si>
  <si>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</si>
  <si>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</si>
  <si>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</si>
  <si>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</si>
  <si>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</si>
  <si>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</si>
  <si>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</si>
  <si>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</si>
  <si>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</si>
  <si>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</si>
  <si>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</si>
  <si>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</si>
  <si>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</si>
  <si>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</si>
  <si>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</si>
  <si>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</si>
  <si>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</si>
  <si>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</si>
  <si>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</si>
  <si>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</si>
  <si>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</si>
  <si>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</si>
  <si>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</si>
  <si>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</si>
  <si>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</si>
  <si>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</si>
  <si>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</si>
  <si>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</si>
  <si>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</si>
  <si>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</si>
  <si>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</si>
  <si>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</si>
  <si>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</si>
  <si>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</si>
  <si>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</si>
  <si>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</si>
  <si>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</si>
  <si>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</si>
  <si>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</si>
  <si>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</si>
  <si>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</si>
  <si>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</si>
  <si>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</si>
  <si>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</si>
  <si>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</si>
  <si>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</si>
  <si>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</si>
  <si>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</si>
  <si>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</si>
  <si>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</si>
  <si>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</si>
  <si>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</si>
  <si>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</si>
  <si>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</si>
  <si>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</si>
  <si>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</si>
  <si>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</si>
  <si>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</si>
  <si>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</si>
  <si>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</si>
  <si>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</si>
  <si>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</si>
  <si>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</si>
  <si>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</si>
  <si>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</si>
  <si>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</si>
  <si>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</si>
  <si>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</si>
  <si>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</si>
  <si>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</si>
  <si>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</si>
  <si>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</si>
  <si>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</si>
  <si>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</si>
  <si>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</si>
  <si>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</si>
  <si>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</si>
  <si>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</si>
  <si>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</si>
  <si>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</si>
  <si>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</si>
  <si>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</si>
  <si>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</si>
  <si>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</si>
  <si>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</si>
  <si>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</si>
  <si>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</si>
  <si>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</si>
  <si>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</si>
  <si>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</si>
  <si>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</si>
  <si>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</si>
  <si>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</si>
  <si>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</si>
  <si>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</si>
  <si>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</si>
  <si>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</si>
  <si>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</si>
  <si>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</si>
  <si>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</si>
  <si>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</si>
  <si>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</si>
  <si>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</si>
  <si>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</si>
  <si>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</si>
  <si>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</si>
  <si>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</si>
  <si>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</si>
  <si>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</si>
  <si>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</si>
  <si>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</si>
  <si>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</si>
  <si>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</si>
  <si>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</si>
  <si>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</si>
  <si>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</si>
  <si>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</si>
  <si>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</si>
  <si>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</si>
  <si>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ROBLE LINEAL</t>
  </si>
  <si>
    <t>5 DIAS HABILES</t>
  </si>
  <si>
    <t>N° 1096</t>
  </si>
  <si>
    <t>ALVARO GANA</t>
  </si>
  <si>
    <t>+56982322327</t>
  </si>
  <si>
    <t>CUB C/R FTE. 90° R6</t>
  </si>
  <si>
    <t>SALT PEPPER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</si>
</sst>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7</xdr:col>
      <xdr:colOff>1041919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113301" y="10082310"/>
          <a:ext cx="198878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5</xdr:col>
      <xdr:colOff>1764030</xdr:colOff>
      <xdr:row>25</xdr:row>
      <xdr:rowOff>217714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2" y="9198429"/>
          <a:ext cx="5496275" cy="65314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OBSERVACIONES:CUBIERTAS SE ENTREGRAN</a:t>
          </a:r>
          <a:r>
            <a:rPr lang="es-CL" sz="1200" b="1" baseline="0"/>
            <a:t> CON SOBRE MEDIDA EN EL LARGO</a:t>
          </a:r>
        </a:p>
        <a:p>
          <a:pPr algn="l"/>
          <a:r>
            <a:rPr lang="es-CL" sz="1200" b="1" baseline="0"/>
            <a:t>SUSTRATO: MDF 18MM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2" zoomScale="98" zoomScaleNormal="98" workbookViewId="0">
      <selection activeCell="M34" sqref="M34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45414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1:24" ht="15" thickBot="1" x14ac:dyDescent="0.35">
      <c r="B17" s="297" t="s">
        <v>13</v>
      </c>
      <c r="C17" s="298" t="s">
        <v>154</v>
      </c>
      <c r="D17" s="299"/>
      <c r="E17" s="300"/>
      <c r="F17" s="326" t="s">
        <v>155</v>
      </c>
      <c r="G17" s="326"/>
      <c r="H17" s="327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28" t="s">
        <v>149</v>
      </c>
      <c r="C19" s="329"/>
      <c r="D19" s="329"/>
      <c r="E19" s="329"/>
      <c r="F19" s="329"/>
      <c r="G19" s="329"/>
      <c r="H19" s="330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1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85073.333333333343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22">
        <v>1</v>
      </c>
      <c r="C21" s="312" t="s">
        <v>163</v>
      </c>
      <c r="D21" s="313">
        <v>2.15</v>
      </c>
      <c r="E21" s="313">
        <v>0.6</v>
      </c>
      <c r="F21" s="312" t="s">
        <v>164</v>
      </c>
      <c r="G21" s="314">
        <v>115788</v>
      </c>
      <c r="H21" s="315">
        <f t="shared" ref="H21" si="1">G21*B21</f>
        <v>115788</v>
      </c>
      <c r="I21" s="265"/>
      <c r="J21" s="47"/>
      <c r="K21" s="324">
        <v>1</v>
      </c>
      <c r="L21" s="325">
        <f t="shared" ref="L21:M21" si="2">D21+L$19</f>
        <v>2.1999999999999997</v>
      </c>
      <c r="M21" s="325">
        <f t="shared" si="2"/>
        <v>0.6</v>
      </c>
      <c r="N21" s="261">
        <f>L21*M21</f>
        <v>1.3199999999999998</v>
      </c>
      <c r="O21" s="259">
        <f>N21*K21</f>
        <v>1.3199999999999998</v>
      </c>
      <c r="P21" s="252">
        <f>P$20*N21</f>
        <v>112296.8</v>
      </c>
      <c r="Q21" s="258">
        <f>P21+Q$20</f>
        <v>115296.8</v>
      </c>
      <c r="R21" s="308">
        <f>K21*L21</f>
        <v>2.1999999999999997</v>
      </c>
      <c r="S21" s="14"/>
      <c r="T21" s="9"/>
      <c r="W21" s="4"/>
    </row>
    <row r="22" spans="1:24" ht="17.399999999999999" x14ac:dyDescent="0.3">
      <c r="B22" s="338"/>
      <c r="C22" s="338"/>
      <c r="D22" s="339"/>
      <c r="E22" s="339"/>
      <c r="F22" s="338"/>
      <c r="G22" s="340"/>
      <c r="H22" s="340"/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14"/>
      <c r="T22" s="9"/>
      <c r="W22" s="4"/>
    </row>
    <row r="23" spans="1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1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115788</v>
      </c>
      <c r="I24" s="265"/>
      <c r="J24" s="47"/>
      <c r="K24" s="47"/>
      <c r="L24" s="39">
        <f>SUM(L21:L23)</f>
        <v>2.1999999999999997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1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21999.72</v>
      </c>
      <c r="I25" s="265"/>
      <c r="J25" s="47"/>
      <c r="K25" s="47"/>
      <c r="L25" s="39"/>
      <c r="M25" s="12"/>
      <c r="N25" s="12"/>
      <c r="O25" s="253">
        <f>SUM(O21:O21)</f>
        <v>1.3199999999999998</v>
      </c>
      <c r="P25" s="14"/>
      <c r="Q25" s="12"/>
      <c r="R25" s="238"/>
      <c r="S25" s="14"/>
      <c r="T25" s="9"/>
      <c r="W25" s="4"/>
    </row>
    <row r="26" spans="1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137787.72</v>
      </c>
      <c r="I26" s="265"/>
      <c r="J26" s="47"/>
      <c r="K26" s="47"/>
      <c r="L26" s="39"/>
      <c r="M26" s="12"/>
      <c r="N26" s="12"/>
      <c r="O26" s="253">
        <f>O25</f>
        <v>1.3199999999999998</v>
      </c>
      <c r="P26" s="14"/>
      <c r="Q26" s="12"/>
      <c r="R26" s="238">
        <f>SUM(R21:R25)</f>
        <v>2.1999999999999997</v>
      </c>
      <c r="S26" s="14"/>
      <c r="T26" s="9"/>
      <c r="W26" s="4"/>
    </row>
    <row r="27" spans="1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39">
        <f>O26*20%</f>
        <v>0.26399999999999996</v>
      </c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5"/>
      <c r="I28" s="265"/>
      <c r="J28" s="319"/>
      <c r="K28" s="47"/>
      <c r="L28" s="14"/>
      <c r="M28" s="12"/>
      <c r="N28" s="12"/>
      <c r="O28" s="46">
        <f>O26+O27</f>
        <v>1.5839999999999999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319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1.5839999999999999</v>
      </c>
      <c r="M30" s="12">
        <v>3500</v>
      </c>
      <c r="N30" s="12">
        <f t="shared" ref="N30:N35" si="3">L30*M30</f>
        <v>5543.9999999999991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0.4</v>
      </c>
      <c r="M31" s="12">
        <v>25000</v>
      </c>
      <c r="N31" s="12">
        <f t="shared" si="3"/>
        <v>10000</v>
      </c>
      <c r="O31" s="39" t="s">
        <v>156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8"/>
      <c r="K33" s="250"/>
      <c r="L33" s="14">
        <v>1</v>
      </c>
      <c r="M33" s="250">
        <v>35500</v>
      </c>
      <c r="N33" s="12">
        <f t="shared" si="3"/>
        <v>35500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18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51044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I37" s="230" t="s">
        <v>158</v>
      </c>
      <c r="J37" s="47">
        <v>47460</v>
      </c>
      <c r="K37" s="250"/>
      <c r="L37" s="254" t="s">
        <v>35</v>
      </c>
      <c r="M37" s="12"/>
      <c r="N37" s="255">
        <f>N36*2.2</f>
        <v>112296.8</v>
      </c>
      <c r="O37" s="14" t="s">
        <v>142</v>
      </c>
      <c r="P37" s="14"/>
      <c r="Q37" s="46">
        <f>O26/Q36</f>
        <v>0.35591026747195853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>
        <v>7</v>
      </c>
      <c r="J38" s="47">
        <f>J37/1.19</f>
        <v>39882.352941176476</v>
      </c>
      <c r="K38" s="250"/>
      <c r="L38" s="14"/>
      <c r="M38" s="12"/>
      <c r="N38" s="12">
        <f>N37/O26</f>
        <v>85073.333333333343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0.34622950819672127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45414</v>
      </c>
    </row>
    <row r="6" spans="2:31" ht="16.2" thickBot="1" x14ac:dyDescent="0.35">
      <c r="B6" s="140" t="s">
        <v>2</v>
      </c>
      <c r="C6" s="139" t="str">
        <f>'2229'!C10</f>
        <v>ALVARO GANA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-6819.0250334541079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115788</v>
      </c>
      <c r="E11" s="132">
        <f>D11*0.19</f>
        <v>21999.72</v>
      </c>
      <c r="F11" s="131">
        <f>E11+D11</f>
        <v>137787.72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99170.974966545895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45378.090787439614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81170.974966545895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70409.909212560393</v>
      </c>
      <c r="E13" s="221">
        <f>(D11/D12)-1</f>
        <v>1.5516278448640555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72170.974966545895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33170.974966545895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74873.849799275355</v>
      </c>
      <c r="F15" s="216">
        <f>E15-D12</f>
        <v>29495.75901183574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33170.974966545895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73170.974966545895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5543.9999999999991</v>
      </c>
      <c r="E20" s="121">
        <f>D20*0.19</f>
        <v>1053.3599999999999</v>
      </c>
      <c r="F20" s="120">
        <f>SUM(D20:E20)</f>
        <v>6597.3599999999988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15544</v>
      </c>
      <c r="E21" s="116">
        <f>SUM(E18:E20)</f>
        <v>2953.3599999999997</v>
      </c>
      <c r="F21" s="115">
        <f>SUM(F18:F20)</f>
        <v>18497.36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19046.36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115788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15544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70409.909212560393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70409.909212560393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2024-05-03T14:49:29Z</dcterms:modified>
</cp:coreProperties>
</file>