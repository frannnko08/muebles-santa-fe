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E352DAB7-0393-4926-BC52-B75FD75C6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K22" i="1"/>
  <c r="L22" i="1"/>
  <c r="R22" i="1" s="1"/>
  <c r="M22" i="1"/>
  <c r="K21" i="1"/>
  <c r="N22" i="1" l="1"/>
  <c r="O22" i="1" s="1"/>
  <c r="J40" i="1"/>
  <c r="L21" i="1" l="1"/>
  <c r="L26" i="1" s="1"/>
  <c r="M21" i="1"/>
  <c r="N21" i="1" l="1"/>
  <c r="O21" i="1" s="1"/>
  <c r="R21" i="1"/>
  <c r="N33" i="1"/>
  <c r="O27" i="1" l="1"/>
  <c r="O28" i="1" s="1"/>
  <c r="O29" i="1" s="1"/>
  <c r="O30" i="1" s="1"/>
  <c r="S45" i="1"/>
  <c r="M20" i="1" l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L32" i="1" l="1"/>
  <c r="N32" i="1" l="1"/>
  <c r="N38" i="1" s="1"/>
  <c r="N39" i="1" s="1"/>
  <c r="S46" i="1"/>
  <c r="D20" i="3" l="1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E15" i="3"/>
  <c r="G22" i="1" l="1"/>
  <c r="H22" i="1" s="1"/>
  <c r="Q22" i="1"/>
  <c r="P21" i="1"/>
  <c r="G21" i="1" s="1"/>
  <c r="F15" i="3"/>
  <c r="Q21" i="1" l="1"/>
  <c r="R28" i="1"/>
  <c r="H21" i="1" l="1"/>
  <c r="H26" i="1" s="1"/>
  <c r="K15" i="1" s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<sst xmlns="http://schemas.openxmlformats.org/spreadsheetml/2006/main" count="222" uniqueCount="166">
  <si>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</si>
  <si>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</si>
  <si>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</si>
  <si>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</si>
  <si>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</si>
  <si>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</si>
  <si>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</si>
  <si>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</si>
  <si>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</si>
  <si>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</si>
  <si>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</si>
  <si>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</si>
  <si>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</si>
  <si>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</si>
  <si>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</si>
  <si>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</si>
  <si>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</si>
  <si>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</si>
  <si>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</si>
  <si>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</si>
  <si>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</si>
  <si>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</si>
  <si>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</si>
  <si>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</si>
  <si>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</si>
  <si>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</si>
  <si>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</si>
  <si>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</si>
  <si>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</si>
  <si>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</si>
  <si>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</si>
  <si>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</si>
  <si>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</si>
  <si>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</si>
  <si>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</si>
  <si>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</si>
  <si>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</si>
  <si>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</si>
  <si>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</si>
  <si>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</si>
  <si>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</si>
  <si>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</si>
  <si>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</si>
  <si>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</si>
  <si>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</si>
  <si>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</si>
  <si>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</si>
  <si>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</si>
  <si>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</si>
  <si>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</si>
  <si>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</si>
  <si>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</si>
  <si>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</si>
  <si>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</si>
  <si>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</si>
  <si>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</si>
  <si>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</si>
  <si>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</si>
  <si>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</si>
  <si>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</si>
  <si>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</si>
  <si>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</si>
  <si>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</si>
  <si>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</si>
  <si>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</si>
  <si>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</si>
  <si>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</si>
  <si>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</si>
  <si>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</si>
  <si>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</si>
  <si>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</si>
  <si>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</si>
  <si>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</si>
  <si>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</si>
  <si>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</si>
  <si>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</si>
  <si>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</si>
  <si>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</si>
  <si>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</si>
  <si>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</si>
  <si>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</si>
  <si>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</si>
  <si>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</si>
  <si>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</si>
  <si>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</si>
  <si>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</si>
  <si>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</si>
  <si>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</si>
  <si>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</si>
  <si>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</si>
  <si>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</si>
  <si>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</si>
  <si>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</si>
  <si>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</si>
  <si>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</si>
  <si>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</si>
  <si>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</si>
  <si>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</si>
  <si>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</si>
  <si>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</si>
  <si>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</si>
  <si>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</si>
  <si>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</si>
  <si>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</si>
  <si>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</si>
  <si>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</si>
  <si>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</si>
  <si>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</si>
  <si>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</si>
  <si>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</si>
  <si>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</si>
  <si>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</si>
  <si>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</si>
  <si>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</si>
  <si>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</si>
  <si>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</si>
  <si>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</si>
  <si>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</si>
  <si>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</si>
  <si>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</si>
  <si>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</si>
  <si>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</si>
  <si>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</si>
  <si>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</si>
  <si>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</si>
  <si>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</si>
  <si>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</si>
  <si>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</si>
  <si>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</si>
  <si>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</si>
  <si>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</si>
  <si>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</si>
  <si>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</si>
  <si>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</si>
  <si>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</si>
  <si>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</si>
  <si>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</si>
  <si>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</si>
  <si>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</si>
  <si>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</si>
  <si>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</si>
  <si>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</si>
  <si>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</si>
  <si>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</si>
  <si>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</si>
  <si>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</si>
  <si>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</si>
  <si>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</si>
  <si>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</si>
  <si>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</si>
  <si>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</si>
  <si>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</si>
  <si>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</si>
  <si>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</si>
  <si>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</si>
  <si>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SANTIAGO</t>
  </si>
  <si>
    <t>SI</t>
  </si>
  <si>
    <t>CUBIERTA CON RESPALDO R8</t>
  </si>
  <si>
    <t>MARINA DI CARRARA PL</t>
  </si>
  <si>
    <t>CORTE ZETA</t>
  </si>
  <si>
    <t>FERNANDO DONOSO</t>
  </si>
  <si>
    <t>N° 10964</t>
  </si>
  <si>
    <t>ROBERTO DIAZ</t>
  </si>
  <si>
    <t>569 7645 7587</t>
  </si>
  <si>
    <t>5 DIAS HABILES</t>
  </si>
  <si>
    <t>ABONO 50% SALDO C/ENTREGA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</si>
</sst>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5249</xdr:rowOff>
    </xdr:from>
    <xdr:to>
      <xdr:col>8</xdr:col>
      <xdr:colOff>7776</xdr:colOff>
      <xdr:row>32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29</xdr:row>
      <xdr:rowOff>9525</xdr:rowOff>
    </xdr:from>
    <xdr:to>
      <xdr:col>5</xdr:col>
      <xdr:colOff>1749491</xdr:colOff>
      <xdr:row>32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24</xdr:row>
      <xdr:rowOff>223973</xdr:rowOff>
    </xdr:from>
    <xdr:to>
      <xdr:col>5</xdr:col>
      <xdr:colOff>1749490</xdr:colOff>
      <xdr:row>28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 CORTADAS A LA MEDIDA Y ENCHAPADA LA MAS CHICA SIN REGRUESO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3"/>
  <sheetViews>
    <sheetView tabSelected="1" topLeftCell="A6" zoomScale="98" zoomScaleNormal="98" workbookViewId="0">
      <selection activeCell="J13" sqref="J13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162</v>
      </c>
      <c r="D10" s="243"/>
      <c r="E10" s="243"/>
      <c r="F10" s="244" t="s">
        <v>0</v>
      </c>
      <c r="G10" s="276">
        <v>45429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164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156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 t="s">
        <v>163</v>
      </c>
      <c r="D15" s="294"/>
      <c r="E15" s="247"/>
      <c r="F15" s="247" t="s">
        <v>136</v>
      </c>
      <c r="G15" s="295" t="s">
        <v>137</v>
      </c>
      <c r="H15" s="248"/>
      <c r="K15" s="18">
        <f>H26/L13</f>
        <v>8050.1842935112209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165</v>
      </c>
      <c r="H16" s="289"/>
    </row>
    <row r="17" spans="2:24" ht="15" thickBot="1" x14ac:dyDescent="0.35">
      <c r="B17" s="296" t="s">
        <v>13</v>
      </c>
      <c r="C17" s="297" t="s">
        <v>155</v>
      </c>
      <c r="D17" s="298"/>
      <c r="E17" s="299"/>
      <c r="F17" s="328" t="s">
        <v>160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112659.19401744912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23">
        <v>1</v>
      </c>
      <c r="C21" s="324" t="s">
        <v>157</v>
      </c>
      <c r="D21" s="325">
        <v>2.74</v>
      </c>
      <c r="E21" s="325">
        <v>0.55500000000000005</v>
      </c>
      <c r="F21" s="324" t="s">
        <v>158</v>
      </c>
      <c r="G21" s="326">
        <f>P21</f>
        <v>174447.1289763191</v>
      </c>
      <c r="H21" s="327">
        <f t="shared" ref="H21" si="1">G21*B21</f>
        <v>174447.1289763191</v>
      </c>
      <c r="I21" s="265"/>
      <c r="J21" s="47"/>
      <c r="K21" s="316">
        <f t="shared" si="0"/>
        <v>1</v>
      </c>
      <c r="L21" s="317">
        <f t="shared" ref="L21:M21" si="2">D21+L$19</f>
        <v>2.79</v>
      </c>
      <c r="M21" s="317">
        <f t="shared" si="2"/>
        <v>0.55500000000000005</v>
      </c>
      <c r="N21" s="261">
        <f>L21*M21</f>
        <v>1.5484500000000001</v>
      </c>
      <c r="O21" s="259">
        <f>N21*K21</f>
        <v>1.5484500000000001</v>
      </c>
      <c r="P21" s="252">
        <f>P$20*N21</f>
        <v>174447.1289763191</v>
      </c>
      <c r="Q21" s="258">
        <f>P21+Q$20</f>
        <v>177447.1289763191</v>
      </c>
      <c r="R21" s="307">
        <f>K21*L21</f>
        <v>2.79</v>
      </c>
      <c r="S21" s="14"/>
      <c r="T21" s="9"/>
      <c r="W21" s="4"/>
    </row>
    <row r="22" spans="2:24" ht="18" thickBot="1" x14ac:dyDescent="0.35">
      <c r="B22" s="323">
        <v>1</v>
      </c>
      <c r="C22" s="324" t="s">
        <v>157</v>
      </c>
      <c r="D22" s="325">
        <v>0.94499999999999995</v>
      </c>
      <c r="E22" s="325">
        <v>0.5</v>
      </c>
      <c r="F22" s="324" t="s">
        <v>158</v>
      </c>
      <c r="G22" s="326">
        <f>P22</f>
        <v>56047.949023680936</v>
      </c>
      <c r="H22" s="327">
        <f t="shared" ref="H22" si="3">G22*B22</f>
        <v>56047.949023680936</v>
      </c>
      <c r="I22" s="265"/>
      <c r="J22" s="47"/>
      <c r="K22" s="316">
        <f t="shared" ref="K22" si="4">B22</f>
        <v>1</v>
      </c>
      <c r="L22" s="317">
        <f t="shared" ref="L22" si="5">D22+L$19</f>
        <v>0.995</v>
      </c>
      <c r="M22" s="317">
        <f t="shared" ref="M22" si="6">E22+M$19</f>
        <v>0.5</v>
      </c>
      <c r="N22" s="261">
        <f>L22*M22</f>
        <v>0.4975</v>
      </c>
      <c r="O22" s="259">
        <f>N22*K22</f>
        <v>0.4975</v>
      </c>
      <c r="P22" s="252">
        <f>P$20*N22</f>
        <v>56047.949023680936</v>
      </c>
      <c r="Q22" s="258">
        <f>P22+Q$20</f>
        <v>59047.949023680936</v>
      </c>
      <c r="R22" s="307">
        <f>K22*L22</f>
        <v>0.995</v>
      </c>
      <c r="S22" s="14"/>
      <c r="T22" s="9"/>
      <c r="W22" s="4"/>
    </row>
    <row r="23" spans="2:24" ht="17.399999999999999" x14ac:dyDescent="0.3">
      <c r="B23" s="323">
        <v>1</v>
      </c>
      <c r="C23" s="324" t="s">
        <v>159</v>
      </c>
      <c r="D23" s="325"/>
      <c r="E23" s="325"/>
      <c r="F23" s="324"/>
      <c r="G23" s="326">
        <v>35000</v>
      </c>
      <c r="H23" s="327">
        <f t="shared" ref="H23" si="7">G23*B23</f>
        <v>35000</v>
      </c>
      <c r="I23" s="265"/>
      <c r="J23" s="47"/>
      <c r="K23" s="316"/>
      <c r="L23" s="317"/>
      <c r="M23" s="317"/>
      <c r="N23" s="261"/>
      <c r="O23" s="259"/>
      <c r="P23" s="252"/>
      <c r="Q23" s="258"/>
      <c r="R23" s="307"/>
      <c r="S23" s="14"/>
      <c r="T23" s="9"/>
      <c r="W23" s="4"/>
    </row>
    <row r="24" spans="2:24" ht="17.399999999999999" x14ac:dyDescent="0.3">
      <c r="B24" s="285"/>
      <c r="C24" s="285"/>
      <c r="D24" s="286"/>
      <c r="E24" s="286"/>
      <c r="F24" s="285"/>
      <c r="G24" s="311"/>
      <c r="H24" s="311"/>
      <c r="I24" s="265"/>
      <c r="K24" s="318"/>
      <c r="L24" s="319"/>
      <c r="M24" s="319"/>
      <c r="N24" s="261"/>
      <c r="O24" s="259"/>
      <c r="P24" s="252"/>
      <c r="Q24" s="258"/>
      <c r="R24" s="307"/>
      <c r="S24" s="14"/>
      <c r="T24" s="9"/>
      <c r="W24" s="4"/>
    </row>
    <row r="25" spans="2:24" ht="18" thickBot="1" x14ac:dyDescent="0.35">
      <c r="B25" s="285"/>
      <c r="C25" s="285"/>
      <c r="D25" s="286"/>
      <c r="E25" s="286"/>
      <c r="F25" s="285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2:24" ht="17.399999999999999" x14ac:dyDescent="0.3">
      <c r="B26" s="285"/>
      <c r="C26" s="285"/>
      <c r="D26" s="286"/>
      <c r="E26" s="286"/>
      <c r="F26" s="285"/>
      <c r="G26" s="308" t="s">
        <v>30</v>
      </c>
      <c r="H26" s="309">
        <f>SUM(H21:H25)</f>
        <v>265495.07800000004</v>
      </c>
      <c r="I26" s="265"/>
      <c r="J26" s="47"/>
      <c r="K26" s="47"/>
      <c r="L26" s="39">
        <f>SUM(L21:L25)</f>
        <v>3.7850000000000001</v>
      </c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279"/>
      <c r="C27" s="282"/>
      <c r="D27" s="283"/>
      <c r="E27" s="283"/>
      <c r="F27" s="284"/>
      <c r="G27" s="306" t="s">
        <v>53</v>
      </c>
      <c r="H27" s="303">
        <f>H26*0.19</f>
        <v>50444.064820000007</v>
      </c>
      <c r="I27" s="265"/>
      <c r="J27" s="47"/>
      <c r="K27" s="47"/>
      <c r="L27" s="39"/>
      <c r="M27" s="12"/>
      <c r="N27" s="12"/>
      <c r="O27" s="253">
        <f>SUM(O21:O22)</f>
        <v>2.0459499999999999</v>
      </c>
      <c r="P27" s="14"/>
      <c r="Q27" s="12"/>
      <c r="R27" s="238"/>
      <c r="S27" s="14"/>
      <c r="T27" s="9"/>
      <c r="W27" s="4"/>
    </row>
    <row r="28" spans="2:24" ht="18" thickBot="1" x14ac:dyDescent="0.35">
      <c r="B28" s="275"/>
      <c r="C28" s="281"/>
      <c r="D28" s="272"/>
      <c r="E28" s="272"/>
      <c r="F28" s="273"/>
      <c r="G28" s="280" t="s">
        <v>6</v>
      </c>
      <c r="H28" s="304">
        <f>H26+H27</f>
        <v>315939.14282000007</v>
      </c>
      <c r="I28" s="265"/>
      <c r="J28" s="47"/>
      <c r="K28" s="47"/>
      <c r="L28" s="39"/>
      <c r="M28" s="12"/>
      <c r="N28" s="12"/>
      <c r="O28" s="253">
        <f>O27</f>
        <v>2.0459499999999999</v>
      </c>
      <c r="P28" s="14"/>
      <c r="Q28" s="12"/>
      <c r="R28" s="238">
        <f>SUM(R21:R27)</f>
        <v>3.7850000000000001</v>
      </c>
      <c r="S28" s="14"/>
      <c r="T28" s="9"/>
      <c r="W28" s="4"/>
    </row>
    <row r="29" spans="2:24" ht="17.399999999999999" x14ac:dyDescent="0.3">
      <c r="B29" s="275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O28*0.2</f>
        <v>0.40919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4"/>
      <c r="I30" s="265"/>
      <c r="J30" s="313"/>
      <c r="K30" s="47"/>
      <c r="L30" s="14"/>
      <c r="M30" s="12"/>
      <c r="N30" s="12"/>
      <c r="O30" s="46">
        <f>O28+O29</f>
        <v>2.4551400000000001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J31" s="313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39">
        <f>O30</f>
        <v>2.4551400000000001</v>
      </c>
      <c r="M32" s="12">
        <v>3500</v>
      </c>
      <c r="N32" s="12">
        <f t="shared" ref="N32:N37" si="8">L32*M32</f>
        <v>8592.99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1:23" ht="17.399999999999999" x14ac:dyDescent="0.35">
      <c r="A33" s="230"/>
      <c r="B33" s="230"/>
      <c r="C33" s="230"/>
      <c r="D33" s="230"/>
      <c r="E33" s="230"/>
      <c r="F33" s="230"/>
      <c r="G33" s="230"/>
      <c r="H33" s="230"/>
      <c r="I33" s="265"/>
      <c r="J33" s="47"/>
      <c r="K33" s="47"/>
      <c r="L33" s="249">
        <v>0.5</v>
      </c>
      <c r="M33" s="12">
        <v>25000</v>
      </c>
      <c r="N33" s="12">
        <f t="shared" si="8"/>
        <v>12500</v>
      </c>
      <c r="O33" s="39" t="s">
        <v>154</v>
      </c>
      <c r="P33" s="42"/>
      <c r="Q33" s="14"/>
      <c r="R33" s="239"/>
      <c r="S33" s="14"/>
      <c r="T33" s="9"/>
      <c r="W33" s="4"/>
    </row>
    <row r="34" spans="1:23" s="230" customFormat="1" ht="17.399999999999999" x14ac:dyDescent="0.35">
      <c r="B34" s="24" t="s">
        <v>153</v>
      </c>
      <c r="I34" s="262"/>
      <c r="J34" s="47"/>
      <c r="K34" s="250"/>
      <c r="L34" s="14"/>
      <c r="M34" s="250">
        <v>150000</v>
      </c>
      <c r="N34" s="12">
        <f t="shared" si="8"/>
        <v>0</v>
      </c>
      <c r="O34" s="39" t="s">
        <v>32</v>
      </c>
      <c r="P34" s="42"/>
      <c r="R34" s="239"/>
      <c r="S34" s="256"/>
      <c r="V34" s="231"/>
    </row>
    <row r="35" spans="1:23" s="230" customFormat="1" ht="17.399999999999999" x14ac:dyDescent="0.35">
      <c r="B35" s="24" t="s">
        <v>146</v>
      </c>
      <c r="C35"/>
      <c r="D35"/>
      <c r="E35"/>
      <c r="F35"/>
      <c r="I35" s="262"/>
      <c r="J35" s="312"/>
      <c r="K35" s="250"/>
      <c r="L35" s="14">
        <v>1</v>
      </c>
      <c r="M35" s="250">
        <v>78000</v>
      </c>
      <c r="N35" s="12">
        <f t="shared" si="8"/>
        <v>78000</v>
      </c>
      <c r="O35" s="14" t="s">
        <v>143</v>
      </c>
      <c r="P35" s="17"/>
      <c r="R35" s="237"/>
      <c r="S35" s="256"/>
      <c r="V35" s="231"/>
    </row>
    <row r="36" spans="1:23" s="230" customFormat="1" ht="17.399999999999999" x14ac:dyDescent="0.35">
      <c r="B36" s="29" t="s">
        <v>127</v>
      </c>
      <c r="C36"/>
      <c r="D36"/>
      <c r="E36"/>
      <c r="F36" s="229" t="s">
        <v>16</v>
      </c>
      <c r="I36" s="262"/>
      <c r="J36" s="312"/>
      <c r="K36" s="250"/>
      <c r="L36" s="249"/>
      <c r="M36" s="250">
        <v>800</v>
      </c>
      <c r="N36" s="12">
        <f t="shared" si="8"/>
        <v>0</v>
      </c>
      <c r="O36" s="14" t="s">
        <v>34</v>
      </c>
      <c r="P36" s="14"/>
      <c r="Q36" s="230">
        <v>1.83</v>
      </c>
      <c r="R36" s="237"/>
      <c r="S36" s="237"/>
    </row>
    <row r="37" spans="1:23" s="230" customFormat="1" ht="17.399999999999999" x14ac:dyDescent="0.35">
      <c r="I37" s="302"/>
      <c r="J37" s="47"/>
      <c r="K37" s="250"/>
      <c r="L37" s="266">
        <v>3.7850000000000001</v>
      </c>
      <c r="M37" s="12">
        <v>1500</v>
      </c>
      <c r="N37" s="12">
        <f t="shared" si="8"/>
        <v>5677.5</v>
      </c>
      <c r="O37" s="14" t="s">
        <v>24</v>
      </c>
      <c r="P37" s="14"/>
      <c r="Q37">
        <v>3.66</v>
      </c>
      <c r="R37"/>
      <c r="S37" s="237">
        <v>1500</v>
      </c>
      <c r="W37" s="231"/>
    </row>
    <row r="38" spans="1:23" s="230" customFormat="1" ht="17.399999999999999" x14ac:dyDescent="0.35">
      <c r="I38" s="265"/>
      <c r="J38" s="47"/>
      <c r="K38" s="250"/>
      <c r="L38" s="14"/>
      <c r="M38" s="12"/>
      <c r="N38" s="12">
        <f>SUM(N32:N37)</f>
        <v>104770.48999999999</v>
      </c>
      <c r="O38" s="39" t="s">
        <v>25</v>
      </c>
      <c r="P38" s="14"/>
      <c r="Q38">
        <f>Q36*Q37</f>
        <v>6.6978000000000009</v>
      </c>
      <c r="R38"/>
      <c r="S38" s="237">
        <f>R30*S37</f>
        <v>60000</v>
      </c>
      <c r="W38" s="231"/>
    </row>
    <row r="39" spans="1:23" s="230" customFormat="1" ht="17.399999999999999" x14ac:dyDescent="0.35">
      <c r="J39" s="47">
        <v>58690</v>
      </c>
      <c r="K39" s="250"/>
      <c r="L39" s="254" t="s">
        <v>35</v>
      </c>
      <c r="M39" s="12"/>
      <c r="N39" s="255">
        <f>N38*2.2</f>
        <v>230495.07800000001</v>
      </c>
      <c r="O39" s="14" t="s">
        <v>142</v>
      </c>
      <c r="P39" s="14"/>
      <c r="Q39" s="46">
        <f>O30/Q38</f>
        <v>0.36655916868225386</v>
      </c>
      <c r="R39"/>
      <c r="S39" s="257" t="e">
        <f>S38/#REF!</f>
        <v>#REF!</v>
      </c>
    </row>
    <row r="40" spans="1:23" s="230" customFormat="1" ht="17.399999999999999" x14ac:dyDescent="0.35">
      <c r="G40"/>
      <c r="H40" s="260"/>
      <c r="I40" s="260"/>
      <c r="J40" s="47">
        <f>J39/1.19</f>
        <v>49319.327731092439</v>
      </c>
      <c r="K40" s="250"/>
      <c r="L40" s="14"/>
      <c r="M40" s="12"/>
      <c r="N40" s="12">
        <f>N39/O28</f>
        <v>112659.19401744912</v>
      </c>
      <c r="O40" s="45" t="s">
        <v>26</v>
      </c>
      <c r="P40" s="14"/>
      <c r="Q40" s="14"/>
      <c r="R40"/>
      <c r="S40" s="237"/>
    </row>
    <row r="41" spans="1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1:23" s="230" customFormat="1" ht="17.399999999999999" x14ac:dyDescent="0.35">
      <c r="G42" s="23"/>
      <c r="J42" s="47"/>
      <c r="K42" s="12"/>
      <c r="S42" s="237"/>
    </row>
    <row r="43" spans="1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1:23" ht="14.4" customHeight="1" x14ac:dyDescent="0.3">
      <c r="J44" s="47"/>
      <c r="K44" s="12"/>
      <c r="S44">
        <v>2.5</v>
      </c>
    </row>
    <row r="45" spans="1:23" x14ac:dyDescent="0.3">
      <c r="J45" s="47"/>
      <c r="K45" s="250"/>
      <c r="S45">
        <f>S43*S44</f>
        <v>4.5750000000000002</v>
      </c>
    </row>
    <row r="46" spans="1:23" x14ac:dyDescent="0.3">
      <c r="K46" s="250"/>
      <c r="S46" s="270">
        <f>O30/S45</f>
        <v>0.53664262295081966</v>
      </c>
    </row>
    <row r="47" spans="1:23" x14ac:dyDescent="0.3">
      <c r="K47" s="250"/>
    </row>
    <row r="48" spans="1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45429</v>
      </c>
    </row>
    <row r="6" spans="2:31" ht="16.2" thickBot="1" x14ac:dyDescent="0.35">
      <c r="B6" s="140" t="s">
        <v>2</v>
      </c>
      <c r="C6" s="139" t="str">
        <f>'2229'!C10</f>
        <v>ROBERTO DIAZ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-30244.23245012078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265495.07800000004</v>
      </c>
      <c r="E11" s="132">
        <f>D11*0.19</f>
        <v>50444.064820000007</v>
      </c>
      <c r="F11" s="131">
        <f>E11+D11</f>
        <v>315939.14282000007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75745.767549879223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50927.080787439612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57745.767549879223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214567.99721256044</v>
      </c>
      <c r="E13" s="221">
        <f>(D11/D12)-1</f>
        <v>4.2132396731736552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48745.767549879223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9745.7675498792196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84029.683299275363</v>
      </c>
      <c r="F15" s="216">
        <f>E15-D12</f>
        <v>33102.60251183575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9745.7675498792196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49745.767549879223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8592.99</v>
      </c>
      <c r="E20" s="121">
        <f>D20*0.19</f>
        <v>1632.6680999999999</v>
      </c>
      <c r="F20" s="120">
        <f>SUM(D20:E20)</f>
        <v>10225.658100000001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21092.989999999998</v>
      </c>
      <c r="E21" s="116">
        <f>SUM(E18:E20)</f>
        <v>4007.6680999999999</v>
      </c>
      <c r="F21" s="115">
        <f>SUM(F18:F20)</f>
        <v>25100.658100000001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46436.396720000004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265495.07800000004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21092.989999999998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214567.99721256044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214567.99721256044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2024-05-17T17:07:47Z</cp:lastPrinted>
  <dcterms:created xsi:type="dcterms:W3CDTF">2013-03-18T13:35:42Z</dcterms:created>
  <dcterms:modified xsi:type="dcterms:W3CDTF">2024-05-17T17:07:49Z</dcterms:modified>
</cp:coreProperties>
</file>