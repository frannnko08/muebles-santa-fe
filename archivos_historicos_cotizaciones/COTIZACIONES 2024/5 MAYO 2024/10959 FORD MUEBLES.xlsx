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0BAFDFC9-745C-463F-B809-608A39AADF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O26" i="1" l="1"/>
  <c r="K22" i="1"/>
  <c r="R22" i="1" s="1"/>
  <c r="L22" i="1"/>
  <c r="N22" i="1" s="1"/>
  <c r="M22" i="1"/>
  <c r="O22" i="1" l="1"/>
  <c r="H22" i="1"/>
  <c r="K21" i="1"/>
  <c r="H21" i="1"/>
  <c r="H26" i="1" s="1"/>
  <c r="J31" i="1"/>
  <c r="K10" i="1"/>
  <c r="J39" i="1" l="1"/>
  <c r="L21" i="1" l="1"/>
  <c r="L25" i="1" s="1"/>
  <c r="M21" i="1"/>
  <c r="N21" i="1" l="1"/>
  <c r="O21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E15" i="3"/>
  <c r="P21" i="1" l="1"/>
  <c r="F15" i="3"/>
  <c r="Q21" i="1" l="1"/>
  <c r="R27" i="1"/>
  <c r="H27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<sst xmlns="http://schemas.openxmlformats.org/spreadsheetml/2006/main" count="221" uniqueCount="165">
  <si>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</si>
  <si>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</si>
  <si>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</si>
  <si>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</si>
  <si>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</si>
  <si>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</si>
  <si>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</si>
  <si>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</si>
  <si>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</si>
  <si>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</si>
  <si>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</si>
  <si>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</si>
  <si>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</si>
  <si>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</si>
  <si>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</si>
  <si>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</si>
  <si>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</si>
  <si>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</si>
  <si>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</si>
  <si>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</si>
  <si>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</si>
  <si>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</si>
  <si>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</si>
  <si>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</si>
  <si>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</si>
  <si>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</si>
  <si>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</si>
  <si>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</si>
  <si>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</si>
  <si>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</si>
  <si>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</si>
  <si>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</si>
  <si>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</si>
  <si>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</si>
  <si>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</si>
  <si>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</si>
  <si>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</si>
  <si>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</si>
  <si>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</si>
  <si>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</si>
  <si>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</si>
  <si>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</si>
  <si>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</si>
  <si>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</si>
  <si>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</si>
  <si>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</si>
  <si>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</si>
  <si>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</si>
  <si>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</si>
  <si>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</si>
  <si>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</si>
  <si>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</si>
  <si>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</si>
  <si>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</si>
  <si>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</si>
  <si>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</si>
  <si>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</si>
  <si>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</si>
  <si>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</si>
  <si>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</si>
  <si>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</si>
  <si>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</si>
  <si>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</si>
  <si>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</si>
  <si>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</si>
  <si>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</si>
  <si>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</si>
  <si>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</si>
  <si>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</si>
  <si>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</si>
  <si>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</si>
  <si>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</si>
  <si>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</si>
  <si>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</si>
  <si>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</si>
  <si>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</si>
  <si>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</si>
  <si>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</si>
  <si>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</si>
  <si>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</si>
  <si>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</si>
  <si>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</si>
  <si>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</si>
  <si>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</si>
  <si>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</si>
  <si>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</si>
  <si>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</si>
  <si>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</si>
  <si>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</si>
  <si>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</si>
  <si>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</si>
  <si>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</si>
  <si>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</si>
  <si>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</si>
  <si>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</si>
  <si>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</si>
  <si>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</si>
  <si>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</si>
  <si>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</si>
  <si>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</si>
  <si>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</si>
  <si>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</si>
  <si>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</si>
  <si>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</si>
  <si>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</si>
  <si>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</si>
  <si>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</si>
  <si>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</si>
  <si>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</si>
  <si>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</si>
  <si>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</si>
  <si>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</si>
  <si>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</si>
  <si>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</si>
  <si>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</si>
  <si>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</si>
  <si>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</si>
  <si>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</si>
  <si>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</si>
  <si>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</si>
  <si>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</si>
  <si>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</si>
  <si>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</si>
  <si>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</si>
  <si>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</si>
  <si>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</si>
  <si>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</si>
  <si>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</si>
  <si>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</si>
  <si>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</si>
  <si>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</si>
  <si>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</si>
  <si>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</si>
  <si>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</si>
  <si>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</si>
  <si>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</si>
  <si>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</si>
  <si>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</si>
  <si>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</si>
  <si>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</si>
  <si>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</si>
  <si>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</si>
  <si>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</si>
  <si>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</si>
  <si>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</si>
  <si>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</si>
  <si>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</si>
  <si>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</si>
  <si>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</si>
  <si>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</si>
  <si>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</si>
  <si>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</si>
  <si>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</si>
  <si>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</si>
  <si>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</si>
  <si>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</si>
  <si>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</si>
  <si>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</si>
  <si>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7 DIAS HABILES</t>
  </si>
  <si>
    <t>N° 10959</t>
  </si>
  <si>
    <t>MUEBLES FORD</t>
  </si>
  <si>
    <t>ENRIQUE FORD</t>
  </si>
  <si>
    <t>+569 8293 1990</t>
  </si>
  <si>
    <t>CUBIERTA CON RESPALDO FRENTE 180°</t>
  </si>
  <si>
    <t>ASTRAL 3030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</si>
</sst>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37" fillId="0" borderId="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23</xdr:row>
      <xdr:rowOff>84014</xdr:rowOff>
    </xdr:from>
    <xdr:to>
      <xdr:col>5</xdr:col>
      <xdr:colOff>1849560</xdr:colOff>
      <xdr:row>27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5" zoomScale="98" zoomScaleNormal="98" workbookViewId="0">
      <selection activeCell="A38" sqref="A38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1.109375" customWidth="1"/>
    <col min="5" max="5" width="10.5546875" customWidth="1"/>
    <col min="6" max="6" width="3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45426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161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121711.23287671234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27" t="s">
        <v>163</v>
      </c>
      <c r="D21" s="313">
        <v>1.85</v>
      </c>
      <c r="E21" s="313">
        <v>0.55000000000000004</v>
      </c>
      <c r="F21" s="312" t="s">
        <v>164</v>
      </c>
      <c r="G21" s="314">
        <v>130188</v>
      </c>
      <c r="H21" s="315">
        <f t="shared" ref="H21" si="1">G21*B21</f>
        <v>130188</v>
      </c>
      <c r="I21" s="265"/>
      <c r="J21" s="47"/>
      <c r="K21" s="325">
        <f>B21</f>
        <v>1</v>
      </c>
      <c r="L21" s="326">
        <f t="shared" ref="L21:M21" si="2">D21+L$19</f>
        <v>1.9000000000000001</v>
      </c>
      <c r="M21" s="326">
        <f t="shared" si="2"/>
        <v>0.55000000000000004</v>
      </c>
      <c r="N21" s="261">
        <f>L21*M21</f>
        <v>1.0450000000000002</v>
      </c>
      <c r="O21" s="259">
        <f>N21*K21</f>
        <v>1.0450000000000002</v>
      </c>
      <c r="P21" s="252">
        <f>P$20*N21</f>
        <v>127188.23835616441</v>
      </c>
      <c r="Q21" s="258">
        <f>P21+Q$20</f>
        <v>130188.23835616441</v>
      </c>
      <c r="R21" s="308">
        <f>K21*L21</f>
        <v>1.9000000000000001</v>
      </c>
      <c r="S21" s="14"/>
      <c r="T21" s="9"/>
      <c r="W21" s="4"/>
    </row>
    <row r="22" spans="2:24" ht="17.399999999999999" x14ac:dyDescent="0.3">
      <c r="B22" s="323">
        <v>1</v>
      </c>
      <c r="C22" s="327" t="s">
        <v>163</v>
      </c>
      <c r="D22" s="313">
        <v>1.25</v>
      </c>
      <c r="E22" s="313">
        <v>0.6</v>
      </c>
      <c r="F22" s="312" t="s">
        <v>164</v>
      </c>
      <c r="G22" s="314">
        <v>97935</v>
      </c>
      <c r="H22" s="315">
        <f t="shared" ref="H22" si="3">G22*B22</f>
        <v>97935</v>
      </c>
      <c r="I22" s="265"/>
      <c r="J22" s="47"/>
      <c r="K22" s="325">
        <f>B22</f>
        <v>1</v>
      </c>
      <c r="L22" s="326">
        <f t="shared" ref="L22" si="4">D22+L$19</f>
        <v>1.3</v>
      </c>
      <c r="M22" s="326">
        <f t="shared" ref="M22" si="5">E22+M$19</f>
        <v>0.6</v>
      </c>
      <c r="N22" s="261">
        <f>L22*M22</f>
        <v>0.78</v>
      </c>
      <c r="O22" s="259">
        <f>N22*K22</f>
        <v>0.78</v>
      </c>
      <c r="P22" s="252">
        <f>P$20*N22</f>
        <v>94934.761643835634</v>
      </c>
      <c r="Q22" s="258">
        <f>P22+Q$20</f>
        <v>97934.761643835634</v>
      </c>
      <c r="R22" s="308">
        <f>K22*L22</f>
        <v>1.3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8"/>
      <c r="H23" s="318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228123</v>
      </c>
      <c r="I25" s="265"/>
      <c r="J25" s="47"/>
      <c r="K25" s="47"/>
      <c r="L25" s="39">
        <f>SUM(L21:L24)</f>
        <v>3.2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H25*19%</f>
        <v>43343.37</v>
      </c>
      <c r="I26" s="265"/>
      <c r="J26" s="47"/>
      <c r="K26" s="47"/>
      <c r="L26" s="39"/>
      <c r="M26" s="12"/>
      <c r="N26" s="12"/>
      <c r="O26" s="253">
        <f>SUM(O21:O22)</f>
        <v>1.8250000000000002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271466.37</v>
      </c>
      <c r="I27" s="265"/>
      <c r="J27" s="47"/>
      <c r="K27" s="47"/>
      <c r="L27" s="39"/>
      <c r="M27" s="12"/>
      <c r="N27" s="12"/>
      <c r="O27" s="253">
        <f>O26</f>
        <v>1.8250000000000002</v>
      </c>
      <c r="P27" s="14"/>
      <c r="Q27" s="12"/>
      <c r="R27" s="238">
        <f>SUM(R21:R26)</f>
        <v>3.2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>
        <v>32</v>
      </c>
      <c r="K28" s="47"/>
      <c r="L28" s="39"/>
      <c r="M28" s="12"/>
      <c r="N28" s="12"/>
      <c r="O28" s="39">
        <f>O27*20%</f>
        <v>0.36500000000000005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20">
        <v>32</v>
      </c>
      <c r="K29" s="47"/>
      <c r="L29" s="14"/>
      <c r="M29" s="12"/>
      <c r="N29" s="12"/>
      <c r="O29" s="46">
        <f>O27+O28</f>
        <v>2.1900000000000004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20">
        <v>55</v>
      </c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>
        <f>SUM(J28:J30)</f>
        <v>119</v>
      </c>
      <c r="K31" s="47"/>
      <c r="L31" s="39">
        <f>O29</f>
        <v>2.1900000000000004</v>
      </c>
      <c r="M31" s="12">
        <v>3500</v>
      </c>
      <c r="N31" s="12">
        <f t="shared" ref="N31:N36" si="6">L31*M31</f>
        <v>7665.0000000000018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0.5</v>
      </c>
      <c r="M32" s="12">
        <v>25000</v>
      </c>
      <c r="N32" s="12">
        <f t="shared" si="6"/>
        <v>12500</v>
      </c>
      <c r="O32" s="39" t="s">
        <v>156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55000</v>
      </c>
      <c r="N33" s="12">
        <f t="shared" si="6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9"/>
      <c r="K34" s="250"/>
      <c r="L34" s="14">
        <v>2</v>
      </c>
      <c r="M34" s="250">
        <v>38000</v>
      </c>
      <c r="N34" s="12">
        <f t="shared" si="6"/>
        <v>76000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9"/>
      <c r="K35" s="250"/>
      <c r="L35" s="249"/>
      <c r="M35" s="250">
        <v>800</v>
      </c>
      <c r="N35" s="12">
        <f t="shared" si="6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3.2</v>
      </c>
      <c r="M36" s="12">
        <v>1500</v>
      </c>
      <c r="N36" s="12">
        <f t="shared" si="6"/>
        <v>4800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100965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43190</v>
      </c>
      <c r="K38" s="250"/>
      <c r="L38" s="254" t="s">
        <v>35</v>
      </c>
      <c r="M38" s="12"/>
      <c r="N38" s="255">
        <f>N37*2.2</f>
        <v>222123.00000000003</v>
      </c>
      <c r="O38" s="14" t="s">
        <v>142</v>
      </c>
      <c r="P38" s="14"/>
      <c r="Q38" s="46">
        <f>O27/Q37</f>
        <v>0.49207290767903367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36294.117647058825</v>
      </c>
      <c r="K39" s="250"/>
      <c r="L39" s="14"/>
      <c r="M39" s="12"/>
      <c r="N39" s="12">
        <f>N38/O27</f>
        <v>121711.23287671234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0.47868852459016398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45426</v>
      </c>
    </row>
    <row r="6" spans="2:31" ht="16.2" thickBot="1" x14ac:dyDescent="0.35">
      <c r="B6" s="140" t="s">
        <v>2</v>
      </c>
      <c r="C6" s="139" t="str">
        <f>'2229'!C10</f>
        <v>MUEBLES FORD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10959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-24270.750033454107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228123</v>
      </c>
      <c r="E11" s="132">
        <f>D11*0.19</f>
        <v>43343.37</v>
      </c>
      <c r="F11" s="131">
        <f>E11+D11</f>
        <v>271466.37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81719.249966545889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49999.090787439614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63719.249966545889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178123.90921256039</v>
      </c>
      <c r="E13" s="221">
        <f>(D11/D12)-1</f>
        <v>3.5625429664274479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54719.249966545889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15719.249966545893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82498.499799275363</v>
      </c>
      <c r="F15" s="216">
        <f>E15-D12</f>
        <v>32499.409011835749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15719.249966545893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55719.249966545889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7665.0000000000018</v>
      </c>
      <c r="E20" s="121">
        <f>D20*0.19</f>
        <v>1456.3500000000004</v>
      </c>
      <c r="F20" s="120">
        <f>SUM(D20:E20)</f>
        <v>9121.3500000000022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20165</v>
      </c>
      <c r="E21" s="116">
        <f>SUM(E18:E20)</f>
        <v>3831.3500000000004</v>
      </c>
      <c r="F21" s="115">
        <f>SUM(F18:F20)</f>
        <v>23996.350000000002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39512.020000000004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228123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20165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178123.90921256039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178123.90921256039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2024-05-13T15:07:00Z</cp:lastPrinted>
  <dcterms:created xsi:type="dcterms:W3CDTF">2013-03-18T13:35:42Z</dcterms:created>
  <dcterms:modified xsi:type="dcterms:W3CDTF">2024-05-15T16:15:45Z</dcterms:modified>
</cp:coreProperties>
</file>