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5 MAYO 2024\"/>
    </mc:Choice>
  </mc:AlternateContent>
  <xr:revisionPtr revIDLastSave="0" documentId="13_ncr:1_{6F2EB1DA-9B23-4741-A813-12EEAFEFA57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6" i="1" l="1"/>
  <c r="K22" i="1"/>
  <c r="L22" i="1"/>
  <c r="M22" i="1"/>
  <c r="N22" i="1"/>
  <c r="O22" i="1" s="1"/>
  <c r="R22" i="1"/>
  <c r="K21" i="1"/>
  <c r="J39" i="1" l="1"/>
  <c r="L21" i="1" l="1"/>
  <c r="L25" i="1" s="1"/>
  <c r="M21" i="1"/>
  <c r="N21" i="1" l="1"/>
  <c r="O21" i="1" s="1"/>
  <c r="O27" i="1" s="1"/>
  <c r="O28" i="1" s="1"/>
  <c r="O29" i="1" s="1"/>
  <c r="R21" i="1"/>
  <c r="N32" i="1"/>
  <c r="S44" i="1" l="1"/>
  <c r="M20" i="1" l="1"/>
  <c r="K20" i="1"/>
  <c r="N33" i="1" l="1"/>
  <c r="Q37" i="1"/>
  <c r="Q38" i="1" s="1"/>
  <c r="N34" i="1" l="1"/>
  <c r="S37" i="1" l="1"/>
  <c r="S38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N36" i="1"/>
  <c r="N35" i="1"/>
  <c r="F18" i="3" l="1"/>
  <c r="L31" i="1" l="1"/>
  <c r="N31" i="1" l="1"/>
  <c r="N37" i="1" s="1"/>
  <c r="N38" i="1" s="1"/>
  <c r="S45" i="1"/>
  <c r="D20" i="3" l="1"/>
  <c r="E20" i="3" s="1"/>
  <c r="E21" i="3" s="1"/>
  <c r="N40" i="1" l="1"/>
  <c r="D21" i="3"/>
  <c r="M43" i="3" s="1"/>
  <c r="D12" i="3" s="1"/>
  <c r="F20" i="3"/>
  <c r="F21" i="3" s="1"/>
  <c r="N39" i="1" l="1"/>
  <c r="P20" i="1" s="1"/>
  <c r="P22" i="1" s="1"/>
  <c r="E15" i="3"/>
  <c r="H22" i="1" l="1"/>
  <c r="Q22" i="1"/>
  <c r="P21" i="1"/>
  <c r="F15" i="3"/>
  <c r="Q21" i="1" l="1"/>
  <c r="R27" i="1"/>
  <c r="H21" i="1" l="1"/>
  <c r="H25" i="1" s="1"/>
  <c r="K15" i="1" s="1"/>
  <c r="H26" i="1" l="1"/>
  <c r="H27" i="1" s="1"/>
  <c r="D11" i="3" l="1"/>
  <c r="X9" i="3" s="1"/>
  <c r="X15" i="3" s="1"/>
  <c r="D13" i="3" l="1"/>
  <c r="X11" i="3"/>
  <c r="M42" i="3"/>
  <c r="M46" i="3" s="1"/>
  <c r="M49" i="3" s="1"/>
  <c r="X14" i="3"/>
  <c r="X13" i="3"/>
  <c r="X12" i="3"/>
  <c r="X16" i="3"/>
  <c r="E11" i="3"/>
  <c r="D40" i="3" s="1"/>
  <c r="E13" i="3"/>
  <c r="F11" i="3" l="1"/>
</calcChain>
</file>

<file path=xl/sharedStrings.xml><?xml version="1.0" encoding="utf-8"?>
<sst xmlns="http://schemas.openxmlformats.org/spreadsheetml/2006/main" count="225" uniqueCount="168">
  <si>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</si>
  <si>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</si>
  <si>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</si>
  <si>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</si>
  <si>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</si>
  <si>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</si>
  <si>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</si>
  <si>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</si>
  <si>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</si>
  <si>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</si>
  <si>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</si>
  <si>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</si>
  <si>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</si>
  <si>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</si>
  <si>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</si>
  <si>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</si>
  <si>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</si>
  <si>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</si>
  <si>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</si>
  <si>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</si>
  <si>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</si>
  <si>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</si>
  <si>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</si>
  <si>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TRASCARA ENCHAPADA, ES POR 2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</si>
  <si>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</si>
  <si>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</si>
  <si>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</si>
  <si>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</si>
  <si>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</si>
  <si>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</si>
  <si>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</si>
  <si>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</si>
  <si>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</si>
  <si>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</si>
  <si>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</si>
  <si>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</si>
  <si>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</si>
  <si>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</si>
  <si>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</si>
  <si>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</si>
  <si>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</si>
  <si>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</si>
  <si>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</si>
  <si>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</si>
  <si>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</si>
  <si>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</si>
  <si>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</si>
  <si>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</si>
  <si>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</si>
  <si>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</si>
  <si>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</si>
  <si>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</si>
  <si>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</si>
  <si>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</si>
  <si>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</si>
  <si>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</si>
  <si>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</si>
  <si>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</si>
  <si>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</si>
  <si>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</si>
  <si>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</si>
  <si>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</si>
  <si>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</si>
  <si>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</si>
  <si>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</si>
  <si>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</si>
  <si>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</si>
  <si>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</si>
  <si>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</si>
  <si>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</si>
  <si>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</si>
  <si>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</si>
  <si>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</si>
  <si>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</si>
  <si>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</si>
  <si>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</si>
  <si>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</si>
  <si>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</si>
  <si>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</si>
  <si>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</si>
  <si>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</si>
  <si>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</si>
  <si>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</si>
  <si>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</si>
  <si>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</si>
  <si>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</si>
  <si>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</si>
  <si>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</si>
  <si>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</si>
  <si>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</si>
  <si>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</si>
  <si>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</si>
  <si>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</si>
  <si>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</si>
  <si>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</si>
  <si>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</si>
  <si>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</si>
  <si>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</si>
  <si>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</si>
  <si>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</si>
  <si>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</si>
  <si>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</si>
  <si>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</si>
  <si>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</si>
  <si>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</si>
  <si>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</si>
  <si>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</si>
  <si>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</si>
  <si>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</si>
  <si>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</si>
  <si>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</si>
  <si>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</si>
  <si>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</si>
  <si>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</si>
  <si>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</si>
  <si>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</si>
  <si>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</si>
  <si>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</si>
  <si>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</si>
  <si>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</si>
  <si>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</si>
  <si>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</si>
  <si>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</si>
  <si>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</si>
  <si>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</si>
  <si>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</si>
  <si>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</si>
  <si>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</si>
  <si>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</si>
  <si>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</si>
  <si>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</si>
  <si>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</si>
  <si>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</si>
  <si>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</si>
  <si>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</si>
  <si>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</si>
  <si>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</si>
  <si>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</si>
  <si>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</si>
  <si>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</si>
  <si>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</si>
  <si>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</si>
  <si>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</si>
  <si>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</si>
  <si>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</si>
  <si>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</si>
  <si>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</si>
  <si>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</si>
  <si>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</si>
  <si>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</si>
  <si>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</si>
  <si>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</si>
  <si>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</si>
  <si>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</si>
  <si>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>MDF25MM</t>
  </si>
  <si>
    <t>SANTIAGO</t>
  </si>
  <si>
    <t>DURACION COTIZACION: 5 DIAS                   FRANCO DONOSO</t>
  </si>
  <si>
    <t>D HOME  DESIGN SPA</t>
  </si>
  <si>
    <t>77.855.367-8</t>
  </si>
  <si>
    <t>VENTA DE MUEBLES</t>
  </si>
  <si>
    <t>JUAN GONZALEZ</t>
  </si>
  <si>
    <t>JGONZALEZ@DEMOVI.CL</t>
  </si>
  <si>
    <t>AV. PORTALES 4311 SAN BERNARDO</t>
  </si>
  <si>
    <t>CONTADO</t>
  </si>
  <si>
    <t>CUBIERTA CON RESPALDO R8</t>
  </si>
  <si>
    <t>N° 10975</t>
  </si>
  <si>
    <t>5 dias habiles</t>
  </si>
  <si>
    <t>BLANCO OPACO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</si>
</sst>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b/>
      <u/>
      <sz val="11"/>
      <name val="Calibri"/>
      <family val="2"/>
      <scheme val="minor"/>
    </font>
    <font>
      <sz val="11"/>
      <color rgb="FF000000"/>
      <name val="Segoe UI"/>
      <family val="2"/>
    </font>
  </fonts>
  <fills count="22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0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8" fillId="8" borderId="47" xfId="0" applyFont="1" applyFill="1" applyBorder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0" borderId="0" xfId="0" applyFont="1"/>
    <xf numFmtId="0" fontId="7" fillId="0" borderId="54" xfId="0" applyFont="1" applyBorder="1"/>
    <xf numFmtId="0" fontId="14" fillId="0" borderId="0" xfId="0" applyFont="1"/>
    <xf numFmtId="0" fontId="30" fillId="0" borderId="0" xfId="0" applyFont="1"/>
    <xf numFmtId="0" fontId="25" fillId="8" borderId="0" xfId="0" applyFont="1" applyFill="1"/>
    <xf numFmtId="0" fontId="29" fillId="8" borderId="0" xfId="0" applyFont="1" applyFill="1"/>
    <xf numFmtId="0" fontId="0" fillId="8" borderId="44" xfId="0" applyFill="1" applyBorder="1"/>
    <xf numFmtId="0" fontId="29" fillId="8" borderId="37" xfId="3" applyFont="1" applyFill="1" applyBorder="1" applyAlignment="1">
      <alignment horizontal="left"/>
    </xf>
    <xf numFmtId="0" fontId="0" fillId="8" borderId="37" xfId="3" applyFont="1" applyFill="1" applyBorder="1" applyAlignment="1">
      <alignment horizontal="left"/>
    </xf>
    <xf numFmtId="0" fontId="0" fillId="8" borderId="37" xfId="0" applyFill="1" applyBorder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0" fontId="9" fillId="0" borderId="0" xfId="3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36" fillId="0" borderId="0" xfId="0" applyFont="1"/>
    <xf numFmtId="167" fontId="11" fillId="0" borderId="0" xfId="2" applyNumberFormat="1" applyFont="1" applyFill="1" applyBorder="1" applyAlignment="1">
      <alignment horizontal="center" vertical="center"/>
    </xf>
    <xf numFmtId="167" fontId="32" fillId="0" borderId="0" xfId="0" applyNumberFormat="1" applyFont="1"/>
    <xf numFmtId="167" fontId="0" fillId="0" borderId="0" xfId="0" applyNumberFormat="1" applyAlignment="1">
      <alignment horizontal="center"/>
    </xf>
    <xf numFmtId="0" fontId="24" fillId="20" borderId="3" xfId="0" applyFont="1" applyFill="1" applyBorder="1" applyAlignment="1">
      <alignment horizontal="center"/>
    </xf>
    <xf numFmtId="0" fontId="35" fillId="0" borderId="0" xfId="3" quotePrefix="1" applyFont="1" applyFill="1" applyBorder="1" applyAlignment="1">
      <alignment horizontal="left"/>
    </xf>
    <xf numFmtId="167" fontId="0" fillId="7" borderId="0" xfId="0" applyNumberFormat="1" applyFill="1"/>
    <xf numFmtId="166" fontId="3" fillId="7" borderId="0" xfId="0" applyNumberFormat="1" applyFont="1" applyFill="1"/>
    <xf numFmtId="167" fontId="0" fillId="21" borderId="0" xfId="0" applyNumberFormat="1" applyFill="1"/>
    <xf numFmtId="166" fontId="3" fillId="21" borderId="0" xfId="0" applyNumberFormat="1" applyFont="1" applyFill="1"/>
    <xf numFmtId="0" fontId="21" fillId="20" borderId="40" xfId="0" applyFont="1" applyFill="1" applyBorder="1" applyAlignment="1">
      <alignment horizontal="center" vertical="center"/>
    </xf>
    <xf numFmtId="0" fontId="21" fillId="20" borderId="39" xfId="0" applyFont="1" applyFill="1" applyBorder="1" applyAlignment="1">
      <alignment horizontal="center" vertical="center"/>
    </xf>
    <xf numFmtId="0" fontId="21" fillId="20" borderId="43" xfId="0" applyFont="1" applyFill="1" applyBorder="1" applyAlignment="1">
      <alignment horizontal="center" vertical="center"/>
    </xf>
    <xf numFmtId="0" fontId="32" fillId="0" borderId="28" xfId="0" applyFont="1" applyBorder="1" applyAlignment="1">
      <alignment horizontal="center" vertical="center"/>
    </xf>
    <xf numFmtId="0" fontId="32" fillId="0" borderId="36" xfId="0" applyFont="1" applyBorder="1" applyAlignment="1">
      <alignment horizontal="center" vertical="center"/>
    </xf>
    <xf numFmtId="166" fontId="32" fillId="0" borderId="36" xfId="0" applyNumberFormat="1" applyFont="1" applyBorder="1" applyAlignment="1">
      <alignment horizontal="center" vertical="center"/>
    </xf>
    <xf numFmtId="167" fontId="11" fillId="0" borderId="36" xfId="2" applyNumberFormat="1" applyFont="1" applyFill="1" applyBorder="1" applyAlignment="1">
      <alignment horizontal="center" vertical="center"/>
    </xf>
    <xf numFmtId="167" fontId="11" fillId="0" borderId="27" xfId="2" applyNumberFormat="1" applyFont="1" applyFill="1" applyBorder="1" applyAlignment="1">
      <alignment horizontal="center" vertical="center"/>
    </xf>
    <xf numFmtId="0" fontId="18" fillId="8" borderId="37" xfId="0" applyFont="1" applyFill="1" applyBorder="1" applyAlignment="1">
      <alignment horizontal="left"/>
    </xf>
    <xf numFmtId="0" fontId="18" fillId="8" borderId="56" xfId="0" applyFont="1" applyFill="1" applyBorder="1" applyAlignment="1">
      <alignment horizontal="left"/>
    </xf>
    <xf numFmtId="0" fontId="5" fillId="5" borderId="40" xfId="0" applyFont="1" applyFill="1" applyBorder="1" applyAlignment="1">
      <alignment horizontal="center" vertical="center"/>
    </xf>
    <xf numFmtId="0" fontId="5" fillId="5" borderId="39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</xdr:colOff>
      <xdr:row>28</xdr:row>
      <xdr:rowOff>5249</xdr:rowOff>
    </xdr:from>
    <xdr:to>
      <xdr:col>8</xdr:col>
      <xdr:colOff>7776</xdr:colOff>
      <xdr:row>31</xdr:row>
      <xdr:rowOff>5250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054137" y="5735800"/>
          <a:ext cx="2012108" cy="653144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30</xdr:row>
      <xdr:rowOff>154305</xdr:rowOff>
    </xdr:from>
    <xdr:to>
      <xdr:col>7</xdr:col>
      <xdr:colOff>853440</xdr:colOff>
      <xdr:row>30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9527</xdr:colOff>
      <xdr:row>28</xdr:row>
      <xdr:rowOff>9525</xdr:rowOff>
    </xdr:from>
    <xdr:to>
      <xdr:col>5</xdr:col>
      <xdr:colOff>1749491</xdr:colOff>
      <xdr:row>31</xdr:row>
      <xdr:rowOff>15551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421629" y="5522362"/>
          <a:ext cx="6413046" cy="659169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4977</xdr:colOff>
      <xdr:row>23</xdr:row>
      <xdr:rowOff>223973</xdr:rowOff>
    </xdr:from>
    <xdr:to>
      <xdr:col>5</xdr:col>
      <xdr:colOff>1749490</xdr:colOff>
      <xdr:row>27</xdr:row>
      <xdr:rowOff>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17079" y="4632687"/>
          <a:ext cx="6417595" cy="662435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LAS</a:t>
          </a:r>
          <a:r>
            <a:rPr lang="es-CL" sz="1200" b="1" baseline="0"/>
            <a:t> CUBIERTAS SE ENTREGAN CON SOBRE MEDIDA EN EL LARGO</a:t>
          </a:r>
        </a:p>
        <a:p>
          <a:pPr algn="l"/>
          <a:r>
            <a:rPr lang="es-CL" sz="1200" b="1" u="dbl" baseline="0">
              <a:solidFill>
                <a:srgbClr val="FF0000"/>
              </a:solidFill>
            </a:rPr>
            <a:t>SUSTRATO MDF 18MM.</a:t>
          </a:r>
        </a:p>
      </xdr:txBody>
    </xdr:sp>
    <xdr:clientData/>
  </xdr:twoCellAnchor>
  <xdr:twoCellAnchor editAs="oneCell">
    <xdr:from>
      <xdr:col>1</xdr:col>
      <xdr:colOff>16328</xdr:colOff>
      <xdr:row>0</xdr:row>
      <xdr:rowOff>38255</xdr:rowOff>
    </xdr:from>
    <xdr:to>
      <xdr:col>2</xdr:col>
      <xdr:colOff>810472</xdr:colOff>
      <xdr:row>6</xdr:row>
      <xdr:rowOff>59210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8430" y="38255"/>
          <a:ext cx="1517266" cy="115617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JGONZALEZ@DEMOVI.CL" TargetMode="External"/><Relationship Id="rId1" Type="http://schemas.openxmlformats.org/officeDocument/2006/relationships/hyperlink" Target="http://www.topmobilichile.cl/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X582"/>
  <sheetViews>
    <sheetView tabSelected="1" topLeftCell="A6" zoomScale="98" zoomScaleNormal="98" workbookViewId="0">
      <selection activeCell="A23" sqref="A23"/>
    </sheetView>
  </sheetViews>
  <sheetFormatPr baseColWidth="10" defaultRowHeight="14.4" x14ac:dyDescent="0.3"/>
  <cols>
    <col min="1" max="1" width="6" customWidth="1"/>
    <col min="2" max="2" width="10.5546875" customWidth="1"/>
    <col min="3" max="3" width="35.88671875" customWidth="1"/>
    <col min="4" max="4" width="11.109375" customWidth="1"/>
    <col min="5" max="5" width="10.5546875" customWidth="1"/>
    <col min="6" max="6" width="28.5546875" customWidth="1"/>
    <col min="7" max="7" width="14" customWidth="1"/>
    <col min="8" max="8" width="15.44140625" customWidth="1"/>
    <col min="9" max="9" width="13.44140625" customWidth="1"/>
    <col min="11" max="11" width="9.5546875" style="18" customWidth="1"/>
    <col min="12" max="12" width="8.88671875" customWidth="1"/>
    <col min="13" max="13" width="8.33203125" customWidth="1"/>
    <col min="14" max="14" width="9.44140625" customWidth="1"/>
    <col min="15" max="15" width="7.6640625" customWidth="1"/>
    <col min="16" max="16" width="9.44140625" customWidth="1"/>
    <col min="17" max="17" width="10.109375" customWidth="1"/>
    <col min="18" max="18" width="8.88671875" customWidth="1"/>
    <col min="19" max="19" width="9.6640625" customWidth="1"/>
    <col min="20" max="20" width="9.33203125" customWidth="1"/>
    <col min="21" max="21" width="8.6640625" customWidth="1"/>
    <col min="22" max="22" width="10.88671875" customWidth="1"/>
    <col min="23" max="23" width="10.44140625" customWidth="1"/>
    <col min="24" max="24" width="9" customWidth="1"/>
  </cols>
  <sheetData>
    <row r="2" spans="2:23" ht="15.6" x14ac:dyDescent="0.3">
      <c r="F2" s="241" t="s">
        <v>144</v>
      </c>
      <c r="P2" s="2"/>
      <c r="Q2" s="2"/>
      <c r="R2" s="3"/>
      <c r="S2" s="3"/>
      <c r="T2" s="2"/>
      <c r="U2" s="2"/>
      <c r="V2" s="3"/>
      <c r="W2" s="4"/>
    </row>
    <row r="3" spans="2:23" x14ac:dyDescent="0.3">
      <c r="F3" s="59" t="s">
        <v>140</v>
      </c>
      <c r="P3" s="2"/>
      <c r="Q3" s="2"/>
      <c r="R3" s="3"/>
      <c r="S3" s="3"/>
      <c r="T3" s="2"/>
      <c r="U3" s="2"/>
      <c r="V3" s="3"/>
      <c r="W3" s="4"/>
    </row>
    <row r="4" spans="2:23" x14ac:dyDescent="0.3">
      <c r="F4" s="59" t="s">
        <v>145</v>
      </c>
      <c r="P4" s="2"/>
      <c r="Q4" s="2"/>
      <c r="R4" s="3"/>
      <c r="S4" s="3"/>
      <c r="T4" s="2"/>
      <c r="U4" s="2"/>
      <c r="V4" s="3"/>
      <c r="W4" s="4"/>
    </row>
    <row r="5" spans="2:23" x14ac:dyDescent="0.3">
      <c r="F5" s="59" t="s">
        <v>14</v>
      </c>
      <c r="P5" s="2"/>
      <c r="Q5" s="2"/>
      <c r="R5" s="3"/>
      <c r="S5" s="3"/>
      <c r="T5" s="2"/>
      <c r="U5" s="2"/>
      <c r="V5" s="3"/>
      <c r="W5" s="4"/>
    </row>
    <row r="6" spans="2:23" ht="15.6" x14ac:dyDescent="0.3">
      <c r="F6" s="59" t="s">
        <v>15</v>
      </c>
      <c r="N6" s="33" t="s">
        <v>20</v>
      </c>
      <c r="P6" s="2"/>
      <c r="Q6" s="2"/>
      <c r="R6" s="3"/>
      <c r="S6" s="3"/>
      <c r="T6" s="2"/>
      <c r="U6" s="2"/>
      <c r="V6" s="3"/>
    </row>
    <row r="7" spans="2:23" ht="15" thickBot="1" x14ac:dyDescent="0.35">
      <c r="F7" s="59" t="s">
        <v>126</v>
      </c>
      <c r="P7" s="2"/>
      <c r="Q7" s="2"/>
      <c r="R7" s="3"/>
      <c r="S7" s="3"/>
      <c r="T7" s="2"/>
      <c r="U7" s="2"/>
      <c r="V7" s="3"/>
    </row>
    <row r="8" spans="2:23" ht="21.6" thickBot="1" x14ac:dyDescent="0.45">
      <c r="B8" s="300" t="s">
        <v>128</v>
      </c>
      <c r="C8" s="301"/>
      <c r="D8" s="314" t="s">
        <v>165</v>
      </c>
      <c r="F8" s="59"/>
      <c r="J8" s="52"/>
      <c r="Q8" s="2"/>
      <c r="R8" s="3"/>
      <c r="S8" s="3"/>
      <c r="T8" s="2"/>
      <c r="U8" s="2"/>
      <c r="V8" s="3"/>
    </row>
    <row r="9" spans="2:23" ht="15" thickBot="1" x14ac:dyDescent="0.35">
      <c r="Q9" s="2"/>
      <c r="R9" s="3"/>
      <c r="S9" s="3"/>
      <c r="T9" s="4"/>
      <c r="U9" s="2"/>
      <c r="V9" s="3"/>
    </row>
    <row r="10" spans="2:23" x14ac:dyDescent="0.3">
      <c r="B10" s="242" t="s">
        <v>2</v>
      </c>
      <c r="C10" s="278" t="s">
        <v>157</v>
      </c>
      <c r="D10" s="243"/>
      <c r="E10" s="243"/>
      <c r="F10" s="244" t="s">
        <v>0</v>
      </c>
      <c r="G10" s="276">
        <v>45443</v>
      </c>
      <c r="H10" s="245"/>
      <c r="J10" s="1"/>
      <c r="Q10" s="2"/>
      <c r="R10" s="3"/>
      <c r="S10" s="3"/>
      <c r="T10" s="4"/>
      <c r="U10" s="2"/>
      <c r="V10" s="3"/>
    </row>
    <row r="11" spans="2:23" ht="16.8" x14ac:dyDescent="0.4">
      <c r="B11" s="287" t="s">
        <v>12</v>
      </c>
      <c r="C11" s="310" t="s">
        <v>158</v>
      </c>
      <c r="F11" t="s">
        <v>125</v>
      </c>
      <c r="G11" s="288" t="s">
        <v>166</v>
      </c>
      <c r="H11" s="289"/>
      <c r="P11" s="19"/>
      <c r="Q11" s="25" t="s">
        <v>19</v>
      </c>
      <c r="R11" s="19"/>
    </row>
    <row r="12" spans="2:23" ht="16.8" x14ac:dyDescent="0.4">
      <c r="B12" s="246" t="s">
        <v>147</v>
      </c>
      <c r="C12" s="310" t="s">
        <v>159</v>
      </c>
      <c r="D12" s="247"/>
      <c r="E12" s="247"/>
      <c r="F12" s="247" t="s">
        <v>129</v>
      </c>
      <c r="G12" s="277" t="s">
        <v>137</v>
      </c>
      <c r="H12" s="248"/>
      <c r="P12" s="19"/>
      <c r="Q12" s="25"/>
      <c r="R12" s="19"/>
    </row>
    <row r="13" spans="2:23" x14ac:dyDescent="0.3">
      <c r="B13" s="246" t="s">
        <v>148</v>
      </c>
      <c r="C13" t="s">
        <v>160</v>
      </c>
      <c r="D13" s="247"/>
      <c r="E13" s="247"/>
      <c r="F13" s="247"/>
      <c r="G13" s="277"/>
      <c r="H13" s="248"/>
      <c r="L13">
        <v>32.979999999999997</v>
      </c>
      <c r="M13" t="s">
        <v>17</v>
      </c>
      <c r="P13" s="19"/>
      <c r="Q13" s="25"/>
      <c r="R13" s="19"/>
    </row>
    <row r="14" spans="2:23" x14ac:dyDescent="0.3">
      <c r="B14" s="287" t="s">
        <v>141</v>
      </c>
      <c r="C14" s="305" t="s">
        <v>161</v>
      </c>
      <c r="F14" s="29" t="s">
        <v>138</v>
      </c>
      <c r="G14" s="290" t="s">
        <v>137</v>
      </c>
      <c r="H14" s="289"/>
      <c r="J14" s="29"/>
      <c r="P14" s="20"/>
      <c r="Q14" s="26" t="s">
        <v>18</v>
      </c>
      <c r="R14" s="20"/>
    </row>
    <row r="15" spans="2:23" ht="15.6" x14ac:dyDescent="0.3">
      <c r="B15" s="246" t="s">
        <v>4</v>
      </c>
      <c r="C15" s="315">
        <v>56942194105</v>
      </c>
      <c r="D15" s="294"/>
      <c r="E15" s="247"/>
      <c r="F15" s="247" t="s">
        <v>136</v>
      </c>
      <c r="G15" s="295" t="s">
        <v>137</v>
      </c>
      <c r="H15" s="248"/>
      <c r="K15" s="18">
        <f>H25/L13</f>
        <v>5170.6791995148578</v>
      </c>
    </row>
    <row r="16" spans="2:23" ht="16.8" x14ac:dyDescent="0.4">
      <c r="B16" s="291" t="s">
        <v>3</v>
      </c>
      <c r="C16" s="310" t="s">
        <v>162</v>
      </c>
      <c r="F16" s="292" t="s">
        <v>131</v>
      </c>
      <c r="G16" s="293" t="s">
        <v>163</v>
      </c>
      <c r="H16" s="289"/>
    </row>
    <row r="17" spans="1:24" ht="15" thickBot="1" x14ac:dyDescent="0.35">
      <c r="B17" s="296" t="s">
        <v>13</v>
      </c>
      <c r="C17" s="297" t="s">
        <v>155</v>
      </c>
      <c r="D17" s="298"/>
      <c r="E17" s="299"/>
      <c r="F17" s="328" t="s">
        <v>156</v>
      </c>
      <c r="G17" s="328"/>
      <c r="H17" s="329"/>
      <c r="I17" s="263"/>
      <c r="S17" s="6"/>
      <c r="T17" s="6"/>
    </row>
    <row r="18" spans="1:24" ht="15.75" customHeight="1" thickBot="1" x14ac:dyDescent="0.35">
      <c r="I18" s="47"/>
      <c r="J18" s="5"/>
      <c r="U18" s="9"/>
      <c r="W18" s="6"/>
      <c r="X18" s="6"/>
    </row>
    <row r="19" spans="1:24" ht="13.5" customHeight="1" thickBot="1" x14ac:dyDescent="0.35">
      <c r="B19" s="330" t="s">
        <v>149</v>
      </c>
      <c r="C19" s="331"/>
      <c r="D19" s="331"/>
      <c r="E19" s="331"/>
      <c r="F19" s="331"/>
      <c r="G19" s="331"/>
      <c r="H19" s="332"/>
      <c r="I19" s="264"/>
      <c r="J19" s="5"/>
      <c r="K19" s="250"/>
      <c r="L19" s="14">
        <v>0.05</v>
      </c>
      <c r="M19" s="14"/>
      <c r="N19" s="14"/>
      <c r="O19" s="251" t="s">
        <v>6</v>
      </c>
      <c r="P19" s="36" t="s">
        <v>21</v>
      </c>
      <c r="Q19" s="37" t="s">
        <v>135</v>
      </c>
      <c r="R19" s="10" t="s">
        <v>139</v>
      </c>
      <c r="T19" s="9"/>
      <c r="U19" s="9"/>
      <c r="W19" s="6"/>
      <c r="X19" s="6"/>
    </row>
    <row r="20" spans="1:24" ht="18" thickBot="1" x14ac:dyDescent="0.35">
      <c r="B20" s="320" t="s">
        <v>7</v>
      </c>
      <c r="C20" s="321" t="s">
        <v>1</v>
      </c>
      <c r="D20" s="321" t="s">
        <v>10</v>
      </c>
      <c r="E20" s="321" t="s">
        <v>11</v>
      </c>
      <c r="F20" s="321" t="s">
        <v>8</v>
      </c>
      <c r="G20" s="321" t="s">
        <v>5</v>
      </c>
      <c r="H20" s="322" t="s">
        <v>6</v>
      </c>
      <c r="I20" s="265"/>
      <c r="J20" s="47"/>
      <c r="K20" s="268" t="str">
        <f t="shared" ref="K20:K21" si="0">B20</f>
        <v>UNIDAD</v>
      </c>
      <c r="L20" s="267" t="s">
        <v>133</v>
      </c>
      <c r="M20" s="39" t="str">
        <f>E20</f>
        <v>ANCHO</v>
      </c>
      <c r="N20" s="261" t="s">
        <v>134</v>
      </c>
      <c r="O20" s="259" t="s">
        <v>17</v>
      </c>
      <c r="P20" s="252">
        <f>N39</f>
        <v>63771.007751937985</v>
      </c>
      <c r="Q20" s="258">
        <v>3000</v>
      </c>
      <c r="R20" s="38"/>
      <c r="S20" s="14" t="s">
        <v>130</v>
      </c>
      <c r="T20" s="9"/>
      <c r="W20" s="4"/>
    </row>
    <row r="21" spans="1:24" ht="18" thickBot="1" x14ac:dyDescent="0.35">
      <c r="B21" s="323">
        <v>1</v>
      </c>
      <c r="C21" s="324" t="s">
        <v>164</v>
      </c>
      <c r="D21" s="325">
        <v>1.55</v>
      </c>
      <c r="E21" s="325">
        <v>0.6</v>
      </c>
      <c r="F21" s="324" t="s">
        <v>167</v>
      </c>
      <c r="G21" s="326">
        <v>64220</v>
      </c>
      <c r="H21" s="327">
        <f t="shared" ref="H21" si="1">G21*B21</f>
        <v>64220</v>
      </c>
      <c r="I21" s="265"/>
      <c r="J21" s="47"/>
      <c r="K21" s="316">
        <f t="shared" si="0"/>
        <v>1</v>
      </c>
      <c r="L21" s="317">
        <f t="shared" ref="L21:M21" si="2">D21+L$19</f>
        <v>1.6</v>
      </c>
      <c r="M21" s="317">
        <f t="shared" si="2"/>
        <v>0.6</v>
      </c>
      <c r="N21" s="261">
        <f>L21*M21</f>
        <v>0.96</v>
      </c>
      <c r="O21" s="259">
        <f>N21*K21</f>
        <v>0.96</v>
      </c>
      <c r="P21" s="252">
        <f>P$20*N21</f>
        <v>61220.16744186046</v>
      </c>
      <c r="Q21" s="258">
        <f>P21+Q$20</f>
        <v>64220.16744186046</v>
      </c>
      <c r="R21" s="307">
        <f>K21*L21</f>
        <v>1.6</v>
      </c>
      <c r="S21" s="14"/>
      <c r="T21" s="9"/>
      <c r="W21" s="4"/>
    </row>
    <row r="22" spans="1:24" ht="17.399999999999999" x14ac:dyDescent="0.3">
      <c r="B22" s="323">
        <v>1</v>
      </c>
      <c r="C22" s="324" t="s">
        <v>164</v>
      </c>
      <c r="D22" s="325">
        <v>2.65</v>
      </c>
      <c r="E22" s="325">
        <v>0.6</v>
      </c>
      <c r="F22" s="324" t="s">
        <v>167</v>
      </c>
      <c r="G22" s="326">
        <v>106309</v>
      </c>
      <c r="H22" s="327">
        <f t="shared" ref="H22" si="3">G22*B22</f>
        <v>106309</v>
      </c>
      <c r="I22" s="265"/>
      <c r="J22" s="47"/>
      <c r="K22" s="316">
        <f t="shared" ref="K22" si="4">B22</f>
        <v>1</v>
      </c>
      <c r="L22" s="317">
        <f t="shared" ref="L22" si="5">D22+L$19</f>
        <v>2.6999999999999997</v>
      </c>
      <c r="M22" s="317">
        <f t="shared" ref="M22" si="6">E22+M$19</f>
        <v>0.6</v>
      </c>
      <c r="N22" s="261">
        <f>L22*M22</f>
        <v>1.6199999999999999</v>
      </c>
      <c r="O22" s="259">
        <f>N22*K22</f>
        <v>1.6199999999999999</v>
      </c>
      <c r="P22" s="252">
        <f>P$20*N22</f>
        <v>103309.03255813953</v>
      </c>
      <c r="Q22" s="258">
        <f>P22+Q$20</f>
        <v>106309.03255813953</v>
      </c>
      <c r="R22" s="307">
        <f>K22*L22</f>
        <v>2.6999999999999997</v>
      </c>
      <c r="S22" s="14"/>
      <c r="T22" s="9"/>
      <c r="W22" s="4"/>
    </row>
    <row r="23" spans="1:24" ht="17.399999999999999" x14ac:dyDescent="0.3">
      <c r="B23" s="285"/>
      <c r="C23" s="285"/>
      <c r="D23" s="286"/>
      <c r="E23" s="286"/>
      <c r="F23" s="285"/>
      <c r="G23" s="311"/>
      <c r="H23" s="311"/>
      <c r="I23" s="265"/>
      <c r="K23" s="318"/>
      <c r="L23" s="319"/>
      <c r="M23" s="319"/>
      <c r="N23" s="261"/>
      <c r="O23" s="259"/>
      <c r="P23" s="252"/>
      <c r="Q23" s="258"/>
      <c r="R23" s="307"/>
      <c r="S23" s="14"/>
      <c r="T23" s="9"/>
      <c r="W23" s="4"/>
    </row>
    <row r="24" spans="1:24" ht="18" thickBot="1" x14ac:dyDescent="0.35">
      <c r="B24" s="285"/>
      <c r="C24" s="285"/>
      <c r="D24" s="286"/>
      <c r="E24" s="286"/>
      <c r="F24" s="285"/>
      <c r="G24" s="265"/>
      <c r="H24" s="232"/>
      <c r="I24" s="232"/>
      <c r="J24" s="47"/>
      <c r="K24" s="47"/>
      <c r="L24" s="39"/>
      <c r="M24" s="39"/>
      <c r="N24" s="261"/>
      <c r="O24" s="259"/>
      <c r="P24" s="252"/>
      <c r="Q24" s="258"/>
      <c r="R24" s="307"/>
      <c r="S24" s="14"/>
      <c r="T24" s="9"/>
      <c r="W24" s="4"/>
    </row>
    <row r="25" spans="1:24" ht="17.399999999999999" x14ac:dyDescent="0.3">
      <c r="B25" s="285"/>
      <c r="C25" s="285"/>
      <c r="D25" s="286"/>
      <c r="E25" s="286"/>
      <c r="F25" s="285"/>
      <c r="G25" s="308" t="s">
        <v>30</v>
      </c>
      <c r="H25" s="309">
        <f>SUM(H21:H24)</f>
        <v>170529</v>
      </c>
      <c r="I25" s="265"/>
      <c r="J25" s="47"/>
      <c r="K25" s="47"/>
      <c r="L25" s="39">
        <f>SUM(L21:L24)</f>
        <v>4.3</v>
      </c>
      <c r="M25" s="39"/>
      <c r="N25" s="261"/>
      <c r="O25" s="259"/>
      <c r="P25" s="252"/>
      <c r="Q25" s="258"/>
      <c r="R25" s="307"/>
      <c r="S25" s="14"/>
      <c r="T25" s="9"/>
      <c r="W25" s="4"/>
    </row>
    <row r="26" spans="1:24" ht="17.399999999999999" x14ac:dyDescent="0.3">
      <c r="B26" s="279"/>
      <c r="C26" s="282"/>
      <c r="D26" s="283"/>
      <c r="E26" s="283"/>
      <c r="F26" s="284"/>
      <c r="G26" s="306" t="s">
        <v>53</v>
      </c>
      <c r="H26" s="303">
        <f>H25*0.19</f>
        <v>32400.510000000002</v>
      </c>
      <c r="I26" s="265"/>
      <c r="J26" s="47"/>
      <c r="K26" s="47"/>
      <c r="L26" s="39"/>
      <c r="M26" s="12"/>
      <c r="N26" s="12"/>
      <c r="O26" s="253">
        <f>SUM(O21:O22)</f>
        <v>2.58</v>
      </c>
      <c r="P26" s="14"/>
      <c r="Q26" s="12"/>
      <c r="R26" s="238"/>
      <c r="S26" s="14"/>
      <c r="T26" s="9"/>
      <c r="W26" s="4"/>
    </row>
    <row r="27" spans="1:24" ht="18" thickBot="1" x14ac:dyDescent="0.35">
      <c r="B27" s="275"/>
      <c r="C27" s="281"/>
      <c r="D27" s="272"/>
      <c r="E27" s="272"/>
      <c r="F27" s="273"/>
      <c r="G27" s="280" t="s">
        <v>6</v>
      </c>
      <c r="H27" s="304">
        <f>H25+H26</f>
        <v>202929.51</v>
      </c>
      <c r="I27" s="265"/>
      <c r="J27" s="47"/>
      <c r="K27" s="47"/>
      <c r="L27" s="39"/>
      <c r="M27" s="12"/>
      <c r="N27" s="12"/>
      <c r="O27" s="253">
        <f>O26</f>
        <v>2.58</v>
      </c>
      <c r="P27" s="14"/>
      <c r="Q27" s="12"/>
      <c r="R27" s="238">
        <f>SUM(R21:R26)</f>
        <v>4.3</v>
      </c>
      <c r="S27" s="14"/>
      <c r="T27" s="9"/>
      <c r="W27" s="4"/>
    </row>
    <row r="28" spans="1:24" ht="17.399999999999999" x14ac:dyDescent="0.3">
      <c r="B28" s="275"/>
      <c r="C28" s="271"/>
      <c r="D28" s="272"/>
      <c r="E28" s="272"/>
      <c r="F28" s="273"/>
      <c r="I28" s="265"/>
      <c r="J28" s="47"/>
      <c r="K28" s="47"/>
      <c r="L28" s="14"/>
      <c r="M28" s="12"/>
      <c r="N28" s="12"/>
      <c r="O28" s="39">
        <f>O27*0.2</f>
        <v>0.51600000000000001</v>
      </c>
      <c r="P28" s="39" t="s">
        <v>132</v>
      </c>
      <c r="Q28" s="42"/>
      <c r="R28" s="239"/>
      <c r="S28" s="14"/>
      <c r="T28" s="9"/>
      <c r="W28" s="4"/>
    </row>
    <row r="29" spans="1:24" ht="17.399999999999999" x14ac:dyDescent="0.35">
      <c r="B29" s="269"/>
      <c r="C29" s="230"/>
      <c r="D29" s="230"/>
      <c r="E29" s="232"/>
      <c r="F29" s="233"/>
      <c r="G29" s="230"/>
      <c r="H29" s="274"/>
      <c r="I29" s="265"/>
      <c r="J29" s="313"/>
      <c r="K29" s="47"/>
      <c r="L29" s="14"/>
      <c r="M29" s="12"/>
      <c r="N29" s="12"/>
      <c r="O29" s="46">
        <f>O27+O28</f>
        <v>3.0960000000000001</v>
      </c>
      <c r="P29" s="14"/>
      <c r="Q29" s="14"/>
      <c r="R29" s="237">
        <v>40</v>
      </c>
      <c r="S29" s="14"/>
      <c r="T29" s="9"/>
      <c r="W29" s="4"/>
    </row>
    <row r="30" spans="1:24" ht="17.399999999999999" x14ac:dyDescent="0.35">
      <c r="B30" s="234"/>
      <c r="C30" s="235"/>
      <c r="D30" s="236"/>
      <c r="E30" s="234"/>
      <c r="F30" s="230"/>
      <c r="G30" s="230"/>
      <c r="J30" s="313"/>
      <c r="K30" s="47"/>
      <c r="L30" s="14"/>
      <c r="M30" s="14"/>
      <c r="N30" s="14"/>
      <c r="O30" s="14"/>
      <c r="P30" s="14"/>
      <c r="Q30" s="14"/>
      <c r="R30" s="237"/>
      <c r="S30" s="14"/>
      <c r="T30" s="9"/>
      <c r="W30" s="4"/>
    </row>
    <row r="31" spans="1:24" ht="17.399999999999999" x14ac:dyDescent="0.35">
      <c r="B31" s="230"/>
      <c r="C31" s="230"/>
      <c r="D31" s="230"/>
      <c r="E31" s="230"/>
      <c r="F31" s="230"/>
      <c r="G31" s="230"/>
      <c r="I31" s="265"/>
      <c r="J31" s="47"/>
      <c r="K31" s="47"/>
      <c r="L31" s="39">
        <f>O29</f>
        <v>3.0960000000000001</v>
      </c>
      <c r="M31" s="12">
        <v>3500</v>
      </c>
      <c r="N31" s="12">
        <f t="shared" ref="N31:N36" si="7">L31*M31</f>
        <v>10836</v>
      </c>
      <c r="O31" s="14" t="s">
        <v>22</v>
      </c>
      <c r="P31" s="14" t="s">
        <v>23</v>
      </c>
      <c r="Q31" s="14"/>
      <c r="R31" s="240"/>
      <c r="S31" s="14"/>
      <c r="T31" s="9"/>
      <c r="W31" s="4"/>
    </row>
    <row r="32" spans="1:24" ht="17.399999999999999" x14ac:dyDescent="0.35">
      <c r="A32" s="230"/>
      <c r="B32" s="230"/>
      <c r="C32" s="230"/>
      <c r="D32" s="230"/>
      <c r="E32" s="230"/>
      <c r="F32" s="230"/>
      <c r="G32" s="230"/>
      <c r="H32" s="230"/>
      <c r="I32" s="265"/>
      <c r="J32" s="47"/>
      <c r="K32" s="47"/>
      <c r="L32" s="249">
        <v>0.5</v>
      </c>
      <c r="M32" s="12">
        <v>25000</v>
      </c>
      <c r="N32" s="12">
        <f t="shared" si="7"/>
        <v>12500</v>
      </c>
      <c r="O32" s="39" t="s">
        <v>154</v>
      </c>
      <c r="P32" s="42"/>
      <c r="Q32" s="14"/>
      <c r="R32" s="239"/>
      <c r="S32" s="14"/>
      <c r="T32" s="9"/>
      <c r="W32" s="4"/>
    </row>
    <row r="33" spans="2:23" s="230" customFormat="1" ht="17.399999999999999" x14ac:dyDescent="0.35">
      <c r="B33" s="24" t="s">
        <v>153</v>
      </c>
      <c r="I33" s="262"/>
      <c r="J33" s="47"/>
      <c r="K33" s="250"/>
      <c r="L33" s="14"/>
      <c r="M33" s="250">
        <v>150000</v>
      </c>
      <c r="N33" s="12">
        <f t="shared" si="7"/>
        <v>0</v>
      </c>
      <c r="O33" s="39" t="s">
        <v>32</v>
      </c>
      <c r="P33" s="42"/>
      <c r="R33" s="239"/>
      <c r="S33" s="256"/>
      <c r="V33" s="231"/>
    </row>
    <row r="34" spans="2:23" s="230" customFormat="1" ht="17.399999999999999" x14ac:dyDescent="0.35">
      <c r="B34" s="24" t="s">
        <v>146</v>
      </c>
      <c r="C34"/>
      <c r="D34"/>
      <c r="E34"/>
      <c r="F34"/>
      <c r="I34" s="262"/>
      <c r="J34" s="312"/>
      <c r="K34" s="250"/>
      <c r="L34" s="14">
        <v>2</v>
      </c>
      <c r="M34" s="250">
        <v>22500</v>
      </c>
      <c r="N34" s="12">
        <f t="shared" si="7"/>
        <v>45000</v>
      </c>
      <c r="O34" s="14" t="s">
        <v>143</v>
      </c>
      <c r="P34" s="17"/>
      <c r="R34" s="237"/>
      <c r="S34" s="256"/>
      <c r="V34" s="231"/>
    </row>
    <row r="35" spans="2:23" s="230" customFormat="1" ht="17.399999999999999" x14ac:dyDescent="0.35">
      <c r="B35" s="29" t="s">
        <v>127</v>
      </c>
      <c r="C35"/>
      <c r="D35"/>
      <c r="E35"/>
      <c r="F35" s="229" t="s">
        <v>16</v>
      </c>
      <c r="I35" s="262"/>
      <c r="J35" s="312"/>
      <c r="K35" s="250"/>
      <c r="L35" s="249"/>
      <c r="M35" s="250">
        <v>800</v>
      </c>
      <c r="N35" s="12">
        <f t="shared" si="7"/>
        <v>0</v>
      </c>
      <c r="O35" s="14" t="s">
        <v>34</v>
      </c>
      <c r="P35" s="14"/>
      <c r="Q35" s="230">
        <v>1.83</v>
      </c>
      <c r="R35" s="237"/>
      <c r="S35" s="237"/>
    </row>
    <row r="36" spans="2:23" s="230" customFormat="1" ht="17.399999999999999" x14ac:dyDescent="0.35">
      <c r="I36" s="302"/>
      <c r="J36" s="47"/>
      <c r="K36" s="250"/>
      <c r="L36" s="266">
        <v>4.3</v>
      </c>
      <c r="M36" s="12">
        <v>1500</v>
      </c>
      <c r="N36" s="12">
        <f t="shared" si="7"/>
        <v>6450</v>
      </c>
      <c r="O36" s="14" t="s">
        <v>24</v>
      </c>
      <c r="P36" s="14"/>
      <c r="Q36">
        <v>3.66</v>
      </c>
      <c r="R36"/>
      <c r="S36" s="237">
        <v>1500</v>
      </c>
      <c r="W36" s="231"/>
    </row>
    <row r="37" spans="2:23" s="230" customFormat="1" ht="17.399999999999999" x14ac:dyDescent="0.35">
      <c r="I37" s="265"/>
      <c r="J37" s="47"/>
      <c r="K37" s="250"/>
      <c r="L37" s="14"/>
      <c r="M37" s="12"/>
      <c r="N37" s="12">
        <f>SUM(N31:N36)</f>
        <v>74786</v>
      </c>
      <c r="O37" s="39" t="s">
        <v>25</v>
      </c>
      <c r="P37" s="14"/>
      <c r="Q37">
        <f>Q35*Q36</f>
        <v>6.6978000000000009</v>
      </c>
      <c r="R37"/>
      <c r="S37" s="237">
        <f>R29*S36</f>
        <v>60000</v>
      </c>
      <c r="W37" s="231"/>
    </row>
    <row r="38" spans="2:23" s="230" customFormat="1" ht="17.399999999999999" x14ac:dyDescent="0.35">
      <c r="J38" s="47">
        <v>58690</v>
      </c>
      <c r="K38" s="250"/>
      <c r="L38" s="254" t="s">
        <v>35</v>
      </c>
      <c r="M38" s="12"/>
      <c r="N38" s="255">
        <f>N37*2.2</f>
        <v>164529.20000000001</v>
      </c>
      <c r="O38" s="14" t="s">
        <v>142</v>
      </c>
      <c r="P38" s="14"/>
      <c r="Q38" s="46">
        <f>O29/Q37</f>
        <v>0.46224133297500669</v>
      </c>
      <c r="R38"/>
      <c r="S38" s="257" t="e">
        <f>S37/#REF!</f>
        <v>#REF!</v>
      </c>
    </row>
    <row r="39" spans="2:23" s="230" customFormat="1" ht="17.399999999999999" x14ac:dyDescent="0.35">
      <c r="G39"/>
      <c r="H39" s="260"/>
      <c r="I39" s="260"/>
      <c r="J39" s="47">
        <f>J38/1.19</f>
        <v>49319.327731092439</v>
      </c>
      <c r="K39" s="250"/>
      <c r="L39" s="14"/>
      <c r="M39" s="12"/>
      <c r="N39" s="12">
        <f>N38/O27</f>
        <v>63771.007751937985</v>
      </c>
      <c r="O39" s="45" t="s">
        <v>26</v>
      </c>
      <c r="P39" s="14"/>
      <c r="Q39" s="14"/>
      <c r="R39"/>
      <c r="S39" s="237"/>
    </row>
    <row r="40" spans="2:23" s="230" customFormat="1" ht="17.399999999999999" x14ac:dyDescent="0.35">
      <c r="G40"/>
      <c r="J40" s="47"/>
      <c r="K40" s="250"/>
      <c r="L40" s="13"/>
      <c r="M40" s="14"/>
      <c r="N40" s="17">
        <f>N38/N37</f>
        <v>2.2000000000000002</v>
      </c>
      <c r="O40" s="15"/>
      <c r="P40"/>
      <c r="Q40"/>
      <c r="R40"/>
      <c r="S40" s="237"/>
    </row>
    <row r="41" spans="2:23" s="230" customFormat="1" ht="17.399999999999999" x14ac:dyDescent="0.35">
      <c r="G41" s="23"/>
      <c r="J41" s="47"/>
      <c r="K41" s="12"/>
      <c r="S41" s="237"/>
    </row>
    <row r="42" spans="2:23" s="230" customFormat="1" ht="17.399999999999999" x14ac:dyDescent="0.35">
      <c r="B42"/>
      <c r="C42" s="228"/>
      <c r="D42" s="22"/>
      <c r="E42" s="22"/>
      <c r="F42" s="21"/>
      <c r="G42" s="23"/>
      <c r="J42" s="47"/>
      <c r="K42" s="12"/>
      <c r="S42" s="237">
        <v>1.83</v>
      </c>
    </row>
    <row r="43" spans="2:23" ht="14.4" customHeight="1" x14ac:dyDescent="0.3">
      <c r="J43" s="47"/>
      <c r="K43" s="12"/>
      <c r="S43">
        <v>2.5</v>
      </c>
    </row>
    <row r="44" spans="2:23" x14ac:dyDescent="0.3">
      <c r="J44" s="47"/>
      <c r="K44" s="250"/>
      <c r="S44">
        <f>S42*S43</f>
        <v>4.5750000000000002</v>
      </c>
    </row>
    <row r="45" spans="2:23" x14ac:dyDescent="0.3">
      <c r="K45" s="250"/>
      <c r="S45" s="270">
        <f>O29/S44</f>
        <v>0.67672131147540981</v>
      </c>
    </row>
    <row r="46" spans="2:23" x14ac:dyDescent="0.3">
      <c r="K46" s="250"/>
    </row>
    <row r="47" spans="2:23" ht="15" customHeight="1" x14ac:dyDescent="0.3"/>
    <row r="49" spans="14:19" x14ac:dyDescent="0.3">
      <c r="N49">
        <v>40935</v>
      </c>
      <c r="O49" t="s">
        <v>17</v>
      </c>
      <c r="P49" t="s">
        <v>28</v>
      </c>
    </row>
    <row r="51" spans="14:19" x14ac:dyDescent="0.3">
      <c r="N51" s="54"/>
      <c r="O51" s="54"/>
    </row>
    <row r="52" spans="14:19" x14ac:dyDescent="0.3">
      <c r="R52" s="18"/>
      <c r="S52" s="18"/>
    </row>
    <row r="53" spans="14:19" x14ac:dyDescent="0.3">
      <c r="R53" s="18"/>
      <c r="S53" s="18"/>
    </row>
    <row r="54" spans="14:19" x14ac:dyDescent="0.3">
      <c r="R54" s="18"/>
      <c r="S54" s="18"/>
    </row>
    <row r="55" spans="14:19" x14ac:dyDescent="0.3">
      <c r="R55" s="18"/>
      <c r="S55" s="18"/>
    </row>
    <row r="56" spans="14:19" x14ac:dyDescent="0.3">
      <c r="R56" s="18"/>
      <c r="S56" s="18"/>
    </row>
    <row r="57" spans="14:19" x14ac:dyDescent="0.3">
      <c r="R57" s="18"/>
      <c r="S57" s="18"/>
    </row>
    <row r="58" spans="14:19" x14ac:dyDescent="0.3">
      <c r="R58" s="18"/>
      <c r="S58" s="18"/>
    </row>
    <row r="59" spans="14:19" x14ac:dyDescent="0.3">
      <c r="R59" s="18"/>
      <c r="S59" s="18"/>
    </row>
    <row r="60" spans="14:19" x14ac:dyDescent="0.3">
      <c r="R60" s="18"/>
      <c r="S60" s="18"/>
    </row>
    <row r="63" spans="14:19" x14ac:dyDescent="0.3">
      <c r="N63" s="43"/>
    </row>
    <row r="64" spans="14:19" x14ac:dyDescent="0.3">
      <c r="N64" s="43"/>
    </row>
    <row r="65" spans="3:14" x14ac:dyDescent="0.3">
      <c r="N65" s="6"/>
    </row>
    <row r="66" spans="3:14" x14ac:dyDescent="0.3">
      <c r="N66" s="6"/>
    </row>
    <row r="74" spans="3:14" x14ac:dyDescent="0.3">
      <c r="C74" t="s">
        <v>150</v>
      </c>
    </row>
    <row r="75" spans="3:14" x14ac:dyDescent="0.3">
      <c r="C75" t="s">
        <v>149</v>
      </c>
    </row>
    <row r="78" spans="3:14" x14ac:dyDescent="0.3">
      <c r="C78" t="s">
        <v>149</v>
      </c>
    </row>
    <row r="155" spans="3:3" x14ac:dyDescent="0.3">
      <c r="C155" t="s">
        <v>149</v>
      </c>
    </row>
    <row r="156" spans="3:3" x14ac:dyDescent="0.3">
      <c r="C156" t="s">
        <v>151</v>
      </c>
    </row>
    <row r="157" spans="3:3" x14ac:dyDescent="0.3">
      <c r="C157" t="s">
        <v>152</v>
      </c>
    </row>
    <row r="582" spans="3:3" x14ac:dyDescent="0.3">
      <c r="C582" t="s">
        <v>149</v>
      </c>
    </row>
  </sheetData>
  <mergeCells count="2">
    <mergeCell ref="F17:H17"/>
    <mergeCell ref="B19:H19"/>
  </mergeCells>
  <phoneticPr fontId="34" type="noConversion"/>
  <hyperlinks>
    <hyperlink ref="F35" r:id="rId1" xr:uid="{00000000-0004-0000-0000-000000000000}"/>
    <hyperlink ref="C14" r:id="rId2" xr:uid="{9293C3B1-A191-4074-BB3F-30F6EC53B675}"/>
  </hyperlinks>
  <pageMargins left="0.23622047244094491" right="0.23622047244094491" top="0.74803149606299213" bottom="0.74803149606299213" header="0.31496062992125984" footer="0.31496062992125984"/>
  <pageSetup scale="81" orientation="portrait" r:id="rId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107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45443</v>
      </c>
    </row>
    <row r="6" spans="2:31" ht="16.2" thickBot="1" x14ac:dyDescent="0.35">
      <c r="B6" s="140" t="s">
        <v>2</v>
      </c>
      <c r="C6" s="139" t="str">
        <f>'2229'!C10</f>
        <v>D HOME  DESIGN SPA</v>
      </c>
      <c r="D6" s="138"/>
      <c r="E6" s="138"/>
      <c r="F6" s="138"/>
      <c r="N6" s="75" t="s">
        <v>106</v>
      </c>
      <c r="O6" s="75"/>
      <c r="P6" s="142" t="s">
        <v>105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34" t="s">
        <v>100</v>
      </c>
      <c r="I7" s="335"/>
      <c r="J7" s="335"/>
      <c r="K7" s="336"/>
      <c r="N7" s="75"/>
      <c r="O7" s="333" t="s">
        <v>104</v>
      </c>
      <c r="P7" s="141" t="s">
        <v>103</v>
      </c>
      <c r="Q7" s="141"/>
    </row>
    <row r="8" spans="2:31" ht="16.2" thickBot="1" x14ac:dyDescent="0.35">
      <c r="B8" s="140" t="s">
        <v>102</v>
      </c>
      <c r="C8" s="139" t="str">
        <f>'2229'!D8</f>
        <v>N° 10975</v>
      </c>
      <c r="D8" s="138"/>
      <c r="E8" s="138"/>
      <c r="F8" s="138"/>
      <c r="H8" s="182" t="s">
        <v>119</v>
      </c>
      <c r="I8" s="154" t="s">
        <v>118</v>
      </c>
      <c r="J8" s="227" t="s">
        <v>97</v>
      </c>
      <c r="K8" s="135" t="s">
        <v>6</v>
      </c>
      <c r="L8" s="134" t="s">
        <v>6</v>
      </c>
      <c r="N8" s="75"/>
      <c r="O8" s="333"/>
      <c r="P8" s="75" t="s">
        <v>101</v>
      </c>
      <c r="Q8" s="75"/>
      <c r="X8">
        <f>SUM(Q11:Q16)</f>
        <v>6</v>
      </c>
    </row>
    <row r="9" spans="2:31" ht="15" thickBot="1" x14ac:dyDescent="0.35">
      <c r="H9" s="197" t="s">
        <v>98</v>
      </c>
      <c r="I9" s="198" t="s">
        <v>117</v>
      </c>
      <c r="J9" s="183" t="s">
        <v>94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-13799.725033454108</v>
      </c>
    </row>
    <row r="10" spans="2:31" ht="16.2" thickBot="1" x14ac:dyDescent="0.35">
      <c r="D10" s="218" t="s">
        <v>30</v>
      </c>
      <c r="E10" s="219" t="s">
        <v>53</v>
      </c>
      <c r="F10" s="220" t="s">
        <v>6</v>
      </c>
      <c r="H10" s="190">
        <v>3</v>
      </c>
      <c r="I10" s="204">
        <v>350</v>
      </c>
      <c r="J10" s="201" t="s">
        <v>34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95</v>
      </c>
      <c r="D11" s="133">
        <f>'2229'!H25</f>
        <v>170529</v>
      </c>
      <c r="E11" s="132">
        <f>D11*0.19</f>
        <v>32400.510000000002</v>
      </c>
      <c r="F11" s="131">
        <f>E11+D11</f>
        <v>202929.51</v>
      </c>
      <c r="H11" s="191">
        <v>3</v>
      </c>
      <c r="I11" s="174">
        <v>500</v>
      </c>
      <c r="J11" s="148" t="s">
        <v>24</v>
      </c>
      <c r="K11" s="158">
        <f t="shared" si="0"/>
        <v>1500</v>
      </c>
      <c r="Q11" s="7">
        <v>1</v>
      </c>
      <c r="R11" s="7" t="s">
        <v>37</v>
      </c>
      <c r="S11" s="51">
        <v>2.8</v>
      </c>
      <c r="T11" s="51">
        <v>0.62</v>
      </c>
      <c r="U11" s="7" t="s">
        <v>40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92190.274966545898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99</v>
      </c>
      <c r="D12" s="136">
        <f>SUM(M43:M45)</f>
        <v>53170.090787439614</v>
      </c>
      <c r="F12" s="61"/>
      <c r="H12" s="191">
        <v>0</v>
      </c>
      <c r="I12" s="174">
        <v>7500</v>
      </c>
      <c r="J12" s="150" t="s">
        <v>113</v>
      </c>
      <c r="K12" s="158">
        <f t="shared" si="0"/>
        <v>0</v>
      </c>
      <c r="L12" s="61"/>
      <c r="Q12" s="7">
        <v>1</v>
      </c>
      <c r="R12" s="7" t="s">
        <v>37</v>
      </c>
      <c r="S12" s="51">
        <v>2.2999999999999998</v>
      </c>
      <c r="T12" s="51">
        <v>0.62</v>
      </c>
      <c r="U12" s="7" t="s">
        <v>40</v>
      </c>
      <c r="V12" s="55">
        <v>87990</v>
      </c>
      <c r="W12" s="49">
        <f t="shared" si="1"/>
        <v>87990</v>
      </c>
      <c r="X12" s="176">
        <f t="shared" si="2"/>
        <v>74190.274966545898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93</v>
      </c>
      <c r="D13" s="217">
        <f>D11-D12</f>
        <v>117358.90921256039</v>
      </c>
      <c r="E13" s="221">
        <f>(D11/D12)-1</f>
        <v>2.2072354489995365</v>
      </c>
      <c r="H13" s="191">
        <v>0</v>
      </c>
      <c r="I13" s="174">
        <v>50</v>
      </c>
      <c r="J13" s="150" t="s">
        <v>114</v>
      </c>
      <c r="K13" s="158">
        <f t="shared" si="0"/>
        <v>0</v>
      </c>
      <c r="L13" s="61"/>
      <c r="Q13" s="7">
        <v>1</v>
      </c>
      <c r="R13" s="7" t="s">
        <v>37</v>
      </c>
      <c r="S13" s="51">
        <v>2.0299999999999998</v>
      </c>
      <c r="T13" s="51">
        <v>0.62</v>
      </c>
      <c r="U13" s="7" t="s">
        <v>40</v>
      </c>
      <c r="V13" s="55">
        <v>78990</v>
      </c>
      <c r="W13" s="49">
        <f t="shared" si="1"/>
        <v>78990</v>
      </c>
      <c r="X13" s="176">
        <f t="shared" si="2"/>
        <v>65190.27496654589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124</v>
      </c>
      <c r="E14" s="179" t="s">
        <v>30</v>
      </c>
      <c r="F14" s="178" t="s">
        <v>112</v>
      </c>
      <c r="H14" s="191">
        <v>0</v>
      </c>
      <c r="I14" s="174">
        <v>50</v>
      </c>
      <c r="J14" s="150" t="s">
        <v>115</v>
      </c>
      <c r="K14" s="158">
        <f t="shared" si="0"/>
        <v>0</v>
      </c>
      <c r="L14" s="61"/>
      <c r="P14" s="126"/>
      <c r="Q14" s="7">
        <v>1</v>
      </c>
      <c r="R14" s="7" t="s">
        <v>37</v>
      </c>
      <c r="S14" s="51">
        <v>1.08</v>
      </c>
      <c r="T14" s="51">
        <v>0.62</v>
      </c>
      <c r="U14" s="7" t="s">
        <v>40</v>
      </c>
      <c r="V14" s="55">
        <v>39990</v>
      </c>
      <c r="W14" s="49">
        <f t="shared" si="1"/>
        <v>39990</v>
      </c>
      <c r="X14" s="176">
        <f t="shared" si="2"/>
        <v>26190.27496654589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123</v>
      </c>
      <c r="D15" s="214">
        <v>0.65</v>
      </c>
      <c r="E15" s="215">
        <f>(100%+D15)*D12</f>
        <v>87730.649799275358</v>
      </c>
      <c r="F15" s="216">
        <f>E15-D12</f>
        <v>34560.559011835743</v>
      </c>
      <c r="H15" s="191">
        <v>0</v>
      </c>
      <c r="I15" s="174">
        <v>10</v>
      </c>
      <c r="J15" s="150" t="s">
        <v>116</v>
      </c>
      <c r="K15" s="158">
        <f t="shared" si="0"/>
        <v>0</v>
      </c>
      <c r="L15" s="61"/>
      <c r="Q15" s="7">
        <v>1</v>
      </c>
      <c r="R15" s="7" t="s">
        <v>37</v>
      </c>
      <c r="S15" s="51">
        <v>1.08</v>
      </c>
      <c r="T15" s="51">
        <v>0.62</v>
      </c>
      <c r="U15" s="7" t="s">
        <v>40</v>
      </c>
      <c r="V15" s="55">
        <v>39990</v>
      </c>
      <c r="W15" s="49">
        <f t="shared" si="1"/>
        <v>39990</v>
      </c>
      <c r="X15" s="176">
        <f t="shared" si="2"/>
        <v>26190.27496654589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92</v>
      </c>
      <c r="K16" s="158">
        <f t="shared" si="0"/>
        <v>0</v>
      </c>
      <c r="L16" s="61"/>
      <c r="Q16" s="7">
        <v>1</v>
      </c>
      <c r="R16" s="7" t="s">
        <v>37</v>
      </c>
      <c r="S16" s="51">
        <v>2.06</v>
      </c>
      <c r="T16" s="51">
        <v>0.62</v>
      </c>
      <c r="U16" s="7" t="s">
        <v>40</v>
      </c>
      <c r="V16" s="55">
        <v>79990</v>
      </c>
      <c r="W16" s="49">
        <f t="shared" si="1"/>
        <v>79990</v>
      </c>
      <c r="X16" s="176">
        <f t="shared" si="2"/>
        <v>66190.274966545898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90</v>
      </c>
      <c r="C17" s="129" t="s">
        <v>89</v>
      </c>
      <c r="D17" s="129" t="s">
        <v>30</v>
      </c>
      <c r="E17" s="128" t="s">
        <v>53</v>
      </c>
      <c r="F17" s="127" t="s">
        <v>6</v>
      </c>
      <c r="H17" s="193">
        <v>1</v>
      </c>
      <c r="I17" s="202"/>
      <c r="J17" s="188" t="s">
        <v>91</v>
      </c>
      <c r="K17" s="158">
        <f t="shared" si="0"/>
        <v>0</v>
      </c>
      <c r="L17" s="61"/>
      <c r="Q17" s="7">
        <v>6</v>
      </c>
      <c r="R17" s="7" t="s">
        <v>38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87</v>
      </c>
      <c r="D18" s="122">
        <f>'2229'!N33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88</v>
      </c>
      <c r="K18" s="158">
        <f t="shared" si="0"/>
        <v>0</v>
      </c>
      <c r="L18" s="61"/>
      <c r="Q18" s="7">
        <v>1</v>
      </c>
      <c r="R18" s="56" t="s">
        <v>39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33</v>
      </c>
      <c r="D19" s="122">
        <f>'2229'!N32</f>
        <v>12500</v>
      </c>
      <c r="E19" s="123">
        <f>D19*0.19</f>
        <v>2375</v>
      </c>
      <c r="F19" s="120">
        <f>SUM(D19:E19)</f>
        <v>14875</v>
      </c>
      <c r="H19" s="192">
        <v>1</v>
      </c>
      <c r="I19" s="202"/>
      <c r="J19" s="184" t="s">
        <v>86</v>
      </c>
      <c r="K19" s="158">
        <f t="shared" si="0"/>
        <v>0</v>
      </c>
      <c r="L19" s="61"/>
      <c r="Q19" s="16"/>
      <c r="T19" s="5"/>
      <c r="U19" s="6"/>
      <c r="V19" s="30" t="s">
        <v>30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22</v>
      </c>
      <c r="D20" s="122">
        <f>'2229'!N31</f>
        <v>10836</v>
      </c>
      <c r="E20" s="121">
        <f>D20*0.19</f>
        <v>2058.84</v>
      </c>
      <c r="F20" s="120">
        <f>SUM(D20:E20)</f>
        <v>12894.84</v>
      </c>
      <c r="H20" s="192">
        <v>1</v>
      </c>
      <c r="I20" s="202"/>
      <c r="J20" s="184" t="s">
        <v>85</v>
      </c>
      <c r="K20" s="158">
        <f t="shared" si="0"/>
        <v>0</v>
      </c>
      <c r="V20" s="31" t="s">
        <v>31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23336</v>
      </c>
      <c r="E21" s="116">
        <f>SUM(E18:E20)</f>
        <v>4433.84</v>
      </c>
      <c r="F21" s="115">
        <f>SUM(F18:F20)</f>
        <v>27769.84</v>
      </c>
      <c r="H21" s="192">
        <v>1</v>
      </c>
      <c r="I21" s="202"/>
      <c r="J21" s="184" t="s">
        <v>84</v>
      </c>
      <c r="K21" s="158">
        <f t="shared" si="0"/>
        <v>0</v>
      </c>
      <c r="M21" s="153">
        <f>B32/9</f>
        <v>2318.840579710145</v>
      </c>
      <c r="Q21" s="50" t="s">
        <v>41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82</v>
      </c>
      <c r="C22" s="113" t="s">
        <v>81</v>
      </c>
      <c r="D22" s="112" t="s">
        <v>80</v>
      </c>
      <c r="E22" s="111" t="s">
        <v>79</v>
      </c>
      <c r="F22" s="110" t="s">
        <v>6</v>
      </c>
      <c r="H22" s="192">
        <v>1</v>
      </c>
      <c r="I22" s="202"/>
      <c r="J22" s="148" t="s">
        <v>83</v>
      </c>
      <c r="K22" s="158">
        <f t="shared" si="0"/>
        <v>0</v>
      </c>
      <c r="M22" s="105"/>
      <c r="N22" s="58"/>
      <c r="Q22" s="50" t="s">
        <v>36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27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78</v>
      </c>
      <c r="K23" s="158">
        <f t="shared" si="0"/>
        <v>0</v>
      </c>
      <c r="M23" s="105"/>
      <c r="N23" s="58"/>
      <c r="Q23" s="50" t="s">
        <v>29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76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119</v>
      </c>
      <c r="I24" s="155" t="s">
        <v>117</v>
      </c>
      <c r="J24" s="181" t="s">
        <v>77</v>
      </c>
      <c r="K24" s="152" t="s">
        <v>96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75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110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73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74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72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71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70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108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69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120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24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121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67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122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66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43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42</v>
      </c>
      <c r="K33" s="97">
        <f t="shared" si="5"/>
        <v>0</v>
      </c>
    </row>
    <row r="34" spans="2:16" ht="15" thickBot="1" x14ac:dyDescent="0.35">
      <c r="B34" s="83" t="s">
        <v>65</v>
      </c>
      <c r="C34" s="82" t="s">
        <v>64</v>
      </c>
      <c r="D34" s="81">
        <f>L9</f>
        <v>2550</v>
      </c>
      <c r="H34" s="192">
        <v>1</v>
      </c>
      <c r="I34" s="174"/>
      <c r="J34" s="148" t="s">
        <v>109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63</v>
      </c>
      <c r="D35" s="78">
        <f>L24</f>
        <v>0</v>
      </c>
      <c r="H35" s="194">
        <v>6</v>
      </c>
      <c r="I35" s="206"/>
      <c r="J35" s="180" t="s">
        <v>111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61</v>
      </c>
      <c r="D36" s="78">
        <f>L36</f>
        <v>18467.665666666668</v>
      </c>
      <c r="E36" s="58"/>
      <c r="H36" s="151" t="s">
        <v>98</v>
      </c>
      <c r="I36" s="155" t="s">
        <v>117</v>
      </c>
      <c r="J36" s="189" t="s">
        <v>68</v>
      </c>
      <c r="K36" s="152" t="s">
        <v>96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44</v>
      </c>
      <c r="D37" s="73"/>
      <c r="H37" s="199">
        <f>$E$33</f>
        <v>3.9000000000000004</v>
      </c>
      <c r="I37" s="204">
        <f>32609.69/9</f>
        <v>3623.2988888888885</v>
      </c>
      <c r="J37" s="187" t="s">
        <v>47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45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46</v>
      </c>
      <c r="K39" s="84">
        <f>I39*H39</f>
        <v>565.5</v>
      </c>
    </row>
    <row r="40" spans="2:16" ht="15" thickBot="1" x14ac:dyDescent="0.35">
      <c r="B40" s="68" t="s">
        <v>54</v>
      </c>
      <c r="C40" s="67" t="s">
        <v>53</v>
      </c>
      <c r="D40" s="66">
        <f>E11-E21</f>
        <v>27966.670000000002</v>
      </c>
    </row>
    <row r="41" spans="2:16" ht="15" thickBot="1" x14ac:dyDescent="0.35">
      <c r="H41" s="337" t="s">
        <v>62</v>
      </c>
      <c r="I41" s="338"/>
      <c r="J41" s="338"/>
      <c r="K41" s="338"/>
      <c r="L41" s="338"/>
      <c r="M41" s="339"/>
    </row>
    <row r="42" spans="2:16" ht="15" thickBot="1" x14ac:dyDescent="0.35">
      <c r="B42" s="75" t="s">
        <v>48</v>
      </c>
      <c r="C42" s="75"/>
      <c r="D42" s="207">
        <f>E33</f>
        <v>3.9000000000000004</v>
      </c>
      <c r="H42" s="77" t="s">
        <v>60</v>
      </c>
      <c r="I42" s="159" t="s">
        <v>59</v>
      </c>
      <c r="J42" s="160"/>
      <c r="K42" s="160"/>
      <c r="L42" s="161"/>
      <c r="M42" s="76">
        <f>D11</f>
        <v>170529</v>
      </c>
    </row>
    <row r="43" spans="2:16" ht="15" thickBot="1" x14ac:dyDescent="0.35">
      <c r="D43" s="57"/>
      <c r="H43" s="72" t="s">
        <v>58</v>
      </c>
      <c r="I43" s="162" t="s">
        <v>57</v>
      </c>
      <c r="J43" s="163"/>
      <c r="K43" s="163"/>
      <c r="L43" s="164"/>
      <c r="M43" s="64">
        <f>D21</f>
        <v>23336</v>
      </c>
    </row>
    <row r="44" spans="2:16" x14ac:dyDescent="0.3">
      <c r="D44" s="57"/>
      <c r="I44" s="165" t="s">
        <v>56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55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52</v>
      </c>
      <c r="J46" s="172"/>
      <c r="K46" s="172"/>
      <c r="L46" s="173"/>
      <c r="M46" s="62">
        <f>M42-(SUM(M43:M45))</f>
        <v>117358.90921256039</v>
      </c>
    </row>
    <row r="47" spans="2:16" x14ac:dyDescent="0.3">
      <c r="I47" s="162" t="s">
        <v>51</v>
      </c>
      <c r="J47" s="163"/>
      <c r="K47" s="163"/>
      <c r="L47" s="164"/>
      <c r="M47" s="64"/>
    </row>
    <row r="48" spans="2:16" ht="15" thickBot="1" x14ac:dyDescent="0.35">
      <c r="D48" s="60"/>
      <c r="I48" s="168" t="s">
        <v>50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49</v>
      </c>
      <c r="J49" s="172"/>
      <c r="K49" s="172"/>
      <c r="L49" s="173"/>
      <c r="M49" s="62">
        <f>M46-SUM(M47:M48)</f>
        <v>117358.90921256039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2024-04-01T14:24:21Z</cp:lastPrinted>
  <dcterms:created xsi:type="dcterms:W3CDTF">2013-03-18T13:35:42Z</dcterms:created>
  <dcterms:modified xsi:type="dcterms:W3CDTF">2024-05-31T13:36:07Z</dcterms:modified>
</cp:coreProperties>
</file>