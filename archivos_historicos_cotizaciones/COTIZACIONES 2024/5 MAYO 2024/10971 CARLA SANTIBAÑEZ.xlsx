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F8E2BE97-38DE-4350-B86E-83E3A5836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4" i="1"/>
  <c r="K22" i="1" l="1"/>
  <c r="L22" i="1"/>
  <c r="R22" i="1" s="1"/>
  <c r="M22" i="1"/>
  <c r="K23" i="1"/>
  <c r="L23" i="1"/>
  <c r="M23" i="1"/>
  <c r="K21" i="1"/>
  <c r="L21" i="1"/>
  <c r="M21" i="1"/>
  <c r="N22" i="1" l="1"/>
  <c r="O22" i="1" s="1"/>
  <c r="N23" i="1"/>
  <c r="O23" i="1" s="1"/>
  <c r="R23" i="1"/>
  <c r="R21" i="1"/>
  <c r="N21" i="1"/>
  <c r="O21" i="1" s="1"/>
  <c r="O29" i="1" l="1"/>
  <c r="J42" i="1"/>
  <c r="L28" i="1" l="1"/>
  <c r="N35" i="1" l="1"/>
  <c r="O30" i="1" l="1"/>
  <c r="O31" i="1" s="1"/>
  <c r="O32" i="1" s="1"/>
  <c r="S47" i="1"/>
  <c r="M20" i="1" l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L34" i="1" l="1"/>
  <c r="N34" i="1" l="1"/>
  <c r="N40" i="1" s="1"/>
  <c r="N41" i="1" s="1"/>
  <c r="S48" i="1"/>
  <c r="D20" i="3" l="1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3" i="1" l="1"/>
  <c r="P22" i="1"/>
  <c r="P21" i="1"/>
  <c r="F15" i="3"/>
  <c r="H22" i="1" l="1"/>
  <c r="Q22" i="1"/>
  <c r="Q23" i="1"/>
  <c r="H23" i="1"/>
  <c r="Q21" i="1"/>
  <c r="H21" i="1" s="1"/>
  <c r="R30" i="1"/>
  <c r="K15" i="1" l="1"/>
  <c r="H29" i="1" l="1"/>
  <c r="H3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<sst xmlns="http://schemas.openxmlformats.org/spreadsheetml/2006/main" count="224" uniqueCount="166">
  <si>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</si>
  <si>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</si>
  <si>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</si>
  <si>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</si>
  <si>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</si>
  <si>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</si>
  <si>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</si>
  <si>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</si>
  <si>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</si>
  <si>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</si>
  <si>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</si>
  <si>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</si>
  <si>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</si>
  <si>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</si>
  <si>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</si>
  <si>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</si>
  <si>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</si>
  <si>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</si>
  <si>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</si>
  <si>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</si>
  <si>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</si>
  <si>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</si>
  <si>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</si>
  <si>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</si>
  <si>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</si>
  <si>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</si>
  <si>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</si>
  <si>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</si>
  <si>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</si>
  <si>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</si>
  <si>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</si>
  <si>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</si>
  <si>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</si>
  <si>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</si>
  <si>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</si>
  <si>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</si>
  <si>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</si>
  <si>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</si>
  <si>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</si>
  <si>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</si>
  <si>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</si>
  <si>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</si>
  <si>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</si>
  <si>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</si>
  <si>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</si>
  <si>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</si>
  <si>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</si>
  <si>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</si>
  <si>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</si>
  <si>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</si>
  <si>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</si>
  <si>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</si>
  <si>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</si>
  <si>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</si>
  <si>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</si>
  <si>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</si>
  <si>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</si>
  <si>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</si>
  <si>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</si>
  <si>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</si>
  <si>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</si>
  <si>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</si>
  <si>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</si>
  <si>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</si>
  <si>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</si>
  <si>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</si>
  <si>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</si>
  <si>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</si>
  <si>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</si>
  <si>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</si>
  <si>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</si>
  <si>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</si>
  <si>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</si>
  <si>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</si>
  <si>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</si>
  <si>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</si>
  <si>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</si>
  <si>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</si>
  <si>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</si>
  <si>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</si>
  <si>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</si>
  <si>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</si>
  <si>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</si>
  <si>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</si>
  <si>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</si>
  <si>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</si>
  <si>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</si>
  <si>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</si>
  <si>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</si>
  <si>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</si>
  <si>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</si>
  <si>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</si>
  <si>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</si>
  <si>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</si>
  <si>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</si>
  <si>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</si>
  <si>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</si>
  <si>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</si>
  <si>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</si>
  <si>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</si>
  <si>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</si>
  <si>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</si>
  <si>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</si>
  <si>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</si>
  <si>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</si>
  <si>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</si>
  <si>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</si>
  <si>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</si>
  <si>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</si>
  <si>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</si>
  <si>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</si>
  <si>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</si>
  <si>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</si>
  <si>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</si>
  <si>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</si>
  <si>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</si>
  <si>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</si>
  <si>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</si>
  <si>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</si>
  <si>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</si>
  <si>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</si>
  <si>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</si>
  <si>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</si>
  <si>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</si>
  <si>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</si>
  <si>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</si>
  <si>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</si>
  <si>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</si>
  <si>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</si>
  <si>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</si>
  <si>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</si>
  <si>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</si>
  <si>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</si>
  <si>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</si>
  <si>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</si>
  <si>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</si>
  <si>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</si>
  <si>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</si>
  <si>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</si>
  <si>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</si>
  <si>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</si>
  <si>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</si>
  <si>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</si>
  <si>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</si>
  <si>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</si>
  <si>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</si>
  <si>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</si>
  <si>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</si>
  <si>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</si>
  <si>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</si>
  <si>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</si>
  <si>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</si>
  <si>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</si>
  <si>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</si>
  <si>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CONTADO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</si>
  <si>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</si>
  <si>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</si>
  <si>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</si>
  <si>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5 DIAS HABILES</t>
  </si>
  <si>
    <t>CARLA SANTIBAÑEZ</t>
  </si>
  <si>
    <t>+56 9 4344 6563</t>
  </si>
  <si>
    <t>SI</t>
  </si>
  <si>
    <t>PUERTA POSTFORMADA RADIO 6MM</t>
  </si>
  <si>
    <t>GRIS NUBE 2189 MT</t>
  </si>
  <si>
    <t xml:space="preserve">BISAGRAS RECTAS </t>
  </si>
  <si>
    <t>N° 10971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</si>
</sst>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31</xdr:row>
      <xdr:rowOff>5249</xdr:rowOff>
    </xdr:from>
    <xdr:to>
      <xdr:col>8</xdr:col>
      <xdr:colOff>7776</xdr:colOff>
      <xdr:row>34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31</xdr:row>
      <xdr:rowOff>9525</xdr:rowOff>
    </xdr:from>
    <xdr:to>
      <xdr:col>5</xdr:col>
      <xdr:colOff>1749491</xdr:colOff>
      <xdr:row>34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28304</xdr:colOff>
      <xdr:row>25</xdr:row>
      <xdr:rowOff>185095</xdr:rowOff>
    </xdr:from>
    <xdr:to>
      <xdr:col>5</xdr:col>
      <xdr:colOff>1772817</xdr:colOff>
      <xdr:row>30</xdr:row>
      <xdr:rowOff>186612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0406" y="5721258"/>
          <a:ext cx="7241799" cy="110564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</a:t>
          </a:r>
          <a:r>
            <a:rPr lang="es-CL" sz="1200" b="1" baseline="0"/>
            <a:t> CORTADAS Y ENCHAPADAS CON TAPACANTO PVC 0,4MM LO MAS PARECIDO AL TONO DE LA LAMINA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MELAMIL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3.109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45441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161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H28/L13</f>
        <v>5519.1631291691938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154</v>
      </c>
      <c r="H16" s="289"/>
    </row>
    <row r="17" spans="2:24" ht="15" thickBot="1" x14ac:dyDescent="0.35">
      <c r="B17" s="296" t="s">
        <v>13</v>
      </c>
      <c r="C17" s="297" t="s">
        <v>153</v>
      </c>
      <c r="D17" s="298"/>
      <c r="E17" s="299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72314.02554023503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8">
        <v>2</v>
      </c>
      <c r="C21" s="319" t="s">
        <v>162</v>
      </c>
      <c r="D21" s="320">
        <v>0.69</v>
      </c>
      <c r="E21" s="320">
        <v>0.33300000000000002</v>
      </c>
      <c r="F21" s="319" t="s">
        <v>163</v>
      </c>
      <c r="G21" s="321">
        <v>17820</v>
      </c>
      <c r="H21" s="322">
        <f t="shared" ref="H21" si="1">G21*B21</f>
        <v>35640</v>
      </c>
      <c r="I21" s="265"/>
      <c r="J21" s="47"/>
      <c r="K21" s="337">
        <f t="shared" ref="K21" si="2">B21</f>
        <v>2</v>
      </c>
      <c r="L21" s="338">
        <f t="shared" ref="L21" si="3">D21+L$19</f>
        <v>0.74</v>
      </c>
      <c r="M21" s="338">
        <f t="shared" ref="M21" si="4">E21+M$19</f>
        <v>0.33300000000000002</v>
      </c>
      <c r="N21" s="261">
        <f t="shared" ref="N21" si="5">L21*M21</f>
        <v>0.24642</v>
      </c>
      <c r="O21" s="259">
        <f t="shared" ref="O21" si="6">N21*K21</f>
        <v>0.49284</v>
      </c>
      <c r="P21" s="252">
        <f t="shared" ref="P21" si="7">P$20*N21</f>
        <v>17819.622173624717</v>
      </c>
      <c r="Q21" s="258">
        <f t="shared" ref="Q21" si="8">P21+Q$20</f>
        <v>20819.622173624717</v>
      </c>
      <c r="R21" s="307">
        <f t="shared" ref="R21" si="9">K21*L21</f>
        <v>1.48</v>
      </c>
      <c r="S21" s="14"/>
      <c r="T21" s="9"/>
      <c r="W21" s="4"/>
    </row>
    <row r="22" spans="2:24" ht="18" thickBot="1" x14ac:dyDescent="0.35">
      <c r="B22" s="318">
        <v>2</v>
      </c>
      <c r="C22" s="319" t="s">
        <v>162</v>
      </c>
      <c r="D22" s="320">
        <v>0.69</v>
      </c>
      <c r="E22" s="320">
        <v>0.29799999999999999</v>
      </c>
      <c r="F22" s="319" t="s">
        <v>163</v>
      </c>
      <c r="G22" s="321">
        <v>15947</v>
      </c>
      <c r="H22" s="322">
        <f t="shared" ref="H22:H23" si="10">G22*B22</f>
        <v>31894</v>
      </c>
      <c r="I22" s="265"/>
      <c r="J22" s="47"/>
      <c r="K22" s="337">
        <f t="shared" ref="K22:K23" si="11">B22</f>
        <v>2</v>
      </c>
      <c r="L22" s="338">
        <f t="shared" ref="L22:L23" si="12">D22+L$19</f>
        <v>0.74</v>
      </c>
      <c r="M22" s="338">
        <f t="shared" ref="M22:M23" si="13">E22+M$19</f>
        <v>0.29799999999999999</v>
      </c>
      <c r="N22" s="261">
        <f t="shared" ref="N22:N23" si="14">L22*M22</f>
        <v>0.22051999999999999</v>
      </c>
      <c r="O22" s="259">
        <f t="shared" ref="O22:O23" si="15">N22*K22</f>
        <v>0.44103999999999999</v>
      </c>
      <c r="P22" s="252">
        <f t="shared" ref="P22:P23" si="16">P$20*N22</f>
        <v>15946.688912132628</v>
      </c>
      <c r="Q22" s="258">
        <f t="shared" ref="Q22:Q23" si="17">P22+Q$20</f>
        <v>18946.688912132628</v>
      </c>
      <c r="R22" s="307">
        <f t="shared" ref="R22:R23" si="18">K22*L22</f>
        <v>1.48</v>
      </c>
      <c r="S22" s="14"/>
      <c r="T22" s="9"/>
      <c r="W22" s="4"/>
    </row>
    <row r="23" spans="2:24" ht="18" thickBot="1" x14ac:dyDescent="0.35">
      <c r="B23" s="318">
        <v>4</v>
      </c>
      <c r="C23" s="319" t="s">
        <v>162</v>
      </c>
      <c r="D23" s="320">
        <v>0.69</v>
      </c>
      <c r="E23" s="320">
        <v>0.34799999999999998</v>
      </c>
      <c r="F23" s="319" t="s">
        <v>163</v>
      </c>
      <c r="G23" s="321">
        <v>18622</v>
      </c>
      <c r="H23" s="322">
        <f t="shared" si="10"/>
        <v>74488</v>
      </c>
      <c r="I23" s="265"/>
      <c r="J23" s="47"/>
      <c r="K23" s="337">
        <f t="shared" si="11"/>
        <v>4</v>
      </c>
      <c r="L23" s="338">
        <f t="shared" si="12"/>
        <v>0.74</v>
      </c>
      <c r="M23" s="338">
        <f t="shared" si="13"/>
        <v>0.34799999999999998</v>
      </c>
      <c r="N23" s="261">
        <f t="shared" si="14"/>
        <v>0.25751999999999997</v>
      </c>
      <c r="O23" s="259">
        <f t="shared" si="15"/>
        <v>1.0300799999999999</v>
      </c>
      <c r="P23" s="252">
        <f t="shared" si="16"/>
        <v>18622.307857121323</v>
      </c>
      <c r="Q23" s="258">
        <f t="shared" si="17"/>
        <v>21622.307857121323</v>
      </c>
      <c r="R23" s="307">
        <f t="shared" si="18"/>
        <v>2.96</v>
      </c>
      <c r="S23" s="14"/>
      <c r="T23" s="9"/>
      <c r="W23" s="4"/>
    </row>
    <row r="24" spans="2:24" ht="18" thickBot="1" x14ac:dyDescent="0.35">
      <c r="B24" s="318">
        <v>16</v>
      </c>
      <c r="C24" s="319" t="s">
        <v>164</v>
      </c>
      <c r="D24" s="320"/>
      <c r="E24" s="320"/>
      <c r="F24" s="319"/>
      <c r="G24" s="321">
        <v>2500</v>
      </c>
      <c r="H24" s="322">
        <f t="shared" ref="H24" si="19">G24*B24</f>
        <v>40000</v>
      </c>
      <c r="I24" s="265"/>
      <c r="J24" s="47"/>
      <c r="K24" s="337"/>
      <c r="L24" s="338"/>
      <c r="M24" s="338"/>
      <c r="N24" s="261"/>
      <c r="O24" s="259"/>
      <c r="P24" s="252"/>
      <c r="Q24" s="258"/>
      <c r="R24" s="307"/>
      <c r="S24" s="14"/>
      <c r="T24" s="9"/>
      <c r="W24" s="4"/>
    </row>
    <row r="25" spans="2:24" ht="17.399999999999999" x14ac:dyDescent="0.3">
      <c r="B25" s="285"/>
      <c r="C25" s="285"/>
      <c r="D25" s="286"/>
      <c r="E25" s="286"/>
      <c r="F25" s="285"/>
      <c r="G25" s="323"/>
      <c r="H25" s="324"/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23"/>
      <c r="H26" s="324"/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8" thickBot="1" x14ac:dyDescent="0.35">
      <c r="B27" s="285"/>
      <c r="C27" s="285"/>
      <c r="D27" s="286"/>
      <c r="E27" s="286"/>
      <c r="F27" s="285"/>
      <c r="G27" s="323"/>
      <c r="H27" s="324"/>
      <c r="I27" s="232"/>
      <c r="J27" s="47"/>
      <c r="K27" s="47"/>
      <c r="L27" s="39"/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285"/>
      <c r="C28" s="285"/>
      <c r="D28" s="286"/>
      <c r="E28" s="286"/>
      <c r="F28" s="285"/>
      <c r="G28" s="308" t="s">
        <v>30</v>
      </c>
      <c r="H28" s="309">
        <f>SUM(H21:H24)</f>
        <v>182022</v>
      </c>
      <c r="I28" s="265"/>
      <c r="J28" s="47"/>
      <c r="K28" s="47"/>
      <c r="L28" s="39">
        <f>SUM(L21:L23)</f>
        <v>2.2199999999999998</v>
      </c>
      <c r="M28" s="39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279"/>
      <c r="C29" s="282"/>
      <c r="D29" s="283"/>
      <c r="E29" s="283"/>
      <c r="F29" s="284"/>
      <c r="G29" s="306" t="s">
        <v>53</v>
      </c>
      <c r="H29" s="303">
        <f>H28*0.19</f>
        <v>34584.18</v>
      </c>
      <c r="I29" s="265"/>
      <c r="J29" s="47"/>
      <c r="K29" s="47"/>
      <c r="L29" s="39"/>
      <c r="M29" s="12"/>
      <c r="N29" s="12"/>
      <c r="O29" s="253">
        <f>SUM(O21:O25)</f>
        <v>1.9639599999999999</v>
      </c>
      <c r="P29" s="14"/>
      <c r="Q29" s="12"/>
      <c r="R29" s="238"/>
      <c r="S29" s="14"/>
      <c r="T29" s="9"/>
      <c r="W29" s="4"/>
    </row>
    <row r="30" spans="2:24" ht="18" thickBot="1" x14ac:dyDescent="0.35">
      <c r="B30" s="275"/>
      <c r="C30" s="281"/>
      <c r="D30" s="272"/>
      <c r="E30" s="272"/>
      <c r="F30" s="273"/>
      <c r="G30" s="280" t="s">
        <v>6</v>
      </c>
      <c r="H30" s="304">
        <f>H28+H29</f>
        <v>216606.18</v>
      </c>
      <c r="I30" s="265"/>
      <c r="J30" s="47"/>
      <c r="K30" s="47"/>
      <c r="L30" s="39"/>
      <c r="M30" s="12"/>
      <c r="N30" s="12"/>
      <c r="O30" s="253">
        <f>O29</f>
        <v>1.9639599999999999</v>
      </c>
      <c r="P30" s="14"/>
      <c r="Q30" s="12"/>
      <c r="R30" s="238">
        <f>SUM(R21:R29)</f>
        <v>5.92</v>
      </c>
      <c r="S30" s="14"/>
      <c r="T30" s="9"/>
      <c r="W30" s="4"/>
    </row>
    <row r="31" spans="2:24" ht="17.399999999999999" x14ac:dyDescent="0.3">
      <c r="B31" s="275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O30*0.2</f>
        <v>0.39279200000000003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5">
      <c r="B32" s="269"/>
      <c r="C32" s="230"/>
      <c r="D32" s="230"/>
      <c r="E32" s="232"/>
      <c r="F32" s="233"/>
      <c r="G32" s="230"/>
      <c r="H32" s="274"/>
      <c r="I32" s="265"/>
      <c r="J32" s="312"/>
      <c r="K32" s="47"/>
      <c r="L32" s="14"/>
      <c r="M32" s="12"/>
      <c r="N32" s="12"/>
      <c r="O32" s="46">
        <f>O30+O31</f>
        <v>2.3567520000000002</v>
      </c>
      <c r="P32" s="14"/>
      <c r="Q32" s="14"/>
      <c r="R32" s="237">
        <v>40</v>
      </c>
      <c r="S32" s="14"/>
      <c r="T32" s="9"/>
      <c r="W32" s="4"/>
    </row>
    <row r="33" spans="1:23" ht="17.399999999999999" x14ac:dyDescent="0.35">
      <c r="B33" s="234"/>
      <c r="C33" s="235"/>
      <c r="D33" s="236"/>
      <c r="E33" s="234"/>
      <c r="F33" s="230"/>
      <c r="G33" s="230"/>
      <c r="J33" s="312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1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39">
        <f>O32</f>
        <v>2.3567520000000002</v>
      </c>
      <c r="M34" s="12">
        <v>3500</v>
      </c>
      <c r="N34" s="12">
        <f t="shared" ref="N34:N39" si="20">L34*M34</f>
        <v>8248.6320000000014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1:23" ht="17.399999999999999" x14ac:dyDescent="0.35">
      <c r="A35" s="230"/>
      <c r="B35" s="230"/>
      <c r="C35" s="230"/>
      <c r="D35" s="230"/>
      <c r="E35" s="230"/>
      <c r="F35" s="230"/>
      <c r="G35" s="230"/>
      <c r="H35" s="230"/>
      <c r="I35" s="265"/>
      <c r="J35" s="47"/>
      <c r="K35" s="47"/>
      <c r="L35" s="249">
        <v>0.5</v>
      </c>
      <c r="M35" s="12">
        <v>45000</v>
      </c>
      <c r="N35" s="12">
        <f t="shared" si="20"/>
        <v>22500</v>
      </c>
      <c r="O35" s="39" t="s">
        <v>152</v>
      </c>
      <c r="P35" s="42"/>
      <c r="Q35" s="14"/>
      <c r="R35" s="239"/>
      <c r="S35" s="14"/>
      <c r="T35" s="9"/>
      <c r="W35" s="4"/>
    </row>
    <row r="36" spans="1:23" s="230" customFormat="1" ht="17.399999999999999" x14ac:dyDescent="0.35">
      <c r="B36" s="24" t="s">
        <v>156</v>
      </c>
      <c r="I36" s="262"/>
      <c r="J36" s="47"/>
      <c r="K36" s="250"/>
      <c r="L36" s="14"/>
      <c r="M36" s="250">
        <v>150000</v>
      </c>
      <c r="N36" s="12">
        <f t="shared" si="20"/>
        <v>0</v>
      </c>
      <c r="O36" s="39" t="s">
        <v>32</v>
      </c>
      <c r="P36" s="42"/>
      <c r="R36" s="239"/>
      <c r="S36" s="256"/>
      <c r="V36" s="231"/>
    </row>
    <row r="37" spans="1:23" s="230" customFormat="1" ht="17.399999999999999" x14ac:dyDescent="0.35">
      <c r="B37" s="24" t="s">
        <v>157</v>
      </c>
      <c r="C37"/>
      <c r="D37"/>
      <c r="E37"/>
      <c r="F37"/>
      <c r="I37" s="262"/>
      <c r="J37" s="311"/>
      <c r="K37" s="250"/>
      <c r="L37" s="14">
        <v>1</v>
      </c>
      <c r="M37" s="250">
        <v>31000</v>
      </c>
      <c r="N37" s="12">
        <f t="shared" si="20"/>
        <v>31000</v>
      </c>
      <c r="O37" s="14" t="s">
        <v>143</v>
      </c>
      <c r="P37" s="17"/>
      <c r="R37" s="237"/>
      <c r="S37" s="256"/>
      <c r="V37" s="231"/>
    </row>
    <row r="38" spans="1:23" s="230" customFormat="1" ht="17.399999999999999" x14ac:dyDescent="0.35">
      <c r="B38" s="29" t="s">
        <v>127</v>
      </c>
      <c r="C38"/>
      <c r="D38"/>
      <c r="E38"/>
      <c r="F38" s="229" t="s">
        <v>16</v>
      </c>
      <c r="I38" s="262"/>
      <c r="J38" s="311"/>
      <c r="K38" s="250"/>
      <c r="L38" s="249"/>
      <c r="M38" s="250">
        <v>800</v>
      </c>
      <c r="N38" s="12">
        <f t="shared" si="20"/>
        <v>0</v>
      </c>
      <c r="O38" s="14" t="s">
        <v>34</v>
      </c>
      <c r="P38" s="14"/>
      <c r="Q38" s="230">
        <v>1.83</v>
      </c>
      <c r="R38" s="237"/>
      <c r="S38" s="237"/>
    </row>
    <row r="39" spans="1:23" s="230" customFormat="1" ht="17.399999999999999" x14ac:dyDescent="0.35">
      <c r="I39" s="302"/>
      <c r="J39" s="47"/>
      <c r="K39" s="250"/>
      <c r="L39" s="266"/>
      <c r="M39" s="12">
        <v>1500</v>
      </c>
      <c r="N39" s="12">
        <f t="shared" si="20"/>
        <v>0</v>
      </c>
      <c r="O39" s="14" t="s">
        <v>24</v>
      </c>
      <c r="P39" s="14"/>
      <c r="Q39">
        <v>3.66</v>
      </c>
      <c r="R39"/>
      <c r="S39" s="237">
        <v>1500</v>
      </c>
      <c r="W39" s="231"/>
    </row>
    <row r="40" spans="1:23" s="230" customFormat="1" ht="17.399999999999999" x14ac:dyDescent="0.35">
      <c r="I40" s="265"/>
      <c r="J40" s="47"/>
      <c r="K40" s="250"/>
      <c r="L40" s="14"/>
      <c r="M40" s="12"/>
      <c r="N40" s="12">
        <f>SUM(N34:N39)</f>
        <v>61748.631999999998</v>
      </c>
      <c r="O40" s="39" t="s">
        <v>25</v>
      </c>
      <c r="P40" s="14"/>
      <c r="Q40">
        <f>Q38*Q39</f>
        <v>6.6978000000000009</v>
      </c>
      <c r="R40"/>
      <c r="S40" s="237">
        <f>R32*S39</f>
        <v>60000</v>
      </c>
      <c r="W40" s="231"/>
    </row>
    <row r="41" spans="1:23" s="230" customFormat="1" ht="17.399999999999999" x14ac:dyDescent="0.35">
      <c r="J41" s="47">
        <v>58690</v>
      </c>
      <c r="K41" s="250"/>
      <c r="L41" s="254" t="s">
        <v>35</v>
      </c>
      <c r="M41" s="12"/>
      <c r="N41" s="255">
        <f>N40*2.3</f>
        <v>142021.85359999997</v>
      </c>
      <c r="O41" s="14" t="s">
        <v>142</v>
      </c>
      <c r="P41" s="14"/>
      <c r="Q41" s="46">
        <f>O32/Q40</f>
        <v>0.35186956911224582</v>
      </c>
      <c r="R41"/>
      <c r="S41" s="257" t="e">
        <f>S40/#REF!</f>
        <v>#REF!</v>
      </c>
    </row>
    <row r="42" spans="1:23" s="230" customFormat="1" ht="17.399999999999999" x14ac:dyDescent="0.35">
      <c r="G42"/>
      <c r="H42" s="260"/>
      <c r="I42" s="260"/>
      <c r="J42" s="47">
        <f>J41/1.19</f>
        <v>49319.327731092439</v>
      </c>
      <c r="K42" s="250"/>
      <c r="L42" s="14"/>
      <c r="M42" s="12"/>
      <c r="N42" s="12">
        <f>N41/O30</f>
        <v>72314.02554023503</v>
      </c>
      <c r="O42" s="45" t="s">
        <v>26</v>
      </c>
      <c r="P42" s="14"/>
      <c r="Q42" s="14"/>
      <c r="R42"/>
      <c r="S42" s="237"/>
    </row>
    <row r="43" spans="1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1:23" s="230" customFormat="1" ht="17.399999999999999" x14ac:dyDescent="0.35">
      <c r="G44" s="23"/>
      <c r="J44" s="47"/>
      <c r="K44" s="12"/>
      <c r="S44" s="237"/>
    </row>
    <row r="45" spans="1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1:23" ht="14.4" customHeight="1" x14ac:dyDescent="0.3">
      <c r="J46" s="47"/>
      <c r="K46" s="12"/>
      <c r="S46">
        <v>2.5</v>
      </c>
    </row>
    <row r="47" spans="1:23" x14ac:dyDescent="0.3">
      <c r="J47" s="47"/>
      <c r="K47" s="250"/>
      <c r="S47">
        <f>S45*S46</f>
        <v>4.5750000000000002</v>
      </c>
    </row>
    <row r="48" spans="1:23" x14ac:dyDescent="0.3">
      <c r="K48" s="250"/>
      <c r="S48" s="270">
        <f>O32/S47</f>
        <v>0.51513704918032788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45441</v>
      </c>
    </row>
    <row r="6" spans="2:31" ht="16.2" thickBot="1" x14ac:dyDescent="0.35">
      <c r="B6" s="140" t="s">
        <v>2</v>
      </c>
      <c r="C6" s="139" t="str">
        <f>'2229'!C10</f>
        <v>CARLA SANTIBAÑEZ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-13676.751233454104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182022</v>
      </c>
      <c r="E11" s="132">
        <f>D11*0.19</f>
        <v>34584.18</v>
      </c>
      <c r="F11" s="131">
        <f>E11+D11</f>
        <v>216606.18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92313.24876654589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60582.722787439619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74313.24876654589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121439.27721256038</v>
      </c>
      <c r="E13" s="221">
        <f>(D11/D12)-1</f>
        <v>2.0045199625418273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65313.248766545898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26313.248766545898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99961.492599275371</v>
      </c>
      <c r="F15" s="216">
        <f>E15-D12</f>
        <v>39378.769811835751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26313.248766545898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66313.24876654589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22500</v>
      </c>
      <c r="E19" s="123">
        <f>D19*0.19</f>
        <v>4275</v>
      </c>
      <c r="F19" s="120">
        <f>SUM(D19:E19)</f>
        <v>26775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8248.6320000000014</v>
      </c>
      <c r="E20" s="121">
        <f>D20*0.19</f>
        <v>1567.2400800000003</v>
      </c>
      <c r="F20" s="120">
        <f>SUM(D20:E20)</f>
        <v>9815.872080000001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30748.632000000001</v>
      </c>
      <c r="E21" s="116">
        <f>SUM(E18:E20)</f>
        <v>5842.2400800000005</v>
      </c>
      <c r="F21" s="115">
        <f>SUM(F18:F20)</f>
        <v>36590.872080000001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28741.939920000001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182022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30748.632000000001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121439.27721256038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121439.27721256038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2024-05-29T20:24:35Z</cp:lastPrinted>
  <dcterms:created xsi:type="dcterms:W3CDTF">2013-03-18T13:35:42Z</dcterms:created>
  <dcterms:modified xsi:type="dcterms:W3CDTF">2024-05-29T21:39:58Z</dcterms:modified>
</cp:coreProperties>
</file>