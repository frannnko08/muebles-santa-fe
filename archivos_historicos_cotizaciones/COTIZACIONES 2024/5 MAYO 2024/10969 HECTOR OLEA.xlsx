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09F0C397-41E6-4308-9266-EF6AA120B4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K29" i="1" l="1"/>
  <c r="L29" i="1"/>
  <c r="M29" i="1"/>
  <c r="N29" i="1"/>
  <c r="O29" i="1" s="1"/>
  <c r="R29" i="1"/>
  <c r="K30" i="1"/>
  <c r="L30" i="1"/>
  <c r="M30" i="1"/>
  <c r="N30" i="1"/>
  <c r="O30" i="1" s="1"/>
  <c r="R30" i="1"/>
  <c r="K31" i="1"/>
  <c r="L31" i="1"/>
  <c r="M31" i="1"/>
  <c r="N31" i="1"/>
  <c r="O31" i="1" s="1"/>
  <c r="R31" i="1"/>
  <c r="K32" i="1"/>
  <c r="L32" i="1"/>
  <c r="M32" i="1"/>
  <c r="N32" i="1"/>
  <c r="O32" i="1" s="1"/>
  <c r="R32" i="1"/>
  <c r="K33" i="1"/>
  <c r="L33" i="1"/>
  <c r="M33" i="1"/>
  <c r="N33" i="1"/>
  <c r="O33" i="1" s="1"/>
  <c r="R33" i="1"/>
  <c r="K34" i="1"/>
  <c r="L34" i="1"/>
  <c r="M34" i="1"/>
  <c r="N34" i="1"/>
  <c r="O34" i="1" s="1"/>
  <c r="R34" i="1"/>
  <c r="H34" i="1"/>
  <c r="H29" i="1"/>
  <c r="H30" i="1"/>
  <c r="H31" i="1"/>
  <c r="H32" i="1"/>
  <c r="H33" i="1"/>
  <c r="K22" i="1" l="1"/>
  <c r="L22" i="1"/>
  <c r="R22" i="1" s="1"/>
  <c r="M22" i="1"/>
  <c r="N22" i="1" s="1"/>
  <c r="O22" i="1" s="1"/>
  <c r="K23" i="1"/>
  <c r="L23" i="1"/>
  <c r="M23" i="1"/>
  <c r="K24" i="1"/>
  <c r="L24" i="1"/>
  <c r="M24" i="1"/>
  <c r="K25" i="1"/>
  <c r="L25" i="1"/>
  <c r="M25" i="1"/>
  <c r="K26" i="1"/>
  <c r="L26" i="1"/>
  <c r="M26" i="1"/>
  <c r="N26" i="1"/>
  <c r="K27" i="1"/>
  <c r="L27" i="1"/>
  <c r="M27" i="1"/>
  <c r="K28" i="1"/>
  <c r="L28" i="1"/>
  <c r="M28" i="1"/>
  <c r="K21" i="1"/>
  <c r="L21" i="1"/>
  <c r="M21" i="1"/>
  <c r="R25" i="1" l="1"/>
  <c r="N28" i="1"/>
  <c r="O28" i="1" s="1"/>
  <c r="O26" i="1"/>
  <c r="N25" i="1"/>
  <c r="O25" i="1" s="1"/>
  <c r="N23" i="1"/>
  <c r="O23" i="1" s="1"/>
  <c r="O39" i="1" s="1"/>
  <c r="N27" i="1"/>
  <c r="O27" i="1" s="1"/>
  <c r="R26" i="1"/>
  <c r="N24" i="1"/>
  <c r="O24" i="1" s="1"/>
  <c r="R28" i="1"/>
  <c r="R24" i="1"/>
  <c r="R27" i="1"/>
  <c r="R23" i="1"/>
  <c r="R21" i="1"/>
  <c r="N21" i="1"/>
  <c r="O21" i="1" s="1"/>
  <c r="J52" i="1" l="1"/>
  <c r="L38" i="1" l="1"/>
  <c r="N45" i="1" l="1"/>
  <c r="O40" i="1" l="1"/>
  <c r="O41" i="1" s="1"/>
  <c r="O42" i="1" s="1"/>
  <c r="S57" i="1"/>
  <c r="M20" i="1" l="1"/>
  <c r="K20" i="1"/>
  <c r="N46" i="1" l="1"/>
  <c r="Q50" i="1"/>
  <c r="Q51" i="1" s="1"/>
  <c r="N47" i="1" l="1"/>
  <c r="S50" i="1" l="1"/>
  <c r="S5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9" i="1"/>
  <c r="N48" i="1"/>
  <c r="F18" i="3" l="1"/>
  <c r="L44" i="1" l="1"/>
  <c r="N44" i="1" l="1"/>
  <c r="N50" i="1" s="1"/>
  <c r="N51" i="1" s="1"/>
  <c r="S58" i="1"/>
  <c r="D20" i="3" l="1"/>
  <c r="E20" i="3" s="1"/>
  <c r="E21" i="3" s="1"/>
  <c r="N53" i="1" l="1"/>
  <c r="D21" i="3"/>
  <c r="M43" i="3" s="1"/>
  <c r="D12" i="3" s="1"/>
  <c r="F20" i="3"/>
  <c r="F21" i="3" s="1"/>
  <c r="N52" i="1" l="1"/>
  <c r="P20" i="1" s="1"/>
  <c r="E15" i="3"/>
  <c r="P34" i="1" l="1"/>
  <c r="Q34" i="1" s="1"/>
  <c r="P30" i="1"/>
  <c r="Q30" i="1" s="1"/>
  <c r="P33" i="1"/>
  <c r="Q33" i="1" s="1"/>
  <c r="P29" i="1"/>
  <c r="Q29" i="1" s="1"/>
  <c r="P32" i="1"/>
  <c r="Q32" i="1" s="1"/>
  <c r="P31" i="1"/>
  <c r="Q31" i="1" s="1"/>
  <c r="P28" i="1"/>
  <c r="P24" i="1"/>
  <c r="P23" i="1"/>
  <c r="P26" i="1"/>
  <c r="P22" i="1"/>
  <c r="P25" i="1"/>
  <c r="P27" i="1"/>
  <c r="P21" i="1"/>
  <c r="F15" i="3"/>
  <c r="H25" i="1" l="1"/>
  <c r="Q25" i="1"/>
  <c r="H24" i="1"/>
  <c r="Q24" i="1"/>
  <c r="H22" i="1"/>
  <c r="Q22" i="1"/>
  <c r="H28" i="1"/>
  <c r="Q28" i="1"/>
  <c r="H26" i="1"/>
  <c r="Q26" i="1"/>
  <c r="H27" i="1"/>
  <c r="Q27" i="1"/>
  <c r="Q23" i="1"/>
  <c r="H23" i="1"/>
  <c r="Q21" i="1"/>
  <c r="H21" i="1" s="1"/>
  <c r="R40" i="1"/>
  <c r="K15" i="1" l="1"/>
  <c r="H39" i="1" l="1"/>
  <c r="H40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<sst xmlns="http://schemas.openxmlformats.org/spreadsheetml/2006/main" count="245" uniqueCount="164">
  <si>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</si>
  <si>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</si>
  <si>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</si>
  <si>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</si>
  <si>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</si>
  <si>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</si>
  <si>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</si>
  <si>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</si>
  <si>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</si>
  <si>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</si>
  <si>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</si>
  <si>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</si>
  <si>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</si>
  <si>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</si>
  <si>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</si>
  <si>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</si>
  <si>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</si>
  <si>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</si>
  <si>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</si>
  <si>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</si>
  <si>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</si>
  <si>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</si>
  <si>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</si>
  <si>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</si>
  <si>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</si>
  <si>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</si>
  <si>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</si>
  <si>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</si>
  <si>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</si>
  <si>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</si>
  <si>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</si>
  <si>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</si>
  <si>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</si>
  <si>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</si>
  <si>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</si>
  <si>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</si>
  <si>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</si>
  <si>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</si>
  <si>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</si>
  <si>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</si>
  <si>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</si>
  <si>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</si>
  <si>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</si>
  <si>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</si>
  <si>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</si>
  <si>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</si>
  <si>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</si>
  <si>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</si>
  <si>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</si>
  <si>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</si>
  <si>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</si>
  <si>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</si>
  <si>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</si>
  <si>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</si>
  <si>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</si>
  <si>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</si>
  <si>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</si>
  <si>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</si>
  <si>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</si>
  <si>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</si>
  <si>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</si>
  <si>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</si>
  <si>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</si>
  <si>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</si>
  <si>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</si>
  <si>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</si>
  <si>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</si>
  <si>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</si>
  <si>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</si>
  <si>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</si>
  <si>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</si>
  <si>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</si>
  <si>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</si>
  <si>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</si>
  <si>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</si>
  <si>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</si>
  <si>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</si>
  <si>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</si>
  <si>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</si>
  <si>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</si>
  <si>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</si>
  <si>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</si>
  <si>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</si>
  <si>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</si>
  <si>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</si>
  <si>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</si>
  <si>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</si>
  <si>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</si>
  <si>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</si>
  <si>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</si>
  <si>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</si>
  <si>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</si>
  <si>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</si>
  <si>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</si>
  <si>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</si>
  <si>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</si>
  <si>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</si>
  <si>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</si>
  <si>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</si>
  <si>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</si>
  <si>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</si>
  <si>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</si>
  <si>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</si>
  <si>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</si>
  <si>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</si>
  <si>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</si>
  <si>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</si>
  <si>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</si>
  <si>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</si>
  <si>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</si>
  <si>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</si>
  <si>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</si>
  <si>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</si>
  <si>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</si>
  <si>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</si>
  <si>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</si>
  <si>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</si>
  <si>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</si>
  <si>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</si>
  <si>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</si>
  <si>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</si>
  <si>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</si>
  <si>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</si>
  <si>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</si>
  <si>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</si>
  <si>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</si>
  <si>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</si>
  <si>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</si>
  <si>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</si>
  <si>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</si>
  <si>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</si>
  <si>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</si>
  <si>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</si>
  <si>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</si>
  <si>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</si>
  <si>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</si>
  <si>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</si>
  <si>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</si>
  <si>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</si>
  <si>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</si>
  <si>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</si>
  <si>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</si>
  <si>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</si>
  <si>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</si>
  <si>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</si>
  <si>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</si>
  <si>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</si>
  <si>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</si>
  <si>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</si>
  <si>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</si>
  <si>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</si>
  <si>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</si>
  <si>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</si>
  <si>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</si>
  <si>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CONTADO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</si>
  <si>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</si>
  <si>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</si>
  <si>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</si>
  <si>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N° 10969</t>
  </si>
  <si>
    <t>HECTOR OLEA</t>
  </si>
  <si>
    <t>+569 7789 7360</t>
  </si>
  <si>
    <t>5 DIAS HABILES</t>
  </si>
  <si>
    <t>PUERTA POSTFORMADA RADIO 2MM</t>
  </si>
  <si>
    <t>GRAFITO 2174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</si>
</sst>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167" fontId="11" fillId="0" borderId="57" xfId="2" applyNumberFormat="1" applyFont="1" applyFill="1" applyBorder="1" applyAlignment="1">
      <alignment horizontal="center" vertical="center"/>
    </xf>
    <xf numFmtId="167" fontId="11" fillId="0" borderId="32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167" fontId="0" fillId="22" borderId="0" xfId="0" applyNumberFormat="1" applyFill="1"/>
    <xf numFmtId="166" fontId="3" fillId="22" borderId="0" xfId="0" applyNumberFormat="1" applyFont="1" applyFill="1"/>
    <xf numFmtId="167" fontId="0" fillId="3" borderId="0" xfId="0" applyNumberFormat="1" applyFill="1"/>
    <xf numFmtId="166" fontId="3" fillId="3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31" xfId="0" applyFont="1" applyFill="1" applyBorder="1" applyAlignment="1">
      <alignment horizontal="center" vertical="center"/>
    </xf>
    <xf numFmtId="0" fontId="32" fillId="0" borderId="33" xfId="0" applyFont="1" applyFill="1" applyBorder="1" applyAlignment="1">
      <alignment horizontal="center" vertical="center"/>
    </xf>
    <xf numFmtId="166" fontId="32" fillId="0" borderId="33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41</xdr:row>
      <xdr:rowOff>5249</xdr:rowOff>
    </xdr:from>
    <xdr:to>
      <xdr:col>8</xdr:col>
      <xdr:colOff>7776</xdr:colOff>
      <xdr:row>44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43</xdr:row>
      <xdr:rowOff>154305</xdr:rowOff>
    </xdr:from>
    <xdr:to>
      <xdr:col>7</xdr:col>
      <xdr:colOff>853440</xdr:colOff>
      <xdr:row>43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41</xdr:row>
      <xdr:rowOff>9525</xdr:rowOff>
    </xdr:from>
    <xdr:to>
      <xdr:col>5</xdr:col>
      <xdr:colOff>1749491</xdr:colOff>
      <xdr:row>44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28304</xdr:colOff>
      <xdr:row>35</xdr:row>
      <xdr:rowOff>185095</xdr:rowOff>
    </xdr:from>
    <xdr:to>
      <xdr:col>5</xdr:col>
      <xdr:colOff>1772817</xdr:colOff>
      <xdr:row>40</xdr:row>
      <xdr:rowOff>186612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0406" y="5721258"/>
          <a:ext cx="7241799" cy="110564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ENTREGAN</a:t>
          </a:r>
          <a:r>
            <a:rPr lang="es-CL" sz="1200" b="1" baseline="0"/>
            <a:t> CORTADAS Y ENCHAPADAS CON TAPACANTO PVC 0,4MM LO MAS PARECIDO AL TONO DE LA LAMINA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MELAMIL 18MM</a:t>
          </a:r>
        </a:p>
        <a:p>
          <a:pPr algn="l"/>
          <a:r>
            <a:rPr lang="es-CL" sz="1200" b="1" u="none" baseline="0">
              <a:solidFill>
                <a:sysClr val="windowText" lastClr="000000"/>
              </a:solidFill>
            </a:rPr>
            <a:t>ABONO </a:t>
          </a:r>
          <a:r>
            <a:rPr lang="es-CL" sz="1200" b="1" u="sng" baseline="0">
              <a:solidFill>
                <a:sysClr val="windowText" lastClr="000000"/>
              </a:solidFill>
            </a:rPr>
            <a:t>$ 190.000.-</a:t>
          </a:r>
          <a:endParaRPr lang="es-CL" sz="1200" b="1" u="none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95"/>
  <sheetViews>
    <sheetView tabSelected="1" topLeftCell="A16" zoomScale="98" zoomScaleNormal="98" workbookViewId="0">
      <selection activeCell="I27" sqref="I27"/>
    </sheetView>
  </sheetViews>
  <sheetFormatPr baseColWidth="10" defaultRowHeight="14.4" x14ac:dyDescent="0.3"/>
  <cols>
    <col min="1" max="1" width="6" customWidth="1"/>
    <col min="2" max="2" width="10.5546875" customWidth="1"/>
    <col min="3" max="3" width="48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159</v>
      </c>
      <c r="D10" s="243"/>
      <c r="E10" s="243"/>
      <c r="F10" s="244" t="s">
        <v>0</v>
      </c>
      <c r="G10" s="276">
        <v>45441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161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160</v>
      </c>
      <c r="D15" s="294"/>
      <c r="E15" s="247"/>
      <c r="F15" s="247" t="s">
        <v>136</v>
      </c>
      <c r="G15" s="295" t="s">
        <v>137</v>
      </c>
      <c r="H15" s="248"/>
      <c r="K15" s="18">
        <f>H38/L13</f>
        <v>14044.966646452396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154</v>
      </c>
      <c r="H16" s="289"/>
    </row>
    <row r="17" spans="2:24" ht="15" thickBot="1" x14ac:dyDescent="0.35">
      <c r="B17" s="296" t="s">
        <v>13</v>
      </c>
      <c r="C17" s="297" t="s">
        <v>153</v>
      </c>
      <c r="D17" s="298"/>
      <c r="E17" s="299"/>
      <c r="F17" s="331" t="s">
        <v>155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N52</f>
        <v>68165.919532970132</v>
      </c>
      <c r="Q20" s="258">
        <v>3000</v>
      </c>
      <c r="R20" s="38"/>
      <c r="S20" s="14" t="s">
        <v>130</v>
      </c>
      <c r="T20" s="9"/>
      <c r="W20" s="4"/>
    </row>
    <row r="21" spans="2:24" ht="18" thickBot="1" x14ac:dyDescent="0.35">
      <c r="B21" s="318">
        <v>2</v>
      </c>
      <c r="C21" s="319" t="s">
        <v>162</v>
      </c>
      <c r="D21" s="320">
        <v>0.34499999999999997</v>
      </c>
      <c r="E21" s="320">
        <v>0.59699999999999998</v>
      </c>
      <c r="F21" s="319" t="s">
        <v>163</v>
      </c>
      <c r="G21" s="321">
        <v>15382</v>
      </c>
      <c r="H21" s="322">
        <f t="shared" ref="H21" si="1">G21*B21</f>
        <v>30764</v>
      </c>
      <c r="I21" s="265"/>
      <c r="J21" s="47"/>
      <c r="K21" s="325">
        <f t="shared" ref="K21" si="2">B21</f>
        <v>2</v>
      </c>
      <c r="L21" s="326">
        <f t="shared" ref="L21" si="3">D21+L$19</f>
        <v>0.39499999999999996</v>
      </c>
      <c r="M21" s="326">
        <f t="shared" ref="M21" si="4">E21+M$19</f>
        <v>0.59699999999999998</v>
      </c>
      <c r="N21" s="261">
        <f t="shared" ref="N21" si="5">L21*M21</f>
        <v>0.23581499999999997</v>
      </c>
      <c r="O21" s="259">
        <f t="shared" ref="O21" si="6">N21*K21</f>
        <v>0.47162999999999994</v>
      </c>
      <c r="P21" s="252">
        <f t="shared" ref="P21" si="7">P$20*N21</f>
        <v>16074.54631466735</v>
      </c>
      <c r="Q21" s="258">
        <f t="shared" ref="Q21" si="8">P21+Q$20</f>
        <v>19074.54631466735</v>
      </c>
      <c r="R21" s="307">
        <f t="shared" ref="R21" si="9">K21*L21</f>
        <v>0.78999999999999992</v>
      </c>
      <c r="S21" s="14"/>
      <c r="T21" s="9"/>
      <c r="W21" s="4"/>
    </row>
    <row r="22" spans="2:24" ht="18" thickBot="1" x14ac:dyDescent="0.35">
      <c r="B22" s="343">
        <v>1</v>
      </c>
      <c r="C22" s="344" t="s">
        <v>162</v>
      </c>
      <c r="D22" s="345">
        <v>0.72</v>
      </c>
      <c r="E22" s="345">
        <v>0.19700000000000001</v>
      </c>
      <c r="F22" s="319" t="s">
        <v>163</v>
      </c>
      <c r="G22" s="321">
        <v>10965</v>
      </c>
      <c r="H22" s="322">
        <f t="shared" ref="H22:H27" si="10">G22*B22</f>
        <v>10965</v>
      </c>
      <c r="I22" s="265"/>
      <c r="J22" s="47"/>
      <c r="K22" s="47">
        <f t="shared" ref="K22:K28" si="11">B22</f>
        <v>1</v>
      </c>
      <c r="L22" s="39">
        <f t="shared" ref="L22:L28" si="12">D22+L$19</f>
        <v>0.77</v>
      </c>
      <c r="M22" s="39">
        <f t="shared" ref="M22:M28" si="13">E22+M$19</f>
        <v>0.19700000000000001</v>
      </c>
      <c r="N22" s="261">
        <f t="shared" ref="N22:N28" si="14">L22*M22</f>
        <v>0.15169000000000002</v>
      </c>
      <c r="O22" s="259">
        <f t="shared" ref="O22:O28" si="15">N22*K22</f>
        <v>0.15169000000000002</v>
      </c>
      <c r="P22" s="252">
        <f t="shared" ref="P22:P28" si="16">P$20*N22</f>
        <v>10340.088333956241</v>
      </c>
      <c r="Q22" s="258">
        <f t="shared" ref="Q22:Q28" si="17">P22+Q$20</f>
        <v>13340.088333956241</v>
      </c>
      <c r="R22" s="307">
        <f t="shared" ref="R22:R28" si="18">K22*L22</f>
        <v>0.77</v>
      </c>
      <c r="S22" s="14"/>
      <c r="T22" s="9"/>
      <c r="W22" s="4"/>
    </row>
    <row r="23" spans="2:24" ht="18" thickBot="1" x14ac:dyDescent="0.35">
      <c r="B23" s="343">
        <v>2</v>
      </c>
      <c r="C23" s="344" t="s">
        <v>162</v>
      </c>
      <c r="D23" s="345">
        <v>0.06</v>
      </c>
      <c r="E23" s="345">
        <v>0.59699999999999998</v>
      </c>
      <c r="F23" s="319" t="s">
        <v>163</v>
      </c>
      <c r="G23" s="321">
        <v>7476</v>
      </c>
      <c r="H23" s="322">
        <f t="shared" si="10"/>
        <v>14952</v>
      </c>
      <c r="I23" s="265"/>
      <c r="J23" s="47"/>
      <c r="K23" s="325">
        <f t="shared" si="11"/>
        <v>2</v>
      </c>
      <c r="L23" s="326">
        <f t="shared" si="12"/>
        <v>0.11</v>
      </c>
      <c r="M23" s="326">
        <f t="shared" si="13"/>
        <v>0.59699999999999998</v>
      </c>
      <c r="N23" s="261">
        <f t="shared" si="14"/>
        <v>6.5669999999999992E-2</v>
      </c>
      <c r="O23" s="259">
        <f t="shared" si="15"/>
        <v>0.13133999999999998</v>
      </c>
      <c r="P23" s="252">
        <f t="shared" si="16"/>
        <v>4476.4559357301478</v>
      </c>
      <c r="Q23" s="258">
        <f t="shared" si="17"/>
        <v>7476.4559357301478</v>
      </c>
      <c r="R23" s="307">
        <f t="shared" si="18"/>
        <v>0.22</v>
      </c>
      <c r="S23" s="14"/>
      <c r="T23" s="9"/>
      <c r="W23" s="4"/>
    </row>
    <row r="24" spans="2:24" ht="18" thickBot="1" x14ac:dyDescent="0.35">
      <c r="B24" s="343">
        <v>4</v>
      </c>
      <c r="C24" s="344" t="s">
        <v>162</v>
      </c>
      <c r="D24" s="345">
        <v>0.34499999999999997</v>
      </c>
      <c r="E24" s="345">
        <v>0.67700000000000005</v>
      </c>
      <c r="F24" s="319" t="s">
        <v>163</v>
      </c>
      <c r="G24" s="321">
        <v>17042</v>
      </c>
      <c r="H24" s="322">
        <f t="shared" si="10"/>
        <v>68168</v>
      </c>
      <c r="I24" s="265"/>
      <c r="J24" s="47"/>
      <c r="K24" s="329">
        <f t="shared" si="11"/>
        <v>4</v>
      </c>
      <c r="L24" s="330">
        <f t="shared" si="12"/>
        <v>0.39499999999999996</v>
      </c>
      <c r="M24" s="330">
        <f t="shared" si="13"/>
        <v>0.67700000000000005</v>
      </c>
      <c r="N24" s="261">
        <f t="shared" si="14"/>
        <v>0.26741500000000001</v>
      </c>
      <c r="O24" s="259">
        <f t="shared" si="15"/>
        <v>1.0696600000000001</v>
      </c>
      <c r="P24" s="252">
        <f t="shared" si="16"/>
        <v>18228.589371909209</v>
      </c>
      <c r="Q24" s="258">
        <f t="shared" si="17"/>
        <v>21228.589371909209</v>
      </c>
      <c r="R24" s="307">
        <f t="shared" si="18"/>
        <v>1.5799999999999998</v>
      </c>
      <c r="S24" s="14"/>
      <c r="T24" s="9"/>
      <c r="W24" s="4"/>
    </row>
    <row r="25" spans="2:24" ht="18" thickBot="1" x14ac:dyDescent="0.35">
      <c r="B25" s="343">
        <v>4</v>
      </c>
      <c r="C25" s="344" t="s">
        <v>162</v>
      </c>
      <c r="D25" s="345">
        <v>0.34499999999999997</v>
      </c>
      <c r="E25" s="345">
        <v>0.57699999999999996</v>
      </c>
      <c r="F25" s="319" t="s">
        <v>163</v>
      </c>
      <c r="G25" s="321">
        <v>14967</v>
      </c>
      <c r="H25" s="322">
        <f t="shared" si="10"/>
        <v>59868</v>
      </c>
      <c r="I25" s="265"/>
      <c r="J25" s="47">
        <v>-1</v>
      </c>
      <c r="K25" s="325">
        <f t="shared" si="11"/>
        <v>4</v>
      </c>
      <c r="L25" s="326">
        <f t="shared" si="12"/>
        <v>0.39499999999999996</v>
      </c>
      <c r="M25" s="330">
        <f t="shared" si="13"/>
        <v>0.57699999999999996</v>
      </c>
      <c r="N25" s="261">
        <f t="shared" si="14"/>
        <v>0.22791499999999995</v>
      </c>
      <c r="O25" s="259">
        <f t="shared" si="15"/>
        <v>0.9116599999999998</v>
      </c>
      <c r="P25" s="252">
        <f t="shared" si="16"/>
        <v>15536.035550356884</v>
      </c>
      <c r="Q25" s="258">
        <f t="shared" si="17"/>
        <v>18536.035550356886</v>
      </c>
      <c r="R25" s="307">
        <f t="shared" si="18"/>
        <v>1.5799999999999998</v>
      </c>
      <c r="S25" s="14"/>
      <c r="T25" s="9"/>
      <c r="W25" s="4"/>
    </row>
    <row r="26" spans="2:24" ht="18" thickBot="1" x14ac:dyDescent="0.35">
      <c r="B26" s="343">
        <v>2</v>
      </c>
      <c r="C26" s="344" t="s">
        <v>162</v>
      </c>
      <c r="D26" s="345">
        <v>0.72</v>
      </c>
      <c r="E26" s="345">
        <v>0.39700000000000002</v>
      </c>
      <c r="F26" s="319" t="s">
        <v>163</v>
      </c>
      <c r="G26" s="321">
        <v>19051</v>
      </c>
      <c r="H26" s="322">
        <f t="shared" si="10"/>
        <v>38102</v>
      </c>
      <c r="I26" s="265"/>
      <c r="K26" s="327">
        <f t="shared" si="11"/>
        <v>2</v>
      </c>
      <c r="L26" s="328">
        <f t="shared" si="12"/>
        <v>0.77</v>
      </c>
      <c r="M26" s="328">
        <f t="shared" si="13"/>
        <v>0.39700000000000002</v>
      </c>
      <c r="N26" s="261">
        <f t="shared" si="14"/>
        <v>0.30569000000000002</v>
      </c>
      <c r="O26" s="259">
        <f t="shared" si="15"/>
        <v>0.61138000000000003</v>
      </c>
      <c r="P26" s="252">
        <f t="shared" si="16"/>
        <v>20837.639942033642</v>
      </c>
      <c r="Q26" s="258">
        <f t="shared" si="17"/>
        <v>23837.639942033642</v>
      </c>
      <c r="R26" s="307">
        <f t="shared" si="18"/>
        <v>1.54</v>
      </c>
      <c r="S26" s="14"/>
      <c r="T26" s="9"/>
      <c r="W26" s="4"/>
    </row>
    <row r="27" spans="2:24" ht="18" thickBot="1" x14ac:dyDescent="0.35">
      <c r="B27" s="343">
        <v>2</v>
      </c>
      <c r="C27" s="344" t="s">
        <v>162</v>
      </c>
      <c r="D27" s="345">
        <v>0.34499999999999997</v>
      </c>
      <c r="E27" s="345">
        <v>0.437</v>
      </c>
      <c r="F27" s="319" t="s">
        <v>163</v>
      </c>
      <c r="G27" s="321">
        <v>12064</v>
      </c>
      <c r="H27" s="322">
        <f t="shared" si="10"/>
        <v>24128</v>
      </c>
      <c r="I27" s="232"/>
      <c r="J27" s="47"/>
      <c r="K27" s="327">
        <f t="shared" si="11"/>
        <v>2</v>
      </c>
      <c r="L27" s="328">
        <f t="shared" si="12"/>
        <v>0.39499999999999996</v>
      </c>
      <c r="M27" s="328">
        <f t="shared" si="13"/>
        <v>0.437</v>
      </c>
      <c r="N27" s="261">
        <f t="shared" si="14"/>
        <v>0.17261499999999999</v>
      </c>
      <c r="O27" s="259">
        <f t="shared" si="15"/>
        <v>0.34522999999999998</v>
      </c>
      <c r="P27" s="252">
        <f t="shared" si="16"/>
        <v>11766.460200183639</v>
      </c>
      <c r="Q27" s="258">
        <f t="shared" si="17"/>
        <v>14766.460200183639</v>
      </c>
      <c r="R27" s="307">
        <f t="shared" si="18"/>
        <v>0.78999999999999992</v>
      </c>
      <c r="S27" s="14"/>
      <c r="T27" s="9"/>
      <c r="W27" s="4"/>
    </row>
    <row r="28" spans="2:24" ht="18" thickBot="1" x14ac:dyDescent="0.35">
      <c r="B28" s="343">
        <v>4</v>
      </c>
      <c r="C28" s="344" t="s">
        <v>162</v>
      </c>
      <c r="D28" s="345">
        <v>0.64</v>
      </c>
      <c r="E28" s="345">
        <v>0.59699999999999998</v>
      </c>
      <c r="F28" s="319" t="s">
        <v>163</v>
      </c>
      <c r="G28" s="321">
        <v>24630</v>
      </c>
      <c r="H28" s="322">
        <f t="shared" ref="H28" si="19">G28*B28</f>
        <v>98520</v>
      </c>
      <c r="I28" s="232"/>
      <c r="J28" s="47"/>
      <c r="K28" s="327">
        <f t="shared" si="11"/>
        <v>4</v>
      </c>
      <c r="L28" s="328">
        <f t="shared" si="12"/>
        <v>0.69000000000000006</v>
      </c>
      <c r="M28" s="328">
        <f t="shared" si="13"/>
        <v>0.59699999999999998</v>
      </c>
      <c r="N28" s="261">
        <f t="shared" si="14"/>
        <v>0.41193000000000002</v>
      </c>
      <c r="O28" s="259">
        <f t="shared" si="15"/>
        <v>1.6477200000000001</v>
      </c>
      <c r="P28" s="252">
        <f t="shared" si="16"/>
        <v>28079.587233216389</v>
      </c>
      <c r="Q28" s="258">
        <f t="shared" si="17"/>
        <v>31079.587233216389</v>
      </c>
      <c r="R28" s="307">
        <f t="shared" si="18"/>
        <v>2.7600000000000002</v>
      </c>
      <c r="S28" s="14"/>
      <c r="T28" s="9"/>
      <c r="W28" s="4"/>
    </row>
    <row r="29" spans="2:24" ht="18" thickBot="1" x14ac:dyDescent="0.35">
      <c r="B29" s="343">
        <v>1</v>
      </c>
      <c r="C29" s="344" t="s">
        <v>162</v>
      </c>
      <c r="D29" s="345">
        <v>0.247</v>
      </c>
      <c r="E29" s="345">
        <v>0.64700000000000002</v>
      </c>
      <c r="F29" s="319" t="s">
        <v>163</v>
      </c>
      <c r="G29" s="321">
        <v>15140</v>
      </c>
      <c r="H29" s="322">
        <f t="shared" ref="H29:H33" si="20">G29*B29</f>
        <v>15140</v>
      </c>
      <c r="I29" s="232"/>
      <c r="J29" s="47"/>
      <c r="K29" s="329">
        <f t="shared" ref="K29:K34" si="21">B29</f>
        <v>1</v>
      </c>
      <c r="L29" s="330">
        <f t="shared" ref="L29:L34" si="22">D29+L$19</f>
        <v>0.29699999999999999</v>
      </c>
      <c r="M29" s="330">
        <f t="shared" ref="M29:M34" si="23">E29+M$19</f>
        <v>0.64700000000000002</v>
      </c>
      <c r="N29" s="261">
        <f t="shared" ref="N29:N34" si="24">L29*M29</f>
        <v>0.192159</v>
      </c>
      <c r="O29" s="259">
        <f t="shared" ref="O29:O34" si="25">N29*K29</f>
        <v>0.192159</v>
      </c>
      <c r="P29" s="252">
        <f t="shared" ref="P29:P34" si="26">P$20*N29</f>
        <v>13098.694931536007</v>
      </c>
      <c r="Q29" s="258">
        <f t="shared" ref="Q29:Q34" si="27">P29+Q$20</f>
        <v>16098.694931536007</v>
      </c>
      <c r="R29" s="307">
        <f t="shared" ref="R29:R34" si="28">K29*L29</f>
        <v>0.29699999999999999</v>
      </c>
      <c r="S29" s="14"/>
      <c r="T29" s="9"/>
      <c r="W29" s="4"/>
    </row>
    <row r="30" spans="2:24" ht="18" thickBot="1" x14ac:dyDescent="0.35">
      <c r="B30" s="343">
        <v>1</v>
      </c>
      <c r="C30" s="344" t="s">
        <v>162</v>
      </c>
      <c r="D30" s="345">
        <v>0.05</v>
      </c>
      <c r="E30" s="345">
        <v>0.39</v>
      </c>
      <c r="F30" s="319" t="s">
        <v>163</v>
      </c>
      <c r="G30" s="321">
        <v>5464</v>
      </c>
      <c r="H30" s="322">
        <f t="shared" si="20"/>
        <v>5464</v>
      </c>
      <c r="I30" s="232"/>
      <c r="J30" s="47"/>
      <c r="K30" s="325">
        <f t="shared" si="21"/>
        <v>1</v>
      </c>
      <c r="L30" s="326">
        <f t="shared" si="22"/>
        <v>0.1</v>
      </c>
      <c r="M30" s="326">
        <f t="shared" si="23"/>
        <v>0.39</v>
      </c>
      <c r="N30" s="261">
        <f t="shared" si="24"/>
        <v>3.9000000000000007E-2</v>
      </c>
      <c r="O30" s="259">
        <f t="shared" si="25"/>
        <v>3.9000000000000007E-2</v>
      </c>
      <c r="P30" s="252">
        <f t="shared" si="26"/>
        <v>2658.4708617858355</v>
      </c>
      <c r="Q30" s="258">
        <f t="shared" si="27"/>
        <v>5658.470861785836</v>
      </c>
      <c r="R30" s="307">
        <f t="shared" si="28"/>
        <v>0.1</v>
      </c>
      <c r="S30" s="14"/>
      <c r="T30" s="9"/>
      <c r="W30" s="4"/>
    </row>
    <row r="31" spans="2:24" ht="18" thickBot="1" x14ac:dyDescent="0.35">
      <c r="B31" s="343">
        <v>1</v>
      </c>
      <c r="C31" s="344" t="s">
        <v>162</v>
      </c>
      <c r="D31" s="345">
        <v>2.0299999999999998</v>
      </c>
      <c r="E31" s="345">
        <v>0.29699999999999999</v>
      </c>
      <c r="F31" s="319" t="s">
        <v>163</v>
      </c>
      <c r="G31" s="321">
        <v>42029</v>
      </c>
      <c r="H31" s="322">
        <f t="shared" si="20"/>
        <v>42029</v>
      </c>
      <c r="I31" s="232"/>
      <c r="J31" s="47"/>
      <c r="K31" s="325">
        <f t="shared" si="21"/>
        <v>1</v>
      </c>
      <c r="L31" s="326">
        <f t="shared" si="22"/>
        <v>2.0799999999999996</v>
      </c>
      <c r="M31" s="326">
        <f t="shared" si="23"/>
        <v>0.29699999999999999</v>
      </c>
      <c r="N31" s="261">
        <f t="shared" si="24"/>
        <v>0.61775999999999986</v>
      </c>
      <c r="O31" s="259">
        <f t="shared" si="25"/>
        <v>0.61775999999999986</v>
      </c>
      <c r="P31" s="252">
        <f t="shared" si="26"/>
        <v>42110.178450687621</v>
      </c>
      <c r="Q31" s="258">
        <f t="shared" si="27"/>
        <v>45110.178450687621</v>
      </c>
      <c r="R31" s="307">
        <f t="shared" si="28"/>
        <v>2.0799999999999996</v>
      </c>
      <c r="S31" s="14"/>
      <c r="T31" s="9"/>
      <c r="W31" s="4"/>
    </row>
    <row r="32" spans="2:24" ht="18" thickBot="1" x14ac:dyDescent="0.35">
      <c r="B32" s="343">
        <v>1</v>
      </c>
      <c r="C32" s="344" t="s">
        <v>162</v>
      </c>
      <c r="D32" s="345">
        <v>0.377</v>
      </c>
      <c r="E32" s="345">
        <v>0.92700000000000005</v>
      </c>
      <c r="F32" s="319" t="s">
        <v>163</v>
      </c>
      <c r="G32" s="321">
        <v>28008</v>
      </c>
      <c r="H32" s="322">
        <f t="shared" si="20"/>
        <v>28008</v>
      </c>
      <c r="I32" s="232"/>
      <c r="J32" s="47"/>
      <c r="K32" s="329">
        <f t="shared" si="21"/>
        <v>1</v>
      </c>
      <c r="L32" s="330">
        <f t="shared" si="22"/>
        <v>0.42699999999999999</v>
      </c>
      <c r="M32" s="330">
        <f t="shared" si="23"/>
        <v>0.92700000000000005</v>
      </c>
      <c r="N32" s="261">
        <f t="shared" si="24"/>
        <v>0.39582899999999999</v>
      </c>
      <c r="O32" s="259">
        <f t="shared" si="25"/>
        <v>0.39582899999999999</v>
      </c>
      <c r="P32" s="252">
        <f t="shared" si="26"/>
        <v>26982.047762816033</v>
      </c>
      <c r="Q32" s="258">
        <f t="shared" si="27"/>
        <v>29982.047762816033</v>
      </c>
      <c r="R32" s="307">
        <f t="shared" si="28"/>
        <v>0.42699999999999999</v>
      </c>
      <c r="S32" s="14"/>
      <c r="T32" s="9"/>
      <c r="W32" s="4"/>
    </row>
    <row r="33" spans="1:23" ht="18" thickBot="1" x14ac:dyDescent="0.35">
      <c r="B33" s="343">
        <v>1</v>
      </c>
      <c r="C33" s="344" t="s">
        <v>162</v>
      </c>
      <c r="D33" s="345">
        <v>2.1800000000000002</v>
      </c>
      <c r="E33" s="345">
        <v>0.105</v>
      </c>
      <c r="F33" s="319" t="s">
        <v>163</v>
      </c>
      <c r="G33" s="321">
        <v>17793</v>
      </c>
      <c r="H33" s="322">
        <f t="shared" si="20"/>
        <v>17793</v>
      </c>
      <c r="I33" s="232"/>
      <c r="J33" s="47"/>
      <c r="K33" s="329">
        <f t="shared" si="21"/>
        <v>1</v>
      </c>
      <c r="L33" s="330">
        <f t="shared" si="22"/>
        <v>2.23</v>
      </c>
      <c r="M33" s="330">
        <f t="shared" si="23"/>
        <v>0.105</v>
      </c>
      <c r="N33" s="261">
        <f t="shared" si="24"/>
        <v>0.23415</v>
      </c>
      <c r="O33" s="259">
        <f t="shared" si="25"/>
        <v>0.23415</v>
      </c>
      <c r="P33" s="252">
        <f t="shared" si="26"/>
        <v>15961.050058644956</v>
      </c>
      <c r="Q33" s="258">
        <f t="shared" si="27"/>
        <v>18961.050058644956</v>
      </c>
      <c r="R33" s="307">
        <f t="shared" si="28"/>
        <v>2.23</v>
      </c>
      <c r="S33" s="14"/>
      <c r="T33" s="9"/>
      <c r="W33" s="4"/>
    </row>
    <row r="34" spans="1:23" ht="18" thickBot="1" x14ac:dyDescent="0.35">
      <c r="B34" s="343">
        <v>1</v>
      </c>
      <c r="C34" s="344" t="s">
        <v>162</v>
      </c>
      <c r="D34" s="345">
        <v>0.9</v>
      </c>
      <c r="E34" s="345">
        <v>0.105</v>
      </c>
      <c r="F34" s="319" t="s">
        <v>163</v>
      </c>
      <c r="G34" s="321">
        <v>9302</v>
      </c>
      <c r="H34" s="322">
        <f t="shared" ref="H34" si="29">G34*B34</f>
        <v>9302</v>
      </c>
      <c r="I34" s="232"/>
      <c r="J34" s="47"/>
      <c r="K34" s="47">
        <f t="shared" si="21"/>
        <v>1</v>
      </c>
      <c r="L34" s="39">
        <f t="shared" si="22"/>
        <v>0.95000000000000007</v>
      </c>
      <c r="M34" s="39">
        <f t="shared" si="23"/>
        <v>0.105</v>
      </c>
      <c r="N34" s="261">
        <f t="shared" si="24"/>
        <v>9.9750000000000005E-2</v>
      </c>
      <c r="O34" s="259">
        <f t="shared" si="25"/>
        <v>9.9750000000000005E-2</v>
      </c>
      <c r="P34" s="252">
        <f t="shared" si="26"/>
        <v>6799.5504734137712</v>
      </c>
      <c r="Q34" s="258">
        <f t="shared" si="27"/>
        <v>9799.5504734137721</v>
      </c>
      <c r="R34" s="307">
        <f t="shared" si="28"/>
        <v>0.95000000000000007</v>
      </c>
      <c r="S34" s="14"/>
      <c r="T34" s="9"/>
      <c r="W34" s="4"/>
    </row>
    <row r="35" spans="1:23" ht="17.399999999999999" x14ac:dyDescent="0.3">
      <c r="B35" s="285"/>
      <c r="C35" s="285"/>
      <c r="D35" s="286"/>
      <c r="E35" s="286"/>
      <c r="F35" s="285"/>
      <c r="G35" s="323"/>
      <c r="H35" s="324"/>
      <c r="I35" s="232"/>
      <c r="J35" s="47"/>
      <c r="K35" s="47"/>
      <c r="L35" s="39"/>
      <c r="M35" s="39"/>
      <c r="N35" s="261"/>
      <c r="O35" s="259"/>
      <c r="P35" s="252"/>
      <c r="Q35" s="258"/>
      <c r="R35" s="307"/>
      <c r="S35" s="14"/>
      <c r="T35" s="9"/>
      <c r="W35" s="4"/>
    </row>
    <row r="36" spans="1:23" ht="17.399999999999999" x14ac:dyDescent="0.3">
      <c r="B36" s="285"/>
      <c r="C36" s="285"/>
      <c r="D36" s="286"/>
      <c r="E36" s="286"/>
      <c r="F36" s="285"/>
      <c r="G36" s="323"/>
      <c r="H36" s="324"/>
      <c r="I36" s="232"/>
      <c r="J36" s="47"/>
      <c r="K36" s="47"/>
      <c r="L36" s="39"/>
      <c r="M36" s="39"/>
      <c r="N36" s="261"/>
      <c r="O36" s="259"/>
      <c r="P36" s="252"/>
      <c r="Q36" s="258"/>
      <c r="R36" s="307"/>
      <c r="S36" s="14"/>
      <c r="T36" s="9"/>
      <c r="W36" s="4"/>
    </row>
    <row r="37" spans="1:23" ht="18" thickBot="1" x14ac:dyDescent="0.35">
      <c r="B37" s="285"/>
      <c r="C37" s="285"/>
      <c r="D37" s="286"/>
      <c r="E37" s="286"/>
      <c r="F37" s="285"/>
      <c r="G37" s="323"/>
      <c r="H37" s="324"/>
      <c r="I37" s="232"/>
      <c r="J37" s="47"/>
      <c r="K37" s="47"/>
      <c r="L37" s="39"/>
      <c r="M37" s="39"/>
      <c r="N37" s="261"/>
      <c r="O37" s="259"/>
      <c r="P37" s="252"/>
      <c r="Q37" s="258"/>
      <c r="R37" s="307"/>
      <c r="S37" s="14"/>
      <c r="T37" s="9"/>
      <c r="W37" s="4"/>
    </row>
    <row r="38" spans="1:23" ht="17.399999999999999" x14ac:dyDescent="0.3">
      <c r="B38" s="285"/>
      <c r="C38" s="285"/>
      <c r="D38" s="286"/>
      <c r="E38" s="286"/>
      <c r="F38" s="285"/>
      <c r="G38" s="308" t="s">
        <v>30</v>
      </c>
      <c r="H38" s="309">
        <f>SUM(H21:H34)</f>
        <v>463203</v>
      </c>
      <c r="I38" s="265"/>
      <c r="J38" s="47"/>
      <c r="K38" s="47"/>
      <c r="L38" s="39">
        <f>SUM(L21:L27)</f>
        <v>3.23</v>
      </c>
      <c r="M38" s="39"/>
      <c r="N38" s="261"/>
      <c r="O38" s="259"/>
      <c r="P38" s="252"/>
      <c r="Q38" s="258"/>
      <c r="R38" s="307"/>
      <c r="S38" s="14"/>
      <c r="T38" s="9"/>
      <c r="W38" s="4"/>
    </row>
    <row r="39" spans="1:23" ht="17.399999999999999" x14ac:dyDescent="0.3">
      <c r="B39" s="279"/>
      <c r="C39" s="282"/>
      <c r="D39" s="283"/>
      <c r="E39" s="283"/>
      <c r="F39" s="284"/>
      <c r="G39" s="306" t="s">
        <v>53</v>
      </c>
      <c r="H39" s="303">
        <f>H38*0.19</f>
        <v>88008.57</v>
      </c>
      <c r="I39" s="265"/>
      <c r="J39" s="47"/>
      <c r="K39" s="47"/>
      <c r="L39" s="39"/>
      <c r="M39" s="12"/>
      <c r="N39" s="12"/>
      <c r="O39" s="253">
        <f>SUM(O21:O35)</f>
        <v>6.9189579999999999</v>
      </c>
      <c r="P39" s="14"/>
      <c r="Q39" s="12"/>
      <c r="R39" s="238"/>
      <c r="S39" s="14"/>
      <c r="T39" s="9"/>
      <c r="W39" s="4"/>
    </row>
    <row r="40" spans="1:23" ht="18" thickBot="1" x14ac:dyDescent="0.35">
      <c r="B40" s="275"/>
      <c r="C40" s="281"/>
      <c r="D40" s="272"/>
      <c r="E40" s="272"/>
      <c r="F40" s="273"/>
      <c r="G40" s="280" t="s">
        <v>6</v>
      </c>
      <c r="H40" s="304">
        <f>H38+H39</f>
        <v>551211.57000000007</v>
      </c>
      <c r="I40" s="265"/>
      <c r="J40" s="47"/>
      <c r="K40" s="47"/>
      <c r="L40" s="39"/>
      <c r="M40" s="12"/>
      <c r="N40" s="12"/>
      <c r="O40" s="253">
        <f>O39</f>
        <v>6.9189579999999999</v>
      </c>
      <c r="P40" s="14"/>
      <c r="Q40" s="12"/>
      <c r="R40" s="238">
        <f>SUM(R21:R39)</f>
        <v>16.114000000000001</v>
      </c>
      <c r="S40" s="14"/>
      <c r="T40" s="9"/>
      <c r="W40" s="4"/>
    </row>
    <row r="41" spans="1:23" ht="17.399999999999999" x14ac:dyDescent="0.3">
      <c r="B41" s="275"/>
      <c r="C41" s="271"/>
      <c r="D41" s="272"/>
      <c r="E41" s="272"/>
      <c r="F41" s="273"/>
      <c r="I41" s="265"/>
      <c r="J41" s="47"/>
      <c r="K41" s="47"/>
      <c r="L41" s="14"/>
      <c r="M41" s="12"/>
      <c r="N41" s="12"/>
      <c r="O41" s="39">
        <f>O40*0.2</f>
        <v>1.3837916000000001</v>
      </c>
      <c r="P41" s="39" t="s">
        <v>132</v>
      </c>
      <c r="Q41" s="42"/>
      <c r="R41" s="239"/>
      <c r="S41" s="14"/>
      <c r="T41" s="9"/>
      <c r="W41" s="4"/>
    </row>
    <row r="42" spans="1:23" ht="17.399999999999999" x14ac:dyDescent="0.35">
      <c r="B42" s="269"/>
      <c r="C42" s="230"/>
      <c r="D42" s="230"/>
      <c r="E42" s="232"/>
      <c r="F42" s="233"/>
      <c r="G42" s="230"/>
      <c r="H42" s="274"/>
      <c r="I42" s="265"/>
      <c r="J42" s="312"/>
      <c r="K42" s="47"/>
      <c r="L42" s="14"/>
      <c r="M42" s="12"/>
      <c r="N42" s="12"/>
      <c r="O42" s="46">
        <f>O40+O41</f>
        <v>8.3027496000000003</v>
      </c>
      <c r="P42" s="14"/>
      <c r="Q42" s="14"/>
      <c r="R42" s="237">
        <v>40</v>
      </c>
      <c r="S42" s="14"/>
      <c r="T42" s="9"/>
      <c r="W42" s="4"/>
    </row>
    <row r="43" spans="1:23" ht="17.399999999999999" x14ac:dyDescent="0.35">
      <c r="B43" s="234"/>
      <c r="C43" s="235"/>
      <c r="D43" s="236"/>
      <c r="E43" s="234"/>
      <c r="F43" s="230"/>
      <c r="G43" s="230"/>
      <c r="J43" s="312"/>
      <c r="K43" s="47"/>
      <c r="L43" s="14"/>
      <c r="M43" s="14"/>
      <c r="N43" s="14"/>
      <c r="O43" s="14"/>
      <c r="P43" s="14"/>
      <c r="Q43" s="14"/>
      <c r="R43" s="237"/>
      <c r="S43" s="14"/>
      <c r="T43" s="9"/>
      <c r="W43" s="4"/>
    </row>
    <row r="44" spans="1:23" ht="17.399999999999999" x14ac:dyDescent="0.35">
      <c r="B44" s="230"/>
      <c r="C44" s="230"/>
      <c r="D44" s="230"/>
      <c r="E44" s="230"/>
      <c r="F44" s="230"/>
      <c r="G44" s="230"/>
      <c r="I44" s="265"/>
      <c r="J44" s="47"/>
      <c r="K44" s="47"/>
      <c r="L44" s="39">
        <f>O42</f>
        <v>8.3027496000000003</v>
      </c>
      <c r="M44" s="12">
        <v>3500</v>
      </c>
      <c r="N44" s="12">
        <f t="shared" ref="N44:N49" si="30">L44*M44</f>
        <v>29059.623600000003</v>
      </c>
      <c r="O44" s="14" t="s">
        <v>22</v>
      </c>
      <c r="P44" s="14" t="s">
        <v>23</v>
      </c>
      <c r="Q44" s="14"/>
      <c r="R44" s="240"/>
      <c r="S44" s="14"/>
      <c r="T44" s="9"/>
      <c r="W44" s="4"/>
    </row>
    <row r="45" spans="1:23" ht="17.399999999999999" x14ac:dyDescent="0.35">
      <c r="A45" s="230"/>
      <c r="B45" s="230"/>
      <c r="C45" s="230"/>
      <c r="D45" s="230"/>
      <c r="E45" s="230"/>
      <c r="F45" s="230"/>
      <c r="G45" s="230"/>
      <c r="H45" s="230"/>
      <c r="I45" s="265"/>
      <c r="J45" s="47"/>
      <c r="K45" s="47"/>
      <c r="L45" s="249">
        <v>1.5</v>
      </c>
      <c r="M45" s="12">
        <v>45000</v>
      </c>
      <c r="N45" s="12">
        <f t="shared" si="30"/>
        <v>67500</v>
      </c>
      <c r="O45" s="39" t="s">
        <v>152</v>
      </c>
      <c r="P45" s="42"/>
      <c r="Q45" s="14"/>
      <c r="R45" s="239"/>
      <c r="S45" s="14"/>
      <c r="T45" s="9"/>
      <c r="W45" s="4"/>
    </row>
    <row r="46" spans="1:23" s="230" customFormat="1" ht="17.399999999999999" x14ac:dyDescent="0.35">
      <c r="B46" s="24" t="s">
        <v>156</v>
      </c>
      <c r="I46" s="262"/>
      <c r="J46" s="47"/>
      <c r="K46" s="250"/>
      <c r="L46" s="14"/>
      <c r="M46" s="250">
        <v>150000</v>
      </c>
      <c r="N46" s="12">
        <f t="shared" si="30"/>
        <v>0</v>
      </c>
      <c r="O46" s="39" t="s">
        <v>32</v>
      </c>
      <c r="P46" s="42"/>
      <c r="R46" s="239"/>
      <c r="S46" s="256"/>
      <c r="V46" s="231"/>
    </row>
    <row r="47" spans="1:23" s="230" customFormat="1" ht="17.399999999999999" x14ac:dyDescent="0.35">
      <c r="B47" s="24" t="s">
        <v>157</v>
      </c>
      <c r="C47"/>
      <c r="D47"/>
      <c r="E47"/>
      <c r="F47"/>
      <c r="I47" s="262"/>
      <c r="J47" s="311"/>
      <c r="K47" s="250"/>
      <c r="L47" s="14">
        <v>3.5</v>
      </c>
      <c r="M47" s="250">
        <v>31000</v>
      </c>
      <c r="N47" s="12">
        <f t="shared" si="30"/>
        <v>108500</v>
      </c>
      <c r="O47" s="14" t="s">
        <v>143</v>
      </c>
      <c r="P47" s="17"/>
      <c r="R47" s="237"/>
      <c r="S47" s="256"/>
      <c r="V47" s="231"/>
    </row>
    <row r="48" spans="1:23" s="230" customFormat="1" ht="17.399999999999999" x14ac:dyDescent="0.35">
      <c r="B48" s="29" t="s">
        <v>127</v>
      </c>
      <c r="C48"/>
      <c r="D48"/>
      <c r="E48"/>
      <c r="F48" s="229" t="s">
        <v>16</v>
      </c>
      <c r="I48" s="262"/>
      <c r="J48" s="311"/>
      <c r="K48" s="250"/>
      <c r="L48" s="249"/>
      <c r="M48" s="250">
        <v>800</v>
      </c>
      <c r="N48" s="12">
        <f t="shared" si="30"/>
        <v>0</v>
      </c>
      <c r="O48" s="14" t="s">
        <v>34</v>
      </c>
      <c r="P48" s="14"/>
      <c r="Q48" s="230">
        <v>1.83</v>
      </c>
      <c r="R48" s="237"/>
      <c r="S48" s="237"/>
    </row>
    <row r="49" spans="2:23" s="230" customFormat="1" ht="17.399999999999999" x14ac:dyDescent="0.35">
      <c r="I49" s="302"/>
      <c r="J49" s="47"/>
      <c r="K49" s="250"/>
      <c r="L49" s="266"/>
      <c r="M49" s="12">
        <v>1500</v>
      </c>
      <c r="N49" s="12">
        <f t="shared" si="30"/>
        <v>0</v>
      </c>
      <c r="O49" s="14" t="s">
        <v>24</v>
      </c>
      <c r="P49" s="14"/>
      <c r="Q49">
        <v>3.66</v>
      </c>
      <c r="R49"/>
      <c r="S49" s="237">
        <v>1500</v>
      </c>
      <c r="W49" s="231"/>
    </row>
    <row r="50" spans="2:23" s="230" customFormat="1" ht="17.399999999999999" x14ac:dyDescent="0.35">
      <c r="I50" s="265"/>
      <c r="J50" s="47"/>
      <c r="K50" s="250"/>
      <c r="L50" s="14"/>
      <c r="M50" s="12"/>
      <c r="N50" s="12">
        <f>SUM(N44:N49)</f>
        <v>205059.62359999999</v>
      </c>
      <c r="O50" s="39" t="s">
        <v>25</v>
      </c>
      <c r="P50" s="14"/>
      <c r="Q50">
        <f>Q48*Q49</f>
        <v>6.6978000000000009</v>
      </c>
      <c r="R50"/>
      <c r="S50" s="237">
        <f>R42*S49</f>
        <v>60000</v>
      </c>
      <c r="W50" s="231"/>
    </row>
    <row r="51" spans="2:23" s="230" customFormat="1" ht="17.399999999999999" x14ac:dyDescent="0.35">
      <c r="J51" s="47">
        <v>58690</v>
      </c>
      <c r="K51" s="250"/>
      <c r="L51" s="254" t="s">
        <v>35</v>
      </c>
      <c r="M51" s="12"/>
      <c r="N51" s="255">
        <f>N50*2.3</f>
        <v>471637.13427999994</v>
      </c>
      <c r="O51" s="14" t="s">
        <v>142</v>
      </c>
      <c r="P51" s="14"/>
      <c r="Q51" s="46">
        <f>O42/Q50</f>
        <v>1.2396233987279404</v>
      </c>
      <c r="R51"/>
      <c r="S51" s="257" t="e">
        <f>S50/#REF!</f>
        <v>#REF!</v>
      </c>
    </row>
    <row r="52" spans="2:23" s="230" customFormat="1" ht="17.399999999999999" x14ac:dyDescent="0.35">
      <c r="G52"/>
      <c r="H52" s="260"/>
      <c r="I52" s="260"/>
      <c r="J52" s="47">
        <f>J51/1.19</f>
        <v>49319.327731092439</v>
      </c>
      <c r="K52" s="250"/>
      <c r="L52" s="14"/>
      <c r="M52" s="12"/>
      <c r="N52" s="12">
        <f>N51/O40</f>
        <v>68165.919532970132</v>
      </c>
      <c r="O52" s="45" t="s">
        <v>26</v>
      </c>
      <c r="P52" s="14"/>
      <c r="Q52" s="14"/>
      <c r="R52"/>
      <c r="S52" s="237"/>
    </row>
    <row r="53" spans="2:23" s="230" customFormat="1" ht="17.399999999999999" x14ac:dyDescent="0.35">
      <c r="G53"/>
      <c r="J53" s="47"/>
      <c r="K53" s="250"/>
      <c r="L53" s="13"/>
      <c r="M53" s="14"/>
      <c r="N53" s="17">
        <f>N51/N50</f>
        <v>2.2999999999999998</v>
      </c>
      <c r="O53" s="15"/>
      <c r="P53"/>
      <c r="Q53"/>
      <c r="R53"/>
      <c r="S53" s="237"/>
    </row>
    <row r="54" spans="2:23" s="230" customFormat="1" ht="17.399999999999999" x14ac:dyDescent="0.35">
      <c r="G54" s="23"/>
      <c r="J54" s="47"/>
      <c r="K54" s="12"/>
      <c r="S54" s="237"/>
    </row>
    <row r="55" spans="2:23" s="230" customFormat="1" ht="17.399999999999999" x14ac:dyDescent="0.35">
      <c r="B55"/>
      <c r="C55" s="228"/>
      <c r="D55" s="22"/>
      <c r="E55" s="22"/>
      <c r="F55" s="21"/>
      <c r="G55" s="23"/>
      <c r="J55" s="47"/>
      <c r="K55" s="12"/>
      <c r="S55" s="237">
        <v>1.83</v>
      </c>
    </row>
    <row r="56" spans="2:23" ht="14.4" customHeight="1" x14ac:dyDescent="0.3">
      <c r="J56" s="47"/>
      <c r="K56" s="12"/>
      <c r="S56">
        <v>2.5</v>
      </c>
    </row>
    <row r="57" spans="2:23" x14ac:dyDescent="0.3">
      <c r="J57" s="47"/>
      <c r="K57" s="250"/>
      <c r="S57">
        <f>S55*S56</f>
        <v>4.5750000000000002</v>
      </c>
    </row>
    <row r="58" spans="2:23" x14ac:dyDescent="0.3">
      <c r="K58" s="250"/>
      <c r="S58" s="270">
        <f>O42/S57</f>
        <v>1.814808655737705</v>
      </c>
    </row>
    <row r="59" spans="2:23" x14ac:dyDescent="0.3">
      <c r="K59" s="250"/>
    </row>
    <row r="60" spans="2:23" ht="15" customHeight="1" x14ac:dyDescent="0.3"/>
    <row r="62" spans="2:23" x14ac:dyDescent="0.3">
      <c r="N62">
        <v>40935</v>
      </c>
      <c r="O62" t="s">
        <v>17</v>
      </c>
      <c r="P62" t="s">
        <v>28</v>
      </c>
    </row>
    <row r="64" spans="2:23" x14ac:dyDescent="0.3">
      <c r="N64" s="54"/>
      <c r="O64" s="54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68" spans="14:19" x14ac:dyDescent="0.3">
      <c r="R68" s="18"/>
      <c r="S68" s="18"/>
    </row>
    <row r="69" spans="14:19" x14ac:dyDescent="0.3">
      <c r="R69" s="18"/>
      <c r="S69" s="18"/>
    </row>
    <row r="70" spans="14:19" x14ac:dyDescent="0.3">
      <c r="R70" s="18"/>
      <c r="S70" s="18"/>
    </row>
    <row r="71" spans="14:19" x14ac:dyDescent="0.3">
      <c r="R71" s="18"/>
      <c r="S71" s="18"/>
    </row>
    <row r="72" spans="14:19" x14ac:dyDescent="0.3">
      <c r="R72" s="18"/>
      <c r="S72" s="18"/>
    </row>
    <row r="73" spans="14:19" x14ac:dyDescent="0.3">
      <c r="R73" s="18"/>
      <c r="S73" s="18"/>
    </row>
    <row r="76" spans="14:19" x14ac:dyDescent="0.3">
      <c r="N76" s="43"/>
    </row>
    <row r="77" spans="14:19" x14ac:dyDescent="0.3">
      <c r="N77" s="43"/>
    </row>
    <row r="78" spans="14:19" x14ac:dyDescent="0.3">
      <c r="N78" s="6"/>
    </row>
    <row r="79" spans="14:19" x14ac:dyDescent="0.3">
      <c r="N79" s="6"/>
    </row>
    <row r="87" spans="3:3" x14ac:dyDescent="0.3">
      <c r="C87" t="s">
        <v>149</v>
      </c>
    </row>
    <row r="88" spans="3:3" x14ac:dyDescent="0.3">
      <c r="C88" t="s">
        <v>148</v>
      </c>
    </row>
    <row r="91" spans="3:3" x14ac:dyDescent="0.3">
      <c r="C91" t="s">
        <v>148</v>
      </c>
    </row>
    <row r="168" spans="3:3" x14ac:dyDescent="0.3">
      <c r="C168" t="s">
        <v>148</v>
      </c>
    </row>
    <row r="169" spans="3:3" x14ac:dyDescent="0.3">
      <c r="C169" t="s">
        <v>150</v>
      </c>
    </row>
    <row r="170" spans="3:3" x14ac:dyDescent="0.3">
      <c r="C170" t="s">
        <v>151</v>
      </c>
    </row>
    <row r="595" spans="3:3" x14ac:dyDescent="0.3">
      <c r="C595" t="s">
        <v>148</v>
      </c>
    </row>
  </sheetData>
  <mergeCells count="2">
    <mergeCell ref="F17:H17"/>
    <mergeCell ref="B19:H19"/>
  </mergeCells>
  <phoneticPr fontId="34" type="noConversion"/>
  <hyperlinks>
    <hyperlink ref="F4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45441</v>
      </c>
    </row>
    <row r="6" spans="2:31" ht="16.2" thickBot="1" x14ac:dyDescent="0.35">
      <c r="B6" s="140" t="s">
        <v>2</v>
      </c>
      <c r="C6" s="139" t="str">
        <f>'2229'!C10</f>
        <v>HECTOR OLEA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100</v>
      </c>
      <c r="I7" s="338"/>
      <c r="J7" s="338"/>
      <c r="K7" s="339"/>
      <c r="N7" s="75"/>
      <c r="O7" s="336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10969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6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-42442.228543454105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'2229'!H38</f>
        <v>463203</v>
      </c>
      <c r="E11" s="132">
        <f>D11*0.19</f>
        <v>88008.57</v>
      </c>
      <c r="F11" s="131">
        <f>E11+D11</f>
        <v>551211.57000000007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63547.771456545895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126393.71438743963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45547.771456545895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336809.28561256034</v>
      </c>
      <c r="E13" s="221">
        <f>(D11/D12)-1</f>
        <v>2.6647629373413744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36547.771456545895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-2452.2285434541045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208549.62873927539</v>
      </c>
      <c r="F15" s="216">
        <f>E15-D12</f>
        <v>82155.91435183576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-2452.2285434541045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37547.771456545895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'2229'!N46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'2229'!N45</f>
        <v>67500</v>
      </c>
      <c r="E19" s="123">
        <f>D19*0.19</f>
        <v>12825</v>
      </c>
      <c r="F19" s="120">
        <f>SUM(D19:E19)</f>
        <v>80325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'2229'!N44</f>
        <v>29059.623600000003</v>
      </c>
      <c r="E20" s="121">
        <f>D20*0.19</f>
        <v>5521.3284840000006</v>
      </c>
      <c r="F20" s="120">
        <f>SUM(D20:E20)</f>
        <v>34580.952084000004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96559.623600000006</v>
      </c>
      <c r="E21" s="116">
        <f>SUM(E18:E20)</f>
        <v>18346.328484000001</v>
      </c>
      <c r="F21" s="115">
        <f>SUM(F18:F20)</f>
        <v>114905.952084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69662.241516000009</v>
      </c>
    </row>
    <row r="41" spans="2:16" ht="15" thickBot="1" x14ac:dyDescent="0.35">
      <c r="H41" s="340" t="s">
        <v>62</v>
      </c>
      <c r="I41" s="341"/>
      <c r="J41" s="341"/>
      <c r="K41" s="341"/>
      <c r="L41" s="341"/>
      <c r="M41" s="342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463203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96559.623600000006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336809.28561256034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336809.28561256034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2024-05-29T20:24:35Z</cp:lastPrinted>
  <dcterms:created xsi:type="dcterms:W3CDTF">2013-03-18T13:35:42Z</dcterms:created>
  <dcterms:modified xsi:type="dcterms:W3CDTF">2024-05-29T20:24:54Z</dcterms:modified>
</cp:coreProperties>
</file>