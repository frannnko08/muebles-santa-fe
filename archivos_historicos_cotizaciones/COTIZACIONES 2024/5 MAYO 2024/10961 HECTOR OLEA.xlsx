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EA2E0283-8BD2-40F7-9143-2F28B36E1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H21" i="1" l="1"/>
  <c r="J30" i="1"/>
  <c r="K10" i="1"/>
  <c r="H24" i="1" l="1"/>
  <c r="H25" i="1" s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7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<sst xmlns="http://schemas.openxmlformats.org/spreadsheetml/2006/main" count="218" uniqueCount="164">
  <si>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</si>
  <si>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</si>
  <si>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</si>
  <si>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</si>
  <si>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</si>
  <si>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</si>
  <si>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</si>
  <si>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</si>
  <si>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</si>
  <si>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</si>
  <si>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</si>
  <si>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</si>
  <si>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</si>
  <si>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</si>
  <si>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</si>
  <si>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</si>
  <si>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</si>
  <si>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</si>
  <si>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</si>
  <si>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</si>
  <si>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</si>
  <si>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</si>
  <si>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</si>
  <si>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</si>
  <si>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</si>
  <si>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</si>
  <si>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</si>
  <si>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</si>
  <si>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</si>
  <si>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</si>
  <si>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</si>
  <si>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</si>
  <si>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</si>
  <si>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</si>
  <si>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</si>
  <si>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</si>
  <si>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</si>
  <si>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</si>
  <si>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</si>
  <si>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</si>
  <si>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</si>
  <si>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</si>
  <si>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</si>
  <si>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</si>
  <si>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</si>
  <si>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</si>
  <si>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</si>
  <si>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</si>
  <si>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</si>
  <si>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</si>
  <si>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</si>
  <si>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</si>
  <si>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</si>
  <si>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</si>
  <si>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</si>
  <si>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</si>
  <si>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</si>
  <si>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</si>
  <si>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</si>
  <si>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</si>
  <si>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</si>
  <si>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</si>
  <si>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</si>
  <si>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</si>
  <si>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</si>
  <si>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</si>
  <si>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</si>
  <si>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</si>
  <si>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</si>
  <si>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</si>
  <si>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</si>
  <si>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</si>
  <si>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</si>
  <si>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</si>
  <si>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</si>
  <si>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</si>
  <si>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</si>
  <si>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</si>
  <si>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</si>
  <si>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</si>
  <si>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</si>
  <si>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</si>
  <si>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</si>
  <si>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</si>
  <si>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</si>
  <si>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</si>
  <si>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</si>
  <si>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</si>
  <si>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</si>
  <si>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</si>
  <si>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</si>
  <si>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</si>
  <si>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</si>
  <si>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</si>
  <si>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</si>
  <si>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</si>
  <si>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</si>
  <si>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</si>
  <si>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</si>
  <si>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</si>
  <si>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</si>
  <si>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</si>
  <si>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</si>
  <si>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</si>
  <si>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</si>
  <si>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</si>
  <si>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</si>
  <si>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</si>
  <si>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</si>
  <si>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</si>
  <si>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</si>
  <si>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</si>
  <si>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</si>
  <si>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</si>
  <si>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</si>
  <si>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</si>
  <si>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</si>
  <si>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</si>
  <si>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</si>
  <si>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</si>
  <si>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</si>
  <si>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</si>
  <si>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</si>
  <si>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</si>
  <si>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</si>
  <si>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</si>
  <si>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</si>
  <si>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</si>
  <si>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</si>
  <si>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</si>
  <si>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</si>
  <si>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</si>
  <si>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</si>
  <si>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</si>
  <si>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</si>
  <si>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</si>
  <si>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</si>
  <si>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</si>
  <si>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</si>
  <si>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</si>
  <si>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</si>
  <si>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</si>
  <si>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</si>
  <si>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</si>
  <si>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</si>
  <si>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</si>
  <si>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</si>
  <si>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</si>
  <si>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</si>
  <si>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</si>
  <si>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</si>
  <si>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</si>
  <si>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</si>
  <si>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</si>
  <si>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</si>
  <si>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</si>
  <si>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</si>
  <si>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</si>
  <si>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</si>
  <si>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N° 10961</t>
  </si>
  <si>
    <t>HECTO OLEA</t>
  </si>
  <si>
    <t>+569 7789 7360</t>
  </si>
  <si>
    <t>PR6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</si>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</sst>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22</xdr:row>
      <xdr:rowOff>84014</xdr:rowOff>
    </xdr:from>
    <xdr:to>
      <xdr:col>5</xdr:col>
      <xdr:colOff>1849560</xdr:colOff>
      <xdr:row>26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OBSERVACIONES:PUERTAS CORTADAS A LA MEDIDA Y ENCHAPADAS CON TAPACANTO PVC 0,4MM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5" zoomScale="98" zoomScaleNormal="98" workbookViewId="0">
      <selection activeCell="B22" sqref="B22"/>
    </sheetView>
  </sheetViews>
  <sheetFormatPr baseColWidth="10" defaultRowHeight="14.4" x14ac:dyDescent="0.3"/>
  <cols>
    <col min="1" max="1" width="6" customWidth="1"/>
    <col min="2" max="2" width="10.5546875" customWidth="1"/>
    <col min="3" max="3" width="23.664062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45426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54534.117647058825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18</v>
      </c>
      <c r="C21" s="327" t="s">
        <v>162</v>
      </c>
      <c r="D21" s="313">
        <v>0.8</v>
      </c>
      <c r="E21" s="313">
        <v>0.5</v>
      </c>
      <c r="F21" s="312" t="s">
        <v>163</v>
      </c>
      <c r="G21" s="314">
        <v>26177</v>
      </c>
      <c r="H21" s="315">
        <f t="shared" ref="H21" si="1">G21*B21</f>
        <v>471186</v>
      </c>
      <c r="I21" s="265"/>
      <c r="J21" s="47"/>
      <c r="K21" s="325">
        <v>18</v>
      </c>
      <c r="L21" s="326">
        <f t="shared" ref="L21:M21" si="2">D21+L$19</f>
        <v>0.85000000000000009</v>
      </c>
      <c r="M21" s="326">
        <f t="shared" si="2"/>
        <v>0.5</v>
      </c>
      <c r="N21" s="261">
        <f>L21*M21</f>
        <v>0.42500000000000004</v>
      </c>
      <c r="O21" s="259">
        <f>N21*K21</f>
        <v>7.65</v>
      </c>
      <c r="P21" s="252">
        <f>P$20*N21</f>
        <v>23177.000000000004</v>
      </c>
      <c r="Q21" s="258">
        <f>P21+Q$20</f>
        <v>26177.000000000004</v>
      </c>
      <c r="R21" s="308">
        <f>K21*L21</f>
        <v>15.3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471186</v>
      </c>
      <c r="I24" s="265"/>
      <c r="J24" s="47"/>
      <c r="K24" s="47"/>
      <c r="L24" s="39">
        <f>SUM(L21:L23)</f>
        <v>0.85000000000000009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89525.34</v>
      </c>
      <c r="I25" s="265"/>
      <c r="J25" s="47"/>
      <c r="K25" s="47"/>
      <c r="L25" s="39"/>
      <c r="M25" s="12"/>
      <c r="N25" s="12"/>
      <c r="O25" s="253">
        <f>SUM(O21:O21)</f>
        <v>7.65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560711.34</v>
      </c>
      <c r="I26" s="265"/>
      <c r="J26" s="47"/>
      <c r="K26" s="47"/>
      <c r="L26" s="39"/>
      <c r="M26" s="12"/>
      <c r="N26" s="12"/>
      <c r="O26" s="253">
        <f>O25</f>
        <v>7.65</v>
      </c>
      <c r="P26" s="14"/>
      <c r="Q26" s="12"/>
      <c r="R26" s="238">
        <f>SUM(R21:R25)</f>
        <v>15.3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39"/>
      <c r="M27" s="12"/>
      <c r="N27" s="12"/>
      <c r="O27" s="39">
        <f>O26*20%</f>
        <v>1.5300000000000002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>
        <v>32</v>
      </c>
      <c r="K28" s="47"/>
      <c r="L28" s="14"/>
      <c r="M28" s="12"/>
      <c r="N28" s="12"/>
      <c r="O28" s="46">
        <f>O26+O27</f>
        <v>9.18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9.18</v>
      </c>
      <c r="M30" s="12">
        <v>3500</v>
      </c>
      <c r="N30" s="12">
        <f t="shared" ref="N30:N35" si="3">L30*M30</f>
        <v>32130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2</v>
      </c>
      <c r="M31" s="12">
        <v>45000</v>
      </c>
      <c r="N31" s="12">
        <f t="shared" si="3"/>
        <v>90000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55000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3</v>
      </c>
      <c r="M33" s="250">
        <v>22500</v>
      </c>
      <c r="N33" s="12">
        <f t="shared" si="3"/>
        <v>67500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189630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43190</v>
      </c>
      <c r="K37" s="250"/>
      <c r="L37" s="254" t="s">
        <v>35</v>
      </c>
      <c r="M37" s="12"/>
      <c r="N37" s="255">
        <f>N36*2.2</f>
        <v>417186.00000000006</v>
      </c>
      <c r="O37" s="14" t="s">
        <v>142</v>
      </c>
      <c r="P37" s="14"/>
      <c r="Q37" s="46">
        <f>O26/Q36</f>
        <v>2.0626617773943057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36294.117647058825</v>
      </c>
      <c r="K38" s="250"/>
      <c r="L38" s="14"/>
      <c r="M38" s="12"/>
      <c r="N38" s="12">
        <f>N37/O26</f>
        <v>54534.117647058825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2.0065573770491802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45426</v>
      </c>
    </row>
    <row r="6" spans="2:31" ht="16.2" thickBot="1" x14ac:dyDescent="0.35">
      <c r="B6" s="140" t="s">
        <v>2</v>
      </c>
      <c r="C6" s="139" t="str">
        <f>'2229'!C10</f>
        <v>HECTO OLEA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-36740.875033454111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471186</v>
      </c>
      <c r="E11" s="132">
        <f>D11*0.19</f>
        <v>89525.34</v>
      </c>
      <c r="F11" s="131">
        <f>E11+D11</f>
        <v>560711.34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69249.124966545889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151964.09078743961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51249.124966545889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319221.90921256039</v>
      </c>
      <c r="E13" s="221">
        <f>(D11/D12)-1</f>
        <v>2.100640404969575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42249.124966545889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3249.124966545889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250740.74979927533</v>
      </c>
      <c r="F15" s="216">
        <f>E15-D12</f>
        <v>98776.659011835727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3249.124966545889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43249.124966545889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32130</v>
      </c>
      <c r="E20" s="121">
        <f>D20*0.19</f>
        <v>6104.7</v>
      </c>
      <c r="F20" s="120">
        <f>SUM(D20:E20)</f>
        <v>38234.699999999997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122130</v>
      </c>
      <c r="E21" s="116">
        <f>SUM(E18:E20)</f>
        <v>23204.7</v>
      </c>
      <c r="F21" s="115">
        <f>SUM(F18:F20)</f>
        <v>145334.70000000001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66320.639999999999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471186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122130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319221.90921256039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319221.90921256039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2024-05-15T16:23:34Z</dcterms:modified>
</cp:coreProperties>
</file>