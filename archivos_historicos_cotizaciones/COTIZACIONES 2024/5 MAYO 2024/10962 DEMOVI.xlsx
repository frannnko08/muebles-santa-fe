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FEFC2221-F1B0-4BFD-91EB-2895E050AE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8" i="1" l="1"/>
  <c r="L21" i="1" l="1"/>
  <c r="L24" i="1" s="1"/>
  <c r="M21" i="1"/>
  <c r="N21" i="1" l="1"/>
  <c r="O21" i="1" s="1"/>
  <c r="O25" i="1" s="1"/>
  <c r="O26" i="1" s="1"/>
  <c r="O27" i="1" s="1"/>
  <c r="O28" i="1" s="1"/>
  <c r="R21" i="1"/>
  <c r="N31" i="1"/>
  <c r="S43" i="1" l="1"/>
  <c r="M20" i="1" l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L30" i="1" l="1"/>
  <c r="N30" i="1" l="1"/>
  <c r="N36" i="1" s="1"/>
  <c r="N37" i="1" s="1"/>
  <c r="S44" i="1"/>
  <c r="D20" i="3" l="1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G21" i="1" s="1"/>
  <c r="F15" i="3"/>
  <c r="Q21" i="1" l="1"/>
  <c r="R26" i="1"/>
  <c r="H21" i="1" l="1"/>
  <c r="H24" i="1" s="1"/>
  <c r="K15" i="1" s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<sst xmlns="http://schemas.openxmlformats.org/spreadsheetml/2006/main" count="222" uniqueCount="168">
  <si>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</si>
  <si>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</si>
  <si>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</si>
  <si>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</si>
  <si>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</si>
  <si>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</si>
  <si>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</si>
  <si>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</si>
  <si>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</si>
  <si>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</si>
  <si>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</si>
  <si>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</si>
  <si>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</si>
  <si>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</si>
  <si>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</si>
  <si>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</si>
  <si>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</si>
  <si>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</si>
  <si>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</si>
  <si>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</si>
  <si>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</si>
  <si>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</si>
  <si>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</si>
  <si>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</si>
  <si>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</si>
  <si>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</si>
  <si>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</si>
  <si>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</si>
  <si>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</si>
  <si>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</si>
  <si>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</si>
  <si>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</si>
  <si>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</si>
  <si>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</si>
  <si>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</si>
  <si>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</si>
  <si>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</si>
  <si>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</si>
  <si>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</si>
  <si>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</si>
  <si>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</si>
  <si>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</si>
  <si>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</si>
  <si>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</si>
  <si>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</si>
  <si>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</si>
  <si>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</si>
  <si>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</si>
  <si>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</si>
  <si>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</si>
  <si>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</si>
  <si>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</si>
  <si>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</si>
  <si>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</si>
  <si>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</si>
  <si>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</si>
  <si>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</si>
  <si>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</si>
  <si>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</si>
  <si>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</si>
  <si>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</si>
  <si>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</si>
  <si>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</si>
  <si>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</si>
  <si>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</si>
  <si>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</si>
  <si>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</si>
  <si>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</si>
  <si>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</si>
  <si>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</si>
  <si>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</si>
  <si>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</si>
  <si>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</si>
  <si>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</si>
  <si>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</si>
  <si>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</si>
  <si>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</si>
  <si>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</si>
  <si>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</si>
  <si>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</si>
  <si>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</si>
  <si>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</si>
  <si>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</si>
  <si>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</si>
  <si>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</si>
  <si>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</si>
  <si>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</si>
  <si>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</si>
  <si>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</si>
  <si>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</si>
  <si>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</si>
  <si>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</si>
  <si>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</si>
  <si>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</si>
  <si>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</si>
  <si>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</si>
  <si>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</si>
  <si>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</si>
  <si>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</si>
  <si>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</si>
  <si>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</si>
  <si>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</si>
  <si>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</si>
  <si>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</si>
  <si>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</si>
  <si>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</si>
  <si>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</si>
  <si>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</si>
  <si>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</si>
  <si>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</si>
  <si>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</si>
  <si>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</si>
  <si>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</si>
  <si>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</si>
  <si>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</si>
  <si>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</si>
  <si>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</si>
  <si>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</si>
  <si>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</si>
  <si>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</si>
  <si>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</si>
  <si>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</si>
  <si>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</si>
  <si>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</si>
  <si>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</si>
  <si>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</si>
  <si>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</si>
  <si>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</si>
  <si>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</si>
  <si>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</si>
  <si>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</si>
  <si>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</si>
  <si>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</si>
  <si>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</si>
  <si>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</si>
  <si>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</si>
  <si>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</si>
  <si>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</si>
  <si>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</si>
  <si>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</si>
  <si>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</si>
  <si>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</si>
  <si>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</si>
  <si>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</si>
  <si>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</si>
  <si>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</si>
  <si>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</si>
  <si>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</si>
  <si>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</si>
  <si>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</si>
  <si>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</si>
  <si>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</si>
  <si>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</si>
  <si>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</si>
  <si>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</si>
  <si>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SANTIAGO</t>
  </si>
  <si>
    <t>DURACION COTIZACION: 5 DIAS                   FRANCO DONOSO</t>
  </si>
  <si>
    <t>D HOME  DESIGN SPA</t>
  </si>
  <si>
    <t>77.855.367-8</t>
  </si>
  <si>
    <t>VENTA DE MUEBLES</t>
  </si>
  <si>
    <t>JUAN GONZALEZ</t>
  </si>
  <si>
    <t>JGONZALEZ@DEMOVI.CL</t>
  </si>
  <si>
    <t>AV. PORTALES 4311 SAN BERNARDO</t>
  </si>
  <si>
    <t>SI</t>
  </si>
  <si>
    <t>CONTADO</t>
  </si>
  <si>
    <t>CUBIERTA CON RESPALDO R8</t>
  </si>
  <si>
    <t>DARK STEEL 2315 MT</t>
  </si>
  <si>
    <t>N° 10962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</si>
</sst>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27</xdr:row>
      <xdr:rowOff>5249</xdr:rowOff>
    </xdr:from>
    <xdr:to>
      <xdr:col>8</xdr:col>
      <xdr:colOff>7776</xdr:colOff>
      <xdr:row>30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27</xdr:row>
      <xdr:rowOff>9525</xdr:rowOff>
    </xdr:from>
    <xdr:to>
      <xdr:col>5</xdr:col>
      <xdr:colOff>1749491</xdr:colOff>
      <xdr:row>30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22</xdr:row>
      <xdr:rowOff>223973</xdr:rowOff>
    </xdr:from>
    <xdr:to>
      <xdr:col>5</xdr:col>
      <xdr:colOff>1749490</xdr:colOff>
      <xdr:row>26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GONZALEZ@DEMOVI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topLeftCell="E15" zoomScale="98" zoomScaleNormal="98" workbookViewId="0">
      <selection activeCell="L32" sqref="L32"/>
    </sheetView>
  </sheetViews>
  <sheetFormatPr baseColWidth="10" defaultRowHeight="14.4" x14ac:dyDescent="0.3"/>
  <cols>
    <col min="1" max="1" width="6" customWidth="1"/>
    <col min="2" max="2" width="10.5546875" customWidth="1"/>
    <col min="3" max="3" width="35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4" t="s">
        <v>167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157</v>
      </c>
      <c r="D10" s="243"/>
      <c r="E10" s="243"/>
      <c r="F10" s="244" t="s">
        <v>0</v>
      </c>
      <c r="G10" s="276">
        <v>45428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 t="s">
        <v>158</v>
      </c>
      <c r="F11" t="s">
        <v>125</v>
      </c>
      <c r="G11" s="288">
        <v>45421</v>
      </c>
      <c r="H11" s="289"/>
      <c r="P11" s="19"/>
      <c r="Q11" s="25" t="s">
        <v>19</v>
      </c>
      <c r="R11" s="19"/>
    </row>
    <row r="12" spans="2:23" ht="16.8" x14ac:dyDescent="0.4">
      <c r="B12" s="246" t="s">
        <v>147</v>
      </c>
      <c r="C12" s="310" t="s">
        <v>159</v>
      </c>
      <c r="D12" s="247"/>
      <c r="E12" s="247"/>
      <c r="F12" s="247" t="s">
        <v>129</v>
      </c>
      <c r="G12" s="277" t="s">
        <v>163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160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 t="s">
        <v>161</v>
      </c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5">
        <v>56942194105</v>
      </c>
      <c r="D15" s="294"/>
      <c r="E15" s="247"/>
      <c r="F15" s="247" t="s">
        <v>136</v>
      </c>
      <c r="G15" s="295" t="s">
        <v>137</v>
      </c>
      <c r="H15" s="248"/>
      <c r="K15" s="18">
        <f>H24/L13</f>
        <v>4477.3802304426927</v>
      </c>
    </row>
    <row r="16" spans="2:23" ht="16.8" x14ac:dyDescent="0.4">
      <c r="B16" s="291" t="s">
        <v>3</v>
      </c>
      <c r="C16" s="310" t="s">
        <v>162</v>
      </c>
      <c r="F16" s="292" t="s">
        <v>131</v>
      </c>
      <c r="G16" s="293" t="s">
        <v>164</v>
      </c>
      <c r="H16" s="289"/>
    </row>
    <row r="17" spans="1:24" ht="15" thickBot="1" x14ac:dyDescent="0.35">
      <c r="B17" s="296" t="s">
        <v>13</v>
      </c>
      <c r="C17" s="297" t="s">
        <v>155</v>
      </c>
      <c r="D17" s="298"/>
      <c r="E17" s="299"/>
      <c r="F17" s="328" t="s">
        <v>156</v>
      </c>
      <c r="G17" s="328"/>
      <c r="H17" s="329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109380.74074074073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23">
        <v>1</v>
      </c>
      <c r="C21" s="324" t="s">
        <v>165</v>
      </c>
      <c r="D21" s="325">
        <v>2.4500000000000002</v>
      </c>
      <c r="E21" s="325">
        <v>0.54</v>
      </c>
      <c r="F21" s="324" t="s">
        <v>166</v>
      </c>
      <c r="G21" s="326">
        <f>P21</f>
        <v>147664</v>
      </c>
      <c r="H21" s="327">
        <f t="shared" ref="H21" si="1">G21*B21</f>
        <v>147664</v>
      </c>
      <c r="I21" s="265"/>
      <c r="J21" s="47"/>
      <c r="K21" s="316">
        <f t="shared" si="0"/>
        <v>1</v>
      </c>
      <c r="L21" s="317">
        <f t="shared" ref="L21:M21" si="2">D21+L$19</f>
        <v>2.5</v>
      </c>
      <c r="M21" s="317">
        <f t="shared" si="2"/>
        <v>0.54</v>
      </c>
      <c r="N21" s="261">
        <f>L21*M21</f>
        <v>1.35</v>
      </c>
      <c r="O21" s="259">
        <f>N21*K21</f>
        <v>1.35</v>
      </c>
      <c r="P21" s="252">
        <f>P$20*N21</f>
        <v>147664</v>
      </c>
      <c r="Q21" s="258">
        <f>P21+Q$20</f>
        <v>150664</v>
      </c>
      <c r="R21" s="307">
        <f>K21*L21</f>
        <v>2.5</v>
      </c>
      <c r="S21" s="14"/>
      <c r="T21" s="9"/>
      <c r="W21" s="4"/>
    </row>
    <row r="22" spans="1:24" ht="17.399999999999999" x14ac:dyDescent="0.3">
      <c r="B22" s="285"/>
      <c r="C22" s="285"/>
      <c r="D22" s="286"/>
      <c r="E22" s="286"/>
      <c r="F22" s="285"/>
      <c r="G22" s="311"/>
      <c r="H22" s="311"/>
      <c r="I22" s="265"/>
      <c r="K22" s="318"/>
      <c r="L22" s="319"/>
      <c r="M22" s="319"/>
      <c r="N22" s="261"/>
      <c r="O22" s="259"/>
      <c r="P22" s="252"/>
      <c r="Q22" s="258"/>
      <c r="R22" s="307"/>
      <c r="S22" s="14"/>
      <c r="T22" s="9"/>
      <c r="W22" s="4"/>
    </row>
    <row r="23" spans="1:24" ht="18" thickBot="1" x14ac:dyDescent="0.35">
      <c r="B23" s="285"/>
      <c r="C23" s="285"/>
      <c r="D23" s="286"/>
      <c r="E23" s="286"/>
      <c r="F23" s="285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85"/>
      <c r="C24" s="285"/>
      <c r="D24" s="286"/>
      <c r="E24" s="286"/>
      <c r="F24" s="285"/>
      <c r="G24" s="308" t="s">
        <v>30</v>
      </c>
      <c r="H24" s="309">
        <f>SUM(H21:H23)</f>
        <v>147664</v>
      </c>
      <c r="I24" s="265"/>
      <c r="J24" s="47"/>
      <c r="K24" s="47"/>
      <c r="L24" s="39">
        <f>SUM(L21:L23)</f>
        <v>2.5</v>
      </c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79"/>
      <c r="C25" s="282"/>
      <c r="D25" s="283"/>
      <c r="E25" s="283"/>
      <c r="F25" s="284"/>
      <c r="G25" s="306" t="s">
        <v>53</v>
      </c>
      <c r="H25" s="303">
        <f>H24*0.19</f>
        <v>28056.16</v>
      </c>
      <c r="I25" s="265"/>
      <c r="J25" s="47"/>
      <c r="K25" s="47"/>
      <c r="L25" s="39"/>
      <c r="M25" s="12"/>
      <c r="N25" s="12"/>
      <c r="O25" s="253">
        <f>SUM(O21:O21)</f>
        <v>1.35</v>
      </c>
      <c r="P25" s="14"/>
      <c r="Q25" s="12"/>
      <c r="R25" s="238"/>
      <c r="S25" s="14"/>
      <c r="T25" s="9"/>
      <c r="W25" s="4"/>
    </row>
    <row r="26" spans="1:24" ht="18" thickBot="1" x14ac:dyDescent="0.35">
      <c r="B26" s="275"/>
      <c r="C26" s="281"/>
      <c r="D26" s="272"/>
      <c r="E26" s="272"/>
      <c r="F26" s="273"/>
      <c r="G26" s="280" t="s">
        <v>6</v>
      </c>
      <c r="H26" s="304">
        <f>H24+H25</f>
        <v>175720.16</v>
      </c>
      <c r="I26" s="265"/>
      <c r="J26" s="47"/>
      <c r="K26" s="47"/>
      <c r="L26" s="39"/>
      <c r="M26" s="12"/>
      <c r="N26" s="12"/>
      <c r="O26" s="253">
        <f>O25</f>
        <v>1.35</v>
      </c>
      <c r="P26" s="14"/>
      <c r="Q26" s="12"/>
      <c r="R26" s="238">
        <f>SUM(R21:R25)</f>
        <v>2.5</v>
      </c>
      <c r="S26" s="14"/>
      <c r="T26" s="9"/>
      <c r="W26" s="4"/>
    </row>
    <row r="27" spans="1:24" ht="17.399999999999999" x14ac:dyDescent="0.3">
      <c r="B27" s="275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O26*0.2</f>
        <v>0.27</v>
      </c>
      <c r="P27" s="39" t="s">
        <v>132</v>
      </c>
      <c r="Q27" s="42"/>
      <c r="R27" s="239"/>
      <c r="S27" s="14"/>
      <c r="T27" s="9"/>
      <c r="W27" s="4"/>
    </row>
    <row r="28" spans="1:24" ht="17.399999999999999" x14ac:dyDescent="0.35">
      <c r="B28" s="269"/>
      <c r="C28" s="230"/>
      <c r="D28" s="230"/>
      <c r="E28" s="232"/>
      <c r="F28" s="233"/>
      <c r="G28" s="230"/>
      <c r="H28" s="274"/>
      <c r="I28" s="265"/>
      <c r="J28" s="313"/>
      <c r="K28" s="47"/>
      <c r="L28" s="14"/>
      <c r="M28" s="12"/>
      <c r="N28" s="12"/>
      <c r="O28" s="46">
        <f>O26+O27</f>
        <v>1.62</v>
      </c>
      <c r="P28" s="14"/>
      <c r="Q28" s="14"/>
      <c r="R28" s="237">
        <v>40</v>
      </c>
      <c r="S28" s="14"/>
      <c r="T28" s="9"/>
      <c r="W28" s="4"/>
    </row>
    <row r="29" spans="1:24" ht="17.399999999999999" x14ac:dyDescent="0.35">
      <c r="B29" s="234"/>
      <c r="C29" s="235"/>
      <c r="D29" s="236"/>
      <c r="E29" s="234"/>
      <c r="F29" s="230"/>
      <c r="G29" s="230"/>
      <c r="J29" s="313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1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39">
        <f>O28</f>
        <v>1.62</v>
      </c>
      <c r="M30" s="12">
        <v>3500</v>
      </c>
      <c r="N30" s="12">
        <f t="shared" ref="N30:N35" si="3">L30*M30</f>
        <v>5670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1:24" ht="17.399999999999999" x14ac:dyDescent="0.35">
      <c r="A31" s="230"/>
      <c r="B31" s="230"/>
      <c r="C31" s="230"/>
      <c r="D31" s="230"/>
      <c r="E31" s="230"/>
      <c r="F31" s="230"/>
      <c r="G31" s="230"/>
      <c r="H31" s="230"/>
      <c r="I31" s="265"/>
      <c r="J31" s="47"/>
      <c r="K31" s="47"/>
      <c r="L31" s="249">
        <v>0.5</v>
      </c>
      <c r="M31" s="12">
        <v>25000</v>
      </c>
      <c r="N31" s="12">
        <f t="shared" si="3"/>
        <v>12500</v>
      </c>
      <c r="O31" s="39" t="s">
        <v>154</v>
      </c>
      <c r="P31" s="42"/>
      <c r="Q31" s="14"/>
      <c r="R31" s="239"/>
      <c r="S31" s="14"/>
      <c r="T31" s="9"/>
      <c r="W31" s="4"/>
    </row>
    <row r="32" spans="1:24" s="230" customFormat="1" ht="17.399999999999999" x14ac:dyDescent="0.35">
      <c r="B32" s="24" t="s">
        <v>153</v>
      </c>
      <c r="I32" s="262"/>
      <c r="J32" s="47"/>
      <c r="K32" s="250"/>
      <c r="L32" s="14"/>
      <c r="M32" s="250">
        <v>150000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146</v>
      </c>
      <c r="C33"/>
      <c r="D33"/>
      <c r="E33"/>
      <c r="F33"/>
      <c r="I33" s="262"/>
      <c r="J33" s="312"/>
      <c r="K33" s="250"/>
      <c r="L33" s="14">
        <v>1</v>
      </c>
      <c r="M33" s="250">
        <v>45200</v>
      </c>
      <c r="N33" s="12">
        <f t="shared" si="3"/>
        <v>45200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9" t="s">
        <v>127</v>
      </c>
      <c r="C34"/>
      <c r="D34"/>
      <c r="E34"/>
      <c r="F34" s="229" t="s">
        <v>16</v>
      </c>
      <c r="I34" s="262"/>
      <c r="J34" s="312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1.83</v>
      </c>
      <c r="R34" s="237"/>
      <c r="S34" s="237"/>
    </row>
    <row r="35" spans="2:23" s="230" customFormat="1" ht="17.399999999999999" x14ac:dyDescent="0.35">
      <c r="I35" s="302"/>
      <c r="J35" s="47"/>
      <c r="K35" s="250"/>
      <c r="L35" s="266">
        <v>2.5</v>
      </c>
      <c r="M35" s="12">
        <v>1500</v>
      </c>
      <c r="N35" s="12">
        <f t="shared" si="3"/>
        <v>3750</v>
      </c>
      <c r="O35" s="14" t="s">
        <v>24</v>
      </c>
      <c r="P35" s="14"/>
      <c r="Q35">
        <v>3.66</v>
      </c>
      <c r="R35"/>
      <c r="S35" s="237">
        <v>1500</v>
      </c>
      <c r="W35" s="231"/>
    </row>
    <row r="36" spans="2:23" s="230" customFormat="1" ht="17.399999999999999" x14ac:dyDescent="0.35">
      <c r="I36" s="265"/>
      <c r="J36" s="47"/>
      <c r="K36" s="250"/>
      <c r="L36" s="14"/>
      <c r="M36" s="12"/>
      <c r="N36" s="12">
        <f>SUM(N30:N35)</f>
        <v>67120</v>
      </c>
      <c r="O36" s="39" t="s">
        <v>25</v>
      </c>
      <c r="P36" s="14"/>
      <c r="Q36">
        <f>Q34*Q35</f>
        <v>6.6978000000000009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58690</v>
      </c>
      <c r="K37" s="250"/>
      <c r="L37" s="254" t="s">
        <v>35</v>
      </c>
      <c r="M37" s="12"/>
      <c r="N37" s="255">
        <f>N36*2.2</f>
        <v>147664</v>
      </c>
      <c r="O37" s="14" t="s">
        <v>142</v>
      </c>
      <c r="P37" s="14"/>
      <c r="Q37" s="46">
        <f>O28/Q36</f>
        <v>0.24187046492878256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49319.327731092439</v>
      </c>
      <c r="K38" s="250"/>
      <c r="L38" s="14"/>
      <c r="M38" s="12"/>
      <c r="N38" s="12">
        <f>N37/O26</f>
        <v>109380.74074074073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0.35409836065573769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  <hyperlink ref="C14" r:id="rId2" xr:uid="{9293C3B1-A191-4074-BB3F-30F6EC53B675}"/>
  </hyperlinks>
  <pageMargins left="0.23622047244094491" right="0.23622047244094491" top="0.74803149606299213" bottom="0.74803149606299213" header="0.31496062992125984" footer="0.31496062992125984"/>
  <pageSetup scale="81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45428</v>
      </c>
    </row>
    <row r="6" spans="2:31" ht="16.2" thickBot="1" x14ac:dyDescent="0.35">
      <c r="B6" s="140" t="s">
        <v>2</v>
      </c>
      <c r="C6" s="139" t="str">
        <f>'2229'!C10</f>
        <v>D HOME  DESIGN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10962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-11409.541700120773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147664</v>
      </c>
      <c r="E11" s="132">
        <f>D11*0.19</f>
        <v>28056.16</v>
      </c>
      <c r="F11" s="131">
        <f>E11+D11</f>
        <v>175720.16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94580.458299879232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48004.090787439614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76580.458299879232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99659.909212560393</v>
      </c>
      <c r="E13" s="221">
        <f>(D11/D12)-1</f>
        <v>2.0760711759722912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67580.458299879232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28580.458299879225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79206.749799275363</v>
      </c>
      <c r="F15" s="216">
        <f>E15-D12</f>
        <v>31202.659011835749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28580.458299879225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68580.458299879232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5670</v>
      </c>
      <c r="E20" s="121">
        <f>D20*0.19</f>
        <v>1077.3</v>
      </c>
      <c r="F20" s="120">
        <f>SUM(D20:E20)</f>
        <v>6747.3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18170</v>
      </c>
      <c r="E21" s="116">
        <f>SUM(E18:E20)</f>
        <v>3452.3</v>
      </c>
      <c r="F21" s="115">
        <f>SUM(F18:F20)</f>
        <v>21622.3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24603.86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147664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18170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99659.909212560393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99659.909212560393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2024-04-01T14:24:21Z</cp:lastPrinted>
  <dcterms:created xsi:type="dcterms:W3CDTF">2013-03-18T13:35:42Z</dcterms:created>
  <dcterms:modified xsi:type="dcterms:W3CDTF">2024-05-16T14:01:27Z</dcterms:modified>
</cp:coreProperties>
</file>