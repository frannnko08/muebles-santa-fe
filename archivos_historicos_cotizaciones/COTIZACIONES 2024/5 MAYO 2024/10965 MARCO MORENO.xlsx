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D339D89A-4C64-4867-B9D0-48B9A0BD9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K22" i="1"/>
  <c r="L22" i="1"/>
  <c r="R22" i="1" s="1"/>
  <c r="M22" i="1"/>
  <c r="K21" i="1"/>
  <c r="N22" i="1" l="1"/>
  <c r="O22" i="1" s="1"/>
  <c r="J39" i="1"/>
  <c r="L21" i="1" l="1"/>
  <c r="L25" i="1" s="1"/>
  <c r="M21" i="1"/>
  <c r="N21" i="1" l="1"/>
  <c r="O21" i="1" s="1"/>
  <c r="R21" i="1"/>
  <c r="N32" i="1"/>
  <c r="O26" i="1" l="1"/>
  <c r="O27" i="1" s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G22" i="1" l="1"/>
  <c r="H22" i="1" s="1"/>
  <c r="Q22" i="1"/>
  <c r="P21" i="1"/>
  <c r="G21" i="1" s="1"/>
  <c r="F15" i="3"/>
  <c r="Q21" i="1" l="1"/>
  <c r="R27" i="1"/>
  <c r="H21" i="1" l="1"/>
  <c r="H25" i="1" s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<sst xmlns="http://schemas.openxmlformats.org/spreadsheetml/2006/main" count="222" uniqueCount="165">
  <si>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</si>
  <si>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</si>
  <si>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</si>
  <si>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</si>
  <si>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</si>
  <si>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</si>
  <si>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</si>
  <si>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</si>
  <si>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</si>
  <si>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</si>
  <si>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</si>
  <si>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</si>
  <si>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</si>
  <si>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</si>
  <si>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</si>
  <si>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</si>
  <si>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</si>
  <si>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</si>
  <si>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</si>
  <si>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</si>
  <si>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</si>
  <si>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</si>
  <si>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</si>
  <si>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</si>
  <si>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</si>
  <si>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</si>
  <si>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</si>
  <si>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</si>
  <si>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</si>
  <si>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</si>
  <si>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</si>
  <si>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</si>
  <si>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</si>
  <si>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</si>
  <si>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</si>
  <si>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</si>
  <si>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</si>
  <si>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</si>
  <si>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</si>
  <si>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</si>
  <si>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</si>
  <si>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</si>
  <si>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</si>
  <si>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</si>
  <si>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</si>
  <si>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</si>
  <si>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</si>
  <si>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</si>
  <si>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</si>
  <si>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</si>
  <si>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</si>
  <si>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</si>
  <si>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</si>
  <si>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</si>
  <si>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</si>
  <si>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</si>
  <si>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</si>
  <si>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</si>
  <si>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</si>
  <si>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</si>
  <si>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</si>
  <si>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</si>
  <si>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</si>
  <si>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</si>
  <si>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</si>
  <si>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</si>
  <si>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</si>
  <si>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</si>
  <si>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</si>
  <si>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</si>
  <si>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</si>
  <si>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</si>
  <si>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</si>
  <si>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</si>
  <si>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</si>
  <si>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</si>
  <si>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</si>
  <si>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</si>
  <si>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</si>
  <si>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</si>
  <si>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</si>
  <si>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</si>
  <si>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</si>
  <si>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</si>
  <si>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</si>
  <si>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</si>
  <si>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</si>
  <si>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</si>
  <si>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</si>
  <si>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</si>
  <si>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</si>
  <si>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</si>
  <si>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</si>
  <si>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</si>
  <si>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</si>
  <si>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</si>
  <si>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</si>
  <si>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</si>
  <si>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</si>
  <si>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</si>
  <si>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</si>
  <si>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</si>
  <si>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</si>
  <si>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</si>
  <si>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</si>
  <si>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</si>
  <si>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</si>
  <si>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</si>
  <si>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</si>
  <si>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</si>
  <si>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</si>
  <si>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</si>
  <si>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</si>
  <si>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</si>
  <si>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</si>
  <si>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</si>
  <si>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</si>
  <si>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</si>
  <si>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</si>
  <si>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</si>
  <si>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</si>
  <si>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</si>
  <si>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</si>
  <si>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</si>
  <si>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</si>
  <si>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</si>
  <si>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</si>
  <si>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</si>
  <si>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</si>
  <si>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</si>
  <si>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</si>
  <si>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</si>
  <si>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</si>
  <si>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</si>
  <si>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</si>
  <si>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</si>
  <si>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</si>
  <si>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</si>
  <si>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</si>
  <si>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</si>
  <si>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</si>
  <si>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</si>
  <si>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</si>
  <si>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</si>
  <si>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</si>
  <si>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</si>
  <si>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</si>
  <si>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</si>
  <si>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</si>
  <si>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</si>
  <si>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</si>
  <si>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</si>
  <si>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</si>
  <si>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</si>
  <si>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</si>
  <si>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</si>
  <si>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CONTADO</t>
  </si>
  <si>
    <t>CUBIERTA CON RESPALDO R8</t>
  </si>
  <si>
    <t>MARCO MORENO</t>
  </si>
  <si>
    <t>5697782 4695</t>
  </si>
  <si>
    <t>5 DIAS HABILES</t>
  </si>
  <si>
    <t>DURACION COTIZACION: 5 DIAS                   FERNANDO DONOSO</t>
  </si>
  <si>
    <t>NEW BLACK GRANITE BRILLO</t>
  </si>
  <si>
    <t>N° 10966</t>
  </si>
  <si>
    <t>CON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</si>
</sst>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9" zoomScale="98" zoomScaleNormal="98" workbookViewId="0">
      <selection activeCell="C24" sqref="C24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45434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160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5535.9951485748943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1:24" ht="15" thickBot="1" x14ac:dyDescent="0.35">
      <c r="B17" s="296" t="s">
        <v>13</v>
      </c>
      <c r="C17" s="297" t="s">
        <v>155</v>
      </c>
      <c r="D17" s="298"/>
      <c r="E17" s="299"/>
      <c r="F17" s="328" t="s">
        <v>161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87441.149425287367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23">
        <v>1</v>
      </c>
      <c r="C21" s="324" t="s">
        <v>157</v>
      </c>
      <c r="D21" s="325">
        <v>2.2000000000000002</v>
      </c>
      <c r="E21" s="325">
        <v>0.6</v>
      </c>
      <c r="F21" s="324" t="s">
        <v>162</v>
      </c>
      <c r="G21" s="326">
        <f>P21</f>
        <v>118045.55172413793</v>
      </c>
      <c r="H21" s="327">
        <f t="shared" ref="H21" si="1">G21*B21</f>
        <v>118045.55172413793</v>
      </c>
      <c r="I21" s="265"/>
      <c r="J21" s="47"/>
      <c r="K21" s="316">
        <f t="shared" si="0"/>
        <v>1</v>
      </c>
      <c r="L21" s="317">
        <f t="shared" ref="L21:M21" si="2">D21+L$19</f>
        <v>2.25</v>
      </c>
      <c r="M21" s="317">
        <f t="shared" si="2"/>
        <v>0.6</v>
      </c>
      <c r="N21" s="261">
        <f>L21*M21</f>
        <v>1.3499999999999999</v>
      </c>
      <c r="O21" s="259">
        <f>N21*K21</f>
        <v>1.3499999999999999</v>
      </c>
      <c r="P21" s="252">
        <f>P$20*N21</f>
        <v>118045.55172413793</v>
      </c>
      <c r="Q21" s="258">
        <f>P21+Q$20</f>
        <v>121045.55172413793</v>
      </c>
      <c r="R21" s="307">
        <f>K21*L21</f>
        <v>2.25</v>
      </c>
      <c r="S21" s="14"/>
      <c r="T21" s="9"/>
      <c r="W21" s="4"/>
    </row>
    <row r="22" spans="1:24" ht="17.399999999999999" x14ac:dyDescent="0.3">
      <c r="B22" s="323">
        <v>1</v>
      </c>
      <c r="C22" s="324" t="s">
        <v>157</v>
      </c>
      <c r="D22" s="325">
        <v>1.18</v>
      </c>
      <c r="E22" s="325">
        <v>0.6</v>
      </c>
      <c r="F22" s="324" t="s">
        <v>162</v>
      </c>
      <c r="G22" s="326">
        <f>P22</f>
        <v>64531.568275862075</v>
      </c>
      <c r="H22" s="327">
        <f t="shared" ref="H22" si="3">G22*B22</f>
        <v>64531.568275862075</v>
      </c>
      <c r="I22" s="265"/>
      <c r="J22" s="47"/>
      <c r="K22" s="316">
        <f t="shared" ref="K22" si="4">B22</f>
        <v>1</v>
      </c>
      <c r="L22" s="317">
        <f t="shared" ref="L22" si="5">D22+L$19</f>
        <v>1.23</v>
      </c>
      <c r="M22" s="317">
        <f t="shared" ref="M22" si="6">E22+M$19</f>
        <v>0.6</v>
      </c>
      <c r="N22" s="261">
        <f>L22*M22</f>
        <v>0.73799999999999999</v>
      </c>
      <c r="O22" s="259">
        <f>N22*K22</f>
        <v>0.73799999999999999</v>
      </c>
      <c r="P22" s="252">
        <f>P$20*N22</f>
        <v>64531.568275862075</v>
      </c>
      <c r="Q22" s="258">
        <f>P22+Q$20</f>
        <v>67531.568275862082</v>
      </c>
      <c r="R22" s="307">
        <f>K22*L22</f>
        <v>1.23</v>
      </c>
      <c r="S22" s="14"/>
      <c r="T22" s="9"/>
      <c r="W22" s="4"/>
    </row>
    <row r="23" spans="1:24" ht="17.399999999999999" x14ac:dyDescent="0.3">
      <c r="B23" s="285"/>
      <c r="C23" s="285" t="s">
        <v>164</v>
      </c>
      <c r="D23" s="286"/>
      <c r="E23" s="286"/>
      <c r="F23" s="285"/>
      <c r="G23" s="311"/>
      <c r="H23" s="311"/>
      <c r="I23" s="265"/>
      <c r="K23" s="318"/>
      <c r="L23" s="319"/>
      <c r="M23" s="319"/>
      <c r="N23" s="261"/>
      <c r="O23" s="259"/>
      <c r="P23" s="252"/>
      <c r="Q23" s="258"/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182577.12</v>
      </c>
      <c r="I25" s="265">
        <v>195000</v>
      </c>
      <c r="J25" s="47"/>
      <c r="K25" s="47"/>
      <c r="L25" s="39">
        <f>SUM(L21:L24)</f>
        <v>3.48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34689.652799999996</v>
      </c>
      <c r="I26" s="265"/>
      <c r="J26" s="47"/>
      <c r="K26" s="47"/>
      <c r="L26" s="39"/>
      <c r="M26" s="12"/>
      <c r="N26" s="12"/>
      <c r="O26" s="253">
        <f>SUM(O21:O22)</f>
        <v>2.0880000000000001</v>
      </c>
      <c r="P26" s="14"/>
      <c r="Q26" s="12"/>
      <c r="R26" s="238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217266.77279999998</v>
      </c>
      <c r="I27" s="265"/>
      <c r="J27" s="47"/>
      <c r="K27" s="47"/>
      <c r="L27" s="39"/>
      <c r="M27" s="12"/>
      <c r="N27" s="12"/>
      <c r="O27" s="253">
        <f>O26</f>
        <v>2.0880000000000001</v>
      </c>
      <c r="P27" s="14"/>
      <c r="Q27" s="12"/>
      <c r="R27" s="238">
        <f>SUM(R21:R26)</f>
        <v>3.48</v>
      </c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O27*0.2</f>
        <v>0.41760000000000003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313"/>
      <c r="K29" s="47"/>
      <c r="L29" s="14"/>
      <c r="M29" s="12"/>
      <c r="N29" s="12"/>
      <c r="O29" s="46">
        <f>O27+O28</f>
        <v>2.5056000000000003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13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2.5056000000000003</v>
      </c>
      <c r="M31" s="12">
        <v>3500</v>
      </c>
      <c r="N31" s="12">
        <f t="shared" ref="N31:N36" si="7">L31*M31</f>
        <v>8769.6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1</v>
      </c>
      <c r="M32" s="12">
        <v>25000</v>
      </c>
      <c r="N32" s="12">
        <f t="shared" si="7"/>
        <v>25000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7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2"/>
      <c r="K34" s="250"/>
      <c r="L34" s="14">
        <v>2</v>
      </c>
      <c r="M34" s="250">
        <v>22000</v>
      </c>
      <c r="N34" s="12">
        <f t="shared" si="7"/>
        <v>44000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312"/>
      <c r="K35" s="250"/>
      <c r="L35" s="249"/>
      <c r="M35" s="250">
        <v>800</v>
      </c>
      <c r="N35" s="12">
        <f t="shared" si="7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3.48</v>
      </c>
      <c r="M36" s="12">
        <v>1500</v>
      </c>
      <c r="N36" s="12">
        <f t="shared" si="7"/>
        <v>5220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82989.600000000006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182577.12000000002</v>
      </c>
      <c r="O38" s="14" t="s">
        <v>142</v>
      </c>
      <c r="P38" s="14"/>
      <c r="Q38" s="46">
        <f>O29/Q37</f>
        <v>0.37409298575651706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87441.149425287367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0.54767213114754099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45434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-12938.505033454107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182577.12</v>
      </c>
      <c r="E11" s="132">
        <f>D11*0.19</f>
        <v>34689.652799999996</v>
      </c>
      <c r="F11" s="131">
        <f>E11+D11</f>
        <v>217266.77279999998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93051.494966545899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63603.690787439613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75051.494966545899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118973.42921256038</v>
      </c>
      <c r="E13" s="221">
        <f>(D11/D12)-1</f>
        <v>1.8705428527750647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66051.494966545899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27051.494966545892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104946.08979927536</v>
      </c>
      <c r="F15" s="216">
        <f>E15-D12</f>
        <v>41342.399011835747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27051.494966545892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67051.494966545899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8769.6</v>
      </c>
      <c r="E20" s="121">
        <f>D20*0.19</f>
        <v>1666.2240000000002</v>
      </c>
      <c r="F20" s="120">
        <f>SUM(D20:E20)</f>
        <v>10435.824000000001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33769.599999999999</v>
      </c>
      <c r="E21" s="116">
        <f>SUM(E18:E20)</f>
        <v>6416.2240000000002</v>
      </c>
      <c r="F21" s="115">
        <f>SUM(F18:F20)</f>
        <v>40185.824000000001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28273.428799999994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182577.12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33769.599999999999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118973.42921256038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118973.42921256038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2024-05-22T20:17:51Z</cp:lastPrinted>
  <dcterms:created xsi:type="dcterms:W3CDTF">2013-03-18T13:35:42Z</dcterms:created>
  <dcterms:modified xsi:type="dcterms:W3CDTF">2024-06-18T21:19:00Z</dcterms:modified>
</cp:coreProperties>
</file>