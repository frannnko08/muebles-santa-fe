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310F1268-995D-455D-BD9E-6F1904E31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K22" i="1"/>
  <c r="L22" i="1"/>
  <c r="M22" i="1"/>
  <c r="N22" i="1"/>
  <c r="O22" i="1" s="1"/>
  <c r="R22" i="1"/>
  <c r="K21" i="1"/>
  <c r="J39" i="1" l="1"/>
  <c r="L21" i="1" l="1"/>
  <c r="L25" i="1" s="1"/>
  <c r="M21" i="1"/>
  <c r="N21" i="1" l="1"/>
  <c r="O21" i="1" s="1"/>
  <c r="O27" i="1" s="1"/>
  <c r="O28" i="1" s="1"/>
  <c r="O29" i="1" s="1"/>
  <c r="R21" i="1"/>
  <c r="N32" i="1"/>
  <c r="S44" i="1" l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G22" i="1" l="1"/>
  <c r="H22" i="1" s="1"/>
  <c r="Q22" i="1"/>
  <c r="P21" i="1"/>
  <c r="G21" i="1" s="1"/>
  <c r="F15" i="3"/>
  <c r="Q21" i="1" l="1"/>
  <c r="R27" i="1"/>
  <c r="H21" i="1" l="1"/>
  <c r="H25" i="1" s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<sst xmlns="http://schemas.openxmlformats.org/spreadsheetml/2006/main" count="219" uniqueCount="163">
  <si>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</si>
  <si>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</si>
  <si>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</si>
  <si>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</si>
  <si>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</si>
  <si>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</si>
  <si>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</si>
  <si>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</si>
  <si>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</si>
  <si>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</si>
  <si>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</si>
  <si>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</si>
  <si>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</si>
  <si>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</si>
  <si>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</si>
  <si>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</si>
  <si>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</si>
  <si>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</si>
  <si>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</si>
  <si>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</si>
  <si>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</si>
  <si>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</si>
  <si>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</si>
  <si>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</si>
  <si>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</si>
  <si>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</si>
  <si>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</si>
  <si>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</si>
  <si>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</si>
  <si>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</si>
  <si>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</si>
  <si>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</si>
  <si>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</si>
  <si>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</si>
  <si>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</si>
  <si>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</si>
  <si>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</si>
  <si>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</si>
  <si>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</si>
  <si>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</si>
  <si>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</si>
  <si>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</si>
  <si>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</si>
  <si>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</si>
  <si>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</si>
  <si>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</si>
  <si>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</si>
  <si>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</si>
  <si>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</si>
  <si>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</si>
  <si>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</si>
  <si>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</si>
  <si>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</si>
  <si>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</si>
  <si>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</si>
  <si>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</si>
  <si>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</si>
  <si>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</si>
  <si>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</si>
  <si>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</si>
  <si>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</si>
  <si>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</si>
  <si>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</si>
  <si>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</si>
  <si>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</si>
  <si>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</si>
  <si>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</si>
  <si>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</si>
  <si>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</si>
  <si>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</si>
  <si>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</si>
  <si>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</si>
  <si>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</si>
  <si>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</si>
  <si>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</si>
  <si>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</si>
  <si>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</si>
  <si>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</si>
  <si>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</si>
  <si>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</si>
  <si>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</si>
  <si>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</si>
  <si>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</si>
  <si>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</si>
  <si>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</si>
  <si>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</si>
  <si>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</si>
  <si>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</si>
  <si>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</si>
  <si>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</si>
  <si>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</si>
  <si>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</si>
  <si>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</si>
  <si>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</si>
  <si>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</si>
  <si>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</si>
  <si>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</si>
  <si>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</si>
  <si>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</si>
  <si>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</si>
  <si>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</si>
  <si>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</si>
  <si>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</si>
  <si>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</si>
  <si>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</si>
  <si>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</si>
  <si>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</si>
  <si>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</si>
  <si>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</si>
  <si>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</si>
  <si>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</si>
  <si>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</si>
  <si>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</si>
  <si>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</si>
  <si>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</si>
  <si>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</si>
  <si>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</si>
  <si>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</si>
  <si>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</si>
  <si>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</si>
  <si>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</si>
  <si>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</si>
  <si>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</si>
  <si>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</si>
  <si>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</si>
  <si>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</si>
  <si>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</si>
  <si>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</si>
  <si>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</si>
  <si>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</si>
  <si>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</si>
  <si>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</si>
  <si>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</si>
  <si>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</si>
  <si>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</si>
  <si>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</si>
  <si>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</si>
  <si>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</si>
  <si>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</si>
  <si>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</si>
  <si>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</si>
  <si>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</si>
  <si>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</si>
  <si>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</si>
  <si>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</si>
  <si>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</si>
  <si>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</si>
  <si>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</si>
  <si>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</si>
  <si>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</si>
  <si>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</si>
  <si>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</si>
  <si>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</si>
  <si>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</si>
  <si>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</si>
  <si>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</si>
  <si>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DURACION COTIZACION: 5 DIAS                   FRANCO DONOSO</t>
  </si>
  <si>
    <t>SI</t>
  </si>
  <si>
    <t>CONTADO</t>
  </si>
  <si>
    <t>CUBIERTA CON RESPALDO R8</t>
  </si>
  <si>
    <t>PIETRA GLAZE 2719 BR</t>
  </si>
  <si>
    <t>MUEBLES SANHUEZA</t>
  </si>
  <si>
    <t>N° 10963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</si>
</sst>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223973</xdr:rowOff>
    </xdr:from>
    <xdr:to>
      <xdr:col>5</xdr:col>
      <xdr:colOff>1749490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3" zoomScale="98" zoomScaleNormal="98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45428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>
        <v>45421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157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>
        <v>56942194105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4500.2020618556699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155</v>
      </c>
      <c r="D17" s="298"/>
      <c r="E17" s="299"/>
      <c r="F17" s="328" t="s">
        <v>156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106882.22958375339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23">
        <v>1</v>
      </c>
      <c r="C21" s="324" t="s">
        <v>159</v>
      </c>
      <c r="D21" s="325">
        <v>1.77</v>
      </c>
      <c r="E21" s="325">
        <v>0.53</v>
      </c>
      <c r="F21" s="324" t="s">
        <v>160</v>
      </c>
      <c r="G21" s="326">
        <f>P21</f>
        <v>103098.59865648854</v>
      </c>
      <c r="H21" s="327">
        <f t="shared" ref="H21" si="1">G21*B21</f>
        <v>103098.59865648854</v>
      </c>
      <c r="I21" s="265"/>
      <c r="J21" s="47"/>
      <c r="K21" s="316">
        <f t="shared" si="0"/>
        <v>1</v>
      </c>
      <c r="L21" s="317">
        <f t="shared" ref="L21:M21" si="2">D21+L$19</f>
        <v>1.82</v>
      </c>
      <c r="M21" s="317">
        <f t="shared" si="2"/>
        <v>0.53</v>
      </c>
      <c r="N21" s="261">
        <f>L21*M21</f>
        <v>0.96460000000000012</v>
      </c>
      <c r="O21" s="259">
        <f>N21*K21</f>
        <v>0.96460000000000012</v>
      </c>
      <c r="P21" s="252">
        <f>P$20*N21</f>
        <v>103098.59865648854</v>
      </c>
      <c r="Q21" s="258">
        <f>P21+Q$20</f>
        <v>106098.59865648854</v>
      </c>
      <c r="R21" s="307">
        <f>K21*L21</f>
        <v>1.82</v>
      </c>
      <c r="S21" s="14"/>
      <c r="T21" s="9"/>
      <c r="W21" s="4"/>
    </row>
    <row r="22" spans="1:24" ht="17.399999999999999" x14ac:dyDescent="0.3">
      <c r="B22" s="323">
        <v>1</v>
      </c>
      <c r="C22" s="324" t="s">
        <v>159</v>
      </c>
      <c r="D22" s="325">
        <v>0.75</v>
      </c>
      <c r="E22" s="325">
        <v>0.53</v>
      </c>
      <c r="F22" s="324" t="s">
        <v>160</v>
      </c>
      <c r="G22" s="326">
        <f>P22</f>
        <v>45318.065343511444</v>
      </c>
      <c r="H22" s="327">
        <f t="shared" ref="H22" si="3">G22*B22</f>
        <v>45318.065343511444</v>
      </c>
      <c r="I22" s="265"/>
      <c r="J22" s="47"/>
      <c r="K22" s="316">
        <f t="shared" ref="K22" si="4">B22</f>
        <v>1</v>
      </c>
      <c r="L22" s="317">
        <f t="shared" ref="L22" si="5">D22+L$19</f>
        <v>0.8</v>
      </c>
      <c r="M22" s="317">
        <f t="shared" ref="M22" si="6">E22+M$19</f>
        <v>0.53</v>
      </c>
      <c r="N22" s="261">
        <f>L22*M22</f>
        <v>0.42400000000000004</v>
      </c>
      <c r="O22" s="259">
        <f>N22*K22</f>
        <v>0.42400000000000004</v>
      </c>
      <c r="P22" s="252">
        <f>P$20*N22</f>
        <v>45318.065343511444</v>
      </c>
      <c r="Q22" s="258">
        <f>P22+Q$20</f>
        <v>48318.065343511444</v>
      </c>
      <c r="R22" s="307">
        <f>K22*L22</f>
        <v>0.8</v>
      </c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11"/>
      <c r="H23" s="311"/>
      <c r="I23" s="265"/>
      <c r="K23" s="318"/>
      <c r="L23" s="319"/>
      <c r="M23" s="319"/>
      <c r="N23" s="261"/>
      <c r="O23" s="259"/>
      <c r="P23" s="252"/>
      <c r="Q23" s="258"/>
      <c r="R23" s="307"/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SUM(H21:H24)</f>
        <v>148416.66399999999</v>
      </c>
      <c r="I25" s="265"/>
      <c r="J25" s="47"/>
      <c r="K25" s="47"/>
      <c r="L25" s="39">
        <f>SUM(L21:L24)</f>
        <v>2.62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28199.166159999997</v>
      </c>
      <c r="I26" s="265"/>
      <c r="J26" s="47"/>
      <c r="K26" s="47"/>
      <c r="L26" s="39"/>
      <c r="M26" s="12"/>
      <c r="N26" s="12"/>
      <c r="O26" s="253">
        <f>SUM(O21:O22)</f>
        <v>1.3886000000000003</v>
      </c>
      <c r="P26" s="14"/>
      <c r="Q26" s="12"/>
      <c r="R26" s="238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176615.83015999998</v>
      </c>
      <c r="I27" s="265"/>
      <c r="J27" s="47"/>
      <c r="K27" s="47"/>
      <c r="L27" s="39"/>
      <c r="M27" s="12"/>
      <c r="N27" s="12"/>
      <c r="O27" s="253">
        <f>O26</f>
        <v>1.3886000000000003</v>
      </c>
      <c r="P27" s="14"/>
      <c r="Q27" s="12"/>
      <c r="R27" s="238">
        <f>SUM(R21:R26)</f>
        <v>2.62</v>
      </c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O27*0.2</f>
        <v>0.27772000000000008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313"/>
      <c r="K29" s="47"/>
      <c r="L29" s="14"/>
      <c r="M29" s="12"/>
      <c r="N29" s="12"/>
      <c r="O29" s="46">
        <f>O27+O28</f>
        <v>1.6663200000000002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J30" s="313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39">
        <f>O29</f>
        <v>1.6663200000000002</v>
      </c>
      <c r="M31" s="12">
        <v>3500</v>
      </c>
      <c r="N31" s="12">
        <f t="shared" ref="N31:N36" si="7">L31*M31</f>
        <v>5832.1200000000008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5"/>
      <c r="J32" s="47"/>
      <c r="K32" s="47"/>
      <c r="L32" s="249">
        <v>0.5</v>
      </c>
      <c r="M32" s="12">
        <v>25000</v>
      </c>
      <c r="N32" s="12">
        <f t="shared" si="7"/>
        <v>12500</v>
      </c>
      <c r="O32" s="39" t="s">
        <v>154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4" t="s">
        <v>153</v>
      </c>
      <c r="I33" s="262"/>
      <c r="J33" s="47"/>
      <c r="K33" s="250"/>
      <c r="L33" s="14"/>
      <c r="M33" s="250">
        <v>150000</v>
      </c>
      <c r="N33" s="12">
        <f t="shared" si="7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2"/>
      <c r="K34" s="250"/>
      <c r="L34" s="14">
        <v>1</v>
      </c>
      <c r="M34" s="250">
        <v>45200</v>
      </c>
      <c r="N34" s="12">
        <f t="shared" si="7"/>
        <v>45200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312"/>
      <c r="K35" s="250"/>
      <c r="L35" s="249"/>
      <c r="M35" s="250">
        <v>800</v>
      </c>
      <c r="N35" s="12">
        <f t="shared" si="7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2.62</v>
      </c>
      <c r="M36" s="12">
        <v>1500</v>
      </c>
      <c r="N36" s="12">
        <f t="shared" si="7"/>
        <v>3930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67462.12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148416.66399999999</v>
      </c>
      <c r="O38" s="14" t="s">
        <v>142</v>
      </c>
      <c r="P38" s="14"/>
      <c r="Q38" s="46">
        <f>O29/Q37</f>
        <v>0.24878616859267222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106882.22958375339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0.36422295081967215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45428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-11490.402700120771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148416.66399999999</v>
      </c>
      <c r="E11" s="132">
        <f>D11*0.19</f>
        <v>28199.166159999997</v>
      </c>
      <c r="F11" s="131">
        <f>E11+D11</f>
        <v>176615.83015999998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94499.597299879228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48166.210787439617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76499.597299879228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100250.45321256037</v>
      </c>
      <c r="E13" s="221">
        <f>(D11/D12)-1</f>
        <v>2.0813439872812842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67499.597299879228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28499.597299879228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79474.24779927537</v>
      </c>
      <c r="F15" s="216">
        <f>E15-D12</f>
        <v>31308.037011835753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28499.597299879228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68499.597299879228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5832.1200000000008</v>
      </c>
      <c r="E20" s="121">
        <f>D20*0.19</f>
        <v>1108.1028000000001</v>
      </c>
      <c r="F20" s="120">
        <f>SUM(D20:E20)</f>
        <v>6940.2228000000014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18332.120000000003</v>
      </c>
      <c r="E21" s="116">
        <f>SUM(E18:E20)</f>
        <v>3483.1028000000001</v>
      </c>
      <c r="F21" s="115">
        <f>SUM(F18:F20)</f>
        <v>21815.222800000003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24716.063359999996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148416.66399999999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18332.120000000003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100250.45321256037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100250.45321256037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2024-04-01T14:24:21Z</cp:lastPrinted>
  <dcterms:created xsi:type="dcterms:W3CDTF">2013-03-18T13:35:42Z</dcterms:created>
  <dcterms:modified xsi:type="dcterms:W3CDTF">2024-05-22T19:42:48Z</dcterms:modified>
</cp:coreProperties>
</file>