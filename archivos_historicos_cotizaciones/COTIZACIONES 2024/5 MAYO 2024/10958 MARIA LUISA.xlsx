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5 MAYO 2024\"/>
    </mc:Choice>
  </mc:AlternateContent>
  <xr:revisionPtr revIDLastSave="0" documentId="13_ncr:1_{E312A54F-A62A-4D6E-9E81-D5A15FDA8E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1" i="1" l="1"/>
  <c r="H21" i="1"/>
  <c r="H24" i="1" s="1"/>
  <c r="H25" i="1" s="1"/>
  <c r="J30" i="1"/>
  <c r="K10" i="1"/>
  <c r="J38" i="1" l="1"/>
  <c r="L21" i="1" l="1"/>
  <c r="L24" i="1" s="1"/>
  <c r="M21" i="1"/>
  <c r="N21" i="1" l="1"/>
  <c r="O21" i="1" s="1"/>
  <c r="O25" i="1" s="1"/>
  <c r="R21" i="1"/>
  <c r="N31" i="1"/>
  <c r="O26" i="1" l="1"/>
  <c r="S43" i="1"/>
  <c r="O27" i="1" l="1"/>
  <c r="M20" i="1"/>
  <c r="K20" i="1"/>
  <c r="N32" i="1" l="1"/>
  <c r="Q36" i="1"/>
  <c r="Q37" i="1" s="1"/>
  <c r="N33" i="1" l="1"/>
  <c r="S36" i="1" l="1"/>
  <c r="S37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5" i="1"/>
  <c r="N34" i="1"/>
  <c r="F18" i="3" l="1"/>
  <c r="O28" i="1" l="1"/>
  <c r="L30" i="1" s="1"/>
  <c r="N30" i="1" l="1"/>
  <c r="S44" i="1"/>
  <c r="N36" i="1" l="1"/>
  <c r="N37" i="1" s="1"/>
  <c r="D20" i="3"/>
  <c r="E20" i="3" s="1"/>
  <c r="E21" i="3" s="1"/>
  <c r="N39" i="1" l="1"/>
  <c r="D21" i="3"/>
  <c r="M43" i="3" s="1"/>
  <c r="D12" i="3" s="1"/>
  <c r="F20" i="3"/>
  <c r="F21" i="3" s="1"/>
  <c r="N38" i="1" l="1"/>
  <c r="P20" i="1" s="1"/>
  <c r="E15" i="3"/>
  <c r="P21" i="1" l="1"/>
  <c r="F15" i="3"/>
  <c r="Q21" i="1" l="1"/>
  <c r="R26" i="1"/>
  <c r="H26" i="1" l="1"/>
  <c r="D11" i="3" l="1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<sst xmlns="http://schemas.openxmlformats.org/spreadsheetml/2006/main" count="218" uniqueCount="164">
  <si>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</si>
  <si>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</si>
  <si>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</si>
  <si>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</si>
  <si>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</si>
  <si>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</si>
  <si>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</si>
  <si>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</si>
  <si>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</si>
  <si>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</si>
  <si>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</si>
  <si>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</si>
  <si>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</si>
  <si>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</si>
  <si>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</si>
  <si>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</si>
  <si>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</si>
  <si>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</si>
  <si>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</si>
  <si>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</si>
  <si>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</si>
  <si>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</si>
  <si>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</si>
  <si>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</si>
  <si>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</si>
  <si>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</si>
  <si>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</si>
  <si>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</si>
  <si>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</si>
  <si>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</si>
  <si>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</si>
  <si>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</si>
  <si>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</si>
  <si>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</si>
  <si>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</si>
  <si>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</si>
  <si>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</si>
  <si>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</si>
  <si>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</si>
  <si>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</si>
  <si>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</si>
  <si>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</si>
  <si>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</si>
  <si>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</si>
  <si>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</si>
  <si>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</si>
  <si>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</si>
  <si>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</si>
  <si>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</si>
  <si>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</si>
  <si>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</si>
  <si>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</si>
  <si>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</si>
  <si>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</si>
  <si>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</si>
  <si>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</si>
  <si>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</si>
  <si>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</si>
  <si>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</si>
  <si>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</si>
  <si>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</si>
  <si>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</si>
  <si>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</si>
  <si>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</si>
  <si>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</si>
  <si>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</si>
  <si>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</si>
  <si>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</si>
  <si>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</si>
  <si>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</si>
  <si>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</si>
  <si>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</si>
  <si>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</si>
  <si>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</si>
  <si>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</si>
  <si>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</si>
  <si>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</si>
  <si>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</si>
  <si>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</si>
  <si>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</si>
  <si>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</si>
  <si>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</si>
  <si>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</si>
  <si>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</si>
  <si>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</si>
  <si>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</si>
  <si>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</si>
  <si>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</si>
  <si>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</si>
  <si>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</si>
  <si>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</si>
  <si>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</si>
  <si>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</si>
  <si>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</si>
  <si>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</si>
  <si>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</si>
  <si>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</si>
  <si>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</si>
  <si>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</si>
  <si>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</si>
  <si>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</si>
  <si>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</si>
  <si>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</si>
  <si>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</si>
  <si>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</si>
  <si>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</si>
  <si>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</si>
  <si>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</si>
  <si>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</si>
  <si>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</si>
  <si>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</si>
  <si>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</si>
  <si>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</si>
  <si>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</si>
  <si>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</si>
  <si>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</si>
  <si>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</si>
  <si>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</si>
  <si>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</si>
  <si>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</si>
  <si>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</si>
  <si>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</si>
  <si>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</si>
  <si>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</si>
  <si>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</si>
  <si>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</si>
  <si>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</si>
  <si>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</si>
  <si>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</si>
  <si>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</si>
  <si>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</si>
  <si>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</si>
  <si>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</si>
  <si>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</si>
  <si>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</si>
  <si>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</si>
  <si>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</si>
  <si>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</si>
  <si>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</si>
  <si>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</si>
  <si>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</si>
  <si>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</si>
  <si>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</si>
  <si>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</si>
  <si>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</si>
  <si>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</si>
  <si>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</si>
  <si>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</si>
  <si>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</si>
  <si>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</si>
  <si>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</si>
  <si>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</si>
  <si>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</si>
  <si>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</si>
  <si>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SANTIAGO</t>
  </si>
  <si>
    <t>DURACION COTIZACION: 5 DIAS                            FERNANDO DONOSO</t>
  </si>
  <si>
    <t>MDF25MM</t>
  </si>
  <si>
    <t>ABONO 50%, SALDO C/E</t>
  </si>
  <si>
    <t>7 DIAS HABILES</t>
  </si>
  <si>
    <t>N° 10958</t>
  </si>
  <si>
    <t>MARIA LUISA</t>
  </si>
  <si>
    <t>+569 96799204</t>
  </si>
  <si>
    <t>CUBIERTAS MESAS R8 2 LADOS</t>
  </si>
  <si>
    <t>BLANCO OPACO MERINO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</si>
</sst>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  <font>
      <sz val="1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0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0" fontId="32" fillId="0" borderId="6" xfId="0" applyFont="1" applyBorder="1" applyAlignment="1">
      <alignment horizontal="center" vertical="center"/>
    </xf>
    <xf numFmtId="166" fontId="32" fillId="0" borderId="6" xfId="0" applyNumberFormat="1" applyFont="1" applyBorder="1" applyAlignment="1">
      <alignment horizontal="center" vertical="center"/>
    </xf>
    <xf numFmtId="167" fontId="11" fillId="0" borderId="6" xfId="2" applyNumberFormat="1" applyFont="1" applyFill="1" applyBorder="1" applyAlignment="1">
      <alignment horizontal="center" vertical="center"/>
    </xf>
    <xf numFmtId="167" fontId="11" fillId="0" borderId="14" xfId="2" applyNumberFormat="1" applyFont="1" applyFill="1" applyBorder="1" applyAlignment="1">
      <alignment horizontal="center" vertical="center"/>
    </xf>
    <xf numFmtId="0" fontId="21" fillId="20" borderId="33" xfId="0" applyFont="1" applyFill="1" applyBorder="1" applyAlignment="1">
      <alignment horizontal="center" vertical="center"/>
    </xf>
    <xf numFmtId="0" fontId="21" fillId="20" borderId="29" xfId="0" applyFont="1" applyFill="1" applyBorder="1" applyAlignment="1">
      <alignment horizontal="center" vertical="center"/>
    </xf>
    <xf numFmtId="167" fontId="11" fillId="0" borderId="0" xfId="2" applyNumberFormat="1" applyFont="1" applyFill="1" applyBorder="1" applyAlignment="1">
      <alignment horizontal="center" vertical="center"/>
    </xf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21" fillId="20" borderId="11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5" fillId="0" borderId="0" xfId="3" quotePrefix="1" applyFont="1" applyFill="1" applyBorder="1" applyAlignment="1">
      <alignment horizontal="left"/>
    </xf>
    <xf numFmtId="167" fontId="0" fillId="7" borderId="0" xfId="0" applyNumberFormat="1" applyFill="1"/>
    <xf numFmtId="166" fontId="3" fillId="7" borderId="0" xfId="0" applyNumberFormat="1" applyFont="1" applyFill="1"/>
    <xf numFmtId="0" fontId="37" fillId="0" borderId="6" xfId="0" applyFont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28</xdr:row>
      <xdr:rowOff>28575</xdr:rowOff>
    </xdr:from>
    <xdr:to>
      <xdr:col>8</xdr:col>
      <xdr:colOff>100890</xdr:colOff>
      <xdr:row>31</xdr:row>
      <xdr:rowOff>28576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6915150" y="6276975"/>
          <a:ext cx="2053515" cy="657226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1714500</xdr:colOff>
      <xdr:row>31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222690</xdr:colOff>
      <xdr:row>22</xdr:row>
      <xdr:rowOff>84014</xdr:rowOff>
    </xdr:from>
    <xdr:to>
      <xdr:col>5</xdr:col>
      <xdr:colOff>1849560</xdr:colOff>
      <xdr:row>26</xdr:row>
      <xdr:rowOff>17339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634792" y="4702667"/>
          <a:ext cx="6229972" cy="819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 ENTREGAN CON SOBRE MEDIDA EN EL LARGO</a:t>
          </a:r>
        </a:p>
        <a:p>
          <a:pPr algn="l"/>
          <a:r>
            <a:rPr lang="es-CL" sz="1200" b="1"/>
            <a:t>SUSTRATO</a:t>
          </a:r>
          <a:r>
            <a:rPr lang="es-CL" sz="1200" b="1" baseline="0"/>
            <a:t> : MDF 18MM</a:t>
          </a:r>
          <a:endParaRPr lang="es-CL" sz="1200" b="1"/>
        </a:p>
        <a:p>
          <a:pPr algn="l"/>
          <a:endParaRPr lang="es-CL" sz="1200" b="1" u="dbl" baseline="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1"/>
  <sheetViews>
    <sheetView tabSelected="1" topLeftCell="D18" zoomScale="98" zoomScaleNormal="98" workbookViewId="0">
      <selection activeCell="G22" sqref="G22"/>
    </sheetView>
  </sheetViews>
  <sheetFormatPr baseColWidth="10" defaultRowHeight="14.4" x14ac:dyDescent="0.3"/>
  <cols>
    <col min="1" max="1" width="6" customWidth="1"/>
    <col min="2" max="2" width="10.5546875" customWidth="1"/>
    <col min="3" max="3" width="52" customWidth="1"/>
    <col min="4" max="4" width="11.109375" customWidth="1"/>
    <col min="5" max="5" width="10.5546875" customWidth="1"/>
    <col min="6" max="6" width="35.5546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128</v>
      </c>
      <c r="C8" s="302"/>
      <c r="D8" s="321" t="s">
        <v>159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K9" s="18">
        <v>56950</v>
      </c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9" t="s">
        <v>160</v>
      </c>
      <c r="D10" s="243"/>
      <c r="E10" s="243"/>
      <c r="F10" s="244" t="s">
        <v>0</v>
      </c>
      <c r="G10" s="277">
        <v>45425</v>
      </c>
      <c r="H10" s="245"/>
      <c r="J10" s="1"/>
      <c r="K10" s="18">
        <f>K9/1.19</f>
        <v>47857.142857142862</v>
      </c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1"/>
      <c r="F11" t="s">
        <v>125</v>
      </c>
      <c r="G11" s="289" t="s">
        <v>158</v>
      </c>
      <c r="H11" s="290"/>
      <c r="P11" s="19"/>
      <c r="Q11" s="25" t="s">
        <v>19</v>
      </c>
      <c r="R11" s="19"/>
    </row>
    <row r="12" spans="2:23" ht="16.8" x14ac:dyDescent="0.4">
      <c r="B12" s="246" t="s">
        <v>147</v>
      </c>
      <c r="C12" s="311"/>
      <c r="D12" s="247"/>
      <c r="E12" s="247"/>
      <c r="F12" s="247" t="s">
        <v>129</v>
      </c>
      <c r="G12" s="278" t="s">
        <v>137</v>
      </c>
      <c r="H12" s="248"/>
      <c r="P12" s="19"/>
      <c r="Q12" s="25"/>
      <c r="R12" s="19"/>
    </row>
    <row r="13" spans="2:23" x14ac:dyDescent="0.3">
      <c r="B13" s="246" t="s">
        <v>148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141</v>
      </c>
      <c r="C14" s="306"/>
      <c r="F14" s="29" t="s">
        <v>138</v>
      </c>
      <c r="G14" s="291" t="s">
        <v>137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4" t="s">
        <v>161</v>
      </c>
      <c r="D15" s="295"/>
      <c r="E15" s="247"/>
      <c r="F15" s="247" t="s">
        <v>136</v>
      </c>
      <c r="G15" s="296" t="s">
        <v>137</v>
      </c>
      <c r="H15" s="248"/>
    </row>
    <row r="16" spans="2:23" ht="16.8" x14ac:dyDescent="0.4">
      <c r="B16" s="292" t="s">
        <v>3</v>
      </c>
      <c r="C16" s="311"/>
      <c r="F16" s="293" t="s">
        <v>131</v>
      </c>
      <c r="G16" s="294" t="s">
        <v>157</v>
      </c>
      <c r="H16" s="290"/>
    </row>
    <row r="17" spans="2:24" ht="15" thickBot="1" x14ac:dyDescent="0.35">
      <c r="B17" s="297" t="s">
        <v>13</v>
      </c>
      <c r="C17" s="298" t="s">
        <v>154</v>
      </c>
      <c r="D17" s="299"/>
      <c r="E17" s="300"/>
      <c r="F17" s="328" t="s">
        <v>155</v>
      </c>
      <c r="G17" s="328"/>
      <c r="H17" s="329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0" t="s">
        <v>149</v>
      </c>
      <c r="C19" s="331"/>
      <c r="D19" s="331"/>
      <c r="E19" s="331"/>
      <c r="F19" s="331"/>
      <c r="G19" s="331"/>
      <c r="H19" s="332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2:24" ht="18" thickBot="1" x14ac:dyDescent="0.35">
      <c r="B20" s="322" t="s">
        <v>7</v>
      </c>
      <c r="C20" s="316" t="s">
        <v>1</v>
      </c>
      <c r="D20" s="316" t="s">
        <v>10</v>
      </c>
      <c r="E20" s="316" t="s">
        <v>11</v>
      </c>
      <c r="F20" s="316" t="s">
        <v>8</v>
      </c>
      <c r="G20" s="316" t="s">
        <v>5</v>
      </c>
      <c r="H20" s="317" t="s">
        <v>6</v>
      </c>
      <c r="I20" s="265"/>
      <c r="J20" s="47"/>
      <c r="K20" s="268" t="str">
        <f t="shared" ref="K20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N38</f>
        <v>54321.967213114767</v>
      </c>
      <c r="Q20" s="258">
        <v>3000</v>
      </c>
      <c r="R20" s="38"/>
      <c r="S20" s="14" t="s">
        <v>130</v>
      </c>
      <c r="T20" s="9"/>
      <c r="W20" s="4"/>
    </row>
    <row r="21" spans="2:24" ht="17.399999999999999" x14ac:dyDescent="0.3">
      <c r="B21" s="323">
        <v>2</v>
      </c>
      <c r="C21" s="327" t="s">
        <v>162</v>
      </c>
      <c r="D21" s="313">
        <v>3</v>
      </c>
      <c r="E21" s="313">
        <v>0.3</v>
      </c>
      <c r="F21" s="312" t="s">
        <v>163</v>
      </c>
      <c r="G21" s="314">
        <v>52705</v>
      </c>
      <c r="H21" s="315">
        <f t="shared" ref="H21" si="1">G21*B21</f>
        <v>105410</v>
      </c>
      <c r="I21" s="265">
        <v>20000</v>
      </c>
      <c r="J21" s="47"/>
      <c r="K21" s="325">
        <f>B21</f>
        <v>2</v>
      </c>
      <c r="L21" s="326">
        <f t="shared" ref="L21:M21" si="2">D21+L$19</f>
        <v>3.05</v>
      </c>
      <c r="M21" s="326">
        <f t="shared" si="2"/>
        <v>0.3</v>
      </c>
      <c r="N21" s="261">
        <f>L21*M21</f>
        <v>0.91499999999999992</v>
      </c>
      <c r="O21" s="259">
        <f>N21*K21</f>
        <v>1.8299999999999998</v>
      </c>
      <c r="P21" s="252">
        <f>P$20*N21</f>
        <v>49704.600000000006</v>
      </c>
      <c r="Q21" s="258">
        <f>P21+Q$20</f>
        <v>52704.600000000006</v>
      </c>
      <c r="R21" s="308">
        <f>K21*L21</f>
        <v>6.1</v>
      </c>
      <c r="S21" s="14"/>
      <c r="T21" s="9"/>
      <c r="W21" s="4"/>
    </row>
    <row r="22" spans="2:24" ht="17.399999999999999" x14ac:dyDescent="0.3">
      <c r="B22" s="286"/>
      <c r="C22" s="286"/>
      <c r="D22" s="287"/>
      <c r="E22" s="287"/>
      <c r="F22" s="286"/>
      <c r="G22" s="318"/>
      <c r="H22" s="318"/>
      <c r="I22" s="265"/>
      <c r="J22" s="47"/>
      <c r="K22" s="47"/>
      <c r="L22" s="39"/>
      <c r="M22" s="39"/>
      <c r="N22" s="261"/>
      <c r="O22" s="259"/>
      <c r="P22" s="252"/>
      <c r="Q22" s="258"/>
      <c r="R22" s="308"/>
      <c r="S22" s="14"/>
      <c r="T22" s="9"/>
      <c r="W22" s="4"/>
    </row>
    <row r="23" spans="2:24" ht="18" thickBot="1" x14ac:dyDescent="0.35">
      <c r="B23" s="286"/>
      <c r="C23" s="286"/>
      <c r="D23" s="287"/>
      <c r="E23" s="287"/>
      <c r="F23" s="286"/>
      <c r="G23" s="265"/>
      <c r="H23" s="232"/>
      <c r="I23" s="232"/>
      <c r="J23" s="47"/>
      <c r="K23" s="47"/>
      <c r="L23" s="39"/>
      <c r="M23" s="39"/>
      <c r="N23" s="261"/>
      <c r="O23" s="259"/>
      <c r="P23" s="252"/>
      <c r="Q23" s="258"/>
      <c r="R23" s="308"/>
      <c r="S23" s="14"/>
      <c r="T23" s="9"/>
      <c r="W23" s="4"/>
    </row>
    <row r="24" spans="2:24" ht="17.399999999999999" x14ac:dyDescent="0.3">
      <c r="B24" s="286"/>
      <c r="C24" s="286"/>
      <c r="D24" s="287"/>
      <c r="E24" s="287"/>
      <c r="F24" s="286"/>
      <c r="G24" s="309" t="s">
        <v>30</v>
      </c>
      <c r="H24" s="310">
        <f>H21</f>
        <v>105410</v>
      </c>
      <c r="I24" s="265"/>
      <c r="J24" s="47"/>
      <c r="K24" s="47"/>
      <c r="L24" s="39">
        <f>SUM(L21:L23)</f>
        <v>3.05</v>
      </c>
      <c r="M24" s="39"/>
      <c r="N24" s="261"/>
      <c r="O24" s="259"/>
      <c r="P24" s="252"/>
      <c r="Q24" s="258"/>
      <c r="R24" s="308"/>
      <c r="S24" s="14"/>
      <c r="T24" s="9"/>
      <c r="W24" s="4"/>
    </row>
    <row r="25" spans="2:24" ht="17.399999999999999" x14ac:dyDescent="0.3">
      <c r="B25" s="280"/>
      <c r="C25" s="283"/>
      <c r="D25" s="284"/>
      <c r="E25" s="284"/>
      <c r="F25" s="285"/>
      <c r="G25" s="307" t="s">
        <v>53</v>
      </c>
      <c r="H25" s="304">
        <f>H24*19%</f>
        <v>20027.900000000001</v>
      </c>
      <c r="I25" s="265"/>
      <c r="J25" s="47"/>
      <c r="K25" s="47"/>
      <c r="L25" s="39"/>
      <c r="M25" s="12"/>
      <c r="N25" s="12"/>
      <c r="O25" s="253">
        <f>SUM(O21:O21)</f>
        <v>1.8299999999999998</v>
      </c>
      <c r="P25" s="14"/>
      <c r="Q25" s="12"/>
      <c r="R25" s="238"/>
      <c r="S25" s="14"/>
      <c r="T25" s="9"/>
      <c r="W25" s="4"/>
    </row>
    <row r="26" spans="2:24" ht="18" thickBot="1" x14ac:dyDescent="0.35">
      <c r="B26" s="276"/>
      <c r="C26" s="282"/>
      <c r="D26" s="272"/>
      <c r="E26" s="272"/>
      <c r="F26" s="273"/>
      <c r="G26" s="281" t="s">
        <v>6</v>
      </c>
      <c r="H26" s="305">
        <f>H24+H25</f>
        <v>125437.9</v>
      </c>
      <c r="I26" s="265"/>
      <c r="J26" s="47"/>
      <c r="K26" s="47"/>
      <c r="L26" s="39"/>
      <c r="M26" s="12"/>
      <c r="N26" s="12"/>
      <c r="O26" s="253">
        <f>O25</f>
        <v>1.8299999999999998</v>
      </c>
      <c r="P26" s="14"/>
      <c r="Q26" s="12"/>
      <c r="R26" s="238">
        <f>SUM(R21:R25)</f>
        <v>6.1</v>
      </c>
      <c r="S26" s="14"/>
      <c r="T26" s="9"/>
      <c r="W26" s="4"/>
    </row>
    <row r="27" spans="2:24" ht="17.399999999999999" x14ac:dyDescent="0.3">
      <c r="B27" s="276"/>
      <c r="C27" s="271"/>
      <c r="D27" s="272"/>
      <c r="E27" s="272"/>
      <c r="F27" s="273"/>
      <c r="I27" s="265"/>
      <c r="J27" s="47">
        <v>32</v>
      </c>
      <c r="K27" s="47"/>
      <c r="L27" s="39"/>
      <c r="M27" s="12"/>
      <c r="N27" s="12"/>
      <c r="O27" s="39">
        <f>O26*20%</f>
        <v>0.36599999999999999</v>
      </c>
      <c r="P27" s="39" t="s">
        <v>132</v>
      </c>
      <c r="Q27" s="42"/>
      <c r="R27" s="239"/>
      <c r="S27" s="14"/>
      <c r="T27" s="9"/>
      <c r="W27" s="4"/>
    </row>
    <row r="28" spans="2:24" ht="17.399999999999999" x14ac:dyDescent="0.3">
      <c r="B28" s="271"/>
      <c r="C28" s="271"/>
      <c r="D28" s="272"/>
      <c r="E28" s="272"/>
      <c r="F28" s="273"/>
      <c r="G28" s="274"/>
      <c r="H28" s="275"/>
      <c r="I28" s="265"/>
      <c r="J28" s="320">
        <v>32</v>
      </c>
      <c r="K28" s="47"/>
      <c r="L28" s="14"/>
      <c r="M28" s="12"/>
      <c r="N28" s="12"/>
      <c r="O28" s="46">
        <f>O26+O27</f>
        <v>2.1959999999999997</v>
      </c>
      <c r="P28" s="14"/>
      <c r="Q28" s="14"/>
      <c r="R28" s="237">
        <v>40</v>
      </c>
      <c r="S28" s="14"/>
      <c r="T28" s="9"/>
      <c r="W28" s="4"/>
    </row>
    <row r="29" spans="2:24" ht="17.399999999999999" x14ac:dyDescent="0.35">
      <c r="B29" s="269"/>
      <c r="C29" s="230"/>
      <c r="D29" s="230"/>
      <c r="E29" s="232"/>
      <c r="F29" s="233"/>
      <c r="G29" s="230"/>
      <c r="H29" s="275"/>
      <c r="I29" s="265"/>
      <c r="J29" s="320">
        <v>55</v>
      </c>
      <c r="K29" s="47"/>
      <c r="L29" s="14"/>
      <c r="M29" s="14"/>
      <c r="N29" s="14"/>
      <c r="O29" s="14"/>
      <c r="P29" s="14"/>
      <c r="Q29" s="14"/>
      <c r="R29" s="237"/>
      <c r="S29" s="14"/>
      <c r="T29" s="9"/>
      <c r="W29" s="4"/>
    </row>
    <row r="30" spans="2:24" ht="17.399999999999999" x14ac:dyDescent="0.35">
      <c r="B30" s="234"/>
      <c r="C30" s="235"/>
      <c r="D30" s="236"/>
      <c r="E30" s="234"/>
      <c r="F30" s="230"/>
      <c r="G30" s="230"/>
      <c r="I30" s="265"/>
      <c r="J30" s="47">
        <f>SUM(J27:J29)</f>
        <v>119</v>
      </c>
      <c r="K30" s="47"/>
      <c r="L30" s="39">
        <f>O28</f>
        <v>2.1959999999999997</v>
      </c>
      <c r="M30" s="12">
        <v>3500</v>
      </c>
      <c r="N30" s="12">
        <f t="shared" ref="N30:N35" si="3">L30*M30</f>
        <v>7685.9999999999991</v>
      </c>
      <c r="O30" s="14" t="s">
        <v>22</v>
      </c>
      <c r="P30" s="14" t="s">
        <v>23</v>
      </c>
      <c r="Q30" s="14"/>
      <c r="R30" s="240"/>
      <c r="S30" s="14"/>
      <c r="T30" s="9"/>
      <c r="W30" s="4"/>
    </row>
    <row r="31" spans="2:24" ht="17.399999999999999" x14ac:dyDescent="0.35">
      <c r="B31" s="230"/>
      <c r="C31" s="230"/>
      <c r="D31" s="230"/>
      <c r="E31" s="230"/>
      <c r="F31" s="230"/>
      <c r="G31" s="230"/>
      <c r="I31" s="265"/>
      <c r="J31" s="47"/>
      <c r="K31" s="47"/>
      <c r="L31" s="249">
        <v>0.5</v>
      </c>
      <c r="M31" s="12">
        <v>25000</v>
      </c>
      <c r="N31" s="12">
        <f t="shared" si="3"/>
        <v>12500</v>
      </c>
      <c r="O31" s="39" t="s">
        <v>156</v>
      </c>
      <c r="P31" s="42"/>
      <c r="Q31" s="14"/>
      <c r="R31" s="239"/>
      <c r="S31" s="14"/>
      <c r="T31" s="9"/>
      <c r="W31" s="4"/>
    </row>
    <row r="32" spans="2:24" s="230" customFormat="1" ht="17.399999999999999" x14ac:dyDescent="0.35">
      <c r="I32" s="262"/>
      <c r="J32" s="47"/>
      <c r="K32" s="250"/>
      <c r="L32" s="14"/>
      <c r="M32" s="250">
        <v>55000</v>
      </c>
      <c r="N32" s="12">
        <f t="shared" si="3"/>
        <v>0</v>
      </c>
      <c r="O32" s="39" t="s">
        <v>32</v>
      </c>
      <c r="P32" s="42"/>
      <c r="R32" s="239"/>
      <c r="S32" s="256"/>
      <c r="V32" s="231"/>
    </row>
    <row r="33" spans="2:23" s="230" customFormat="1" ht="17.399999999999999" x14ac:dyDescent="0.35">
      <c r="B33" s="24" t="s">
        <v>153</v>
      </c>
      <c r="I33" s="262"/>
      <c r="J33" s="319"/>
      <c r="K33" s="250"/>
      <c r="L33" s="14">
        <v>1</v>
      </c>
      <c r="M33" s="250">
        <v>25000</v>
      </c>
      <c r="N33" s="12">
        <f t="shared" si="3"/>
        <v>25000</v>
      </c>
      <c r="O33" s="14" t="s">
        <v>143</v>
      </c>
      <c r="P33" s="17"/>
      <c r="R33" s="237"/>
      <c r="S33" s="256"/>
      <c r="V33" s="231"/>
    </row>
    <row r="34" spans="2:23" s="230" customFormat="1" ht="17.399999999999999" x14ac:dyDescent="0.35">
      <c r="B34" s="24" t="s">
        <v>146</v>
      </c>
      <c r="C34"/>
      <c r="D34"/>
      <c r="E34"/>
      <c r="F34"/>
      <c r="I34" s="262"/>
      <c r="J34" s="319"/>
      <c r="K34" s="250"/>
      <c r="L34" s="249"/>
      <c r="M34" s="250">
        <v>800</v>
      </c>
      <c r="N34" s="12">
        <f t="shared" si="3"/>
        <v>0</v>
      </c>
      <c r="O34" s="14" t="s">
        <v>34</v>
      </c>
      <c r="P34" s="14"/>
      <c r="Q34" s="230">
        <v>1.52</v>
      </c>
      <c r="R34" s="237"/>
      <c r="S34" s="237"/>
    </row>
    <row r="35" spans="2:23" s="230" customFormat="1" ht="17.399999999999999" x14ac:dyDescent="0.35">
      <c r="B35" s="29" t="s">
        <v>127</v>
      </c>
      <c r="C35"/>
      <c r="D35"/>
      <c r="E35"/>
      <c r="F35" s="229" t="s">
        <v>16</v>
      </c>
      <c r="I35" s="303"/>
      <c r="J35" s="47"/>
      <c r="K35" s="250"/>
      <c r="L35" s="266"/>
      <c r="M35" s="12">
        <v>1500</v>
      </c>
      <c r="N35" s="12">
        <f t="shared" si="3"/>
        <v>0</v>
      </c>
      <c r="O35" s="14" t="s">
        <v>24</v>
      </c>
      <c r="P35" s="14"/>
      <c r="Q35">
        <v>2.44</v>
      </c>
      <c r="R35"/>
      <c r="S35" s="237">
        <v>1500</v>
      </c>
      <c r="W35" s="231"/>
    </row>
    <row r="36" spans="2:23" s="230" customFormat="1" ht="17.399999999999999" x14ac:dyDescent="0.35">
      <c r="J36" s="47"/>
      <c r="K36" s="250"/>
      <c r="L36" s="14"/>
      <c r="M36" s="12"/>
      <c r="N36" s="12">
        <f>SUM(N30:N35)</f>
        <v>45186</v>
      </c>
      <c r="O36" s="39" t="s">
        <v>25</v>
      </c>
      <c r="P36" s="14"/>
      <c r="Q36">
        <f>Q34*Q35</f>
        <v>3.7088000000000001</v>
      </c>
      <c r="R36"/>
      <c r="S36" s="237">
        <f>R28*S35</f>
        <v>60000</v>
      </c>
      <c r="W36" s="231"/>
    </row>
    <row r="37" spans="2:23" s="230" customFormat="1" ht="17.399999999999999" x14ac:dyDescent="0.35">
      <c r="J37" s="47">
        <v>43190</v>
      </c>
      <c r="K37" s="250"/>
      <c r="L37" s="254" t="s">
        <v>35</v>
      </c>
      <c r="M37" s="12"/>
      <c r="N37" s="255">
        <f>N36*2.2</f>
        <v>99409.200000000012</v>
      </c>
      <c r="O37" s="14" t="s">
        <v>142</v>
      </c>
      <c r="P37" s="14"/>
      <c r="Q37" s="46">
        <f>O26/Q36</f>
        <v>0.49342105263157887</v>
      </c>
      <c r="R37"/>
      <c r="S37" s="257" t="e">
        <f>S36/#REF!</f>
        <v>#REF!</v>
      </c>
    </row>
    <row r="38" spans="2:23" s="230" customFormat="1" ht="17.399999999999999" x14ac:dyDescent="0.35">
      <c r="G38"/>
      <c r="H38" s="260"/>
      <c r="I38" s="260"/>
      <c r="J38" s="47">
        <f>J37/1.19</f>
        <v>36294.117647058825</v>
      </c>
      <c r="K38" s="250"/>
      <c r="L38" s="14"/>
      <c r="M38" s="12"/>
      <c r="N38" s="12">
        <f>N37/O26</f>
        <v>54321.967213114767</v>
      </c>
      <c r="O38" s="45" t="s">
        <v>26</v>
      </c>
      <c r="P38" s="14"/>
      <c r="Q38" s="14"/>
      <c r="R38"/>
      <c r="S38" s="237"/>
    </row>
    <row r="39" spans="2:23" s="230" customFormat="1" ht="17.399999999999999" x14ac:dyDescent="0.35">
      <c r="G39"/>
      <c r="J39" s="47"/>
      <c r="K39" s="250"/>
      <c r="L39" s="13"/>
      <c r="M39" s="14"/>
      <c r="N39" s="17">
        <f>N37/N36</f>
        <v>2.2000000000000002</v>
      </c>
      <c r="O39" s="15"/>
      <c r="P39"/>
      <c r="Q39"/>
      <c r="R39"/>
      <c r="S39" s="237"/>
    </row>
    <row r="40" spans="2:23" s="230" customFormat="1" ht="17.399999999999999" x14ac:dyDescent="0.35">
      <c r="G40" s="23"/>
      <c r="J40" s="47"/>
      <c r="K40" s="12"/>
      <c r="S40" s="237"/>
    </row>
    <row r="41" spans="2:23" s="230" customFormat="1" ht="17.399999999999999" x14ac:dyDescent="0.35">
      <c r="B41"/>
      <c r="C41" s="228"/>
      <c r="D41" s="22"/>
      <c r="E41" s="22"/>
      <c r="F41" s="21"/>
      <c r="G41" s="23"/>
      <c r="J41" s="47"/>
      <c r="K41" s="12"/>
      <c r="S41" s="237">
        <v>1.83</v>
      </c>
    </row>
    <row r="42" spans="2:23" ht="14.4" customHeight="1" x14ac:dyDescent="0.3">
      <c r="J42" s="47"/>
      <c r="K42" s="12"/>
      <c r="S42">
        <v>2.5</v>
      </c>
    </row>
    <row r="43" spans="2:23" x14ac:dyDescent="0.3">
      <c r="J43" s="47"/>
      <c r="K43" s="250"/>
      <c r="S43">
        <f>S41*S42</f>
        <v>4.5750000000000002</v>
      </c>
    </row>
    <row r="44" spans="2:23" x14ac:dyDescent="0.3">
      <c r="K44" s="250"/>
      <c r="S44" s="270">
        <f>O28/S43</f>
        <v>0.47999999999999993</v>
      </c>
    </row>
    <row r="45" spans="2:23" x14ac:dyDescent="0.3">
      <c r="K45" s="250"/>
    </row>
    <row r="46" spans="2:23" ht="15" customHeight="1" x14ac:dyDescent="0.3"/>
    <row r="48" spans="2:23" x14ac:dyDescent="0.3">
      <c r="N48">
        <v>40935</v>
      </c>
      <c r="O48" t="s">
        <v>17</v>
      </c>
      <c r="P48" t="s">
        <v>28</v>
      </c>
    </row>
    <row r="50" spans="14:19" x14ac:dyDescent="0.3">
      <c r="N50" s="54"/>
      <c r="O50" s="54"/>
    </row>
    <row r="51" spans="14:19" x14ac:dyDescent="0.3">
      <c r="R51" s="18"/>
      <c r="S51" s="18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2" spans="14:19" x14ac:dyDescent="0.3">
      <c r="N62" s="43"/>
    </row>
    <row r="63" spans="14:19" x14ac:dyDescent="0.3">
      <c r="N63" s="43"/>
    </row>
    <row r="64" spans="14:19" x14ac:dyDescent="0.3">
      <c r="N64" s="6"/>
    </row>
    <row r="65" spans="3:14" x14ac:dyDescent="0.3">
      <c r="N65" s="6"/>
    </row>
    <row r="73" spans="3:14" x14ac:dyDescent="0.3">
      <c r="C73" t="s">
        <v>150</v>
      </c>
    </row>
    <row r="74" spans="3:14" x14ac:dyDescent="0.3">
      <c r="C74" t="s">
        <v>149</v>
      </c>
    </row>
    <row r="77" spans="3:14" x14ac:dyDescent="0.3">
      <c r="C77" t="s">
        <v>149</v>
      </c>
    </row>
    <row r="154" spans="3:3" x14ac:dyDescent="0.3">
      <c r="C154" t="s">
        <v>149</v>
      </c>
    </row>
    <row r="155" spans="3:3" x14ac:dyDescent="0.3">
      <c r="C155" t="s">
        <v>151</v>
      </c>
    </row>
    <row r="156" spans="3:3" x14ac:dyDescent="0.3">
      <c r="C156" t="s">
        <v>152</v>
      </c>
    </row>
    <row r="581" spans="3:3" x14ac:dyDescent="0.3">
      <c r="C581" t="s">
        <v>149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45425</v>
      </c>
    </row>
    <row r="6" spans="2:31" ht="16.2" thickBot="1" x14ac:dyDescent="0.35">
      <c r="B6" s="140" t="s">
        <v>2</v>
      </c>
      <c r="C6" s="139" t="str">
        <f>'2229'!C10</f>
        <v>MARIA LUISA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4" t="s">
        <v>100</v>
      </c>
      <c r="I7" s="335"/>
      <c r="J7" s="335"/>
      <c r="K7" s="336"/>
      <c r="N7" s="75"/>
      <c r="O7" s="333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10958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33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-3812.8083667874403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'2229'!H24</f>
        <v>105410</v>
      </c>
      <c r="E11" s="132">
        <f>D11*0.19</f>
        <v>20027.900000000001</v>
      </c>
      <c r="F11" s="131">
        <f>E11+D11</f>
        <v>125437.9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102177.19163321255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50020.090787439614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84177.191633212555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55389.909212560386</v>
      </c>
      <c r="E13" s="221">
        <f>(D11/D12)-1</f>
        <v>1.1073532322830002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75177.191633212555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36177.191633212562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82533.149799275358</v>
      </c>
      <c r="F15" s="216">
        <f>E15-D12</f>
        <v>32513.059011835743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36177.191633212562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76177.191633212555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'2229'!N31</f>
        <v>12500</v>
      </c>
      <c r="E19" s="123">
        <f>D19*0.19</f>
        <v>2375</v>
      </c>
      <c r="F19" s="120">
        <f>SUM(D19:E19)</f>
        <v>14875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'2229'!N30</f>
        <v>7685.9999999999991</v>
      </c>
      <c r="E20" s="121">
        <f>D20*0.19</f>
        <v>1460.34</v>
      </c>
      <c r="F20" s="120">
        <f>SUM(D20:E20)</f>
        <v>9146.3399999999983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20186</v>
      </c>
      <c r="E21" s="116">
        <f>SUM(E18:E20)</f>
        <v>3835.34</v>
      </c>
      <c r="F21" s="115">
        <f>SUM(F18:F20)</f>
        <v>24021.339999999997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16192.560000000001</v>
      </c>
    </row>
    <row r="41" spans="2:16" ht="15" thickBot="1" x14ac:dyDescent="0.35">
      <c r="H41" s="337" t="s">
        <v>62</v>
      </c>
      <c r="I41" s="338"/>
      <c r="J41" s="338"/>
      <c r="K41" s="338"/>
      <c r="L41" s="338"/>
      <c r="M41" s="339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105410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20186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55389.909212560386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55389.909212560386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2024-05-13T15:07:00Z</cp:lastPrinted>
  <dcterms:created xsi:type="dcterms:W3CDTF">2013-03-18T13:35:42Z</dcterms:created>
  <dcterms:modified xsi:type="dcterms:W3CDTF">2024-05-14T16:51:42Z</dcterms:modified>
</cp:coreProperties>
</file>