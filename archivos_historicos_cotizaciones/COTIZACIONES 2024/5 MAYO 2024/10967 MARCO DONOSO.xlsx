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C1B52A66-AC15-42B3-8D53-770681179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K23" i="1"/>
  <c r="L23" i="1"/>
  <c r="R23" i="1" s="1"/>
  <c r="M23" i="1"/>
  <c r="N23" i="1" l="1"/>
  <c r="O23" i="1" s="1"/>
  <c r="K22" i="1"/>
  <c r="L22" i="1"/>
  <c r="R22" i="1" s="1"/>
  <c r="M22" i="1"/>
  <c r="K21" i="1"/>
  <c r="N22" i="1" l="1"/>
  <c r="O22" i="1" s="1"/>
  <c r="J40" i="1"/>
  <c r="L21" i="1" l="1"/>
  <c r="L26" i="1" s="1"/>
  <c r="M21" i="1"/>
  <c r="N21" i="1" l="1"/>
  <c r="O21" i="1" s="1"/>
  <c r="R21" i="1"/>
  <c r="N33" i="1"/>
  <c r="O28" i="1" l="1"/>
  <c r="O29" i="1" s="1"/>
  <c r="O30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L32" i="1" l="1"/>
  <c r="N32" i="1" l="1"/>
  <c r="N38" i="1" s="1"/>
  <c r="N39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G22" i="1" s="1"/>
  <c r="P23" i="1"/>
  <c r="G23" i="1" s="1"/>
  <c r="P21" i="1"/>
  <c r="G21" i="1" s="1"/>
  <c r="F15" i="3"/>
  <c r="Q22" i="1" l="1"/>
  <c r="H22" i="1" s="1"/>
  <c r="Q23" i="1"/>
  <c r="H23" i="1" s="1"/>
  <c r="Q21" i="1"/>
  <c r="R28" i="1"/>
  <c r="H21" i="1" l="1"/>
  <c r="H26" i="1" s="1"/>
  <c r="K15" i="1" s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<sst xmlns="http://schemas.openxmlformats.org/spreadsheetml/2006/main" count="223" uniqueCount="165">
  <si>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</si>
  <si>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</si>
  <si>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</si>
  <si>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</si>
  <si>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</si>
  <si>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</si>
  <si>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</si>
  <si>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</si>
  <si>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</si>
  <si>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</si>
  <si>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</si>
  <si>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</si>
  <si>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</si>
  <si>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</si>
  <si>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</si>
  <si>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</si>
  <si>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</si>
  <si>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</si>
  <si>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</si>
  <si>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</si>
  <si>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</si>
  <si>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</si>
  <si>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</si>
  <si>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</si>
  <si>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</si>
  <si>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</si>
  <si>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</si>
  <si>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</si>
  <si>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</si>
  <si>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</si>
  <si>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</si>
  <si>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</si>
  <si>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</si>
  <si>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</si>
  <si>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</si>
  <si>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</si>
  <si>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</si>
  <si>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</si>
  <si>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</si>
  <si>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</si>
  <si>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</si>
  <si>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</si>
  <si>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</si>
  <si>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</si>
  <si>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</si>
  <si>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</si>
  <si>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</si>
  <si>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</si>
  <si>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</si>
  <si>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</si>
  <si>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</si>
  <si>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</si>
  <si>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</si>
  <si>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</si>
  <si>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</si>
  <si>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</si>
  <si>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</si>
  <si>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</si>
  <si>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</si>
  <si>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</si>
  <si>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</si>
  <si>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</si>
  <si>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</si>
  <si>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</si>
  <si>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</si>
  <si>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</si>
  <si>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</si>
  <si>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</si>
  <si>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</si>
  <si>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</si>
  <si>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</si>
  <si>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</si>
  <si>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</si>
  <si>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</si>
  <si>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</si>
  <si>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</si>
  <si>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</si>
  <si>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</si>
  <si>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</si>
  <si>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</si>
  <si>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</si>
  <si>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</si>
  <si>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</si>
  <si>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</si>
  <si>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</si>
  <si>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</si>
  <si>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</si>
  <si>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</si>
  <si>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</si>
  <si>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</si>
  <si>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</si>
  <si>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</si>
  <si>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</si>
  <si>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</si>
  <si>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</si>
  <si>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</si>
  <si>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</si>
  <si>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</si>
  <si>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</si>
  <si>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</si>
  <si>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</si>
  <si>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</si>
  <si>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</si>
  <si>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</si>
  <si>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</si>
  <si>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</si>
  <si>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</si>
  <si>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</si>
  <si>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</si>
  <si>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</si>
  <si>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</si>
  <si>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</si>
  <si>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</si>
  <si>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</si>
  <si>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</si>
  <si>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</si>
  <si>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</si>
  <si>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</si>
  <si>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</si>
  <si>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</si>
  <si>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</si>
  <si>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</si>
  <si>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</si>
  <si>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</si>
  <si>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</si>
  <si>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</si>
  <si>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</si>
  <si>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</si>
  <si>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</si>
  <si>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</si>
  <si>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</si>
  <si>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</si>
  <si>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</si>
  <si>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</si>
  <si>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</si>
  <si>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</si>
  <si>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</si>
  <si>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</si>
  <si>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</si>
  <si>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</si>
  <si>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</si>
  <si>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</si>
  <si>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</si>
  <si>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</si>
  <si>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</si>
  <si>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</si>
  <si>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</si>
  <si>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</si>
  <si>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</si>
  <si>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</si>
  <si>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</si>
  <si>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</si>
  <si>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</si>
  <si>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</si>
  <si>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</si>
  <si>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</si>
  <si>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CONTADO</t>
  </si>
  <si>
    <t>DURACION COTIZACION: 5 DIAS                   FERNANDO DONOSO</t>
  </si>
  <si>
    <t>MARCO DONOSO</t>
  </si>
  <si>
    <t>N° 10967</t>
  </si>
  <si>
    <t>+569 9128 9904</t>
  </si>
  <si>
    <t>CUB CON RESPALDO 90° R6</t>
  </si>
  <si>
    <t>CUB MESA 4 LADOS</t>
  </si>
  <si>
    <t>BLANCO OPACO</t>
  </si>
  <si>
    <t>3-5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</si>
</sst>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5249</xdr:rowOff>
    </xdr:from>
    <xdr:to>
      <xdr:col>8</xdr:col>
      <xdr:colOff>7776</xdr:colOff>
      <xdr:row>32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29</xdr:row>
      <xdr:rowOff>9525</xdr:rowOff>
    </xdr:from>
    <xdr:to>
      <xdr:col>5</xdr:col>
      <xdr:colOff>1749491</xdr:colOff>
      <xdr:row>32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24</xdr:row>
      <xdr:rowOff>223973</xdr:rowOff>
    </xdr:from>
    <xdr:to>
      <xdr:col>5</xdr:col>
      <xdr:colOff>1749490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SOBREMEDIDAS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zoomScale="98" zoomScaleNormal="98" workbookViewId="0">
      <selection activeCell="O28" sqref="O28"/>
    </sheetView>
  </sheetViews>
  <sheetFormatPr baseColWidth="10" defaultRowHeight="14.4" x14ac:dyDescent="0.3"/>
  <cols>
    <col min="1" max="1" width="6" customWidth="1"/>
    <col min="2" max="2" width="10.5546875" customWidth="1"/>
    <col min="3" max="3" width="48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45435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164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H26/L13</f>
        <v>10168.429351121895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155</v>
      </c>
      <c r="D17" s="298"/>
      <c r="E17" s="299"/>
      <c r="F17" s="328" t="s">
        <v>157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58373.33333333335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4" t="s">
        <v>161</v>
      </c>
      <c r="D21" s="325">
        <v>2.9</v>
      </c>
      <c r="E21" s="325">
        <v>0.5</v>
      </c>
      <c r="F21" s="324" t="s">
        <v>163</v>
      </c>
      <c r="G21" s="326">
        <f>P21</f>
        <v>86100.666666666686</v>
      </c>
      <c r="H21" s="327">
        <f t="shared" ref="H21" si="1">G21*B21</f>
        <v>86100.666666666686</v>
      </c>
      <c r="I21" s="265"/>
      <c r="J21" s="47"/>
      <c r="K21" s="316">
        <f t="shared" si="0"/>
        <v>1</v>
      </c>
      <c r="L21" s="317">
        <f t="shared" ref="L21:M21" si="2">D21+L$19</f>
        <v>2.9499999999999997</v>
      </c>
      <c r="M21" s="317">
        <f t="shared" si="2"/>
        <v>0.5</v>
      </c>
      <c r="N21" s="261">
        <f>L21*M21</f>
        <v>1.4749999999999999</v>
      </c>
      <c r="O21" s="259">
        <f>N21*K21</f>
        <v>1.4749999999999999</v>
      </c>
      <c r="P21" s="252">
        <f>P$20*N21</f>
        <v>86100.666666666686</v>
      </c>
      <c r="Q21" s="258">
        <f>P21+Q$20</f>
        <v>89100.666666666686</v>
      </c>
      <c r="R21" s="307">
        <f>K21*L21</f>
        <v>2.9499999999999997</v>
      </c>
      <c r="S21" s="14"/>
      <c r="T21" s="9"/>
      <c r="W21" s="4"/>
    </row>
    <row r="22" spans="2:24" ht="17.399999999999999" x14ac:dyDescent="0.3">
      <c r="B22" s="343">
        <v>1</v>
      </c>
      <c r="C22" s="340" t="s">
        <v>161</v>
      </c>
      <c r="D22" s="341">
        <v>1.6</v>
      </c>
      <c r="E22" s="341">
        <v>0.6</v>
      </c>
      <c r="F22" s="340" t="s">
        <v>163</v>
      </c>
      <c r="G22" s="342">
        <f>P22</f>
        <v>57789.600000000013</v>
      </c>
      <c r="H22" s="344">
        <f t="shared" ref="H22:H23" si="3">G22*B22</f>
        <v>57789.600000000013</v>
      </c>
      <c r="I22" s="265"/>
      <c r="J22" s="47"/>
      <c r="K22" s="316">
        <f t="shared" ref="K22" si="4">B22</f>
        <v>1</v>
      </c>
      <c r="L22" s="317">
        <f t="shared" ref="L22" si="5">D22+L$19</f>
        <v>1.6500000000000001</v>
      </c>
      <c r="M22" s="317">
        <f t="shared" ref="M22" si="6">E22+M$19</f>
        <v>0.6</v>
      </c>
      <c r="N22" s="261">
        <f>L22*M22</f>
        <v>0.99</v>
      </c>
      <c r="O22" s="259">
        <f>N22*K22</f>
        <v>0.99</v>
      </c>
      <c r="P22" s="252">
        <f>P$20*N22</f>
        <v>57789.600000000013</v>
      </c>
      <c r="Q22" s="258">
        <f>P22+Q$20</f>
        <v>60789.600000000013</v>
      </c>
      <c r="R22" s="307">
        <f>K22*L22</f>
        <v>1.6500000000000001</v>
      </c>
      <c r="S22" s="14"/>
      <c r="T22" s="9"/>
      <c r="W22" s="4"/>
    </row>
    <row r="23" spans="2:24" ht="18" thickBot="1" x14ac:dyDescent="0.35">
      <c r="B23" s="345">
        <v>2</v>
      </c>
      <c r="C23" s="346" t="s">
        <v>162</v>
      </c>
      <c r="D23" s="347">
        <v>2</v>
      </c>
      <c r="E23" s="347">
        <v>0.8</v>
      </c>
      <c r="F23" s="346" t="s">
        <v>163</v>
      </c>
      <c r="G23" s="348">
        <f>P23</f>
        <v>95732.266666666692</v>
      </c>
      <c r="H23" s="349">
        <f t="shared" si="3"/>
        <v>191464.53333333338</v>
      </c>
      <c r="I23" s="265"/>
      <c r="J23" s="47"/>
      <c r="K23" s="316">
        <f t="shared" ref="K23" si="7">B23</f>
        <v>2</v>
      </c>
      <c r="L23" s="317">
        <f t="shared" ref="L23" si="8">D23+L$19</f>
        <v>2.0499999999999998</v>
      </c>
      <c r="M23" s="317">
        <f t="shared" ref="M23" si="9">E23+M$19</f>
        <v>0.8</v>
      </c>
      <c r="N23" s="261">
        <f t="shared" ref="N23" si="10">L23*M23</f>
        <v>1.64</v>
      </c>
      <c r="O23" s="259">
        <f t="shared" ref="O23" si="11">N23*K23</f>
        <v>3.28</v>
      </c>
      <c r="P23" s="252">
        <f t="shared" ref="P23" si="12">P$20*N23</f>
        <v>95732.266666666692</v>
      </c>
      <c r="Q23" s="258">
        <f t="shared" ref="Q23" si="13">P23+Q$20</f>
        <v>98732.266666666692</v>
      </c>
      <c r="R23" s="307">
        <f t="shared" ref="R23" si="14">K23*L23</f>
        <v>4.0999999999999996</v>
      </c>
      <c r="S23" s="14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311"/>
      <c r="H24" s="311"/>
      <c r="I24" s="265"/>
      <c r="K24" s="318"/>
      <c r="L24" s="319"/>
      <c r="M24" s="319"/>
      <c r="N24" s="261"/>
      <c r="O24" s="259"/>
      <c r="P24" s="252"/>
      <c r="Q24" s="258"/>
      <c r="R24" s="307"/>
      <c r="S24" s="14"/>
      <c r="T24" s="9"/>
      <c r="W24" s="4"/>
    </row>
    <row r="25" spans="2:24" ht="18" thickBot="1" x14ac:dyDescent="0.35">
      <c r="B25" s="285"/>
      <c r="C25" s="285"/>
      <c r="D25" s="286"/>
      <c r="E25" s="286"/>
      <c r="F25" s="285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308" t="s">
        <v>30</v>
      </c>
      <c r="H26" s="309">
        <f>SUM(H21:H25)</f>
        <v>335354.80000000005</v>
      </c>
      <c r="I26" s="265"/>
      <c r="J26" s="47"/>
      <c r="K26" s="47"/>
      <c r="L26" s="39">
        <f>SUM(L21:L25)</f>
        <v>6.6499999999999995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306" t="s">
        <v>53</v>
      </c>
      <c r="H27" s="303">
        <f>H26*0.19</f>
        <v>63717.412000000011</v>
      </c>
      <c r="I27" s="265"/>
      <c r="J27" s="47"/>
      <c r="K27" s="47"/>
      <c r="L27" s="39"/>
      <c r="M27" s="12"/>
      <c r="N27" s="12"/>
      <c r="O27" s="253">
        <f>SUM(O21:O23)</f>
        <v>5.7449999999999992</v>
      </c>
      <c r="P27" s="14"/>
      <c r="Q27" s="12"/>
      <c r="R27" s="238"/>
      <c r="S27" s="14"/>
      <c r="T27" s="9"/>
      <c r="W27" s="4"/>
    </row>
    <row r="28" spans="2:24" ht="18" thickBot="1" x14ac:dyDescent="0.35">
      <c r="B28" s="275"/>
      <c r="C28" s="281"/>
      <c r="D28" s="272"/>
      <c r="E28" s="272"/>
      <c r="F28" s="273"/>
      <c r="G28" s="280" t="s">
        <v>6</v>
      </c>
      <c r="H28" s="304">
        <f>H26+H27</f>
        <v>399072.21200000006</v>
      </c>
      <c r="I28" s="265"/>
      <c r="J28" s="47"/>
      <c r="K28" s="47"/>
      <c r="L28" s="39"/>
      <c r="M28" s="12"/>
      <c r="N28" s="12"/>
      <c r="O28" s="253">
        <f>O27</f>
        <v>5.7449999999999992</v>
      </c>
      <c r="P28" s="14"/>
      <c r="Q28" s="12"/>
      <c r="R28" s="238">
        <f>SUM(R21:R27)</f>
        <v>8.6999999999999993</v>
      </c>
      <c r="S28" s="14"/>
      <c r="T28" s="9"/>
      <c r="W28" s="4"/>
    </row>
    <row r="29" spans="2:24" ht="17.399999999999999" x14ac:dyDescent="0.3">
      <c r="B29" s="275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O28*0.2</f>
        <v>1.1489999999999998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4"/>
      <c r="I30" s="265"/>
      <c r="J30" s="313"/>
      <c r="K30" s="47"/>
      <c r="L30" s="14"/>
      <c r="M30" s="12"/>
      <c r="N30" s="12"/>
      <c r="O30" s="46">
        <f>O28+O29</f>
        <v>6.8939999999999992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J31" s="313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39">
        <f>O30</f>
        <v>6.8939999999999992</v>
      </c>
      <c r="M32" s="12">
        <v>3500</v>
      </c>
      <c r="N32" s="12">
        <f t="shared" ref="N32:N37" si="15">L32*M32</f>
        <v>24128.999999999996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30"/>
      <c r="C33" s="230"/>
      <c r="D33" s="230"/>
      <c r="E33" s="230"/>
      <c r="F33" s="230"/>
      <c r="G33" s="230"/>
      <c r="H33" s="230"/>
      <c r="I33" s="265"/>
      <c r="J33" s="47"/>
      <c r="K33" s="47"/>
      <c r="L33" s="249">
        <v>1.0289999999999999</v>
      </c>
      <c r="M33" s="12">
        <v>25000</v>
      </c>
      <c r="N33" s="12">
        <f t="shared" si="15"/>
        <v>25724.999999999996</v>
      </c>
      <c r="O33" s="39" t="s">
        <v>154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4" t="s">
        <v>153</v>
      </c>
      <c r="I34" s="262"/>
      <c r="J34" s="47"/>
      <c r="K34" s="250"/>
      <c r="L34" s="14"/>
      <c r="M34" s="250">
        <v>150000</v>
      </c>
      <c r="N34" s="12">
        <f t="shared" si="15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B35" s="24" t="s">
        <v>146</v>
      </c>
      <c r="C35"/>
      <c r="D35"/>
      <c r="E35"/>
      <c r="F35"/>
      <c r="I35" s="262"/>
      <c r="J35" s="312"/>
      <c r="K35" s="250"/>
      <c r="L35" s="14">
        <v>4</v>
      </c>
      <c r="M35" s="250">
        <v>23000</v>
      </c>
      <c r="N35" s="12">
        <f t="shared" si="15"/>
        <v>92000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B36" s="29" t="s">
        <v>127</v>
      </c>
      <c r="C36"/>
      <c r="D36"/>
      <c r="E36"/>
      <c r="F36" s="229" t="s">
        <v>16</v>
      </c>
      <c r="I36" s="262"/>
      <c r="J36" s="312"/>
      <c r="K36" s="250"/>
      <c r="L36" s="249">
        <v>4.5999999999999996</v>
      </c>
      <c r="M36" s="250">
        <v>800</v>
      </c>
      <c r="N36" s="12">
        <f t="shared" si="15"/>
        <v>3679.9999999999995</v>
      </c>
      <c r="O36" s="14" t="s">
        <v>34</v>
      </c>
      <c r="P36" s="14"/>
      <c r="Q36" s="230">
        <v>1.83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>
        <v>4.5999999999999996</v>
      </c>
      <c r="M37" s="12">
        <v>1500</v>
      </c>
      <c r="N37" s="12">
        <f t="shared" si="15"/>
        <v>6899.9999999999991</v>
      </c>
      <c r="O37" s="14" t="s">
        <v>24</v>
      </c>
      <c r="P37" s="14"/>
      <c r="Q37">
        <v>3.66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152434</v>
      </c>
      <c r="O38" s="39" t="s">
        <v>25</v>
      </c>
      <c r="P38" s="14"/>
      <c r="Q38">
        <f>Q36*Q37</f>
        <v>6.6978000000000009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58690</v>
      </c>
      <c r="K39" s="250"/>
      <c r="L39" s="254" t="s">
        <v>35</v>
      </c>
      <c r="M39" s="12"/>
      <c r="N39" s="255">
        <f>N38*2.2</f>
        <v>335354.80000000005</v>
      </c>
      <c r="O39" s="14" t="s">
        <v>142</v>
      </c>
      <c r="P39" s="14"/>
      <c r="Q39" s="46">
        <f>O30/Q38</f>
        <v>1.0292932007524855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49319.327731092439</v>
      </c>
      <c r="K40" s="250"/>
      <c r="L40" s="14"/>
      <c r="M40" s="12"/>
      <c r="N40" s="12">
        <f>N39/O28</f>
        <v>58373.33333333335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1.5068852459016391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45435</v>
      </c>
    </row>
    <row r="6" spans="2:31" ht="16.2" thickBot="1" x14ac:dyDescent="0.35">
      <c r="B6" s="140" t="s">
        <v>2</v>
      </c>
      <c r="C6" s="139" t="str">
        <f>'2229'!C10</f>
        <v>MARCO DONOSO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-33978.241700120787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335354.80000000005</v>
      </c>
      <c r="E11" s="132">
        <f>D11*0.19</f>
        <v>63717.412000000011</v>
      </c>
      <c r="F11" s="131">
        <f>E11+D11</f>
        <v>399072.21200000006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72011.758299879206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79688.090787439607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54011.758299879213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255666.70921256044</v>
      </c>
      <c r="E13" s="221">
        <f>(D11/D12)-1</f>
        <v>3.2083427609594395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45011.758299879213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6011.7582998792132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131485.34979927534</v>
      </c>
      <c r="F15" s="216">
        <f>E15-D12</f>
        <v>51797.259011835733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6011.7582998792132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46011.758299879213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25724.999999999996</v>
      </c>
      <c r="E19" s="123">
        <f>D19*0.19</f>
        <v>4887.7499999999991</v>
      </c>
      <c r="F19" s="120">
        <f>SUM(D19:E19)</f>
        <v>30612.749999999996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24128.999999999996</v>
      </c>
      <c r="E20" s="121">
        <f>D20*0.19</f>
        <v>4584.5099999999993</v>
      </c>
      <c r="F20" s="120">
        <f>SUM(D20:E20)</f>
        <v>28713.509999999995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49853.999999999993</v>
      </c>
      <c r="E21" s="116">
        <f>SUM(E18:E20)</f>
        <v>9472.2599999999984</v>
      </c>
      <c r="F21" s="115">
        <f>SUM(F18:F20)</f>
        <v>59326.259999999995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54245.152000000016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335354.80000000005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49853.999999999993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255666.70921256044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255666.70921256044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2024-05-23T20:17:05Z</cp:lastPrinted>
  <dcterms:created xsi:type="dcterms:W3CDTF">2013-03-18T13:35:42Z</dcterms:created>
  <dcterms:modified xsi:type="dcterms:W3CDTF">2024-05-23T20:17:10Z</dcterms:modified>
</cp:coreProperties>
</file>