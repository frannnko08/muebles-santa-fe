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D8049082-6AB7-46CE-B80A-ED747B506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H21" i="1"/>
  <c r="H24" i="1" s="1"/>
  <c r="H25" i="1" s="1"/>
  <c r="J30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<sst xmlns="http://schemas.openxmlformats.org/spreadsheetml/2006/main" count="218" uniqueCount="164">
  <si>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</si>
  <si>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</si>
  <si>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</si>
  <si>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</si>
  <si>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</si>
  <si>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</si>
  <si>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</si>
  <si>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</si>
  <si>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</si>
  <si>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</si>
  <si>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</si>
  <si>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</si>
  <si>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</si>
  <si>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</si>
  <si>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</si>
  <si>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</si>
  <si>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</si>
  <si>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</si>
  <si>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</si>
  <si>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</si>
  <si>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</si>
  <si>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</si>
  <si>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</si>
  <si>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</si>
  <si>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</si>
  <si>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</si>
  <si>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</si>
  <si>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</si>
  <si>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</si>
  <si>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</si>
  <si>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</si>
  <si>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</si>
  <si>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</si>
  <si>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</si>
  <si>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</si>
  <si>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</si>
  <si>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</si>
  <si>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</si>
  <si>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</si>
  <si>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</si>
  <si>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</si>
  <si>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</si>
  <si>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</si>
  <si>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</si>
  <si>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</si>
  <si>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</si>
  <si>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</si>
  <si>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</si>
  <si>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</si>
  <si>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</si>
  <si>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</si>
  <si>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</si>
  <si>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</si>
  <si>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</si>
  <si>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</si>
  <si>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</si>
  <si>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</si>
  <si>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</si>
  <si>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</si>
  <si>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</si>
  <si>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</si>
  <si>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</si>
  <si>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</si>
  <si>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</si>
  <si>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</si>
  <si>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</si>
  <si>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</si>
  <si>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</si>
  <si>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</si>
  <si>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</si>
  <si>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</si>
  <si>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</si>
  <si>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</si>
  <si>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</si>
  <si>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</si>
  <si>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</si>
  <si>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</si>
  <si>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</si>
  <si>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</si>
  <si>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</si>
  <si>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</si>
  <si>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</si>
  <si>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</si>
  <si>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</si>
  <si>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</si>
  <si>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</si>
  <si>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</si>
  <si>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</si>
  <si>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</si>
  <si>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</si>
  <si>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</si>
  <si>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</si>
  <si>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</si>
  <si>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</si>
  <si>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</si>
  <si>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</si>
  <si>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</si>
  <si>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</si>
  <si>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</si>
  <si>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</si>
  <si>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</si>
  <si>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</si>
  <si>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</si>
  <si>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</si>
  <si>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</si>
  <si>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</si>
  <si>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</si>
  <si>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</si>
  <si>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</si>
  <si>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</si>
  <si>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</si>
  <si>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</si>
  <si>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</si>
  <si>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</si>
  <si>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</si>
  <si>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</si>
  <si>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</si>
  <si>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</si>
  <si>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</si>
  <si>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</si>
  <si>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</si>
  <si>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</si>
  <si>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</si>
  <si>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</si>
  <si>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</si>
  <si>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</si>
  <si>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</si>
  <si>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</si>
  <si>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</si>
  <si>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</si>
  <si>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</si>
  <si>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</si>
  <si>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</si>
  <si>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</si>
  <si>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</si>
  <si>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</si>
  <si>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</si>
  <si>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</si>
  <si>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</si>
  <si>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</si>
  <si>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</si>
  <si>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</si>
  <si>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</si>
  <si>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</si>
  <si>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</si>
  <si>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</si>
  <si>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</si>
  <si>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</si>
  <si>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</si>
  <si>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</si>
  <si>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</si>
  <si>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</si>
  <si>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</si>
  <si>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</si>
  <si>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</si>
  <si>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</si>
  <si>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</si>
  <si>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</si>
  <si>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</si>
  <si>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N° 10957</t>
  </si>
  <si>
    <t>HAYLIN</t>
  </si>
  <si>
    <t>+569 84035157</t>
  </si>
  <si>
    <t>CUB CON RESPALDO FRENTE SIN REGRUESO POSTFORMADO R8</t>
  </si>
  <si>
    <t>GRANITO CINZA PP-383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</si>
</sst>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6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22</xdr:row>
      <xdr:rowOff>84014</xdr:rowOff>
    </xdr:from>
    <xdr:to>
      <xdr:col>5</xdr:col>
      <xdr:colOff>1849560</xdr:colOff>
      <xdr:row>26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7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52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45425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64885.371577574981</v>
      </c>
      <c r="Q20" s="258">
        <v>7000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39" t="s">
        <v>162</v>
      </c>
      <c r="D21" s="313">
        <v>2.31</v>
      </c>
      <c r="E21" s="313">
        <v>0.52</v>
      </c>
      <c r="F21" s="312" t="s">
        <v>163</v>
      </c>
      <c r="G21" s="314">
        <v>86627</v>
      </c>
      <c r="H21" s="315">
        <f t="shared" ref="H21" si="1">G21*B21</f>
        <v>86627</v>
      </c>
      <c r="I21" s="265">
        <v>20000</v>
      </c>
      <c r="J21" s="47"/>
      <c r="K21" s="325">
        <f>B21</f>
        <v>1</v>
      </c>
      <c r="L21" s="326">
        <f t="shared" ref="L21:M21" si="2">D21+L$19</f>
        <v>2.36</v>
      </c>
      <c r="M21" s="326">
        <f t="shared" si="2"/>
        <v>0.52</v>
      </c>
      <c r="N21" s="261">
        <f>L21*M21</f>
        <v>1.2272000000000001</v>
      </c>
      <c r="O21" s="259">
        <f>N21*K21</f>
        <v>1.2272000000000001</v>
      </c>
      <c r="P21" s="252">
        <f>P$20*N21</f>
        <v>79627.328000000023</v>
      </c>
      <c r="Q21" s="258">
        <f>P21+Q$20</f>
        <v>86627.328000000023</v>
      </c>
      <c r="R21" s="308">
        <f>K21*L21</f>
        <v>2.36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H21</f>
        <v>86627</v>
      </c>
      <c r="I24" s="265"/>
      <c r="J24" s="47"/>
      <c r="K24" s="47"/>
      <c r="L24" s="39">
        <f>SUM(L21:L23)</f>
        <v>2.36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H24*19%</f>
        <v>16459.13</v>
      </c>
      <c r="I25" s="265"/>
      <c r="J25" s="47"/>
      <c r="K25" s="47"/>
      <c r="L25" s="39"/>
      <c r="M25" s="12"/>
      <c r="N25" s="12"/>
      <c r="O25" s="253">
        <f>SUM(O21:O21)</f>
        <v>1.2272000000000001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103086.13</v>
      </c>
      <c r="I26" s="265"/>
      <c r="J26" s="47"/>
      <c r="K26" s="47"/>
      <c r="L26" s="39"/>
      <c r="M26" s="12"/>
      <c r="N26" s="12"/>
      <c r="O26" s="253">
        <f>O25</f>
        <v>1.2272000000000001</v>
      </c>
      <c r="P26" s="14"/>
      <c r="Q26" s="12"/>
      <c r="R26" s="238">
        <f>SUM(R21:R25)</f>
        <v>2.36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32</v>
      </c>
      <c r="K27" s="47"/>
      <c r="L27" s="39"/>
      <c r="M27" s="12"/>
      <c r="N27" s="12"/>
      <c r="O27" s="39">
        <f>O26*20%</f>
        <v>0.24544000000000002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>
        <v>32</v>
      </c>
      <c r="K28" s="47"/>
      <c r="L28" s="14"/>
      <c r="M28" s="12"/>
      <c r="N28" s="12"/>
      <c r="O28" s="46">
        <f>O26+O27</f>
        <v>1.4726400000000002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>
        <v>55</v>
      </c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>
        <f>SUM(J27:J29)</f>
        <v>119</v>
      </c>
      <c r="K30" s="47"/>
      <c r="L30" s="39">
        <f>O28</f>
        <v>1.4726400000000002</v>
      </c>
      <c r="M30" s="12">
        <v>3500</v>
      </c>
      <c r="N30" s="12">
        <f t="shared" ref="N30:N35" si="3">L30*M30</f>
        <v>5154.2400000000007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0.4</v>
      </c>
      <c r="M31" s="12">
        <v>25000</v>
      </c>
      <c r="N31" s="12">
        <f t="shared" si="3"/>
        <v>10000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55000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0.5</v>
      </c>
      <c r="M33" s="250">
        <v>35000</v>
      </c>
      <c r="N33" s="12">
        <f t="shared" si="3"/>
        <v>17500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2.36</v>
      </c>
      <c r="M35" s="12">
        <v>1500</v>
      </c>
      <c r="N35" s="12">
        <f t="shared" si="3"/>
        <v>3540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36194.240000000005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43190</v>
      </c>
      <c r="K37" s="250"/>
      <c r="L37" s="254" t="s">
        <v>35</v>
      </c>
      <c r="M37" s="12"/>
      <c r="N37" s="255">
        <f>N36*2.2</f>
        <v>79627.328000000023</v>
      </c>
      <c r="O37" s="14" t="s">
        <v>142</v>
      </c>
      <c r="P37" s="14"/>
      <c r="Q37" s="46">
        <f>O26/Q36</f>
        <v>0.33088869715271785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36294.117647058825</v>
      </c>
      <c r="K38" s="250"/>
      <c r="L38" s="14"/>
      <c r="M38" s="12"/>
      <c r="N38" s="12">
        <f>N37/O26</f>
        <v>64885.371577574981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0.32188852459016398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45425</v>
      </c>
    </row>
    <row r="6" spans="2:31" ht="16.2" thickBot="1" x14ac:dyDescent="0.35">
      <c r="B6" s="140" t="s">
        <v>2</v>
      </c>
      <c r="C6" s="139" t="str">
        <f>'2229'!C10</f>
        <v>HAYLIN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-2066.0423667874397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86627</v>
      </c>
      <c r="E11" s="132">
        <f>D11*0.19</f>
        <v>16459.13</v>
      </c>
      <c r="F11" s="131">
        <f>E11+D11</f>
        <v>103086.13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103923.95763321256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44988.330787439612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85923.957633212558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41638.669212560388</v>
      </c>
      <c r="E13" s="221">
        <f>(D11/D12)-1</f>
        <v>0.92554376843395958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76923.957633212558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37923.957633212558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74230.745799275363</v>
      </c>
      <c r="F15" s="216">
        <f>E15-D12</f>
        <v>29242.41501183575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37923.957633212558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77923.957633212558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5154.2400000000007</v>
      </c>
      <c r="E20" s="121">
        <f>D20*0.19</f>
        <v>979.30560000000014</v>
      </c>
      <c r="F20" s="120">
        <f>SUM(D20:E20)</f>
        <v>6133.5456000000013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15154.240000000002</v>
      </c>
      <c r="E21" s="116">
        <f>SUM(E18:E20)</f>
        <v>2879.3056000000001</v>
      </c>
      <c r="F21" s="115">
        <f>SUM(F18:F20)</f>
        <v>18033.545600000001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13579.824400000001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86627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15154.240000000002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41638.669212560388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41638.669212560388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2024-05-13T15:07:00Z</cp:lastPrinted>
  <dcterms:created xsi:type="dcterms:W3CDTF">2013-03-18T13:35:42Z</dcterms:created>
  <dcterms:modified xsi:type="dcterms:W3CDTF">2024-05-14T16:46:23Z</dcterms:modified>
</cp:coreProperties>
</file>