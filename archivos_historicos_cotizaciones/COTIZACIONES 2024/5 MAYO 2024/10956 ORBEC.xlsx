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BDC5EF48-B4F7-45C5-9FD7-2E71FE6AC8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O22" i="1" s="1"/>
  <c r="P22" i="1" s="1"/>
  <c r="N22" i="1"/>
  <c r="L23" i="1"/>
  <c r="M23" i="1"/>
  <c r="O23" i="1" s="1"/>
  <c r="P23" i="1" s="1"/>
  <c r="N23" i="1"/>
  <c r="L24" i="1"/>
  <c r="M24" i="1"/>
  <c r="N24" i="1"/>
  <c r="O24" i="1"/>
  <c r="S24" i="1"/>
  <c r="L25" i="1"/>
  <c r="M25" i="1"/>
  <c r="N25" i="1"/>
  <c r="O25" i="1"/>
  <c r="P25" i="1" s="1"/>
  <c r="S25" i="1"/>
  <c r="L26" i="1"/>
  <c r="M26" i="1"/>
  <c r="O26" i="1" s="1"/>
  <c r="P26" i="1" s="1"/>
  <c r="N26" i="1"/>
  <c r="L27" i="1"/>
  <c r="S27" i="1" s="1"/>
  <c r="M27" i="1"/>
  <c r="O27" i="1" s="1"/>
  <c r="P27" i="1" s="1"/>
  <c r="N27" i="1"/>
  <c r="L28" i="1"/>
  <c r="M28" i="1"/>
  <c r="N28" i="1"/>
  <c r="O28" i="1"/>
  <c r="S28" i="1"/>
  <c r="L29" i="1"/>
  <c r="M29" i="1"/>
  <c r="N29" i="1"/>
  <c r="O29" i="1"/>
  <c r="P29" i="1" s="1"/>
  <c r="S29" i="1"/>
  <c r="L30" i="1"/>
  <c r="M30" i="1"/>
  <c r="O30" i="1" s="1"/>
  <c r="P30" i="1" s="1"/>
  <c r="N30" i="1"/>
  <c r="L31" i="1"/>
  <c r="M31" i="1"/>
  <c r="O31" i="1" s="1"/>
  <c r="P31" i="1" s="1"/>
  <c r="N31" i="1"/>
  <c r="L32" i="1"/>
  <c r="M32" i="1"/>
  <c r="N32" i="1"/>
  <c r="O32" i="1"/>
  <c r="S32" i="1"/>
  <c r="L33" i="1"/>
  <c r="M33" i="1"/>
  <c r="N33" i="1"/>
  <c r="O33" i="1"/>
  <c r="P33" i="1" s="1"/>
  <c r="S33" i="1"/>
  <c r="L34" i="1"/>
  <c r="M34" i="1"/>
  <c r="O34" i="1" s="1"/>
  <c r="P34" i="1" s="1"/>
  <c r="N34" i="1"/>
  <c r="L35" i="1"/>
  <c r="M35" i="1"/>
  <c r="O35" i="1" s="1"/>
  <c r="P35" i="1" s="1"/>
  <c r="N35" i="1"/>
  <c r="L36" i="1"/>
  <c r="M36" i="1"/>
  <c r="N36" i="1"/>
  <c r="O36" i="1"/>
  <c r="S36" i="1"/>
  <c r="L37" i="1"/>
  <c r="M37" i="1"/>
  <c r="N37" i="1"/>
  <c r="O37" i="1"/>
  <c r="P37" i="1" s="1"/>
  <c r="S37" i="1"/>
  <c r="L38" i="1"/>
  <c r="M38" i="1"/>
  <c r="O38" i="1" s="1"/>
  <c r="P38" i="1" s="1"/>
  <c r="N38" i="1"/>
  <c r="L39" i="1"/>
  <c r="M39" i="1"/>
  <c r="S39" i="1" s="1"/>
  <c r="N39" i="1"/>
  <c r="L40" i="1"/>
  <c r="M40" i="1"/>
  <c r="N40" i="1"/>
  <c r="O40" i="1"/>
  <c r="S40" i="1"/>
  <c r="L41" i="1"/>
  <c r="M41" i="1"/>
  <c r="S41" i="1" s="1"/>
  <c r="N41" i="1"/>
  <c r="O41" i="1"/>
  <c r="P41" i="1" s="1"/>
  <c r="L42" i="1"/>
  <c r="M42" i="1"/>
  <c r="O42" i="1" s="1"/>
  <c r="P42" i="1" s="1"/>
  <c r="N42" i="1"/>
  <c r="L43" i="1"/>
  <c r="S43" i="1" s="1"/>
  <c r="M43" i="1"/>
  <c r="O43" i="1" s="1"/>
  <c r="P43" i="1" s="1"/>
  <c r="N43" i="1"/>
  <c r="L44" i="1"/>
  <c r="M44" i="1"/>
  <c r="N44" i="1"/>
  <c r="O44" i="1"/>
  <c r="S44" i="1"/>
  <c r="L45" i="1"/>
  <c r="M45" i="1"/>
  <c r="S45" i="1" s="1"/>
  <c r="N45" i="1"/>
  <c r="O45" i="1"/>
  <c r="P45" i="1" s="1"/>
  <c r="L46" i="1"/>
  <c r="M46" i="1"/>
  <c r="O46" i="1" s="1"/>
  <c r="P46" i="1" s="1"/>
  <c r="N46" i="1"/>
  <c r="L47" i="1"/>
  <c r="M47" i="1"/>
  <c r="O47" i="1" s="1"/>
  <c r="P47" i="1" s="1"/>
  <c r="N47" i="1"/>
  <c r="L48" i="1"/>
  <c r="M48" i="1"/>
  <c r="N48" i="1"/>
  <c r="O48" i="1"/>
  <c r="S48" i="1"/>
  <c r="L49" i="1"/>
  <c r="M49" i="1"/>
  <c r="N49" i="1"/>
  <c r="O49" i="1"/>
  <c r="P49" i="1" s="1"/>
  <c r="S49" i="1"/>
  <c r="L50" i="1"/>
  <c r="M50" i="1"/>
  <c r="O50" i="1" s="1"/>
  <c r="P50" i="1" s="1"/>
  <c r="N50" i="1"/>
  <c r="S47" i="1" l="1"/>
  <c r="P44" i="1"/>
  <c r="P40" i="1"/>
  <c r="S35" i="1"/>
  <c r="S31" i="1"/>
  <c r="S23" i="1"/>
  <c r="S50" i="1"/>
  <c r="S46" i="1"/>
  <c r="S42" i="1"/>
  <c r="O39" i="1"/>
  <c r="P39" i="1" s="1"/>
  <c r="S38" i="1"/>
  <c r="S34" i="1"/>
  <c r="S30" i="1"/>
  <c r="S26" i="1"/>
  <c r="S22" i="1"/>
  <c r="P48" i="1"/>
  <c r="P36" i="1"/>
  <c r="P32" i="1"/>
  <c r="P28" i="1"/>
  <c r="P24" i="1"/>
  <c r="X68" i="1" l="1"/>
  <c r="X64" i="1"/>
  <c r="W61" i="1"/>
  <c r="Y51" i="1"/>
  <c r="J51" i="1"/>
  <c r="L21" i="1" l="1"/>
  <c r="L10" i="1"/>
  <c r="K67" i="1" l="1"/>
  <c r="M21" i="1" l="1"/>
  <c r="M53" i="1" s="1"/>
  <c r="N21" i="1"/>
  <c r="O21" i="1" l="1"/>
  <c r="S21" i="1"/>
  <c r="V21" i="1" s="1"/>
  <c r="O60" i="1"/>
  <c r="P21" i="1" l="1"/>
  <c r="T72" i="1"/>
  <c r="P52" i="1" l="1"/>
  <c r="P53" i="1" s="1"/>
  <c r="P54" i="1" s="1"/>
  <c r="N20" i="1"/>
  <c r="L20" i="1"/>
  <c r="O61" i="1" l="1"/>
  <c r="R65" i="1"/>
  <c r="R66" i="1" s="1"/>
  <c r="O62" i="1" l="1"/>
  <c r="T65" i="1" l="1"/>
  <c r="T6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64" i="1"/>
  <c r="O63" i="1"/>
  <c r="F18" i="3" l="1"/>
  <c r="P55" i="1" l="1"/>
  <c r="M59" i="1" s="1"/>
  <c r="O59" i="1" l="1"/>
  <c r="T73" i="1"/>
  <c r="O65" i="1" l="1"/>
  <c r="O66" i="1" s="1"/>
  <c r="D20" i="3"/>
  <c r="E20" i="3" s="1"/>
  <c r="E21" i="3" s="1"/>
  <c r="O68" i="1" l="1"/>
  <c r="D21" i="3"/>
  <c r="M43" i="3" s="1"/>
  <c r="D12" i="3" s="1"/>
  <c r="F20" i="3"/>
  <c r="F21" i="3" s="1"/>
  <c r="O67" i="1" l="1"/>
  <c r="E15" i="3"/>
  <c r="Q20" i="1" l="1"/>
  <c r="F15" i="3"/>
  <c r="Q22" i="1" l="1"/>
  <c r="R22" i="1" s="1"/>
  <c r="H22" i="1" s="1"/>
  <c r="I22" i="1" s="1"/>
  <c r="Q23" i="1"/>
  <c r="R23" i="1" s="1"/>
  <c r="H23" i="1" s="1"/>
  <c r="I23" i="1" s="1"/>
  <c r="Q24" i="1"/>
  <c r="R24" i="1" s="1"/>
  <c r="H24" i="1" s="1"/>
  <c r="I24" i="1" s="1"/>
  <c r="Q25" i="1"/>
  <c r="R25" i="1" s="1"/>
  <c r="H25" i="1" s="1"/>
  <c r="I25" i="1" s="1"/>
  <c r="Q26" i="1"/>
  <c r="R26" i="1" s="1"/>
  <c r="H26" i="1" s="1"/>
  <c r="I26" i="1" s="1"/>
  <c r="Q27" i="1"/>
  <c r="R27" i="1" s="1"/>
  <c r="H27" i="1" s="1"/>
  <c r="I27" i="1" s="1"/>
  <c r="Q28" i="1"/>
  <c r="R28" i="1" s="1"/>
  <c r="H28" i="1" s="1"/>
  <c r="I28" i="1" s="1"/>
  <c r="Q29" i="1"/>
  <c r="R29" i="1" s="1"/>
  <c r="H29" i="1" s="1"/>
  <c r="I29" i="1" s="1"/>
  <c r="Q30" i="1"/>
  <c r="R30" i="1" s="1"/>
  <c r="H30" i="1" s="1"/>
  <c r="I30" i="1" s="1"/>
  <c r="Q31" i="1"/>
  <c r="R31" i="1" s="1"/>
  <c r="H31" i="1" s="1"/>
  <c r="I31" i="1" s="1"/>
  <c r="Q32" i="1"/>
  <c r="R32" i="1" s="1"/>
  <c r="H32" i="1" s="1"/>
  <c r="I32" i="1" s="1"/>
  <c r="Q33" i="1"/>
  <c r="R33" i="1" s="1"/>
  <c r="H33" i="1" s="1"/>
  <c r="I33" i="1" s="1"/>
  <c r="Q34" i="1"/>
  <c r="R34" i="1" s="1"/>
  <c r="H34" i="1" s="1"/>
  <c r="I34" i="1" s="1"/>
  <c r="Q35" i="1"/>
  <c r="R35" i="1" s="1"/>
  <c r="H35" i="1" s="1"/>
  <c r="I35" i="1" s="1"/>
  <c r="Q36" i="1"/>
  <c r="R36" i="1" s="1"/>
  <c r="H36" i="1" s="1"/>
  <c r="I36" i="1" s="1"/>
  <c r="Q37" i="1"/>
  <c r="R37" i="1" s="1"/>
  <c r="H37" i="1" s="1"/>
  <c r="I37" i="1" s="1"/>
  <c r="Q38" i="1"/>
  <c r="R38" i="1" s="1"/>
  <c r="H38" i="1" s="1"/>
  <c r="I38" i="1" s="1"/>
  <c r="Q39" i="1"/>
  <c r="R39" i="1" s="1"/>
  <c r="H39" i="1" s="1"/>
  <c r="I39" i="1" s="1"/>
  <c r="Q40" i="1"/>
  <c r="R40" i="1" s="1"/>
  <c r="H40" i="1" s="1"/>
  <c r="I40" i="1" s="1"/>
  <c r="Q41" i="1"/>
  <c r="R41" i="1" s="1"/>
  <c r="H41" i="1" s="1"/>
  <c r="I41" i="1" s="1"/>
  <c r="Q42" i="1"/>
  <c r="R42" i="1" s="1"/>
  <c r="H42" i="1" s="1"/>
  <c r="I42" i="1" s="1"/>
  <c r="Q43" i="1"/>
  <c r="R43" i="1" s="1"/>
  <c r="H43" i="1" s="1"/>
  <c r="I43" i="1" s="1"/>
  <c r="Q44" i="1"/>
  <c r="R44" i="1" s="1"/>
  <c r="H44" i="1" s="1"/>
  <c r="I44" i="1" s="1"/>
  <c r="Q45" i="1"/>
  <c r="R45" i="1" s="1"/>
  <c r="H45" i="1" s="1"/>
  <c r="I45" i="1" s="1"/>
  <c r="Q46" i="1"/>
  <c r="R46" i="1" s="1"/>
  <c r="H46" i="1" s="1"/>
  <c r="I46" i="1" s="1"/>
  <c r="Q47" i="1"/>
  <c r="R47" i="1" s="1"/>
  <c r="H47" i="1" s="1"/>
  <c r="I47" i="1" s="1"/>
  <c r="Q48" i="1"/>
  <c r="R48" i="1" s="1"/>
  <c r="H48" i="1" s="1"/>
  <c r="I48" i="1" s="1"/>
  <c r="Q49" i="1"/>
  <c r="R49" i="1" s="1"/>
  <c r="H49" i="1" s="1"/>
  <c r="I49" i="1" s="1"/>
  <c r="Q50" i="1"/>
  <c r="R50" i="1" s="1"/>
  <c r="H50" i="1" s="1"/>
  <c r="I50" i="1" s="1"/>
  <c r="Q21" i="1"/>
  <c r="S55" i="1"/>
  <c r="U20" i="1" l="1"/>
  <c r="U23" i="1"/>
  <c r="R21" i="1"/>
  <c r="H21" i="1" l="1"/>
  <c r="I21" i="1" s="1"/>
  <c r="I51" i="1" s="1"/>
  <c r="D11" i="3" l="1"/>
  <c r="M42" i="3" s="1"/>
  <c r="M46" i="3" s="1"/>
  <c r="M49" i="3" s="1"/>
  <c r="I53" i="1"/>
  <c r="I54" i="1"/>
  <c r="I55" i="1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<sst xmlns="http://schemas.openxmlformats.org/spreadsheetml/2006/main" count="284" uniqueCount="172">
  <si>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</si>
  <si>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</si>
  <si>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</si>
  <si>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</si>
  <si>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</si>
  <si>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</si>
  <si>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</si>
  <si>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</si>
  <si>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</si>
  <si>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</si>
  <si>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</si>
  <si>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</si>
  <si>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</si>
  <si>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</si>
  <si>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</si>
  <si>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</si>
  <si>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</si>
  <si>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</si>
  <si>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</si>
  <si>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</si>
  <si>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</si>
  <si>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</si>
  <si>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</si>
  <si>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</si>
  <si>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</si>
  <si>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</si>
  <si>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</si>
  <si>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</si>
  <si>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</si>
  <si>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</si>
  <si>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</si>
  <si>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</si>
  <si>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</si>
  <si>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</si>
  <si>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</si>
  <si>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</si>
  <si>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</si>
  <si>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</si>
  <si>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</si>
  <si>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</si>
  <si>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</si>
  <si>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</si>
  <si>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</si>
  <si>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</si>
  <si>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</si>
  <si>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</si>
  <si>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</si>
  <si>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</si>
  <si>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</si>
  <si>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</si>
  <si>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</si>
  <si>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</si>
  <si>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</si>
  <si>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</si>
  <si>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</si>
  <si>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</si>
  <si>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</si>
  <si>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</si>
  <si>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</si>
  <si>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</si>
  <si>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</si>
  <si>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</si>
  <si>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</si>
  <si>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</si>
  <si>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</si>
  <si>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</si>
  <si>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</si>
  <si>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</si>
  <si>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</si>
  <si>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</si>
  <si>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</si>
  <si>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</si>
  <si>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</si>
  <si>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</si>
  <si>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</si>
  <si>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</si>
  <si>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</si>
  <si>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</si>
  <si>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</si>
  <si>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</si>
  <si>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</si>
  <si>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</si>
  <si>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</si>
  <si>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</si>
  <si>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</si>
  <si>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</si>
  <si>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</si>
  <si>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</si>
  <si>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</si>
  <si>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</si>
  <si>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</si>
  <si>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</si>
  <si>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</si>
  <si>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</si>
  <si>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</si>
  <si>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</si>
  <si>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</si>
  <si>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</si>
  <si>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</si>
  <si>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</si>
  <si>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</si>
  <si>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</si>
  <si>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</si>
  <si>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</si>
  <si>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</si>
  <si>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</si>
  <si>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</si>
  <si>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</si>
  <si>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</si>
  <si>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</si>
  <si>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</si>
  <si>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</si>
  <si>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</si>
  <si>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</si>
  <si>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</si>
  <si>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</si>
  <si>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</si>
  <si>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</si>
  <si>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</si>
  <si>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</si>
  <si>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</si>
  <si>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</si>
  <si>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</si>
  <si>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</si>
  <si>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</si>
  <si>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</si>
  <si>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</si>
  <si>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</si>
  <si>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</si>
  <si>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</si>
  <si>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</si>
  <si>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</si>
  <si>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</si>
  <si>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</si>
  <si>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</si>
  <si>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</si>
  <si>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</si>
  <si>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</si>
  <si>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</si>
  <si>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</si>
  <si>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</si>
  <si>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</si>
  <si>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</si>
  <si>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</si>
  <si>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</si>
  <si>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</si>
  <si>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</si>
  <si>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</si>
  <si>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</si>
  <si>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</si>
  <si>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</si>
  <si>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</si>
  <si>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</si>
  <si>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</si>
  <si>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</si>
  <si>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</si>
  <si>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</si>
  <si>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</si>
  <si>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ANGELO SARTORI</t>
  </si>
  <si>
    <t>569 9783 3240</t>
  </si>
  <si>
    <t>BLANCO 2114 OPACO</t>
  </si>
  <si>
    <t>MTL</t>
  </si>
  <si>
    <t>MDF30MM</t>
  </si>
  <si>
    <t>ORBEC SPA</t>
  </si>
  <si>
    <t>77.340.004-0</t>
  </si>
  <si>
    <t>CUBIERTA SIN RESPALDO FRENTE 90° R6</t>
  </si>
  <si>
    <t>CENEFA 1V R6 (RESPALDO)</t>
  </si>
  <si>
    <t>N° 10956</t>
  </si>
  <si>
    <t>SEGUN PLANIFICACION</t>
  </si>
  <si>
    <t>FECHA ENTREGA</t>
  </si>
  <si>
    <t>descuento 6%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</si>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</sst>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3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167" fontId="0" fillId="21" borderId="0" xfId="0" applyNumberFormat="1" applyFill="1"/>
    <xf numFmtId="0" fontId="21" fillId="20" borderId="33" xfId="0" applyFont="1" applyFill="1" applyBorder="1" applyAlignment="1">
      <alignment horizontal="center" vertical="center" wrapText="1"/>
    </xf>
    <xf numFmtId="14" fontId="37" fillId="0" borderId="6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1" xfId="0" applyNumberFormat="1" applyFont="1" applyBorder="1"/>
    <xf numFmtId="0" fontId="32" fillId="0" borderId="1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22" borderId="1" xfId="0" applyFont="1" applyFill="1" applyBorder="1" applyAlignment="1">
      <alignment horizontal="center" vertical="center"/>
    </xf>
    <xf numFmtId="0" fontId="32" fillId="22" borderId="6" xfId="0" applyFont="1" applyFill="1" applyBorder="1" applyAlignment="1">
      <alignment horizontal="center" vertical="center"/>
    </xf>
    <xf numFmtId="166" fontId="32" fillId="22" borderId="6" xfId="0" applyNumberFormat="1" applyFont="1" applyFill="1" applyBorder="1" applyAlignment="1">
      <alignment horizontal="center" vertical="center"/>
    </xf>
    <xf numFmtId="14" fontId="37" fillId="22" borderId="6" xfId="0" applyNumberFormat="1" applyFont="1" applyFill="1" applyBorder="1" applyAlignment="1">
      <alignment horizontal="center" vertical="center"/>
    </xf>
    <xf numFmtId="167" fontId="11" fillId="22" borderId="6" xfId="2" applyNumberFormat="1" applyFont="1" applyFill="1" applyBorder="1" applyAlignment="1">
      <alignment horizontal="center" vertical="center"/>
    </xf>
    <xf numFmtId="167" fontId="11" fillId="22" borderId="14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2583219</xdr:colOff>
      <xdr:row>57</xdr:row>
      <xdr:rowOff>13024</xdr:rowOff>
    </xdr:from>
    <xdr:to>
      <xdr:col>9</xdr:col>
      <xdr:colOff>31102</xdr:colOff>
      <xdr:row>60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59</xdr:row>
      <xdr:rowOff>154305</xdr:rowOff>
    </xdr:from>
    <xdr:to>
      <xdr:col>8</xdr:col>
      <xdr:colOff>853440</xdr:colOff>
      <xdr:row>59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57</xdr:row>
      <xdr:rowOff>9525</xdr:rowOff>
    </xdr:from>
    <xdr:to>
      <xdr:col>6</xdr:col>
      <xdr:colOff>1714500</xdr:colOff>
      <xdr:row>60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51</xdr:row>
      <xdr:rowOff>84014</xdr:rowOff>
    </xdr:from>
    <xdr:to>
      <xdr:col>6</xdr:col>
      <xdr:colOff>1849560</xdr:colOff>
      <xdr:row>55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610"/>
  <sheetViews>
    <sheetView tabSelected="1" topLeftCell="A3" zoomScale="98" zoomScaleNormal="98" workbookViewId="0">
      <selection activeCell="D33" sqref="D3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6" width="10.5546875" customWidth="1"/>
    <col min="7" max="7" width="31.44140625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8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G2" s="241" t="s">
        <v>144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G3" s="59" t="s">
        <v>140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G4" s="59" t="s">
        <v>145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G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G6" s="59" t="s">
        <v>15</v>
      </c>
      <c r="O6" s="33" t="s">
        <v>20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G7" s="59" t="s">
        <v>126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01" t="s">
        <v>128</v>
      </c>
      <c r="C8" s="302"/>
      <c r="D8" s="318" t="s">
        <v>167</v>
      </c>
      <c r="G8" s="59"/>
      <c r="K8" s="52"/>
      <c r="R8" s="2"/>
      <c r="S8" s="3"/>
      <c r="T8" s="3"/>
      <c r="U8" s="2"/>
      <c r="V8" s="2"/>
      <c r="W8" s="3"/>
    </row>
    <row r="9" spans="2:24" ht="15" thickBot="1" x14ac:dyDescent="0.35">
      <c r="L9" s="18">
        <v>56950</v>
      </c>
      <c r="R9" s="2"/>
      <c r="S9" s="3"/>
      <c r="T9" s="3"/>
      <c r="U9" s="4"/>
      <c r="V9" s="2"/>
      <c r="W9" s="3"/>
    </row>
    <row r="10" spans="2:24" x14ac:dyDescent="0.3">
      <c r="B10" s="242" t="s">
        <v>2</v>
      </c>
      <c r="C10" s="279" t="s">
        <v>163</v>
      </c>
      <c r="D10" s="243"/>
      <c r="E10" s="243"/>
      <c r="F10" s="243"/>
      <c r="G10" s="244" t="s">
        <v>0</v>
      </c>
      <c r="H10" s="277">
        <v>45439</v>
      </c>
      <c r="I10" s="245"/>
      <c r="K10" s="1"/>
      <c r="L10" s="18">
        <f>L9/1.19</f>
        <v>47857.142857142862</v>
      </c>
      <c r="R10" s="2"/>
      <c r="S10" s="3"/>
      <c r="T10" s="3"/>
      <c r="U10" s="4"/>
      <c r="V10" s="2"/>
      <c r="W10" s="3"/>
    </row>
    <row r="11" spans="2:24" ht="15.6" x14ac:dyDescent="0.3">
      <c r="B11" s="288" t="s">
        <v>12</v>
      </c>
      <c r="C11" s="138" t="s">
        <v>164</v>
      </c>
      <c r="G11" t="s">
        <v>125</v>
      </c>
      <c r="H11" s="289" t="s">
        <v>168</v>
      </c>
      <c r="I11" s="290"/>
      <c r="Q11" s="19"/>
      <c r="R11" s="25" t="s">
        <v>19</v>
      </c>
      <c r="S11" s="19"/>
    </row>
    <row r="12" spans="2:24" x14ac:dyDescent="0.3">
      <c r="B12" s="246" t="s">
        <v>147</v>
      </c>
      <c r="D12" s="247"/>
      <c r="E12" s="247"/>
      <c r="F12" s="247"/>
      <c r="G12" s="247" t="s">
        <v>129</v>
      </c>
      <c r="H12" s="278" t="s">
        <v>137</v>
      </c>
      <c r="I12" s="248"/>
      <c r="Q12" s="19"/>
      <c r="R12" s="25"/>
      <c r="S12" s="19"/>
    </row>
    <row r="13" spans="2:24" ht="15.6" x14ac:dyDescent="0.3">
      <c r="B13" s="246" t="s">
        <v>148</v>
      </c>
      <c r="C13" s="322" t="s">
        <v>158</v>
      </c>
      <c r="D13" s="247"/>
      <c r="E13" s="247"/>
      <c r="F13" s="247"/>
      <c r="G13" s="247"/>
      <c r="H13" s="278"/>
      <c r="I13" s="248"/>
      <c r="Q13" s="19"/>
      <c r="R13" s="25"/>
      <c r="S13" s="19"/>
    </row>
    <row r="14" spans="2:24" x14ac:dyDescent="0.3">
      <c r="B14" s="288" t="s">
        <v>141</v>
      </c>
      <c r="C14" s="306"/>
      <c r="G14" s="29" t="s">
        <v>138</v>
      </c>
      <c r="H14" s="291" t="s">
        <v>137</v>
      </c>
      <c r="I14" s="290"/>
      <c r="K14" s="29"/>
      <c r="Q14" s="20"/>
      <c r="R14" s="26" t="s">
        <v>18</v>
      </c>
      <c r="S14" s="20"/>
    </row>
    <row r="15" spans="2:24" ht="15.6" x14ac:dyDescent="0.3">
      <c r="B15" s="246" t="s">
        <v>4</v>
      </c>
      <c r="C15" s="323" t="s">
        <v>159</v>
      </c>
      <c r="D15" s="295"/>
      <c r="E15" s="247"/>
      <c r="F15" s="247"/>
      <c r="G15" s="247" t="s">
        <v>136</v>
      </c>
      <c r="H15" s="296" t="s">
        <v>137</v>
      </c>
      <c r="I15" s="248"/>
    </row>
    <row r="16" spans="2:24" ht="15.6" x14ac:dyDescent="0.3">
      <c r="B16" s="292" t="s">
        <v>3</v>
      </c>
      <c r="C16" s="324"/>
      <c r="G16" s="293" t="s">
        <v>131</v>
      </c>
      <c r="H16" s="294" t="s">
        <v>157</v>
      </c>
      <c r="I16" s="290"/>
    </row>
    <row r="17" spans="2:25" ht="15" thickBot="1" x14ac:dyDescent="0.35">
      <c r="B17" s="297" t="s">
        <v>13</v>
      </c>
      <c r="C17" s="298" t="s">
        <v>154</v>
      </c>
      <c r="D17" s="299"/>
      <c r="E17" s="300"/>
      <c r="F17" s="300"/>
      <c r="G17" s="335" t="s">
        <v>155</v>
      </c>
      <c r="H17" s="335"/>
      <c r="I17" s="336"/>
      <c r="J17" s="263"/>
      <c r="T17" s="6"/>
      <c r="U17" s="6"/>
    </row>
    <row r="18" spans="2:25" ht="15.75" customHeight="1" thickBot="1" x14ac:dyDescent="0.35">
      <c r="J18" s="47"/>
      <c r="K18" s="5"/>
      <c r="V18" s="9" t="s">
        <v>130</v>
      </c>
      <c r="X18" s="6"/>
      <c r="Y18" s="6"/>
    </row>
    <row r="19" spans="2:25" ht="13.5" customHeight="1" x14ac:dyDescent="0.3">
      <c r="B19" s="337" t="s">
        <v>149</v>
      </c>
      <c r="C19" s="338"/>
      <c r="D19" s="338"/>
      <c r="E19" s="338"/>
      <c r="F19" s="338"/>
      <c r="G19" s="338"/>
      <c r="H19" s="338"/>
      <c r="I19" s="339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21</v>
      </c>
      <c r="R19" s="37" t="s">
        <v>135</v>
      </c>
      <c r="S19" s="10" t="s">
        <v>139</v>
      </c>
      <c r="U19" s="9"/>
      <c r="V19" s="9">
        <v>15000</v>
      </c>
      <c r="X19" s="6"/>
      <c r="Y19" s="6"/>
    </row>
    <row r="20" spans="2:25" ht="35.4" thickBot="1" x14ac:dyDescent="0.35">
      <c r="B20" s="319" t="s">
        <v>7</v>
      </c>
      <c r="C20" s="314" t="s">
        <v>1</v>
      </c>
      <c r="D20" s="314" t="s">
        <v>10</v>
      </c>
      <c r="E20" s="314" t="s">
        <v>11</v>
      </c>
      <c r="F20" s="326" t="s">
        <v>169</v>
      </c>
      <c r="G20" s="314" t="s">
        <v>8</v>
      </c>
      <c r="H20" s="314" t="s">
        <v>5</v>
      </c>
      <c r="I20" s="315" t="s">
        <v>6</v>
      </c>
      <c r="J20" s="265"/>
      <c r="K20" s="47"/>
      <c r="L20" s="268" t="str">
        <f t="shared" ref="L20" si="0">B20</f>
        <v>UNIDAD</v>
      </c>
      <c r="M20" s="267" t="s">
        <v>133</v>
      </c>
      <c r="N20" s="39" t="str">
        <f>E20</f>
        <v>ANCHO</v>
      </c>
      <c r="O20" s="261" t="s">
        <v>134</v>
      </c>
      <c r="P20" s="259" t="s">
        <v>17</v>
      </c>
      <c r="Q20" s="252">
        <f>O67</f>
        <v>46728.797587617155</v>
      </c>
      <c r="R20" s="258">
        <v>2000</v>
      </c>
      <c r="S20" s="38"/>
      <c r="T20" s="14" t="s">
        <v>130</v>
      </c>
      <c r="U20" s="9">
        <f>Q21/3</f>
        <v>12772.538007282024</v>
      </c>
      <c r="X20" s="44">
        <v>2.44</v>
      </c>
      <c r="Y20">
        <v>1.52</v>
      </c>
    </row>
    <row r="21" spans="2:25" ht="17.399999999999999" x14ac:dyDescent="0.3">
      <c r="B21" s="331">
        <v>15</v>
      </c>
      <c r="C21" s="311" t="s">
        <v>165</v>
      </c>
      <c r="D21" s="332">
        <v>1.59</v>
      </c>
      <c r="E21" s="332">
        <v>0.5</v>
      </c>
      <c r="F21" s="327">
        <v>45474</v>
      </c>
      <c r="G21" s="311" t="s">
        <v>160</v>
      </c>
      <c r="H21" s="312">
        <f>R21</f>
        <v>40317.614021846071</v>
      </c>
      <c r="I21" s="313">
        <f>H21*B21</f>
        <v>604764.21032769105</v>
      </c>
      <c r="J21" s="265">
        <v>7.5</v>
      </c>
      <c r="K21" s="47"/>
      <c r="L21" s="325">
        <f>B21</f>
        <v>15</v>
      </c>
      <c r="M21" s="320">
        <f>D21+M$19</f>
        <v>1.6400000000000001</v>
      </c>
      <c r="N21" s="320">
        <f>E21+N$19</f>
        <v>0.5</v>
      </c>
      <c r="O21" s="261">
        <f>M21*N21</f>
        <v>0.82000000000000006</v>
      </c>
      <c r="P21" s="259">
        <f>O21*L21</f>
        <v>12.3</v>
      </c>
      <c r="Q21" s="252">
        <f>Q$20*O21</f>
        <v>38317.614021846071</v>
      </c>
      <c r="R21" s="258">
        <f>Q21+R$20</f>
        <v>40317.614021846071</v>
      </c>
      <c r="S21" s="308">
        <f>L21*M21</f>
        <v>24.6</v>
      </c>
      <c r="T21" s="14"/>
      <c r="U21" s="9"/>
      <c r="V21" s="321">
        <f>S21*V19</f>
        <v>369000</v>
      </c>
      <c r="X21" s="4"/>
      <c r="Y21">
        <v>19.8</v>
      </c>
    </row>
    <row r="22" spans="2:25" ht="17.399999999999999" x14ac:dyDescent="0.3">
      <c r="B22" s="331">
        <v>15</v>
      </c>
      <c r="C22" s="311" t="s">
        <v>166</v>
      </c>
      <c r="D22" s="332">
        <v>0.159</v>
      </c>
      <c r="E22" s="332">
        <v>0.04</v>
      </c>
      <c r="F22" s="327">
        <v>45474</v>
      </c>
      <c r="G22" s="311" t="s">
        <v>160</v>
      </c>
      <c r="H22" s="312">
        <f t="shared" ref="H22:H50" si="1">R22</f>
        <v>2390.6527478324797</v>
      </c>
      <c r="I22" s="313">
        <f t="shared" ref="I22:I50" si="2">H22*B22</f>
        <v>35859.791217487196</v>
      </c>
      <c r="J22" s="265"/>
      <c r="K22" s="47"/>
      <c r="L22" s="325">
        <f t="shared" ref="L22:L50" si="3">B22</f>
        <v>15</v>
      </c>
      <c r="M22" s="320">
        <f t="shared" ref="M22:M50" si="4">D22+M$19</f>
        <v>0.20900000000000002</v>
      </c>
      <c r="N22" s="320">
        <f t="shared" ref="N22:N50" si="5">E22+N$19</f>
        <v>0.04</v>
      </c>
      <c r="O22" s="261">
        <f t="shared" ref="O22:O50" si="6">M22*N22</f>
        <v>8.3600000000000011E-3</v>
      </c>
      <c r="P22" s="259">
        <f t="shared" ref="P22:P50" si="7">O22*L22</f>
        <v>0.12540000000000001</v>
      </c>
      <c r="Q22" s="252">
        <f t="shared" ref="Q22:Q50" si="8">Q$20*O22</f>
        <v>390.65274783247946</v>
      </c>
      <c r="R22" s="258">
        <f t="shared" ref="R22:R50" si="9">Q22+R$20</f>
        <v>2390.6527478324797</v>
      </c>
      <c r="S22" s="308">
        <f t="shared" ref="S22:S50" si="10">L22*M22</f>
        <v>3.1350000000000002</v>
      </c>
      <c r="T22" s="14"/>
      <c r="U22" s="9"/>
      <c r="V22" s="321"/>
      <c r="X22" s="4"/>
    </row>
    <row r="23" spans="2:25" ht="17.399999999999999" x14ac:dyDescent="0.3">
      <c r="B23" s="331">
        <v>15</v>
      </c>
      <c r="C23" s="311" t="s">
        <v>165</v>
      </c>
      <c r="D23" s="332">
        <v>1.92</v>
      </c>
      <c r="E23" s="332">
        <v>0.5</v>
      </c>
      <c r="F23" s="327">
        <v>45474</v>
      </c>
      <c r="G23" s="311" t="s">
        <v>160</v>
      </c>
      <c r="H23" s="312">
        <f t="shared" si="1"/>
        <v>48027.8656238029</v>
      </c>
      <c r="I23" s="313">
        <f t="shared" si="2"/>
        <v>720417.98435704352</v>
      </c>
      <c r="J23" s="265">
        <v>7.5</v>
      </c>
      <c r="K23" s="47"/>
      <c r="L23" s="325">
        <f t="shared" si="3"/>
        <v>15</v>
      </c>
      <c r="M23" s="320">
        <f t="shared" si="4"/>
        <v>1.97</v>
      </c>
      <c r="N23" s="320">
        <f t="shared" si="5"/>
        <v>0.5</v>
      </c>
      <c r="O23" s="261">
        <f t="shared" si="6"/>
        <v>0.98499999999999999</v>
      </c>
      <c r="P23" s="259">
        <f t="shared" si="7"/>
        <v>14.775</v>
      </c>
      <c r="Q23" s="252">
        <f t="shared" si="8"/>
        <v>46027.8656238029</v>
      </c>
      <c r="R23" s="258">
        <f t="shared" si="9"/>
        <v>48027.8656238029</v>
      </c>
      <c r="S23" s="308">
        <f t="shared" si="10"/>
        <v>29.55</v>
      </c>
      <c r="T23" s="14"/>
      <c r="U23" s="9">
        <f>Q21/3</f>
        <v>12772.538007282024</v>
      </c>
      <c r="X23" s="4"/>
      <c r="Y23">
        <v>5</v>
      </c>
    </row>
    <row r="24" spans="2:25" ht="17.399999999999999" x14ac:dyDescent="0.3">
      <c r="B24" s="331">
        <v>15</v>
      </c>
      <c r="C24" s="311" t="s">
        <v>166</v>
      </c>
      <c r="D24" s="332">
        <v>1.92</v>
      </c>
      <c r="E24" s="332">
        <v>0.04</v>
      </c>
      <c r="F24" s="327">
        <v>45474</v>
      </c>
      <c r="G24" s="311" t="s">
        <v>160</v>
      </c>
      <c r="H24" s="312">
        <f t="shared" si="1"/>
        <v>5682.2292499042314</v>
      </c>
      <c r="I24" s="313">
        <f t="shared" si="2"/>
        <v>85233.438748563465</v>
      </c>
      <c r="J24" s="265"/>
      <c r="K24" s="47"/>
      <c r="L24" s="325">
        <f t="shared" si="3"/>
        <v>15</v>
      </c>
      <c r="M24" s="320">
        <f t="shared" si="4"/>
        <v>1.97</v>
      </c>
      <c r="N24" s="320">
        <f t="shared" si="5"/>
        <v>0.04</v>
      </c>
      <c r="O24" s="261">
        <f t="shared" si="6"/>
        <v>7.8799999999999995E-2</v>
      </c>
      <c r="P24" s="259">
        <f t="shared" si="7"/>
        <v>1.1819999999999999</v>
      </c>
      <c r="Q24" s="252">
        <f t="shared" si="8"/>
        <v>3682.2292499042314</v>
      </c>
      <c r="R24" s="258">
        <f t="shared" si="9"/>
        <v>5682.2292499042314</v>
      </c>
      <c r="S24" s="308">
        <f t="shared" si="10"/>
        <v>29.55</v>
      </c>
      <c r="T24" s="14"/>
      <c r="U24" s="9"/>
      <c r="X24" s="4"/>
    </row>
    <row r="25" spans="2:25" ht="17.399999999999999" x14ac:dyDescent="0.3">
      <c r="B25" s="331">
        <v>15</v>
      </c>
      <c r="C25" s="311" t="s">
        <v>166</v>
      </c>
      <c r="D25" s="332">
        <v>0.5</v>
      </c>
      <c r="E25" s="332">
        <v>0.04</v>
      </c>
      <c r="F25" s="327">
        <v>45474</v>
      </c>
      <c r="G25" s="311" t="s">
        <v>160</v>
      </c>
      <c r="H25" s="312">
        <f t="shared" si="1"/>
        <v>3028.0335469275778</v>
      </c>
      <c r="I25" s="313">
        <f t="shared" si="2"/>
        <v>45420.503203913671</v>
      </c>
      <c r="J25" s="265"/>
      <c r="K25" s="47"/>
      <c r="L25" s="325">
        <f t="shared" si="3"/>
        <v>15</v>
      </c>
      <c r="M25" s="320">
        <f t="shared" si="4"/>
        <v>0.55000000000000004</v>
      </c>
      <c r="N25" s="320">
        <f t="shared" si="5"/>
        <v>0.04</v>
      </c>
      <c r="O25" s="261">
        <f t="shared" si="6"/>
        <v>2.2000000000000002E-2</v>
      </c>
      <c r="P25" s="259">
        <f t="shared" si="7"/>
        <v>0.33</v>
      </c>
      <c r="Q25" s="252">
        <f t="shared" si="8"/>
        <v>1028.0335469275776</v>
      </c>
      <c r="R25" s="258">
        <f t="shared" si="9"/>
        <v>3028.0335469275778</v>
      </c>
      <c r="S25" s="308">
        <f t="shared" si="10"/>
        <v>8.25</v>
      </c>
      <c r="T25" s="14"/>
      <c r="U25" s="9"/>
      <c r="X25" s="4"/>
    </row>
    <row r="26" spans="2:25" ht="17.399999999999999" x14ac:dyDescent="0.3">
      <c r="B26" s="331">
        <v>14</v>
      </c>
      <c r="C26" s="311" t="s">
        <v>165</v>
      </c>
      <c r="D26" s="332">
        <v>1.84</v>
      </c>
      <c r="E26" s="332">
        <v>0.5</v>
      </c>
      <c r="F26" s="327">
        <v>45488</v>
      </c>
      <c r="G26" s="311" t="s">
        <v>160</v>
      </c>
      <c r="H26" s="312">
        <f t="shared" si="1"/>
        <v>46158.713720298212</v>
      </c>
      <c r="I26" s="313">
        <f t="shared" si="2"/>
        <v>646221.992084175</v>
      </c>
      <c r="J26" s="265">
        <v>7</v>
      </c>
      <c r="K26" s="47"/>
      <c r="L26" s="325">
        <f t="shared" si="3"/>
        <v>14</v>
      </c>
      <c r="M26" s="320">
        <f t="shared" si="4"/>
        <v>1.8900000000000001</v>
      </c>
      <c r="N26" s="320">
        <f t="shared" si="5"/>
        <v>0.5</v>
      </c>
      <c r="O26" s="261">
        <f t="shared" si="6"/>
        <v>0.94500000000000006</v>
      </c>
      <c r="P26" s="259">
        <f t="shared" si="7"/>
        <v>13.23</v>
      </c>
      <c r="Q26" s="252">
        <f t="shared" si="8"/>
        <v>44158.713720298212</v>
      </c>
      <c r="R26" s="258">
        <f t="shared" si="9"/>
        <v>46158.713720298212</v>
      </c>
      <c r="S26" s="308">
        <f t="shared" si="10"/>
        <v>26.46</v>
      </c>
      <c r="T26" s="14"/>
      <c r="U26" s="9"/>
      <c r="X26" s="4"/>
    </row>
    <row r="27" spans="2:25" ht="17.399999999999999" x14ac:dyDescent="0.3">
      <c r="B27" s="331">
        <v>14</v>
      </c>
      <c r="C27" s="311" t="s">
        <v>165</v>
      </c>
      <c r="D27" s="332">
        <v>1.73</v>
      </c>
      <c r="E27" s="332">
        <v>0.5</v>
      </c>
      <c r="F27" s="327">
        <v>45488</v>
      </c>
      <c r="G27" s="311" t="s">
        <v>160</v>
      </c>
      <c r="H27" s="312">
        <f t="shared" si="1"/>
        <v>43588.629852979269</v>
      </c>
      <c r="I27" s="313">
        <f t="shared" si="2"/>
        <v>610240.81794170977</v>
      </c>
      <c r="J27" s="265">
        <v>7</v>
      </c>
      <c r="K27" s="47"/>
      <c r="L27" s="325">
        <f t="shared" si="3"/>
        <v>14</v>
      </c>
      <c r="M27" s="320">
        <f t="shared" si="4"/>
        <v>1.78</v>
      </c>
      <c r="N27" s="320">
        <f t="shared" si="5"/>
        <v>0.5</v>
      </c>
      <c r="O27" s="261">
        <f t="shared" si="6"/>
        <v>0.89</v>
      </c>
      <c r="P27" s="259">
        <f t="shared" si="7"/>
        <v>12.46</v>
      </c>
      <c r="Q27" s="252">
        <f t="shared" si="8"/>
        <v>41588.629852979269</v>
      </c>
      <c r="R27" s="258">
        <f t="shared" si="9"/>
        <v>43588.629852979269</v>
      </c>
      <c r="S27" s="308">
        <f t="shared" si="10"/>
        <v>24.92</v>
      </c>
      <c r="T27" s="14"/>
      <c r="U27" s="9"/>
      <c r="X27" s="4"/>
    </row>
    <row r="28" spans="2:25" ht="17.399999999999999" x14ac:dyDescent="0.3">
      <c r="B28" s="331">
        <v>14</v>
      </c>
      <c r="C28" s="311" t="s">
        <v>165</v>
      </c>
      <c r="D28" s="332">
        <v>0.7</v>
      </c>
      <c r="E28" s="332">
        <v>0.4</v>
      </c>
      <c r="F28" s="327">
        <v>45488</v>
      </c>
      <c r="G28" s="311" t="s">
        <v>160</v>
      </c>
      <c r="H28" s="312">
        <f t="shared" si="1"/>
        <v>16018.639276285148</v>
      </c>
      <c r="I28" s="313">
        <f t="shared" si="2"/>
        <v>224260.94986799208</v>
      </c>
      <c r="J28" s="265"/>
      <c r="K28" s="47"/>
      <c r="L28" s="325">
        <f t="shared" si="3"/>
        <v>14</v>
      </c>
      <c r="M28" s="320">
        <f t="shared" si="4"/>
        <v>0.75</v>
      </c>
      <c r="N28" s="320">
        <f t="shared" si="5"/>
        <v>0.4</v>
      </c>
      <c r="O28" s="261">
        <f t="shared" si="6"/>
        <v>0.30000000000000004</v>
      </c>
      <c r="P28" s="259">
        <f t="shared" si="7"/>
        <v>4.2000000000000011</v>
      </c>
      <c r="Q28" s="252">
        <f t="shared" si="8"/>
        <v>14018.639276285148</v>
      </c>
      <c r="R28" s="258">
        <f t="shared" si="9"/>
        <v>16018.639276285148</v>
      </c>
      <c r="S28" s="308">
        <f t="shared" si="10"/>
        <v>10.5</v>
      </c>
      <c r="T28" s="14"/>
      <c r="U28" s="9"/>
      <c r="X28" s="4"/>
    </row>
    <row r="29" spans="2:25" ht="17.399999999999999" x14ac:dyDescent="0.3">
      <c r="B29" s="331">
        <v>14</v>
      </c>
      <c r="C29" s="311" t="s">
        <v>166</v>
      </c>
      <c r="D29" s="332">
        <v>1.84</v>
      </c>
      <c r="E29" s="332">
        <v>0.04</v>
      </c>
      <c r="F29" s="327">
        <v>45488</v>
      </c>
      <c r="G29" s="311" t="s">
        <v>160</v>
      </c>
      <c r="H29" s="312">
        <f t="shared" si="1"/>
        <v>5532.6970976238572</v>
      </c>
      <c r="I29" s="313">
        <f t="shared" si="2"/>
        <v>77457.759366733997</v>
      </c>
      <c r="J29" s="265"/>
      <c r="K29" s="47"/>
      <c r="L29" s="325">
        <f t="shared" si="3"/>
        <v>14</v>
      </c>
      <c r="M29" s="320">
        <f t="shared" si="4"/>
        <v>1.8900000000000001</v>
      </c>
      <c r="N29" s="320">
        <f t="shared" si="5"/>
        <v>0.04</v>
      </c>
      <c r="O29" s="261">
        <f t="shared" si="6"/>
        <v>7.5600000000000001E-2</v>
      </c>
      <c r="P29" s="259">
        <f t="shared" si="7"/>
        <v>1.0584</v>
      </c>
      <c r="Q29" s="252">
        <f t="shared" si="8"/>
        <v>3532.6970976238567</v>
      </c>
      <c r="R29" s="258">
        <f t="shared" si="9"/>
        <v>5532.6970976238572</v>
      </c>
      <c r="S29" s="308">
        <f t="shared" si="10"/>
        <v>26.46</v>
      </c>
      <c r="T29" s="14"/>
      <c r="U29" s="9"/>
      <c r="X29" s="4"/>
      <c r="Y29">
        <v>9.3000000000000007</v>
      </c>
    </row>
    <row r="30" spans="2:25" ht="17.399999999999999" x14ac:dyDescent="0.3">
      <c r="B30" s="331">
        <v>14</v>
      </c>
      <c r="C30" s="311" t="s">
        <v>166</v>
      </c>
      <c r="D30" s="332">
        <v>1.73</v>
      </c>
      <c r="E30" s="332">
        <v>0.04</v>
      </c>
      <c r="F30" s="327">
        <v>45488</v>
      </c>
      <c r="G30" s="311" t="s">
        <v>160</v>
      </c>
      <c r="H30" s="312">
        <f t="shared" si="1"/>
        <v>5327.0903882383409</v>
      </c>
      <c r="I30" s="313">
        <f t="shared" si="2"/>
        <v>74579.265435336769</v>
      </c>
      <c r="J30" s="265"/>
      <c r="K30" s="47"/>
      <c r="L30" s="325">
        <f t="shared" si="3"/>
        <v>14</v>
      </c>
      <c r="M30" s="320">
        <f t="shared" si="4"/>
        <v>1.78</v>
      </c>
      <c r="N30" s="320">
        <f t="shared" si="5"/>
        <v>0.04</v>
      </c>
      <c r="O30" s="261">
        <f t="shared" si="6"/>
        <v>7.1199999999999999E-2</v>
      </c>
      <c r="P30" s="259">
        <f t="shared" si="7"/>
        <v>0.99680000000000002</v>
      </c>
      <c r="Q30" s="252">
        <f t="shared" si="8"/>
        <v>3327.0903882383413</v>
      </c>
      <c r="R30" s="258">
        <f t="shared" si="9"/>
        <v>5327.0903882383409</v>
      </c>
      <c r="S30" s="308">
        <f t="shared" si="10"/>
        <v>24.92</v>
      </c>
      <c r="T30" s="14"/>
      <c r="U30" s="9"/>
      <c r="X30" s="4"/>
    </row>
    <row r="31" spans="2:25" ht="17.399999999999999" x14ac:dyDescent="0.3">
      <c r="B31" s="333">
        <v>14</v>
      </c>
      <c r="C31" s="311" t="s">
        <v>166</v>
      </c>
      <c r="D31" s="334">
        <v>0.5</v>
      </c>
      <c r="E31" s="334">
        <v>0.04</v>
      </c>
      <c r="F31" s="327">
        <v>45488</v>
      </c>
      <c r="G31" s="311" t="s">
        <v>160</v>
      </c>
      <c r="H31" s="312">
        <f t="shared" si="1"/>
        <v>3028.0335469275778</v>
      </c>
      <c r="I31" s="313">
        <f t="shared" si="2"/>
        <v>42392.46965698609</v>
      </c>
      <c r="J31" s="265"/>
      <c r="K31" s="47"/>
      <c r="L31" s="325">
        <f t="shared" si="3"/>
        <v>14</v>
      </c>
      <c r="M31" s="320">
        <f t="shared" si="4"/>
        <v>0.55000000000000004</v>
      </c>
      <c r="N31" s="320">
        <f t="shared" si="5"/>
        <v>0.04</v>
      </c>
      <c r="O31" s="261">
        <f t="shared" si="6"/>
        <v>2.2000000000000002E-2</v>
      </c>
      <c r="P31" s="259">
        <f t="shared" si="7"/>
        <v>0.30800000000000005</v>
      </c>
      <c r="Q31" s="252">
        <f t="shared" si="8"/>
        <v>1028.0335469275776</v>
      </c>
      <c r="R31" s="258">
        <f t="shared" si="9"/>
        <v>3028.0335469275778</v>
      </c>
      <c r="S31" s="308">
        <f t="shared" si="10"/>
        <v>7.7000000000000011</v>
      </c>
      <c r="T31" s="14"/>
      <c r="U31" s="9"/>
      <c r="X31" s="4"/>
    </row>
    <row r="32" spans="2:25" ht="17.399999999999999" x14ac:dyDescent="0.3">
      <c r="B32" s="333">
        <v>14</v>
      </c>
      <c r="C32" s="311" t="s">
        <v>166</v>
      </c>
      <c r="D32" s="334">
        <v>0.4</v>
      </c>
      <c r="E32" s="334">
        <v>0.04</v>
      </c>
      <c r="F32" s="327">
        <v>45488</v>
      </c>
      <c r="G32" s="311" t="s">
        <v>160</v>
      </c>
      <c r="H32" s="312">
        <f t="shared" si="1"/>
        <v>2841.1183565771089</v>
      </c>
      <c r="I32" s="313">
        <f t="shared" si="2"/>
        <v>39775.656992079523</v>
      </c>
      <c r="J32" s="265"/>
      <c r="K32" s="47"/>
      <c r="L32" s="325">
        <f t="shared" si="3"/>
        <v>14</v>
      </c>
      <c r="M32" s="320">
        <f t="shared" si="4"/>
        <v>0.45</v>
      </c>
      <c r="N32" s="320">
        <f t="shared" si="5"/>
        <v>0.04</v>
      </c>
      <c r="O32" s="261">
        <f t="shared" si="6"/>
        <v>1.8000000000000002E-2</v>
      </c>
      <c r="P32" s="259">
        <f t="shared" si="7"/>
        <v>0.252</v>
      </c>
      <c r="Q32" s="252">
        <f t="shared" si="8"/>
        <v>841.1183565771089</v>
      </c>
      <c r="R32" s="258">
        <f t="shared" si="9"/>
        <v>2841.1183565771089</v>
      </c>
      <c r="S32" s="308">
        <f t="shared" si="10"/>
        <v>6.3</v>
      </c>
      <c r="T32" s="14"/>
      <c r="U32" s="9"/>
      <c r="X32" s="4"/>
    </row>
    <row r="33" spans="2:25" ht="17.399999999999999" x14ac:dyDescent="0.3">
      <c r="B33" s="331">
        <v>19</v>
      </c>
      <c r="C33" s="311" t="s">
        <v>165</v>
      </c>
      <c r="D33" s="332">
        <v>1.3</v>
      </c>
      <c r="E33" s="332">
        <v>0.53</v>
      </c>
      <c r="F33" s="327">
        <v>45502</v>
      </c>
      <c r="G33" s="311" t="s">
        <v>160</v>
      </c>
      <c r="H33" s="312">
        <f t="shared" si="1"/>
        <v>35434.454673940083</v>
      </c>
      <c r="I33" s="313">
        <f t="shared" si="2"/>
        <v>673254.63880486158</v>
      </c>
      <c r="J33" s="265"/>
      <c r="K33" s="47"/>
      <c r="L33" s="325">
        <f t="shared" si="3"/>
        <v>19</v>
      </c>
      <c r="M33" s="320">
        <f t="shared" si="4"/>
        <v>1.35</v>
      </c>
      <c r="N33" s="320">
        <f t="shared" si="5"/>
        <v>0.53</v>
      </c>
      <c r="O33" s="261">
        <f t="shared" si="6"/>
        <v>0.71550000000000014</v>
      </c>
      <c r="P33" s="259">
        <f t="shared" si="7"/>
        <v>13.594500000000002</v>
      </c>
      <c r="Q33" s="252">
        <f t="shared" si="8"/>
        <v>33434.454673940083</v>
      </c>
      <c r="R33" s="258">
        <f t="shared" si="9"/>
        <v>35434.454673940083</v>
      </c>
      <c r="S33" s="308">
        <f t="shared" si="10"/>
        <v>25.650000000000002</v>
      </c>
      <c r="T33" s="14"/>
      <c r="U33" s="9"/>
      <c r="X33" s="4"/>
    </row>
    <row r="34" spans="2:25" ht="17.399999999999999" x14ac:dyDescent="0.3">
      <c r="B34" s="333">
        <v>19</v>
      </c>
      <c r="C34" s="311" t="s">
        <v>165</v>
      </c>
      <c r="D34" s="334">
        <v>1.05</v>
      </c>
      <c r="E34" s="334">
        <v>0.4</v>
      </c>
      <c r="F34" s="327">
        <v>45502</v>
      </c>
      <c r="G34" s="311" t="s">
        <v>160</v>
      </c>
      <c r="H34" s="312">
        <f t="shared" si="1"/>
        <v>22560.67093855155</v>
      </c>
      <c r="I34" s="313">
        <f t="shared" si="2"/>
        <v>428652.74783247942</v>
      </c>
      <c r="J34" s="265"/>
      <c r="K34" s="47"/>
      <c r="L34" s="325">
        <f t="shared" si="3"/>
        <v>19</v>
      </c>
      <c r="M34" s="320">
        <f t="shared" si="4"/>
        <v>1.1000000000000001</v>
      </c>
      <c r="N34" s="320">
        <f t="shared" si="5"/>
        <v>0.4</v>
      </c>
      <c r="O34" s="261">
        <f t="shared" si="6"/>
        <v>0.44000000000000006</v>
      </c>
      <c r="P34" s="259">
        <f t="shared" si="7"/>
        <v>8.3600000000000012</v>
      </c>
      <c r="Q34" s="252">
        <f t="shared" si="8"/>
        <v>20560.67093855155</v>
      </c>
      <c r="R34" s="258">
        <f t="shared" si="9"/>
        <v>22560.67093855155</v>
      </c>
      <c r="S34" s="308">
        <f t="shared" si="10"/>
        <v>20.900000000000002</v>
      </c>
      <c r="T34" s="14"/>
      <c r="U34" s="9"/>
      <c r="X34" s="4"/>
    </row>
    <row r="35" spans="2:25" ht="17.399999999999999" x14ac:dyDescent="0.3">
      <c r="B35" s="331">
        <v>19</v>
      </c>
      <c r="C35" s="311" t="s">
        <v>165</v>
      </c>
      <c r="D35" s="332">
        <v>1.1100000000000001</v>
      </c>
      <c r="E35" s="332">
        <v>0.6</v>
      </c>
      <c r="F35" s="327">
        <v>45502</v>
      </c>
      <c r="G35" s="311" t="s">
        <v>160</v>
      </c>
      <c r="H35" s="312">
        <f t="shared" si="1"/>
        <v>34523.24312098154</v>
      </c>
      <c r="I35" s="313">
        <f t="shared" si="2"/>
        <v>655941.61929864925</v>
      </c>
      <c r="J35" s="265"/>
      <c r="K35" s="47">
        <v>-14</v>
      </c>
      <c r="L35" s="325">
        <f t="shared" si="3"/>
        <v>19</v>
      </c>
      <c r="M35" s="320">
        <f t="shared" si="4"/>
        <v>1.1600000000000001</v>
      </c>
      <c r="N35" s="320">
        <f t="shared" si="5"/>
        <v>0.6</v>
      </c>
      <c r="O35" s="261">
        <f t="shared" si="6"/>
        <v>0.69600000000000006</v>
      </c>
      <c r="P35" s="259">
        <f t="shared" si="7"/>
        <v>13.224000000000002</v>
      </c>
      <c r="Q35" s="252">
        <f t="shared" si="8"/>
        <v>32523.243120981544</v>
      </c>
      <c r="R35" s="258">
        <f t="shared" si="9"/>
        <v>34523.24312098154</v>
      </c>
      <c r="S35" s="308">
        <f t="shared" si="10"/>
        <v>22.040000000000003</v>
      </c>
      <c r="T35" s="14"/>
      <c r="U35" s="9"/>
      <c r="X35" s="4"/>
    </row>
    <row r="36" spans="2:25" ht="17.399999999999999" x14ac:dyDescent="0.3">
      <c r="B36" s="331">
        <v>19</v>
      </c>
      <c r="C36" s="311" t="s">
        <v>166</v>
      </c>
      <c r="D36" s="332">
        <v>0.53</v>
      </c>
      <c r="E36" s="332">
        <v>0.04</v>
      </c>
      <c r="F36" s="327">
        <v>45502</v>
      </c>
      <c r="G36" s="311" t="s">
        <v>160</v>
      </c>
      <c r="H36" s="312">
        <f t="shared" si="1"/>
        <v>3084.1081040327181</v>
      </c>
      <c r="I36" s="313">
        <f t="shared" si="2"/>
        <v>58598.053976621646</v>
      </c>
      <c r="J36" s="265"/>
      <c r="K36" s="47"/>
      <c r="L36" s="325">
        <f t="shared" si="3"/>
        <v>19</v>
      </c>
      <c r="M36" s="320">
        <f t="shared" si="4"/>
        <v>0.58000000000000007</v>
      </c>
      <c r="N36" s="320">
        <f t="shared" si="5"/>
        <v>0.04</v>
      </c>
      <c r="O36" s="261">
        <f t="shared" si="6"/>
        <v>2.3200000000000002E-2</v>
      </c>
      <c r="P36" s="259">
        <f t="shared" si="7"/>
        <v>0.44080000000000003</v>
      </c>
      <c r="Q36" s="252">
        <f t="shared" si="8"/>
        <v>1084.1081040327181</v>
      </c>
      <c r="R36" s="258">
        <f t="shared" si="9"/>
        <v>3084.1081040327181</v>
      </c>
      <c r="S36" s="308">
        <f t="shared" si="10"/>
        <v>11.020000000000001</v>
      </c>
      <c r="T36" s="14"/>
      <c r="U36" s="9"/>
      <c r="X36" s="4"/>
    </row>
    <row r="37" spans="2:25" ht="17.399999999999999" x14ac:dyDescent="0.3">
      <c r="B37" s="331">
        <v>19</v>
      </c>
      <c r="C37" s="311" t="s">
        <v>166</v>
      </c>
      <c r="D37" s="332">
        <v>1.3</v>
      </c>
      <c r="E37" s="332">
        <v>0.04</v>
      </c>
      <c r="F37" s="327">
        <v>45502</v>
      </c>
      <c r="G37" s="311" t="s">
        <v>160</v>
      </c>
      <c r="H37" s="312">
        <f t="shared" si="1"/>
        <v>4523.3550697313267</v>
      </c>
      <c r="I37" s="313">
        <f t="shared" si="2"/>
        <v>85943.746324895212</v>
      </c>
      <c r="J37" s="265"/>
      <c r="K37" s="47"/>
      <c r="L37" s="325">
        <f t="shared" si="3"/>
        <v>19</v>
      </c>
      <c r="M37" s="320">
        <f t="shared" si="4"/>
        <v>1.35</v>
      </c>
      <c r="N37" s="320">
        <f t="shared" si="5"/>
        <v>0.04</v>
      </c>
      <c r="O37" s="261">
        <f t="shared" si="6"/>
        <v>5.4000000000000006E-2</v>
      </c>
      <c r="P37" s="259">
        <f t="shared" si="7"/>
        <v>1.026</v>
      </c>
      <c r="Q37" s="252">
        <f t="shared" si="8"/>
        <v>2523.3550697313267</v>
      </c>
      <c r="R37" s="258">
        <f t="shared" si="9"/>
        <v>4523.3550697313267</v>
      </c>
      <c r="S37" s="308">
        <f t="shared" si="10"/>
        <v>25.650000000000002</v>
      </c>
      <c r="T37" s="14"/>
      <c r="U37" s="9"/>
      <c r="X37" s="4"/>
    </row>
    <row r="38" spans="2:25" ht="17.399999999999999" x14ac:dyDescent="0.3">
      <c r="B38" s="331">
        <v>19</v>
      </c>
      <c r="C38" s="311" t="s">
        <v>166</v>
      </c>
      <c r="D38" s="332">
        <v>0.57999999999999996</v>
      </c>
      <c r="E38" s="332">
        <v>0.04</v>
      </c>
      <c r="F38" s="327">
        <v>45502</v>
      </c>
      <c r="G38" s="311" t="s">
        <v>160</v>
      </c>
      <c r="H38" s="312">
        <f t="shared" si="1"/>
        <v>3177.5656992079521</v>
      </c>
      <c r="I38" s="313">
        <f t="shared" si="2"/>
        <v>60373.748284951093</v>
      </c>
      <c r="J38" s="265"/>
      <c r="K38" s="47"/>
      <c r="L38" s="325">
        <f t="shared" si="3"/>
        <v>19</v>
      </c>
      <c r="M38" s="320">
        <f t="shared" si="4"/>
        <v>0.63</v>
      </c>
      <c r="N38" s="320">
        <f t="shared" si="5"/>
        <v>0.04</v>
      </c>
      <c r="O38" s="261">
        <f t="shared" si="6"/>
        <v>2.52E-2</v>
      </c>
      <c r="P38" s="259">
        <f t="shared" si="7"/>
        <v>0.4788</v>
      </c>
      <c r="Q38" s="252">
        <f t="shared" si="8"/>
        <v>1177.5656992079523</v>
      </c>
      <c r="R38" s="258">
        <f t="shared" si="9"/>
        <v>3177.5656992079521</v>
      </c>
      <c r="S38" s="308">
        <f t="shared" si="10"/>
        <v>11.97</v>
      </c>
      <c r="T38" s="14"/>
      <c r="U38" s="9"/>
      <c r="X38" s="4"/>
    </row>
    <row r="39" spans="2:25" ht="17.399999999999999" x14ac:dyDescent="0.3">
      <c r="B39" s="331">
        <v>19</v>
      </c>
      <c r="C39" s="311" t="s">
        <v>166</v>
      </c>
      <c r="D39" s="332">
        <v>7.0000000000000007E-2</v>
      </c>
      <c r="E39" s="332">
        <v>0.04</v>
      </c>
      <c r="F39" s="327">
        <v>45502</v>
      </c>
      <c r="G39" s="311" t="s">
        <v>160</v>
      </c>
      <c r="H39" s="312">
        <f t="shared" si="1"/>
        <v>2224.2982284205623</v>
      </c>
      <c r="I39" s="313">
        <f t="shared" si="2"/>
        <v>42261.666339990683</v>
      </c>
      <c r="J39" s="265"/>
      <c r="K39" s="47"/>
      <c r="L39" s="325">
        <f t="shared" si="3"/>
        <v>19</v>
      </c>
      <c r="M39" s="320">
        <f t="shared" si="4"/>
        <v>0.12000000000000001</v>
      </c>
      <c r="N39" s="320">
        <f t="shared" si="5"/>
        <v>0.04</v>
      </c>
      <c r="O39" s="261">
        <f t="shared" si="6"/>
        <v>4.8000000000000004E-3</v>
      </c>
      <c r="P39" s="259">
        <f t="shared" si="7"/>
        <v>9.1200000000000003E-2</v>
      </c>
      <c r="Q39" s="252">
        <f t="shared" si="8"/>
        <v>224.29822842056237</v>
      </c>
      <c r="R39" s="258">
        <f t="shared" si="9"/>
        <v>2224.2982284205623</v>
      </c>
      <c r="S39" s="308">
        <f t="shared" si="10"/>
        <v>2.2800000000000002</v>
      </c>
      <c r="T39" s="14"/>
      <c r="U39" s="9"/>
      <c r="X39" s="4"/>
    </row>
    <row r="40" spans="2:25" ht="17.399999999999999" x14ac:dyDescent="0.3">
      <c r="B40" s="331">
        <v>19</v>
      </c>
      <c r="C40" s="311" t="s">
        <v>166</v>
      </c>
      <c r="D40" s="332">
        <v>0.38</v>
      </c>
      <c r="E40" s="332">
        <v>0.04</v>
      </c>
      <c r="F40" s="327">
        <v>45502</v>
      </c>
      <c r="G40" s="311" t="s">
        <v>160</v>
      </c>
      <c r="H40" s="312">
        <f t="shared" si="1"/>
        <v>2803.7353185070151</v>
      </c>
      <c r="I40" s="313">
        <f t="shared" si="2"/>
        <v>53270.971051633285</v>
      </c>
      <c r="J40" s="265"/>
      <c r="K40" s="47"/>
      <c r="L40" s="325">
        <f t="shared" si="3"/>
        <v>19</v>
      </c>
      <c r="M40" s="320">
        <f t="shared" si="4"/>
        <v>0.43</v>
      </c>
      <c r="N40" s="320">
        <f t="shared" si="5"/>
        <v>0.04</v>
      </c>
      <c r="O40" s="261">
        <f t="shared" si="6"/>
        <v>1.72E-2</v>
      </c>
      <c r="P40" s="259">
        <f t="shared" si="7"/>
        <v>0.32679999999999998</v>
      </c>
      <c r="Q40" s="252">
        <f t="shared" si="8"/>
        <v>803.73531850701511</v>
      </c>
      <c r="R40" s="258">
        <f t="shared" si="9"/>
        <v>2803.7353185070151</v>
      </c>
      <c r="S40" s="308">
        <f t="shared" si="10"/>
        <v>8.17</v>
      </c>
      <c r="T40" s="14"/>
      <c r="U40" s="9"/>
      <c r="X40" s="4"/>
    </row>
    <row r="41" spans="2:25" ht="17.399999999999999" x14ac:dyDescent="0.3">
      <c r="B41" s="331">
        <v>19</v>
      </c>
      <c r="C41" s="311" t="s">
        <v>166</v>
      </c>
      <c r="D41" s="332">
        <v>1.1100000000000001</v>
      </c>
      <c r="E41" s="332">
        <v>0.04</v>
      </c>
      <c r="F41" s="327">
        <v>45502</v>
      </c>
      <c r="G41" s="311" t="s">
        <v>160</v>
      </c>
      <c r="H41" s="312">
        <f t="shared" si="1"/>
        <v>4168.2162080654361</v>
      </c>
      <c r="I41" s="313">
        <f t="shared" si="2"/>
        <v>79196.107953243292</v>
      </c>
      <c r="J41" s="265"/>
      <c r="K41" s="47"/>
      <c r="L41" s="325">
        <f t="shared" si="3"/>
        <v>19</v>
      </c>
      <c r="M41" s="320">
        <f t="shared" si="4"/>
        <v>1.1600000000000001</v>
      </c>
      <c r="N41" s="320">
        <f t="shared" si="5"/>
        <v>0.04</v>
      </c>
      <c r="O41" s="261">
        <f t="shared" si="6"/>
        <v>4.6400000000000004E-2</v>
      </c>
      <c r="P41" s="259">
        <f t="shared" si="7"/>
        <v>0.88160000000000005</v>
      </c>
      <c r="Q41" s="252">
        <f t="shared" si="8"/>
        <v>2168.2162080654361</v>
      </c>
      <c r="R41" s="258">
        <f t="shared" si="9"/>
        <v>4168.2162080654361</v>
      </c>
      <c r="S41" s="308">
        <f t="shared" si="10"/>
        <v>22.040000000000003</v>
      </c>
      <c r="T41" s="14"/>
      <c r="U41" s="9"/>
      <c r="X41" s="4"/>
    </row>
    <row r="42" spans="2:25" ht="17.399999999999999" x14ac:dyDescent="0.3">
      <c r="B42" s="331">
        <v>19</v>
      </c>
      <c r="C42" s="311" t="s">
        <v>166</v>
      </c>
      <c r="D42" s="332">
        <v>0.6</v>
      </c>
      <c r="E42" s="332">
        <v>0.04</v>
      </c>
      <c r="F42" s="327">
        <v>45502</v>
      </c>
      <c r="G42" s="311" t="s">
        <v>160</v>
      </c>
      <c r="H42" s="312">
        <f t="shared" si="1"/>
        <v>3214.9487372780459</v>
      </c>
      <c r="I42" s="313">
        <f t="shared" si="2"/>
        <v>61084.026008282875</v>
      </c>
      <c r="J42" s="265"/>
      <c r="K42" s="47"/>
      <c r="L42" s="325">
        <f t="shared" si="3"/>
        <v>19</v>
      </c>
      <c r="M42" s="320">
        <f t="shared" si="4"/>
        <v>0.65</v>
      </c>
      <c r="N42" s="320">
        <f t="shared" si="5"/>
        <v>0.04</v>
      </c>
      <c r="O42" s="261">
        <f t="shared" si="6"/>
        <v>2.6000000000000002E-2</v>
      </c>
      <c r="P42" s="259">
        <f t="shared" si="7"/>
        <v>0.49400000000000005</v>
      </c>
      <c r="Q42" s="252">
        <f t="shared" si="8"/>
        <v>1214.9487372780461</v>
      </c>
      <c r="R42" s="258">
        <f t="shared" si="9"/>
        <v>3214.9487372780459</v>
      </c>
      <c r="S42" s="308">
        <f t="shared" si="10"/>
        <v>12.35</v>
      </c>
      <c r="T42" s="14"/>
      <c r="U42" s="9"/>
      <c r="X42" s="4"/>
    </row>
    <row r="43" spans="2:25" ht="17.399999999999999" x14ac:dyDescent="0.3">
      <c r="B43" s="347">
        <v>27</v>
      </c>
      <c r="C43" s="348" t="s">
        <v>165</v>
      </c>
      <c r="D43" s="349">
        <v>2.2000000000000002</v>
      </c>
      <c r="E43" s="349">
        <v>0.6</v>
      </c>
      <c r="F43" s="350">
        <v>45460</v>
      </c>
      <c r="G43" s="348" t="s">
        <v>160</v>
      </c>
      <c r="H43" s="351">
        <f t="shared" si="1"/>
        <v>65083.876743283152</v>
      </c>
      <c r="I43" s="352">
        <f t="shared" si="2"/>
        <v>1757264.672068645</v>
      </c>
      <c r="J43" s="265">
        <v>27</v>
      </c>
      <c r="K43" s="47"/>
      <c r="L43" s="325">
        <f t="shared" si="3"/>
        <v>27</v>
      </c>
      <c r="M43" s="320">
        <f t="shared" si="4"/>
        <v>2.25</v>
      </c>
      <c r="N43" s="320">
        <f t="shared" si="5"/>
        <v>0.6</v>
      </c>
      <c r="O43" s="261">
        <f t="shared" si="6"/>
        <v>1.3499999999999999</v>
      </c>
      <c r="P43" s="259">
        <f t="shared" si="7"/>
        <v>36.449999999999996</v>
      </c>
      <c r="Q43" s="252">
        <f t="shared" si="8"/>
        <v>63083.876743283152</v>
      </c>
      <c r="R43" s="258">
        <f t="shared" si="9"/>
        <v>65083.876743283152</v>
      </c>
      <c r="S43" s="308">
        <f t="shared" si="10"/>
        <v>60.75</v>
      </c>
      <c r="T43" s="14"/>
      <c r="U43" s="9"/>
      <c r="X43" s="4"/>
      <c r="Y43">
        <v>13.5</v>
      </c>
    </row>
    <row r="44" spans="2:25" ht="17.399999999999999" x14ac:dyDescent="0.3">
      <c r="B44" s="347">
        <v>27</v>
      </c>
      <c r="C44" s="348" t="s">
        <v>165</v>
      </c>
      <c r="D44" s="349">
        <v>1.57</v>
      </c>
      <c r="E44" s="349">
        <v>0.5</v>
      </c>
      <c r="F44" s="350">
        <v>45460</v>
      </c>
      <c r="G44" s="348" t="s">
        <v>160</v>
      </c>
      <c r="H44" s="351">
        <f t="shared" si="1"/>
        <v>39850.326045969901</v>
      </c>
      <c r="I44" s="352">
        <f t="shared" si="2"/>
        <v>1075958.8032411872</v>
      </c>
      <c r="J44" s="265">
        <v>13.5</v>
      </c>
      <c r="K44" s="47"/>
      <c r="L44" s="325">
        <f t="shared" si="3"/>
        <v>27</v>
      </c>
      <c r="M44" s="320">
        <f t="shared" si="4"/>
        <v>1.62</v>
      </c>
      <c r="N44" s="320">
        <f t="shared" si="5"/>
        <v>0.5</v>
      </c>
      <c r="O44" s="261">
        <f t="shared" si="6"/>
        <v>0.81</v>
      </c>
      <c r="P44" s="259">
        <f t="shared" si="7"/>
        <v>21.87</v>
      </c>
      <c r="Q44" s="252">
        <f t="shared" si="8"/>
        <v>37850.326045969901</v>
      </c>
      <c r="R44" s="258">
        <f t="shared" si="9"/>
        <v>39850.326045969901</v>
      </c>
      <c r="S44" s="308">
        <f t="shared" si="10"/>
        <v>43.74</v>
      </c>
      <c r="T44" s="14"/>
      <c r="U44" s="9"/>
      <c r="X44" s="4"/>
    </row>
    <row r="45" spans="2:25" ht="17.399999999999999" x14ac:dyDescent="0.3">
      <c r="B45" s="347">
        <v>27</v>
      </c>
      <c r="C45" s="348" t="s">
        <v>166</v>
      </c>
      <c r="D45" s="349">
        <v>2.2000000000000002</v>
      </c>
      <c r="E45" s="349">
        <v>0.04</v>
      </c>
      <c r="F45" s="350">
        <v>45460</v>
      </c>
      <c r="G45" s="348" t="s">
        <v>160</v>
      </c>
      <c r="H45" s="351">
        <f t="shared" si="1"/>
        <v>6205.5917828855436</v>
      </c>
      <c r="I45" s="352">
        <f t="shared" si="2"/>
        <v>167550.97813790967</v>
      </c>
      <c r="J45" s="265"/>
      <c r="K45" s="47"/>
      <c r="L45" s="325">
        <f t="shared" si="3"/>
        <v>27</v>
      </c>
      <c r="M45" s="320">
        <f t="shared" si="4"/>
        <v>2.25</v>
      </c>
      <c r="N45" s="320">
        <f t="shared" si="5"/>
        <v>0.04</v>
      </c>
      <c r="O45" s="261">
        <f t="shared" si="6"/>
        <v>0.09</v>
      </c>
      <c r="P45" s="259">
        <f t="shared" si="7"/>
        <v>2.4299999999999997</v>
      </c>
      <c r="Q45" s="252">
        <f t="shared" si="8"/>
        <v>4205.5917828855436</v>
      </c>
      <c r="R45" s="258">
        <f t="shared" si="9"/>
        <v>6205.5917828855436</v>
      </c>
      <c r="S45" s="308">
        <f t="shared" si="10"/>
        <v>60.75</v>
      </c>
      <c r="T45" s="14"/>
      <c r="U45" s="9"/>
      <c r="X45" s="4"/>
    </row>
    <row r="46" spans="2:25" ht="17.399999999999999" x14ac:dyDescent="0.3">
      <c r="B46" s="347">
        <v>27</v>
      </c>
      <c r="C46" s="348" t="s">
        <v>166</v>
      </c>
      <c r="D46" s="349">
        <v>1.57</v>
      </c>
      <c r="E46" s="349">
        <v>0.04</v>
      </c>
      <c r="F46" s="350">
        <v>45460</v>
      </c>
      <c r="G46" s="348" t="s">
        <v>160</v>
      </c>
      <c r="H46" s="351">
        <f t="shared" si="1"/>
        <v>5028.0260836775924</v>
      </c>
      <c r="I46" s="352">
        <f t="shared" si="2"/>
        <v>135756.70425929499</v>
      </c>
      <c r="J46" s="265"/>
      <c r="K46" s="47"/>
      <c r="L46" s="325">
        <f t="shared" si="3"/>
        <v>27</v>
      </c>
      <c r="M46" s="320">
        <f t="shared" si="4"/>
        <v>1.62</v>
      </c>
      <c r="N46" s="320">
        <f t="shared" si="5"/>
        <v>0.04</v>
      </c>
      <c r="O46" s="261">
        <f t="shared" si="6"/>
        <v>6.480000000000001E-2</v>
      </c>
      <c r="P46" s="259">
        <f t="shared" si="7"/>
        <v>1.7496000000000003</v>
      </c>
      <c r="Q46" s="252">
        <f t="shared" si="8"/>
        <v>3028.0260836775919</v>
      </c>
      <c r="R46" s="258">
        <f t="shared" si="9"/>
        <v>5028.0260836775924</v>
      </c>
      <c r="S46" s="308">
        <f t="shared" si="10"/>
        <v>43.74</v>
      </c>
      <c r="T46" s="14"/>
      <c r="U46" s="9"/>
      <c r="X46" s="4"/>
    </row>
    <row r="47" spans="2:25" ht="17.399999999999999" x14ac:dyDescent="0.3">
      <c r="B47" s="347">
        <v>27</v>
      </c>
      <c r="C47" s="348" t="s">
        <v>166</v>
      </c>
      <c r="D47" s="349">
        <v>0.5</v>
      </c>
      <c r="E47" s="349">
        <v>0.04</v>
      </c>
      <c r="F47" s="350">
        <v>45460</v>
      </c>
      <c r="G47" s="348" t="s">
        <v>160</v>
      </c>
      <c r="H47" s="351">
        <f t="shared" si="1"/>
        <v>3028.0335469275778</v>
      </c>
      <c r="I47" s="352">
        <f t="shared" si="2"/>
        <v>81756.905767044605</v>
      </c>
      <c r="J47" s="265"/>
      <c r="K47" s="47"/>
      <c r="L47" s="325">
        <f t="shared" si="3"/>
        <v>27</v>
      </c>
      <c r="M47" s="320">
        <f t="shared" si="4"/>
        <v>0.55000000000000004</v>
      </c>
      <c r="N47" s="320">
        <f t="shared" si="5"/>
        <v>0.04</v>
      </c>
      <c r="O47" s="261">
        <f t="shared" si="6"/>
        <v>2.2000000000000002E-2</v>
      </c>
      <c r="P47" s="259">
        <f t="shared" si="7"/>
        <v>0.59400000000000008</v>
      </c>
      <c r="Q47" s="252">
        <f t="shared" si="8"/>
        <v>1028.0335469275776</v>
      </c>
      <c r="R47" s="258">
        <f t="shared" si="9"/>
        <v>3028.0335469275778</v>
      </c>
      <c r="S47" s="308">
        <f t="shared" si="10"/>
        <v>14.850000000000001</v>
      </c>
      <c r="T47" s="14"/>
      <c r="U47" s="9"/>
      <c r="X47" s="4"/>
    </row>
    <row r="48" spans="2:25" ht="17.399999999999999" x14ac:dyDescent="0.3">
      <c r="B48" s="331">
        <v>24</v>
      </c>
      <c r="C48" s="311" t="s">
        <v>165</v>
      </c>
      <c r="D48" s="332">
        <v>2.2400000000000002</v>
      </c>
      <c r="E48" s="332">
        <v>0.5</v>
      </c>
      <c r="F48" s="327">
        <v>45516</v>
      </c>
      <c r="G48" s="311" t="s">
        <v>160</v>
      </c>
      <c r="H48" s="312">
        <f t="shared" si="1"/>
        <v>55504.473237821643</v>
      </c>
      <c r="I48" s="313">
        <f t="shared" si="2"/>
        <v>1332107.3577077193</v>
      </c>
      <c r="J48" s="265">
        <v>12</v>
      </c>
      <c r="K48" s="47"/>
      <c r="L48" s="325">
        <f t="shared" si="3"/>
        <v>24</v>
      </c>
      <c r="M48" s="320">
        <f t="shared" si="4"/>
        <v>2.29</v>
      </c>
      <c r="N48" s="320">
        <f t="shared" si="5"/>
        <v>0.5</v>
      </c>
      <c r="O48" s="261">
        <f t="shared" si="6"/>
        <v>1.145</v>
      </c>
      <c r="P48" s="259">
        <f t="shared" si="7"/>
        <v>27.48</v>
      </c>
      <c r="Q48" s="252">
        <f t="shared" si="8"/>
        <v>53504.473237821643</v>
      </c>
      <c r="R48" s="258">
        <f t="shared" si="9"/>
        <v>55504.473237821643</v>
      </c>
      <c r="S48" s="308">
        <f t="shared" si="10"/>
        <v>54.96</v>
      </c>
      <c r="T48" s="14"/>
      <c r="U48" s="9"/>
      <c r="X48" s="4"/>
      <c r="Y48">
        <v>8</v>
      </c>
    </row>
    <row r="49" spans="2:25" ht="17.399999999999999" x14ac:dyDescent="0.3">
      <c r="B49" s="331">
        <v>24</v>
      </c>
      <c r="C49" s="311" t="s">
        <v>166</v>
      </c>
      <c r="D49" s="332">
        <v>2.2400000000000002</v>
      </c>
      <c r="E49" s="332">
        <v>0.04</v>
      </c>
      <c r="F49" s="327">
        <v>45516</v>
      </c>
      <c r="G49" s="311" t="s">
        <v>160</v>
      </c>
      <c r="H49" s="312">
        <f t="shared" si="1"/>
        <v>6280.3578590257312</v>
      </c>
      <c r="I49" s="313">
        <f t="shared" si="2"/>
        <v>150728.58861661755</v>
      </c>
      <c r="J49" s="265"/>
      <c r="K49" s="47"/>
      <c r="L49" s="325">
        <f t="shared" si="3"/>
        <v>24</v>
      </c>
      <c r="M49" s="320">
        <f t="shared" si="4"/>
        <v>2.29</v>
      </c>
      <c r="N49" s="320">
        <f t="shared" si="5"/>
        <v>0.04</v>
      </c>
      <c r="O49" s="261">
        <f t="shared" si="6"/>
        <v>9.1600000000000001E-2</v>
      </c>
      <c r="P49" s="259">
        <f t="shared" si="7"/>
        <v>2.1983999999999999</v>
      </c>
      <c r="Q49" s="252">
        <f t="shared" si="8"/>
        <v>4280.3578590257312</v>
      </c>
      <c r="R49" s="258">
        <f t="shared" si="9"/>
        <v>6280.3578590257312</v>
      </c>
      <c r="S49" s="308">
        <f t="shared" si="10"/>
        <v>54.96</v>
      </c>
      <c r="T49" s="14"/>
      <c r="U49" s="9"/>
      <c r="X49" s="4"/>
    </row>
    <row r="50" spans="2:25" ht="18" thickBot="1" x14ac:dyDescent="0.35">
      <c r="B50" s="331">
        <v>24</v>
      </c>
      <c r="C50" s="311" t="s">
        <v>166</v>
      </c>
      <c r="D50" s="332">
        <v>0.5</v>
      </c>
      <c r="E50" s="332">
        <v>0.04</v>
      </c>
      <c r="F50" s="327">
        <v>45516</v>
      </c>
      <c r="G50" s="311" t="s">
        <v>160</v>
      </c>
      <c r="H50" s="312">
        <f t="shared" si="1"/>
        <v>3028.0335469275778</v>
      </c>
      <c r="I50" s="313">
        <f t="shared" si="2"/>
        <v>72672.805126261868</v>
      </c>
      <c r="J50" s="265"/>
      <c r="K50" s="47"/>
      <c r="L50" s="325">
        <f t="shared" si="3"/>
        <v>24</v>
      </c>
      <c r="M50" s="320">
        <f t="shared" si="4"/>
        <v>0.55000000000000004</v>
      </c>
      <c r="N50" s="320">
        <f t="shared" si="5"/>
        <v>0.04</v>
      </c>
      <c r="O50" s="261">
        <f t="shared" si="6"/>
        <v>2.2000000000000002E-2</v>
      </c>
      <c r="P50" s="259">
        <f t="shared" si="7"/>
        <v>0.52800000000000002</v>
      </c>
      <c r="Q50" s="252">
        <f t="shared" si="8"/>
        <v>1028.0335469275776</v>
      </c>
      <c r="R50" s="258">
        <f t="shared" si="9"/>
        <v>3028.0335469275778</v>
      </c>
      <c r="S50" s="308">
        <f t="shared" si="10"/>
        <v>13.200000000000001</v>
      </c>
      <c r="T50" s="14"/>
      <c r="U50" s="9"/>
      <c r="X50" s="4"/>
    </row>
    <row r="51" spans="2:25" ht="17.399999999999999" x14ac:dyDescent="0.3">
      <c r="B51" s="286"/>
      <c r="C51" s="286"/>
      <c r="D51" s="287"/>
      <c r="E51" s="287"/>
      <c r="F51" s="287"/>
      <c r="G51" s="286"/>
      <c r="H51" s="309" t="s">
        <v>171</v>
      </c>
      <c r="I51" s="310">
        <f>SUM(I21:I50)</f>
        <v>10178998.98</v>
      </c>
      <c r="J51" s="265">
        <f>SUM(J21:J48)</f>
        <v>81.5</v>
      </c>
      <c r="K51" s="47"/>
      <c r="L51" s="47"/>
      <c r="M51" s="39"/>
      <c r="N51" s="39"/>
      <c r="O51" s="261"/>
      <c r="P51" s="259"/>
      <c r="Q51" s="252"/>
      <c r="R51" s="258"/>
      <c r="S51" s="308"/>
      <c r="T51" s="14"/>
      <c r="U51" s="9"/>
      <c r="X51" s="4"/>
      <c r="Y51">
        <f>SUM(Y21:Y48)</f>
        <v>55.6</v>
      </c>
    </row>
    <row r="52" spans="2:25" ht="18.600000000000001" thickBot="1" x14ac:dyDescent="0.35">
      <c r="B52" s="286"/>
      <c r="C52" s="286"/>
      <c r="D52" s="287"/>
      <c r="E52" s="287"/>
      <c r="F52" s="287"/>
      <c r="G52" s="286"/>
      <c r="H52" s="328" t="s">
        <v>170</v>
      </c>
      <c r="I52" s="329">
        <v>610740</v>
      </c>
      <c r="J52" s="232"/>
      <c r="K52" s="47"/>
      <c r="L52" s="47"/>
      <c r="M52" s="39"/>
      <c r="N52" s="39"/>
      <c r="O52" s="261"/>
      <c r="P52" s="253">
        <f>SUM(P21:P50)</f>
        <v>193.43529999999998</v>
      </c>
      <c r="Q52" s="252"/>
      <c r="R52" s="258"/>
      <c r="S52" s="308"/>
      <c r="T52" s="14"/>
      <c r="U52" s="9"/>
      <c r="X52" s="4"/>
    </row>
    <row r="53" spans="2:25" ht="18" x14ac:dyDescent="0.35">
      <c r="B53" s="286"/>
      <c r="C53" s="286"/>
      <c r="D53" s="287"/>
      <c r="E53" s="287"/>
      <c r="F53" s="287"/>
      <c r="G53" s="286"/>
      <c r="H53" s="309" t="s">
        <v>30</v>
      </c>
      <c r="I53" s="330">
        <f>I51-I52</f>
        <v>9568258.9800000004</v>
      </c>
      <c r="J53" s="265"/>
      <c r="K53" s="47">
        <v>8698974</v>
      </c>
      <c r="L53" s="47"/>
      <c r="M53" s="39">
        <f>SUM(M21:M52)</f>
        <v>37.378999999999998</v>
      </c>
      <c r="N53" s="39"/>
      <c r="O53" s="261"/>
      <c r="P53" s="253">
        <f>P52</f>
        <v>193.43529999999998</v>
      </c>
      <c r="Q53" s="252"/>
      <c r="R53" s="258"/>
      <c r="S53" s="308"/>
      <c r="T53" s="14"/>
      <c r="U53" s="9"/>
      <c r="X53" s="4"/>
    </row>
    <row r="54" spans="2:25" ht="17.399999999999999" x14ac:dyDescent="0.3">
      <c r="B54" s="280"/>
      <c r="C54" s="283"/>
      <c r="D54" s="284"/>
      <c r="E54" s="284"/>
      <c r="F54" s="284"/>
      <c r="G54" s="285"/>
      <c r="H54" s="307" t="s">
        <v>53</v>
      </c>
      <c r="I54" s="304">
        <f>I51*19%</f>
        <v>1934009.8062</v>
      </c>
      <c r="J54" s="265"/>
      <c r="K54" s="47"/>
      <c r="L54" s="47"/>
      <c r="M54" s="39"/>
      <c r="N54" s="12"/>
      <c r="O54" s="12"/>
      <c r="P54" s="39">
        <f>P53*20%</f>
        <v>38.687060000000002</v>
      </c>
      <c r="Q54" s="14"/>
      <c r="R54" s="12"/>
      <c r="S54" s="238"/>
      <c r="T54" s="14"/>
      <c r="U54" s="9"/>
      <c r="X54" s="4"/>
    </row>
    <row r="55" spans="2:25" ht="18" thickBot="1" x14ac:dyDescent="0.35">
      <c r="B55" s="276"/>
      <c r="C55" s="282"/>
      <c r="D55" s="272"/>
      <c r="E55" s="272"/>
      <c r="F55" s="272"/>
      <c r="G55" s="273"/>
      <c r="H55" s="281" t="s">
        <v>6</v>
      </c>
      <c r="I55" s="305">
        <f>I51+I54</f>
        <v>12113008.7862</v>
      </c>
      <c r="J55" s="265"/>
      <c r="K55" s="47"/>
      <c r="L55" s="47"/>
      <c r="M55" s="39"/>
      <c r="N55" s="12"/>
      <c r="O55" s="12"/>
      <c r="P55" s="46">
        <f>P53+P54</f>
        <v>232.12235999999999</v>
      </c>
      <c r="Q55" s="14"/>
      <c r="R55" s="12"/>
      <c r="S55" s="238">
        <f>SUM(S21:S54)</f>
        <v>731.36500000000024</v>
      </c>
      <c r="T55" s="14"/>
      <c r="U55" s="9"/>
      <c r="X55" s="4"/>
    </row>
    <row r="56" spans="2:25" ht="17.399999999999999" x14ac:dyDescent="0.3">
      <c r="B56" s="276"/>
      <c r="C56" s="271"/>
      <c r="D56" s="272"/>
      <c r="E56" s="272"/>
      <c r="F56" s="272"/>
      <c r="G56" s="273"/>
      <c r="J56" s="265"/>
      <c r="K56" s="47"/>
      <c r="L56" s="47"/>
      <c r="M56" s="39"/>
      <c r="N56" s="12"/>
      <c r="O56" s="12"/>
      <c r="Q56" s="39" t="s">
        <v>132</v>
      </c>
      <c r="R56" s="42"/>
      <c r="S56" s="239"/>
      <c r="T56" s="14"/>
      <c r="U56" s="9"/>
      <c r="X56" s="4"/>
    </row>
    <row r="57" spans="2:25" ht="17.399999999999999" x14ac:dyDescent="0.3">
      <c r="B57" s="271"/>
      <c r="C57" s="271"/>
      <c r="D57" s="272"/>
      <c r="E57" s="272"/>
      <c r="F57" s="272"/>
      <c r="G57" s="273"/>
      <c r="H57" s="274"/>
      <c r="I57" s="275"/>
      <c r="J57" s="265"/>
      <c r="K57" s="317"/>
      <c r="L57" s="47"/>
      <c r="M57" s="14"/>
      <c r="N57" s="12"/>
      <c r="O57" s="12"/>
      <c r="Q57" s="14"/>
      <c r="R57" s="14"/>
      <c r="S57" s="237">
        <v>40</v>
      </c>
      <c r="T57" s="14"/>
      <c r="U57" s="9"/>
      <c r="X57" s="4"/>
    </row>
    <row r="58" spans="2:25" ht="17.399999999999999" x14ac:dyDescent="0.35">
      <c r="B58" s="269"/>
      <c r="C58" s="230"/>
      <c r="D58" s="230"/>
      <c r="E58" s="232"/>
      <c r="F58" s="232"/>
      <c r="G58" s="233"/>
      <c r="H58" s="230"/>
      <c r="I58" s="275"/>
      <c r="J58" s="265"/>
      <c r="K58" s="317"/>
      <c r="L58" s="47"/>
      <c r="M58" s="14"/>
      <c r="N58" s="14"/>
      <c r="O58" s="14"/>
      <c r="P58" s="14"/>
      <c r="Q58" s="14"/>
      <c r="R58" s="14"/>
      <c r="S58" s="237"/>
      <c r="T58" s="14"/>
      <c r="U58" s="9"/>
      <c r="X58" s="4"/>
    </row>
    <row r="59" spans="2:25" ht="17.399999999999999" x14ac:dyDescent="0.35">
      <c r="B59" s="234"/>
      <c r="C59" s="235"/>
      <c r="D59" s="236"/>
      <c r="E59" s="234"/>
      <c r="F59" s="234"/>
      <c r="G59" s="230"/>
      <c r="H59" s="230"/>
      <c r="J59" s="265"/>
      <c r="K59" s="47"/>
      <c r="L59" s="47"/>
      <c r="M59" s="39">
        <f>P55</f>
        <v>232.12235999999999</v>
      </c>
      <c r="N59" s="12">
        <v>2500</v>
      </c>
      <c r="O59" s="12">
        <f t="shared" ref="O59:O64" si="11">M59*N59</f>
        <v>580305.9</v>
      </c>
      <c r="P59" s="14" t="s">
        <v>22</v>
      </c>
      <c r="Q59" s="14" t="s">
        <v>23</v>
      </c>
      <c r="R59" s="14"/>
      <c r="S59" s="240"/>
      <c r="T59" s="14"/>
      <c r="U59" s="9"/>
      <c r="X59" s="4"/>
    </row>
    <row r="60" spans="2:25" ht="17.399999999999999" x14ac:dyDescent="0.35">
      <c r="B60" s="230"/>
      <c r="C60" s="230"/>
      <c r="D60" s="230"/>
      <c r="E60" s="230"/>
      <c r="F60" s="230"/>
      <c r="G60" s="230"/>
      <c r="H60" s="230"/>
      <c r="J60" s="265"/>
      <c r="K60" s="47"/>
      <c r="L60" s="47"/>
      <c r="M60" s="249">
        <v>83</v>
      </c>
      <c r="N60" s="12">
        <v>23000</v>
      </c>
      <c r="O60" s="12">
        <f t="shared" si="11"/>
        <v>1909000</v>
      </c>
      <c r="P60" s="39" t="s">
        <v>156</v>
      </c>
      <c r="Q60" s="42"/>
      <c r="R60" s="14"/>
      <c r="S60" s="239"/>
      <c r="T60" s="14"/>
      <c r="U60" s="9"/>
      <c r="W60">
        <v>1520</v>
      </c>
      <c r="X60" s="9" t="s">
        <v>161</v>
      </c>
    </row>
    <row r="61" spans="2:25" s="230" customFormat="1" ht="17.399999999999999" x14ac:dyDescent="0.35">
      <c r="J61" s="262"/>
      <c r="K61" s="47"/>
      <c r="L61" s="250"/>
      <c r="M61" s="14"/>
      <c r="N61" s="250">
        <v>55000</v>
      </c>
      <c r="O61" s="12">
        <f t="shared" si="11"/>
        <v>0</v>
      </c>
      <c r="P61" s="39" t="s">
        <v>32</v>
      </c>
      <c r="Q61" s="42"/>
      <c r="S61" s="239"/>
      <c r="T61" s="256"/>
      <c r="W61" s="231">
        <f>W60/33</f>
        <v>46.060606060606062</v>
      </c>
      <c r="X61" s="230">
        <v>112.24</v>
      </c>
    </row>
    <row r="62" spans="2:25" s="230" customFormat="1" ht="17.399999999999999" x14ac:dyDescent="0.35">
      <c r="B62" s="24" t="s">
        <v>153</v>
      </c>
      <c r="J62" s="262"/>
      <c r="K62" s="316"/>
      <c r="L62" s="250"/>
      <c r="M62" s="14">
        <v>83</v>
      </c>
      <c r="N62" s="250">
        <v>19510</v>
      </c>
      <c r="O62" s="12">
        <f t="shared" si="11"/>
        <v>1619330</v>
      </c>
      <c r="P62" s="14" t="s">
        <v>143</v>
      </c>
      <c r="Q62" s="17"/>
      <c r="S62" s="237"/>
      <c r="T62" s="256"/>
      <c r="W62" s="231"/>
      <c r="X62" s="230">
        <v>112.24</v>
      </c>
    </row>
    <row r="63" spans="2:25" s="230" customFormat="1" ht="17.399999999999999" x14ac:dyDescent="0.35">
      <c r="B63" s="24" t="s">
        <v>146</v>
      </c>
      <c r="C63"/>
      <c r="D63"/>
      <c r="E63"/>
      <c r="F63"/>
      <c r="G63"/>
      <c r="J63" s="262"/>
      <c r="K63" s="316"/>
      <c r="L63" s="250"/>
      <c r="M63" s="249"/>
      <c r="N63" s="250">
        <v>800</v>
      </c>
      <c r="O63" s="12">
        <f t="shared" si="11"/>
        <v>0</v>
      </c>
      <c r="P63" s="14" t="s">
        <v>34</v>
      </c>
      <c r="Q63" s="14"/>
      <c r="R63" s="230">
        <v>1.52</v>
      </c>
      <c r="S63" s="237"/>
      <c r="T63" s="237"/>
      <c r="X63" s="230">
        <v>112.24</v>
      </c>
    </row>
    <row r="64" spans="2:25" s="230" customFormat="1" ht="17.399999999999999" x14ac:dyDescent="0.35">
      <c r="B64" s="29" t="s">
        <v>127</v>
      </c>
      <c r="C64"/>
      <c r="D64"/>
      <c r="E64"/>
      <c r="F64"/>
      <c r="G64" s="229" t="s">
        <v>16</v>
      </c>
      <c r="J64" s="303"/>
      <c r="K64" s="47"/>
      <c r="L64" s="250"/>
      <c r="M64" s="266"/>
      <c r="N64" s="12">
        <v>48000</v>
      </c>
      <c r="O64" s="12">
        <f t="shared" si="11"/>
        <v>0</v>
      </c>
      <c r="P64" s="14" t="s">
        <v>24</v>
      </c>
      <c r="Q64" s="14"/>
      <c r="R64">
        <v>2.44</v>
      </c>
      <c r="S64"/>
      <c r="T64" s="237">
        <v>1500</v>
      </c>
      <c r="X64" s="231">
        <f>SUM(X61:X63)</f>
        <v>336.71999999999997</v>
      </c>
    </row>
    <row r="65" spans="2:24" s="230" customFormat="1" ht="17.399999999999999" x14ac:dyDescent="0.35">
      <c r="K65" s="47"/>
      <c r="L65" s="250"/>
      <c r="M65" s="14"/>
      <c r="N65" s="12"/>
      <c r="O65" s="12">
        <f>SUM(O59:O64)</f>
        <v>4108635.9</v>
      </c>
      <c r="P65" s="39" t="s">
        <v>25</v>
      </c>
      <c r="Q65" s="14"/>
      <c r="R65">
        <f>R63*R64</f>
        <v>3.7088000000000001</v>
      </c>
      <c r="S65"/>
      <c r="T65" s="237">
        <f>S57*T64</f>
        <v>60000</v>
      </c>
      <c r="X65" s="231"/>
    </row>
    <row r="66" spans="2:24" s="230" customFormat="1" ht="17.399999999999999" x14ac:dyDescent="0.35">
      <c r="K66" s="47">
        <v>43190</v>
      </c>
      <c r="L66" s="250"/>
      <c r="M66" s="254" t="s">
        <v>35</v>
      </c>
      <c r="N66" s="12"/>
      <c r="O66" s="255">
        <f>O65*2.2</f>
        <v>9038998.9800000004</v>
      </c>
      <c r="P66" s="14" t="s">
        <v>142</v>
      </c>
      <c r="Q66" s="14"/>
      <c r="R66" s="46">
        <f>P53/R65</f>
        <v>52.155764667817081</v>
      </c>
      <c r="S66"/>
      <c r="T66" s="257" t="e">
        <f>T65/#REF!</f>
        <v>#REF!</v>
      </c>
      <c r="W66" s="230" t="s">
        <v>162</v>
      </c>
      <c r="X66" s="230">
        <v>4</v>
      </c>
    </row>
    <row r="67" spans="2:24" s="230" customFormat="1" ht="17.399999999999999" x14ac:dyDescent="0.35">
      <c r="H67"/>
      <c r="I67" s="260"/>
      <c r="J67" s="260"/>
      <c r="K67" s="47">
        <f>K66/1.19</f>
        <v>36294.117647058825</v>
      </c>
      <c r="L67" s="250"/>
      <c r="M67" s="14"/>
      <c r="N67" s="12"/>
      <c r="O67" s="12">
        <f>O66/P53</f>
        <v>46728.797587617155</v>
      </c>
      <c r="P67" s="45" t="s">
        <v>26</v>
      </c>
      <c r="Q67" s="14"/>
      <c r="R67" s="14"/>
      <c r="S67"/>
      <c r="T67" s="237"/>
      <c r="W67" s="230">
        <v>48000</v>
      </c>
    </row>
    <row r="68" spans="2:24" s="230" customFormat="1" ht="17.399999999999999" x14ac:dyDescent="0.35">
      <c r="H68"/>
      <c r="K68" s="47"/>
      <c r="L68" s="250"/>
      <c r="M68" s="13"/>
      <c r="N68" s="14"/>
      <c r="O68" s="17">
        <f>O66/O65</f>
        <v>2.2000000000000002</v>
      </c>
      <c r="P68" s="15"/>
      <c r="Q68"/>
      <c r="R68"/>
      <c r="S68"/>
      <c r="T68" s="237"/>
      <c r="X68" s="230">
        <f>W67*X66</f>
        <v>192000</v>
      </c>
    </row>
    <row r="69" spans="2:24" s="230" customFormat="1" ht="17.399999999999999" x14ac:dyDescent="0.35">
      <c r="H69" s="23"/>
      <c r="K69" s="47"/>
      <c r="L69" s="12"/>
      <c r="T69" s="237"/>
    </row>
    <row r="70" spans="2:24" s="230" customFormat="1" ht="17.399999999999999" x14ac:dyDescent="0.35">
      <c r="B70"/>
      <c r="C70" s="228"/>
      <c r="D70" s="22"/>
      <c r="E70" s="22"/>
      <c r="F70" s="22"/>
      <c r="G70" s="21"/>
      <c r="H70" s="23"/>
      <c r="K70" s="47"/>
      <c r="L70" s="12"/>
      <c r="T70" s="237">
        <v>1.83</v>
      </c>
    </row>
    <row r="71" spans="2:24" ht="14.4" customHeight="1" x14ac:dyDescent="0.3">
      <c r="K71" s="47"/>
      <c r="L71" s="12"/>
      <c r="T71">
        <v>2.5</v>
      </c>
    </row>
    <row r="72" spans="2:24" x14ac:dyDescent="0.3">
      <c r="K72" s="47"/>
      <c r="L72" s="250"/>
      <c r="T72">
        <f>T70*T71</f>
        <v>4.5750000000000002</v>
      </c>
    </row>
    <row r="73" spans="2:24" x14ac:dyDescent="0.3">
      <c r="L73" s="250"/>
      <c r="T73" s="270">
        <f>P55/T72</f>
        <v>50.737127868852454</v>
      </c>
    </row>
    <row r="74" spans="2:24" x14ac:dyDescent="0.3">
      <c r="L74" s="250"/>
    </row>
    <row r="75" spans="2:24" ht="15" customHeight="1" x14ac:dyDescent="0.3"/>
    <row r="77" spans="2:24" x14ac:dyDescent="0.3">
      <c r="O77">
        <v>40935</v>
      </c>
      <c r="P77" t="s">
        <v>17</v>
      </c>
      <c r="Q77" t="s">
        <v>28</v>
      </c>
    </row>
    <row r="79" spans="2:24" x14ac:dyDescent="0.3">
      <c r="O79" s="54"/>
      <c r="P79" s="54"/>
    </row>
    <row r="80" spans="2:24" x14ac:dyDescent="0.3">
      <c r="S80" s="18"/>
      <c r="T80" s="18"/>
    </row>
    <row r="81" spans="15:20" x14ac:dyDescent="0.3">
      <c r="S81" s="18"/>
      <c r="T81" s="18"/>
    </row>
    <row r="82" spans="15:20" x14ac:dyDescent="0.3">
      <c r="S82" s="18"/>
      <c r="T82" s="18"/>
    </row>
    <row r="83" spans="15:20" x14ac:dyDescent="0.3">
      <c r="S83" s="18"/>
      <c r="T83" s="18"/>
    </row>
    <row r="84" spans="15:20" x14ac:dyDescent="0.3">
      <c r="S84" s="18"/>
      <c r="T84" s="18"/>
    </row>
    <row r="85" spans="15:20" x14ac:dyDescent="0.3">
      <c r="S85" s="18"/>
      <c r="T85" s="18"/>
    </row>
    <row r="86" spans="15:20" x14ac:dyDescent="0.3">
      <c r="S86" s="18"/>
      <c r="T86" s="18"/>
    </row>
    <row r="87" spans="15:20" x14ac:dyDescent="0.3">
      <c r="S87" s="18"/>
      <c r="T87" s="18"/>
    </row>
    <row r="88" spans="15:20" x14ac:dyDescent="0.3">
      <c r="S88" s="18"/>
      <c r="T88" s="18"/>
    </row>
    <row r="91" spans="15:20" x14ac:dyDescent="0.3">
      <c r="O91" s="43"/>
    </row>
    <row r="92" spans="15:20" x14ac:dyDescent="0.3">
      <c r="O92" s="43"/>
    </row>
    <row r="93" spans="15:20" x14ac:dyDescent="0.3">
      <c r="O93" s="6"/>
    </row>
    <row r="94" spans="15:20" x14ac:dyDescent="0.3">
      <c r="O94" s="6"/>
    </row>
    <row r="102" spans="3:3" x14ac:dyDescent="0.3">
      <c r="C102" t="s">
        <v>150</v>
      </c>
    </row>
    <row r="103" spans="3:3" x14ac:dyDescent="0.3">
      <c r="C103" t="s">
        <v>149</v>
      </c>
    </row>
    <row r="106" spans="3:3" x14ac:dyDescent="0.3">
      <c r="C106" t="s">
        <v>149</v>
      </c>
    </row>
    <row r="183" spans="3:3" x14ac:dyDescent="0.3">
      <c r="C183" t="s">
        <v>149</v>
      </c>
    </row>
    <row r="184" spans="3:3" x14ac:dyDescent="0.3">
      <c r="C184" t="s">
        <v>151</v>
      </c>
    </row>
    <row r="185" spans="3:3" x14ac:dyDescent="0.3">
      <c r="C185" t="s">
        <v>152</v>
      </c>
    </row>
    <row r="610" spans="3:3" x14ac:dyDescent="0.3">
      <c r="C610" t="s">
        <v>149</v>
      </c>
    </row>
  </sheetData>
  <mergeCells count="2">
    <mergeCell ref="G17:I17"/>
    <mergeCell ref="B19:I19"/>
  </mergeCells>
  <phoneticPr fontId="34" type="noConversion"/>
  <hyperlinks>
    <hyperlink ref="G6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45439</v>
      </c>
    </row>
    <row r="6" spans="2:31" ht="16.2" thickBot="1" x14ac:dyDescent="0.35">
      <c r="B6" s="140" t="s">
        <v>2</v>
      </c>
      <c r="C6" s="139" t="str">
        <f>'2229'!C10</f>
        <v>ORBEC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100</v>
      </c>
      <c r="I7" s="342"/>
      <c r="J7" s="342"/>
      <c r="K7" s="343"/>
      <c r="N7" s="75"/>
      <c r="O7" s="34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10956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4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-1003736.3325334542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'2229'!I51</f>
        <v>10178998.98</v>
      </c>
      <c r="E11" s="132">
        <f>D11*0.19</f>
        <v>1934009.8062</v>
      </c>
      <c r="F11" s="131">
        <f>E11+D11</f>
        <v>12113008.7862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-897746.33253345417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2519139.9907874395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-915746.33253345417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7659858.9892125614</v>
      </c>
      <c r="E13" s="221">
        <f>(D11/D12)-1</f>
        <v>3.0406642811534352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-924746.33253345417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-963746.33253345417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4156580.9847992752</v>
      </c>
      <c r="F15" s="216">
        <f>E15-D12</f>
        <v>1637440.9940118357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-963746.33253345417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-923746.33253345417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'2229'!O61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'2229'!O60</f>
        <v>1909000</v>
      </c>
      <c r="E19" s="123">
        <f>D19*0.19</f>
        <v>362710</v>
      </c>
      <c r="F19" s="120">
        <f>SUM(D19:E19)</f>
        <v>2271710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'2229'!O59</f>
        <v>580305.9</v>
      </c>
      <c r="E20" s="121">
        <f>D20*0.19</f>
        <v>110258.121</v>
      </c>
      <c r="F20" s="120">
        <f>SUM(D20:E20)</f>
        <v>690564.02100000007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2489305.9</v>
      </c>
      <c r="E21" s="116">
        <f>SUM(E18:E20)</f>
        <v>472968.12099999998</v>
      </c>
      <c r="F21" s="115">
        <f>SUM(F18:F20)</f>
        <v>2962274.0210000002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1461041.6851999999</v>
      </c>
    </row>
    <row r="41" spans="2:16" ht="15" thickBot="1" x14ac:dyDescent="0.35">
      <c r="H41" s="344" t="s">
        <v>62</v>
      </c>
      <c r="I41" s="345"/>
      <c r="J41" s="345"/>
      <c r="K41" s="345"/>
      <c r="L41" s="345"/>
      <c r="M41" s="34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10178998.98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2489305.9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7659858.9892125614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7659858.9892125614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2024-05-13T19:12:23Z</cp:lastPrinted>
  <dcterms:created xsi:type="dcterms:W3CDTF">2013-03-18T13:35:42Z</dcterms:created>
  <dcterms:modified xsi:type="dcterms:W3CDTF">2024-06-05T15:59:05Z</dcterms:modified>
</cp:coreProperties>
</file>