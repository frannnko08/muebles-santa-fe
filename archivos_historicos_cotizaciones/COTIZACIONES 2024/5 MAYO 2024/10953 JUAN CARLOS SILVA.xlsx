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51CFB2A5-B165-45B8-ABEB-B3F026665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O29" i="1"/>
  <c r="K24" i="1"/>
  <c r="L24" i="1"/>
  <c r="M24" i="1"/>
  <c r="H24" i="1"/>
  <c r="K22" i="1"/>
  <c r="K23" i="1"/>
  <c r="L23" i="1"/>
  <c r="M23" i="1"/>
  <c r="K21" i="1"/>
  <c r="H23" i="1"/>
  <c r="H21" i="1"/>
  <c r="L22" i="1"/>
  <c r="M22" i="1"/>
  <c r="H22" i="1"/>
  <c r="J34" i="1"/>
  <c r="K10" i="1"/>
  <c r="R24" i="1" l="1"/>
  <c r="N24" i="1"/>
  <c r="O24" i="1" s="1"/>
  <c r="N23" i="1"/>
  <c r="O23" i="1" s="1"/>
  <c r="R23" i="1"/>
  <c r="N22" i="1"/>
  <c r="O22" i="1" s="1"/>
  <c r="R22" i="1"/>
  <c r="J42" i="1"/>
  <c r="L21" i="1" l="1"/>
  <c r="L28" i="1" s="1"/>
  <c r="M21" i="1"/>
  <c r="N21" i="1" l="1"/>
  <c r="O21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P24" i="1" s="1"/>
  <c r="Q24" i="1" s="1"/>
  <c r="E15" i="3"/>
  <c r="P22" i="1" l="1"/>
  <c r="Q22" i="1" s="1"/>
  <c r="P23" i="1"/>
  <c r="Q23" i="1" s="1"/>
  <c r="P21" i="1"/>
  <c r="F15" i="3"/>
  <c r="Q21" i="1" l="1"/>
  <c r="R30" i="1"/>
  <c r="H30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<sst xmlns="http://schemas.openxmlformats.org/spreadsheetml/2006/main" count="226" uniqueCount="166">
  <si>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</si>
  <si>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</si>
  <si>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</si>
  <si>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</si>
  <si>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</si>
  <si>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</si>
  <si>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</si>
  <si>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</si>
  <si>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</si>
  <si>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</si>
  <si>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</si>
  <si>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</si>
  <si>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</si>
  <si>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</si>
  <si>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</si>
  <si>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</si>
  <si>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</si>
  <si>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</si>
  <si>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</si>
  <si>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</si>
  <si>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</si>
  <si>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</si>
  <si>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</si>
  <si>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</si>
  <si>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</si>
  <si>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</si>
  <si>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</si>
  <si>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</si>
  <si>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</si>
  <si>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</si>
  <si>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</si>
  <si>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</si>
  <si>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</si>
  <si>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</si>
  <si>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</si>
  <si>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</si>
  <si>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</si>
  <si>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</si>
  <si>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</si>
  <si>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</si>
  <si>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</si>
  <si>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</si>
  <si>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</si>
  <si>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</si>
  <si>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</si>
  <si>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</si>
  <si>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</si>
  <si>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</si>
  <si>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</si>
  <si>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</si>
  <si>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</si>
  <si>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</si>
  <si>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</si>
  <si>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</si>
  <si>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</si>
  <si>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</si>
  <si>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</si>
  <si>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</si>
  <si>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</si>
  <si>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</si>
  <si>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</si>
  <si>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</si>
  <si>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</si>
  <si>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</si>
  <si>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</si>
  <si>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</si>
  <si>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</si>
  <si>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</si>
  <si>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</si>
  <si>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</si>
  <si>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</si>
  <si>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</si>
  <si>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</si>
  <si>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</si>
  <si>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</si>
  <si>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</si>
  <si>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</si>
  <si>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</si>
  <si>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</si>
  <si>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</si>
  <si>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</si>
  <si>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</si>
  <si>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</si>
  <si>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</si>
  <si>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</si>
  <si>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</si>
  <si>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</si>
  <si>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</si>
  <si>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</si>
  <si>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</si>
  <si>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</si>
  <si>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</si>
  <si>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</si>
  <si>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</si>
  <si>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</si>
  <si>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</si>
  <si>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</si>
  <si>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</si>
  <si>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</si>
  <si>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</si>
  <si>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</si>
  <si>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</si>
  <si>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</si>
  <si>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</si>
  <si>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</si>
  <si>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</si>
  <si>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</si>
  <si>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</si>
  <si>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</si>
  <si>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</si>
  <si>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</si>
  <si>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</si>
  <si>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</si>
  <si>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</si>
  <si>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</si>
  <si>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</si>
  <si>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</si>
  <si>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</si>
  <si>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</si>
  <si>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</si>
  <si>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</si>
  <si>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</si>
  <si>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</si>
  <si>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</si>
  <si>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</si>
  <si>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</si>
  <si>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</si>
  <si>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</si>
  <si>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</si>
  <si>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</si>
  <si>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</si>
  <si>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</si>
  <si>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</si>
  <si>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</si>
  <si>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</si>
  <si>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</si>
  <si>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</si>
  <si>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</si>
  <si>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</si>
  <si>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</si>
  <si>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</si>
  <si>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</si>
  <si>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</si>
  <si>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</si>
  <si>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</si>
  <si>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</si>
  <si>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</si>
  <si>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</si>
  <si>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</si>
  <si>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</si>
  <si>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</si>
  <si>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</si>
  <si>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</si>
  <si>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</si>
  <si>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</si>
  <si>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</si>
  <si>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</si>
  <si>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</si>
  <si>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N° 10953</t>
  </si>
  <si>
    <t>JUAN CARLOS SILVA</t>
  </si>
  <si>
    <t>7 DIAS HABILES</t>
  </si>
  <si>
    <t>CUB CON RESPALDO FRENTE 90° R6</t>
  </si>
  <si>
    <t>WHITE ASHWOOD 10159 SF</t>
  </si>
  <si>
    <t>CORTE 45°</t>
  </si>
  <si>
    <t>+569 50967407</t>
  </si>
  <si>
    <t>EMBALAR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</si>
</sst>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26</xdr:row>
      <xdr:rowOff>84014</xdr:rowOff>
    </xdr:from>
    <xdr:to>
      <xdr:col>5</xdr:col>
      <xdr:colOff>1849560</xdr:colOff>
      <xdr:row>30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15" zoomScale="98" zoomScaleNormal="98" workbookViewId="0">
      <selection activeCell="H29" sqref="H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45425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164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68563.631193124369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161</v>
      </c>
      <c r="D21" s="313">
        <v>3</v>
      </c>
      <c r="E21" s="313">
        <v>0.64</v>
      </c>
      <c r="F21" s="312" t="s">
        <v>162</v>
      </c>
      <c r="G21" s="314">
        <v>133836</v>
      </c>
      <c r="H21" s="315">
        <f t="shared" ref="H21:H22" si="1">G21*B21</f>
        <v>267672</v>
      </c>
      <c r="I21" s="265">
        <v>20000</v>
      </c>
      <c r="J21" s="47"/>
      <c r="K21" s="325">
        <f>B21</f>
        <v>2</v>
      </c>
      <c r="L21" s="326">
        <f t="shared" ref="L21:M21" si="2">D21+L$19</f>
        <v>3.05</v>
      </c>
      <c r="M21" s="326">
        <f t="shared" si="2"/>
        <v>0.64</v>
      </c>
      <c r="N21" s="261">
        <f>L21*M21</f>
        <v>1.952</v>
      </c>
      <c r="O21" s="259">
        <f>N21*K21</f>
        <v>3.9039999999999999</v>
      </c>
      <c r="P21" s="252">
        <f>P$20*N21</f>
        <v>133836.20808897878</v>
      </c>
      <c r="Q21" s="258">
        <f>P21+Q$20</f>
        <v>136836.20808897878</v>
      </c>
      <c r="R21" s="308">
        <f>K21*L21</f>
        <v>6.1</v>
      </c>
      <c r="S21" s="14"/>
      <c r="T21" s="9"/>
      <c r="W21" s="4"/>
    </row>
    <row r="22" spans="2:24" ht="17.399999999999999" x14ac:dyDescent="0.3">
      <c r="B22" s="323">
        <v>1</v>
      </c>
      <c r="C22" s="312" t="s">
        <v>161</v>
      </c>
      <c r="D22" s="313">
        <v>1.74</v>
      </c>
      <c r="E22" s="313">
        <v>0.64</v>
      </c>
      <c r="F22" s="312" t="s">
        <v>162</v>
      </c>
      <c r="G22" s="314">
        <v>78546</v>
      </c>
      <c r="H22" s="315">
        <f t="shared" si="1"/>
        <v>78546</v>
      </c>
      <c r="I22" s="265"/>
      <c r="J22" s="47"/>
      <c r="K22" s="325">
        <f t="shared" ref="K22:K23" si="3">B22</f>
        <v>1</v>
      </c>
      <c r="L22" s="326">
        <f t="shared" ref="L22" si="4">D22+L$19</f>
        <v>1.79</v>
      </c>
      <c r="M22" s="326">
        <f t="shared" ref="M22" si="5">E22+M$19</f>
        <v>0.64</v>
      </c>
      <c r="N22" s="261">
        <f>L22*M22</f>
        <v>1.1456</v>
      </c>
      <c r="O22" s="259">
        <f>N22*K22</f>
        <v>1.1456</v>
      </c>
      <c r="P22" s="252">
        <f>P$20*N22</f>
        <v>78546.495894843276</v>
      </c>
      <c r="Q22" s="258">
        <f>P22+Q$20</f>
        <v>81546.495894843276</v>
      </c>
      <c r="R22" s="308">
        <f>K22*L22</f>
        <v>1.79</v>
      </c>
      <c r="S22" s="14"/>
      <c r="T22" s="9"/>
      <c r="W22" s="4"/>
    </row>
    <row r="23" spans="2:24" ht="17.399999999999999" x14ac:dyDescent="0.3">
      <c r="B23" s="323">
        <v>1</v>
      </c>
      <c r="C23" s="312" t="s">
        <v>161</v>
      </c>
      <c r="D23" s="313">
        <v>1.3</v>
      </c>
      <c r="E23" s="313">
        <v>0.64</v>
      </c>
      <c r="F23" s="312" t="s">
        <v>162</v>
      </c>
      <c r="G23" s="314">
        <v>59239</v>
      </c>
      <c r="H23" s="315">
        <f t="shared" ref="H23" si="6">G23*B23</f>
        <v>59239</v>
      </c>
      <c r="I23" s="265"/>
      <c r="J23" s="47"/>
      <c r="K23" s="325">
        <f t="shared" si="3"/>
        <v>1</v>
      </c>
      <c r="L23" s="326">
        <f t="shared" ref="L23" si="7">D23+L$19</f>
        <v>1.35</v>
      </c>
      <c r="M23" s="326">
        <f t="shared" ref="M23" si="8">E23+M$19</f>
        <v>0.64</v>
      </c>
      <c r="N23" s="261">
        <f>L23*M23</f>
        <v>0.8640000000000001</v>
      </c>
      <c r="O23" s="259">
        <f>N23*K23</f>
        <v>0.8640000000000001</v>
      </c>
      <c r="P23" s="252">
        <f>P$20*N23</f>
        <v>59238.977350859459</v>
      </c>
      <c r="Q23" s="258">
        <f>P23+Q$20</f>
        <v>62238.977350859459</v>
      </c>
      <c r="R23" s="308">
        <f>K23*L23</f>
        <v>1.35</v>
      </c>
      <c r="S23" s="14"/>
      <c r="T23" s="9"/>
      <c r="W23" s="4"/>
    </row>
    <row r="24" spans="2:24" ht="17.399999999999999" x14ac:dyDescent="0.3">
      <c r="B24" s="323">
        <v>1</v>
      </c>
      <c r="C24" s="312" t="s">
        <v>161</v>
      </c>
      <c r="D24" s="313">
        <v>0.6</v>
      </c>
      <c r="E24" s="313">
        <v>0.64</v>
      </c>
      <c r="F24" s="312" t="s">
        <v>162</v>
      </c>
      <c r="G24" s="314">
        <v>28522</v>
      </c>
      <c r="H24" s="315">
        <f t="shared" ref="H24" si="9">G24*B24</f>
        <v>28522</v>
      </c>
      <c r="I24" s="265"/>
      <c r="J24" s="47"/>
      <c r="K24" s="325">
        <f t="shared" ref="K24" si="10">B24</f>
        <v>1</v>
      </c>
      <c r="L24" s="326">
        <f t="shared" ref="L24" si="11">D24+L$19</f>
        <v>0.65</v>
      </c>
      <c r="M24" s="326">
        <f t="shared" ref="M24" si="12">E24+M$19</f>
        <v>0.64</v>
      </c>
      <c r="N24" s="261">
        <f>L24*M24</f>
        <v>0.41600000000000004</v>
      </c>
      <c r="O24" s="259">
        <f>N24*K24</f>
        <v>0.41600000000000004</v>
      </c>
      <c r="P24" s="252">
        <f>P$20*N24</f>
        <v>28522.47057633974</v>
      </c>
      <c r="Q24" s="258">
        <f>P24+Q$20</f>
        <v>31522.47057633974</v>
      </c>
      <c r="R24" s="308">
        <f>K24*L24</f>
        <v>0.65</v>
      </c>
      <c r="S24" s="14"/>
      <c r="T24" s="9"/>
      <c r="W24" s="4"/>
    </row>
    <row r="25" spans="2:24" ht="17.399999999999999" x14ac:dyDescent="0.3">
      <c r="B25" s="323">
        <v>4</v>
      </c>
      <c r="C25" s="312" t="s">
        <v>163</v>
      </c>
      <c r="D25" s="313"/>
      <c r="E25" s="313"/>
      <c r="F25" s="312"/>
      <c r="G25" s="314">
        <v>7500</v>
      </c>
      <c r="H25" s="315">
        <f t="shared" ref="H25" si="13">G25*B25</f>
        <v>30000</v>
      </c>
      <c r="I25" s="265"/>
      <c r="J25" s="47"/>
      <c r="K25" s="325"/>
      <c r="L25" s="326"/>
      <c r="M25" s="326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8"/>
      <c r="H26" s="318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v>450000</v>
      </c>
      <c r="I28" s="265"/>
      <c r="J28" s="47"/>
      <c r="K28" s="47"/>
      <c r="L28" s="39">
        <f>SUM(L21:L27)</f>
        <v>6.84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/>
      <c r="I29" s="265"/>
      <c r="J29" s="47"/>
      <c r="K29" s="47"/>
      <c r="L29" s="39"/>
      <c r="M29" s="12"/>
      <c r="N29" s="12"/>
      <c r="O29" s="253">
        <f>SUM(O21:O24)</f>
        <v>6.3296000000000001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450000</v>
      </c>
      <c r="I30" s="265"/>
      <c r="J30" s="47"/>
      <c r="K30" s="47"/>
      <c r="L30" s="39"/>
      <c r="M30" s="12"/>
      <c r="N30" s="12"/>
      <c r="O30" s="253">
        <f>O29</f>
        <v>6.3296000000000001</v>
      </c>
      <c r="P30" s="14"/>
      <c r="Q30" s="12"/>
      <c r="R30" s="238">
        <f>SUM(R21:R29)</f>
        <v>9.89</v>
      </c>
      <c r="S30" s="14"/>
      <c r="T30" s="9"/>
      <c r="W30" s="4"/>
    </row>
    <row r="31" spans="2:24" ht="17.399999999999999" x14ac:dyDescent="0.3">
      <c r="B31" s="276"/>
      <c r="C31" s="271" t="s">
        <v>165</v>
      </c>
      <c r="D31" s="272"/>
      <c r="E31" s="272"/>
      <c r="F31" s="273"/>
      <c r="I31" s="265"/>
      <c r="J31" s="47">
        <v>32</v>
      </c>
      <c r="K31" s="47"/>
      <c r="L31" s="39"/>
      <c r="M31" s="12"/>
      <c r="N31" s="12"/>
      <c r="O31" s="39">
        <f>O30*20%</f>
        <v>1.2659200000000002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20">
        <v>32</v>
      </c>
      <c r="K32" s="47"/>
      <c r="L32" s="14"/>
      <c r="M32" s="12"/>
      <c r="N32" s="12"/>
      <c r="O32" s="46">
        <f>O30+O31</f>
        <v>7.5955200000000005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20">
        <v>55</v>
      </c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>
        <f>SUM(J31:J33)</f>
        <v>119</v>
      </c>
      <c r="K34" s="47"/>
      <c r="L34" s="39">
        <f>O32</f>
        <v>7.5955200000000005</v>
      </c>
      <c r="M34" s="12">
        <v>2500</v>
      </c>
      <c r="N34" s="12">
        <f t="shared" ref="N34:N39" si="14">L34*M34</f>
        <v>18988.800000000003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24000</v>
      </c>
      <c r="N35" s="12">
        <f t="shared" si="14"/>
        <v>48000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55000</v>
      </c>
      <c r="N36" s="12">
        <f t="shared" si="14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9"/>
      <c r="K37" s="250"/>
      <c r="L37" s="14">
        <v>4</v>
      </c>
      <c r="M37" s="250">
        <v>31200</v>
      </c>
      <c r="N37" s="12">
        <f t="shared" si="14"/>
        <v>124800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9"/>
      <c r="K38" s="250"/>
      <c r="L38" s="249"/>
      <c r="M38" s="250">
        <v>800</v>
      </c>
      <c r="N38" s="12">
        <f t="shared" si="14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>
        <v>3.65</v>
      </c>
      <c r="M39" s="12">
        <v>1500</v>
      </c>
      <c r="N39" s="12">
        <f t="shared" si="14"/>
        <v>5475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197263.8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43190</v>
      </c>
      <c r="K41" s="250"/>
      <c r="L41" s="254" t="s">
        <v>35</v>
      </c>
      <c r="M41" s="12"/>
      <c r="N41" s="255">
        <f>N40*2.2</f>
        <v>433980.36</v>
      </c>
      <c r="O41" s="14" t="s">
        <v>142</v>
      </c>
      <c r="P41" s="14"/>
      <c r="Q41" s="46">
        <f>O30/Q40</f>
        <v>1.7066436583261433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36294.117647058825</v>
      </c>
      <c r="K42" s="250"/>
      <c r="L42" s="14"/>
      <c r="M42" s="12"/>
      <c r="N42" s="12">
        <f>N41/O30</f>
        <v>68563.631193124369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1.6602229508196722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45425</v>
      </c>
    </row>
    <row r="6" spans="2:31" ht="16.2" thickBot="1" x14ac:dyDescent="0.35">
      <c r="B6" s="140" t="s">
        <v>2</v>
      </c>
      <c r="C6" s="139" t="str">
        <f>'2229'!C10</f>
        <v>JUAN CARLOS SILVA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-48373.705033454105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450000</v>
      </c>
      <c r="E11" s="132">
        <f>D11*0.19</f>
        <v>85500</v>
      </c>
      <c r="F11" s="131">
        <f>E11+D11</f>
        <v>535500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57616.294966545895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96822.890787439625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39616.294966545895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353177.10921256035</v>
      </c>
      <c r="E13" s="221">
        <f>(D11/D12)-1</f>
        <v>3.647661274521421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30616.294966545895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-8383.7050334541054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159757.76979927538</v>
      </c>
      <c r="F15" s="216">
        <f>E15-D12</f>
        <v>62934.879011835757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-8383.7050334541054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31616.294966545895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48000</v>
      </c>
      <c r="E19" s="123">
        <f>D19*0.19</f>
        <v>9120</v>
      </c>
      <c r="F19" s="120">
        <f>SUM(D19:E19)</f>
        <v>57120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18988.800000000003</v>
      </c>
      <c r="E20" s="121">
        <f>D20*0.19</f>
        <v>3607.8720000000008</v>
      </c>
      <c r="F20" s="120">
        <f>SUM(D20:E20)</f>
        <v>22596.672000000002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66988.800000000003</v>
      </c>
      <c r="E21" s="116">
        <f>SUM(E18:E20)</f>
        <v>12727.872000000001</v>
      </c>
      <c r="F21" s="115">
        <f>SUM(F18:F20)</f>
        <v>79716.672000000006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72772.127999999997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450000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66988.800000000003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353177.10921256035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353177.10921256035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2024-05-13T15:25:55Z</dcterms:modified>
</cp:coreProperties>
</file>