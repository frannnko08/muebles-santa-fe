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CC43DDCA-4DC7-45D5-9F4F-A58D9D0FE8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R26" i="1" s="1"/>
  <c r="M26" i="1"/>
  <c r="N26" i="1" s="1"/>
  <c r="L23" i="1"/>
  <c r="M23" i="1"/>
  <c r="L22" i="1"/>
  <c r="M22" i="1"/>
  <c r="J35" i="1"/>
  <c r="K10" i="1"/>
  <c r="O26" i="1" l="1"/>
  <c r="N23" i="1"/>
  <c r="O23" i="1" s="1"/>
  <c r="R23" i="1"/>
  <c r="N22" i="1"/>
  <c r="O22" i="1" s="1"/>
  <c r="R22" i="1"/>
  <c r="J43" i="1"/>
  <c r="L21" i="1" l="1"/>
  <c r="L29" i="1" s="1"/>
  <c r="M21" i="1"/>
  <c r="N21" i="1" l="1"/>
  <c r="O21" i="1" s="1"/>
  <c r="O30" i="1" s="1"/>
  <c r="R21" i="1"/>
  <c r="U21" i="1" s="1"/>
  <c r="N36" i="1"/>
  <c r="O31" i="1" l="1"/>
  <c r="S48" i="1"/>
  <c r="O32" i="1" l="1"/>
  <c r="M20" i="1"/>
  <c r="K20" i="1"/>
  <c r="N37" i="1" l="1"/>
  <c r="Q41" i="1"/>
  <c r="Q42" i="1" s="1"/>
  <c r="N38" i="1" l="1"/>
  <c r="S41" i="1" l="1"/>
  <c r="S4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0" i="1"/>
  <c r="N39" i="1"/>
  <c r="F18" i="3" l="1"/>
  <c r="O33" i="1" l="1"/>
  <c r="L35" i="1" s="1"/>
  <c r="N35" i="1" l="1"/>
  <c r="S49" i="1"/>
  <c r="N41" i="1" l="1"/>
  <c r="N42" i="1" s="1"/>
  <c r="D20" i="3"/>
  <c r="E20" i="3" s="1"/>
  <c r="E21" i="3" s="1"/>
  <c r="N44" i="1" l="1"/>
  <c r="D21" i="3"/>
  <c r="M43" i="3" s="1"/>
  <c r="D12" i="3" s="1"/>
  <c r="F20" i="3"/>
  <c r="F21" i="3" s="1"/>
  <c r="N43" i="1" l="1"/>
  <c r="E15" i="3"/>
  <c r="P20" i="1" l="1"/>
  <c r="P26" i="1" s="1"/>
  <c r="Q26" i="1" s="1"/>
  <c r="F15" i="3"/>
  <c r="P22" i="1" l="1"/>
  <c r="P23" i="1"/>
  <c r="Q23" i="1" s="1"/>
  <c r="P21" i="1"/>
  <c r="R31" i="1"/>
  <c r="T20" i="1" l="1"/>
  <c r="T22" i="1"/>
  <c r="Q22" i="1"/>
  <c r="Q21" i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<sst xmlns="http://schemas.openxmlformats.org/spreadsheetml/2006/main" count="233" uniqueCount="174">
  <si>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</si>
  <si>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</si>
  <si>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</si>
  <si>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</si>
  <si>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</si>
  <si>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</si>
  <si>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</si>
  <si>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</si>
  <si>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</si>
  <si>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</si>
  <si>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</si>
  <si>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</si>
  <si>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</si>
  <si>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</si>
  <si>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</si>
  <si>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</si>
  <si>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</si>
  <si>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</si>
  <si>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</si>
  <si>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</si>
  <si>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</si>
  <si>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</si>
  <si>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</si>
  <si>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</si>
  <si>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</si>
  <si>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</si>
  <si>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</si>
  <si>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</si>
  <si>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</si>
  <si>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</si>
  <si>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</si>
  <si>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</si>
  <si>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</si>
  <si>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</si>
  <si>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</si>
  <si>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</si>
  <si>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</si>
  <si>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</si>
  <si>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</si>
  <si>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</si>
  <si>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</si>
  <si>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</si>
  <si>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</si>
  <si>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</si>
  <si>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</si>
  <si>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</si>
  <si>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</si>
  <si>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</si>
  <si>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</si>
  <si>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</si>
  <si>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</si>
  <si>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</si>
  <si>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</si>
  <si>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</si>
  <si>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</si>
  <si>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</si>
  <si>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</si>
  <si>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</si>
  <si>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</si>
  <si>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</si>
  <si>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</si>
  <si>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</si>
  <si>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</si>
  <si>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</si>
  <si>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</si>
  <si>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</si>
  <si>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</si>
  <si>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</si>
  <si>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</si>
  <si>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</si>
  <si>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</si>
  <si>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</si>
  <si>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</si>
  <si>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</si>
  <si>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</si>
  <si>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</si>
  <si>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</si>
  <si>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</si>
  <si>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</si>
  <si>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</si>
  <si>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</si>
  <si>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</si>
  <si>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</si>
  <si>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</si>
  <si>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</si>
  <si>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</si>
  <si>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</si>
  <si>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</si>
  <si>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</si>
  <si>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</si>
  <si>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</si>
  <si>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</si>
  <si>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</si>
  <si>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</si>
  <si>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</si>
  <si>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</si>
  <si>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</si>
  <si>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</si>
  <si>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</si>
  <si>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</si>
  <si>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</si>
  <si>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</si>
  <si>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</si>
  <si>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</si>
  <si>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</si>
  <si>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</si>
  <si>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</si>
  <si>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</si>
  <si>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</si>
  <si>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</si>
  <si>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</si>
  <si>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</si>
  <si>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</si>
  <si>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</si>
  <si>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</si>
  <si>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</si>
  <si>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</si>
  <si>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</si>
  <si>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</si>
  <si>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</si>
  <si>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</si>
  <si>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</si>
  <si>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</si>
  <si>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</si>
  <si>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</si>
  <si>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</si>
  <si>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</si>
  <si>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</si>
  <si>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</si>
  <si>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</si>
  <si>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</si>
  <si>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</si>
  <si>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</si>
  <si>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</si>
  <si>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</si>
  <si>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</si>
  <si>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</si>
  <si>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</si>
  <si>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</si>
  <si>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</si>
  <si>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</si>
  <si>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</si>
  <si>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</si>
  <si>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</si>
  <si>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</si>
  <si>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</si>
  <si>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</si>
  <si>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</si>
  <si>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</si>
  <si>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</si>
  <si>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</si>
  <si>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</si>
  <si>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</si>
  <si>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</si>
  <si>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</si>
  <si>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</si>
  <si>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</si>
  <si>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</si>
  <si>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</si>
  <si>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 xml:space="preserve">CUB C/R FRENTE 90° </t>
  </si>
  <si>
    <t>LISOS MARCA MERINO</t>
  </si>
  <si>
    <t>LISOS MARCA LAMITECH</t>
  </si>
  <si>
    <t>COLORES MADERAS MERINO</t>
  </si>
  <si>
    <t>COLORES MADERAS LAMITECH</t>
  </si>
  <si>
    <t>VALOR METRO LINEAL SERVICIO MAQUILA</t>
  </si>
  <si>
    <t>CUB C/R FRENTE 90° ***</t>
  </si>
  <si>
    <t>COLOR GALAXIA GRAFITO 0491 O SIMILARES</t>
  </si>
  <si>
    <t>VALORES MAS IVA</t>
  </si>
  <si>
    <t>UVZ MOBILIARIO SPA</t>
  </si>
  <si>
    <t>76046773-1</t>
  </si>
  <si>
    <t>equipamiento de edificio</t>
  </si>
  <si>
    <t>Rossy Valdés Pereda </t>
  </si>
  <si>
    <t>El Totoral #300 Quilicura</t>
  </si>
  <si>
    <t>N° 10952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</si>
</sst>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41" fontId="0" fillId="0" borderId="0" xfId="4" applyFont="1"/>
    <xf numFmtId="0" fontId="35" fillId="0" borderId="0" xfId="0" applyFont="1"/>
    <xf numFmtId="0" fontId="36" fillId="0" borderId="0" xfId="0" applyFont="1" applyAlignment="1">
      <alignment horizontal="left"/>
    </xf>
    <xf numFmtId="0" fontId="36" fillId="0" borderId="0" xfId="0" applyFont="1"/>
    <xf numFmtId="167" fontId="6" fillId="0" borderId="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33</xdr:row>
      <xdr:rowOff>28575</xdr:rowOff>
    </xdr:from>
    <xdr:to>
      <xdr:col>8</xdr:col>
      <xdr:colOff>100890</xdr:colOff>
      <xdr:row>36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1714500</xdr:colOff>
      <xdr:row>36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27</xdr:row>
      <xdr:rowOff>84014</xdr:rowOff>
    </xdr:from>
    <xdr:to>
      <xdr:col>5</xdr:col>
      <xdr:colOff>1849560</xdr:colOff>
      <xdr:row>31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*** CLIENTE</a:t>
          </a:r>
          <a:r>
            <a:rPr lang="es-CL" sz="1200" b="1" baseline="0"/>
            <a:t> APORTA SUSTRATO Y LAMINADO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6"/>
  <sheetViews>
    <sheetView tabSelected="1" topLeftCell="A3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44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168</v>
      </c>
      <c r="D10" s="243"/>
      <c r="E10" s="243"/>
      <c r="F10" s="244" t="s">
        <v>0</v>
      </c>
      <c r="G10" s="277">
        <v>45424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 t="s">
        <v>169</v>
      </c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x14ac:dyDescent="0.3">
      <c r="B12" s="246" t="s">
        <v>147</v>
      </c>
      <c r="C12" t="s">
        <v>170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38" t="s">
        <v>171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39">
        <v>56951589695</v>
      </c>
      <c r="D15" s="295"/>
      <c r="E15" s="247"/>
      <c r="F15" s="247" t="s">
        <v>136</v>
      </c>
      <c r="G15" s="296" t="s">
        <v>137</v>
      </c>
      <c r="H15" s="248"/>
    </row>
    <row r="16" spans="2:23" ht="15.6" x14ac:dyDescent="0.3">
      <c r="B16" s="292" t="s">
        <v>3</v>
      </c>
      <c r="C16" s="340" t="s">
        <v>172</v>
      </c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5" t="s">
        <v>155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x14ac:dyDescent="0.3">
      <c r="B19" s="327" t="s">
        <v>149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21" t="s">
        <v>7</v>
      </c>
      <c r="C20" s="315" t="s">
        <v>1</v>
      </c>
      <c r="D20" s="315" t="s">
        <v>10</v>
      </c>
      <c r="E20" s="315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N43</f>
        <v>77944.918032786896</v>
      </c>
      <c r="Q20" s="258">
        <v>3000</v>
      </c>
      <c r="R20" s="38"/>
      <c r="S20" s="14" t="s">
        <v>130</v>
      </c>
      <c r="T20" s="9">
        <f>P21/3</f>
        <v>47546.400000000001</v>
      </c>
      <c r="W20" s="4"/>
    </row>
    <row r="21" spans="2:24" ht="17.399999999999999" x14ac:dyDescent="0.3">
      <c r="B21" s="322">
        <v>1</v>
      </c>
      <c r="C21" s="311" t="s">
        <v>165</v>
      </c>
      <c r="D21" s="312">
        <v>3</v>
      </c>
      <c r="E21" s="312">
        <v>0.6</v>
      </c>
      <c r="F21" s="311" t="s">
        <v>164</v>
      </c>
      <c r="G21" s="313">
        <v>16000</v>
      </c>
      <c r="H21" s="314">
        <v>48000</v>
      </c>
      <c r="I21" s="265"/>
      <c r="J21" s="47"/>
      <c r="K21" s="323">
        <v>1</v>
      </c>
      <c r="L21" s="324">
        <f t="shared" ref="L21:M21" si="1">D21+L$19</f>
        <v>3.05</v>
      </c>
      <c r="M21" s="324">
        <f t="shared" si="1"/>
        <v>0.6</v>
      </c>
      <c r="N21" s="261">
        <f>L21*M21</f>
        <v>1.8299999999999998</v>
      </c>
      <c r="O21" s="259">
        <f>N21*K21</f>
        <v>1.8299999999999998</v>
      </c>
      <c r="P21" s="252">
        <f>P$20*N21</f>
        <v>142639.20000000001</v>
      </c>
      <c r="Q21" s="258">
        <f>P21+Q$20</f>
        <v>145639.20000000001</v>
      </c>
      <c r="R21" s="308">
        <f>K21*L21</f>
        <v>3.05</v>
      </c>
      <c r="S21" s="14"/>
      <c r="T21" s="9"/>
      <c r="U21" s="337">
        <f>R21*U19</f>
        <v>45750</v>
      </c>
      <c r="W21" s="4"/>
    </row>
    <row r="22" spans="2:24" ht="17.399999999999999" x14ac:dyDescent="0.3">
      <c r="B22" s="322">
        <v>1</v>
      </c>
      <c r="C22" s="311" t="s">
        <v>159</v>
      </c>
      <c r="D22" s="312">
        <v>3</v>
      </c>
      <c r="E22" s="312">
        <v>0.6</v>
      </c>
      <c r="F22" s="311" t="s">
        <v>160</v>
      </c>
      <c r="G22" s="313">
        <v>38111</v>
      </c>
      <c r="H22" s="314">
        <v>114113</v>
      </c>
      <c r="I22" s="265"/>
      <c r="J22" s="47"/>
      <c r="K22" s="323"/>
      <c r="L22" s="324">
        <f t="shared" ref="L22" si="2">D22+L$19</f>
        <v>3.05</v>
      </c>
      <c r="M22" s="324">
        <f t="shared" ref="M22" si="3">E22+M$19</f>
        <v>0.6</v>
      </c>
      <c r="N22" s="261">
        <f>L22*M22</f>
        <v>1.8299999999999998</v>
      </c>
      <c r="O22" s="259">
        <f>N22*K22</f>
        <v>0</v>
      </c>
      <c r="P22" s="252">
        <f>P$20*N22</f>
        <v>142639.20000000001</v>
      </c>
      <c r="Q22" s="258">
        <f>P22+Q$20</f>
        <v>145639.20000000001</v>
      </c>
      <c r="R22" s="308">
        <f>K22*L22</f>
        <v>0</v>
      </c>
      <c r="S22" s="14"/>
      <c r="T22" s="9">
        <f>P21/3</f>
        <v>47546.400000000001</v>
      </c>
      <c r="W22" s="4"/>
    </row>
    <row r="23" spans="2:24" ht="17.399999999999999" x14ac:dyDescent="0.3">
      <c r="B23" s="322">
        <v>1</v>
      </c>
      <c r="C23" s="311" t="s">
        <v>159</v>
      </c>
      <c r="D23" s="312">
        <v>3</v>
      </c>
      <c r="E23" s="312">
        <v>0.6</v>
      </c>
      <c r="F23" s="311" t="s">
        <v>161</v>
      </c>
      <c r="G23" s="313">
        <v>45000</v>
      </c>
      <c r="H23" s="314">
        <v>135000</v>
      </c>
      <c r="I23" s="265"/>
      <c r="J23" s="47"/>
      <c r="K23" s="323"/>
      <c r="L23" s="324">
        <f t="shared" ref="L23" si="4">D23+L$19</f>
        <v>3.05</v>
      </c>
      <c r="M23" s="324">
        <f t="shared" ref="M23" si="5">E23+M$19</f>
        <v>0.6</v>
      </c>
      <c r="N23" s="261">
        <f>L23*M23</f>
        <v>1.8299999999999998</v>
      </c>
      <c r="O23" s="259">
        <f>N23*K23</f>
        <v>0</v>
      </c>
      <c r="P23" s="252">
        <f>P$20*N23</f>
        <v>142639.20000000001</v>
      </c>
      <c r="Q23" s="258">
        <f>P23+Q$20</f>
        <v>145639.20000000001</v>
      </c>
      <c r="R23" s="308">
        <f>K23*L23</f>
        <v>0</v>
      </c>
      <c r="S23" s="14"/>
      <c r="T23" s="9"/>
      <c r="W23" s="4"/>
    </row>
    <row r="24" spans="2:24" ht="17.399999999999999" x14ac:dyDescent="0.3">
      <c r="B24" s="322">
        <v>1</v>
      </c>
      <c r="C24" s="311" t="s">
        <v>159</v>
      </c>
      <c r="D24" s="312">
        <v>3</v>
      </c>
      <c r="E24" s="312">
        <v>0.6</v>
      </c>
      <c r="F24" s="311" t="s">
        <v>162</v>
      </c>
      <c r="G24" s="313">
        <v>39554</v>
      </c>
      <c r="H24" s="314">
        <v>118662</v>
      </c>
      <c r="I24" s="265"/>
      <c r="J24" s="47"/>
      <c r="K24" s="323"/>
      <c r="L24" s="324"/>
      <c r="M24" s="324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322">
        <v>1</v>
      </c>
      <c r="C25" s="311" t="s">
        <v>159</v>
      </c>
      <c r="D25" s="312">
        <v>3</v>
      </c>
      <c r="E25" s="312">
        <v>0.6</v>
      </c>
      <c r="F25" s="311" t="s">
        <v>163</v>
      </c>
      <c r="G25" s="313">
        <v>50374</v>
      </c>
      <c r="H25" s="314">
        <v>151122</v>
      </c>
      <c r="I25" s="265"/>
      <c r="J25" s="47"/>
      <c r="K25" s="323"/>
      <c r="L25" s="324"/>
      <c r="M25" s="324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322">
        <v>1</v>
      </c>
      <c r="C26" s="311" t="s">
        <v>159</v>
      </c>
      <c r="D26" s="312">
        <v>3</v>
      </c>
      <c r="E26" s="312">
        <v>0.6</v>
      </c>
      <c r="F26" s="311" t="s">
        <v>166</v>
      </c>
      <c r="G26" s="313">
        <v>47546</v>
      </c>
      <c r="H26" s="314">
        <v>142639</v>
      </c>
      <c r="I26" s="265"/>
      <c r="J26" s="47"/>
      <c r="K26" s="323"/>
      <c r="L26" s="324">
        <f t="shared" ref="L26" si="6">D26+L$19</f>
        <v>3.05</v>
      </c>
      <c r="M26" s="324">
        <f t="shared" ref="M26" si="7">E26+M$19</f>
        <v>0.6</v>
      </c>
      <c r="N26" s="261">
        <f>L26*M26</f>
        <v>1.8299999999999998</v>
      </c>
      <c r="O26" s="259">
        <f>N26*K26</f>
        <v>0</v>
      </c>
      <c r="P26" s="252">
        <f>P$20*N26</f>
        <v>142639.20000000001</v>
      </c>
      <c r="Q26" s="258">
        <f>P26+Q$20</f>
        <v>145639.20000000001</v>
      </c>
      <c r="R26" s="308">
        <f>K26*L26</f>
        <v>0</v>
      </c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41" t="s">
        <v>167</v>
      </c>
      <c r="H27" s="317"/>
      <c r="I27" s="265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8" thickBot="1" x14ac:dyDescent="0.35">
      <c r="B28" s="286"/>
      <c r="C28" s="286"/>
      <c r="D28" s="287"/>
      <c r="E28" s="287"/>
      <c r="F28" s="286"/>
      <c r="G28" s="265"/>
      <c r="H28" s="232"/>
      <c r="I28" s="232"/>
      <c r="J28" s="47"/>
      <c r="K28" s="47"/>
      <c r="L28" s="39"/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09" t="s">
        <v>30</v>
      </c>
      <c r="H29" s="310"/>
      <c r="I29" s="265"/>
      <c r="J29" s="47"/>
      <c r="K29" s="47"/>
      <c r="L29" s="39">
        <f>SUM(L21:L28)</f>
        <v>12.2</v>
      </c>
      <c r="M29" s="39"/>
      <c r="N29" s="261"/>
      <c r="O29" s="259"/>
      <c r="P29" s="252"/>
      <c r="Q29" s="258"/>
      <c r="R29" s="308"/>
      <c r="S29" s="14"/>
      <c r="T29" s="9"/>
      <c r="W29" s="4"/>
    </row>
    <row r="30" spans="2:24" ht="17.399999999999999" x14ac:dyDescent="0.3">
      <c r="B30" s="280"/>
      <c r="C30" s="283"/>
      <c r="D30" s="284"/>
      <c r="E30" s="284"/>
      <c r="F30" s="285"/>
      <c r="G30" s="307" t="s">
        <v>53</v>
      </c>
      <c r="H30" s="304"/>
      <c r="I30" s="265"/>
      <c r="J30" s="47"/>
      <c r="K30" s="47"/>
      <c r="L30" s="39"/>
      <c r="M30" s="12"/>
      <c r="N30" s="12"/>
      <c r="O30" s="253">
        <f>SUM(O21:O26)</f>
        <v>1.8299999999999998</v>
      </c>
      <c r="P30" s="14"/>
      <c r="Q30" s="12"/>
      <c r="R30" s="238"/>
      <c r="S30" s="14"/>
      <c r="T30" s="9"/>
      <c r="W30" s="4"/>
    </row>
    <row r="31" spans="2:24" ht="18" thickBot="1" x14ac:dyDescent="0.35">
      <c r="B31" s="276"/>
      <c r="C31" s="282"/>
      <c r="D31" s="272"/>
      <c r="E31" s="272"/>
      <c r="F31" s="273"/>
      <c r="G31" s="281" t="s">
        <v>6</v>
      </c>
      <c r="H31" s="305"/>
      <c r="I31" s="265"/>
      <c r="J31" s="47"/>
      <c r="K31" s="47"/>
      <c r="L31" s="39"/>
      <c r="M31" s="12"/>
      <c r="N31" s="12"/>
      <c r="O31" s="253">
        <f>O30</f>
        <v>1.8299999999999998</v>
      </c>
      <c r="P31" s="14"/>
      <c r="Q31" s="12"/>
      <c r="R31" s="238">
        <f>SUM(R21:R30)</f>
        <v>3.05</v>
      </c>
      <c r="S31" s="14"/>
      <c r="T31" s="9"/>
      <c r="W31" s="4"/>
    </row>
    <row r="32" spans="2:24" ht="17.399999999999999" x14ac:dyDescent="0.3">
      <c r="B32" s="276"/>
      <c r="C32" s="271"/>
      <c r="D32" s="272"/>
      <c r="E32" s="272"/>
      <c r="F32" s="273"/>
      <c r="I32" s="265"/>
      <c r="J32" s="47">
        <v>32</v>
      </c>
      <c r="K32" s="47"/>
      <c r="L32" s="39"/>
      <c r="M32" s="12"/>
      <c r="N32" s="12"/>
      <c r="O32" s="39">
        <f>O31*20%</f>
        <v>0.36599999999999999</v>
      </c>
      <c r="P32" s="39" t="s">
        <v>132</v>
      </c>
      <c r="Q32" s="42"/>
      <c r="R32" s="239"/>
      <c r="S32" s="14"/>
      <c r="T32" s="9"/>
      <c r="W32" s="4"/>
    </row>
    <row r="33" spans="2:23" ht="17.399999999999999" x14ac:dyDescent="0.3">
      <c r="B33" s="271"/>
      <c r="C33" s="271"/>
      <c r="D33" s="272"/>
      <c r="E33" s="272"/>
      <c r="F33" s="273"/>
      <c r="G33" s="274"/>
      <c r="H33" s="275"/>
      <c r="I33" s="265"/>
      <c r="J33" s="319">
        <v>32</v>
      </c>
      <c r="K33" s="47"/>
      <c r="L33" s="14"/>
      <c r="M33" s="12"/>
      <c r="N33" s="12"/>
      <c r="O33" s="46">
        <f>O31+O32</f>
        <v>2.1959999999999997</v>
      </c>
      <c r="P33" s="14"/>
      <c r="Q33" s="14"/>
      <c r="R33" s="237">
        <v>40</v>
      </c>
      <c r="S33" s="14"/>
      <c r="T33" s="9"/>
      <c r="W33" s="4"/>
    </row>
    <row r="34" spans="2:23" ht="17.399999999999999" x14ac:dyDescent="0.35">
      <c r="B34" s="269"/>
      <c r="C34" s="230"/>
      <c r="D34" s="230"/>
      <c r="E34" s="232"/>
      <c r="F34" s="233"/>
      <c r="G34" s="230"/>
      <c r="H34" s="275"/>
      <c r="I34" s="265"/>
      <c r="J34" s="319">
        <v>55</v>
      </c>
      <c r="K34" s="47"/>
      <c r="L34" s="14"/>
      <c r="M34" s="14"/>
      <c r="N34" s="14"/>
      <c r="O34" s="14"/>
      <c r="P34" s="14"/>
      <c r="Q34" s="14"/>
      <c r="R34" s="237"/>
      <c r="S34" s="14"/>
      <c r="T34" s="9"/>
      <c r="W34" s="4"/>
    </row>
    <row r="35" spans="2:23" ht="17.399999999999999" x14ac:dyDescent="0.35">
      <c r="B35" s="234"/>
      <c r="C35" s="235"/>
      <c r="D35" s="236"/>
      <c r="E35" s="234"/>
      <c r="F35" s="230"/>
      <c r="G35" s="230"/>
      <c r="I35" s="265"/>
      <c r="J35" s="47">
        <f>SUM(J32:J34)</f>
        <v>119</v>
      </c>
      <c r="K35" s="47"/>
      <c r="L35" s="39">
        <f>O33</f>
        <v>2.1959999999999997</v>
      </c>
      <c r="M35" s="12">
        <v>3500</v>
      </c>
      <c r="N35" s="12">
        <f t="shared" ref="N35:N40" si="8">L35*M35</f>
        <v>7685.9999999999991</v>
      </c>
      <c r="O35" s="14" t="s">
        <v>22</v>
      </c>
      <c r="P35" s="14" t="s">
        <v>23</v>
      </c>
      <c r="Q35" s="14"/>
      <c r="R35" s="240"/>
      <c r="S35" s="14"/>
      <c r="T35" s="9"/>
      <c r="W35" s="4"/>
    </row>
    <row r="36" spans="2:23" ht="17.399999999999999" x14ac:dyDescent="0.35">
      <c r="B36" s="230"/>
      <c r="C36" s="230"/>
      <c r="D36" s="230"/>
      <c r="E36" s="230"/>
      <c r="F36" s="230"/>
      <c r="G36" s="230"/>
      <c r="I36" s="265"/>
      <c r="J36" s="47"/>
      <c r="K36" s="47"/>
      <c r="L36" s="249">
        <v>0.5</v>
      </c>
      <c r="M36" s="12">
        <v>25000</v>
      </c>
      <c r="N36" s="12">
        <f t="shared" si="8"/>
        <v>12500</v>
      </c>
      <c r="O36" s="39" t="s">
        <v>156</v>
      </c>
      <c r="P36" s="42"/>
      <c r="Q36" s="14"/>
      <c r="R36" s="239"/>
      <c r="S36" s="14"/>
      <c r="T36" s="9"/>
      <c r="W36" s="4"/>
    </row>
    <row r="37" spans="2:23" s="230" customFormat="1" ht="17.399999999999999" x14ac:dyDescent="0.35">
      <c r="I37" s="262"/>
      <c r="J37" s="47"/>
      <c r="K37" s="250"/>
      <c r="L37" s="14"/>
      <c r="M37" s="250">
        <v>55000</v>
      </c>
      <c r="N37" s="12">
        <f t="shared" si="8"/>
        <v>0</v>
      </c>
      <c r="O37" s="39" t="s">
        <v>32</v>
      </c>
      <c r="P37" s="42"/>
      <c r="R37" s="239"/>
      <c r="S37" s="256"/>
      <c r="V37" s="231"/>
    </row>
    <row r="38" spans="2:23" s="230" customFormat="1" ht="17.399999999999999" x14ac:dyDescent="0.35">
      <c r="B38" s="24" t="s">
        <v>153</v>
      </c>
      <c r="I38" s="262"/>
      <c r="J38" s="318"/>
      <c r="K38" s="250"/>
      <c r="L38" s="14">
        <v>1</v>
      </c>
      <c r="M38" s="250">
        <v>40000</v>
      </c>
      <c r="N38" s="12">
        <f t="shared" si="8"/>
        <v>40000</v>
      </c>
      <c r="O38" s="14" t="s">
        <v>143</v>
      </c>
      <c r="P38" s="17"/>
      <c r="R38" s="237"/>
      <c r="S38" s="256"/>
      <c r="V38" s="231"/>
    </row>
    <row r="39" spans="2:23" s="230" customFormat="1" ht="17.399999999999999" x14ac:dyDescent="0.35">
      <c r="B39" s="24" t="s">
        <v>146</v>
      </c>
      <c r="C39"/>
      <c r="D39"/>
      <c r="E39"/>
      <c r="F39"/>
      <c r="I39" s="262"/>
      <c r="J39" s="318"/>
      <c r="K39" s="250"/>
      <c r="L39" s="249"/>
      <c r="M39" s="250">
        <v>800</v>
      </c>
      <c r="N39" s="12">
        <f t="shared" si="8"/>
        <v>0</v>
      </c>
      <c r="O39" s="14" t="s">
        <v>34</v>
      </c>
      <c r="P39" s="14"/>
      <c r="Q39" s="230">
        <v>1.52</v>
      </c>
      <c r="R39" s="237"/>
      <c r="S39" s="237"/>
    </row>
    <row r="40" spans="2:23" s="230" customFormat="1" ht="17.399999999999999" x14ac:dyDescent="0.35">
      <c r="B40" s="29" t="s">
        <v>127</v>
      </c>
      <c r="C40"/>
      <c r="D40"/>
      <c r="E40"/>
      <c r="F40" s="229" t="s">
        <v>16</v>
      </c>
      <c r="I40" s="303"/>
      <c r="J40" s="47"/>
      <c r="K40" s="250"/>
      <c r="L40" s="266">
        <v>3.1</v>
      </c>
      <c r="M40" s="12">
        <v>1500</v>
      </c>
      <c r="N40" s="12">
        <f t="shared" si="8"/>
        <v>4650</v>
      </c>
      <c r="O40" s="14" t="s">
        <v>24</v>
      </c>
      <c r="P40" s="14"/>
      <c r="Q40">
        <v>2.44</v>
      </c>
      <c r="R40"/>
      <c r="S40" s="237">
        <v>1500</v>
      </c>
      <c r="W40" s="231"/>
    </row>
    <row r="41" spans="2:23" s="230" customFormat="1" ht="17.399999999999999" x14ac:dyDescent="0.35">
      <c r="J41" s="47"/>
      <c r="K41" s="250"/>
      <c r="L41" s="14"/>
      <c r="M41" s="12"/>
      <c r="N41" s="12">
        <f>SUM(N35:N40)</f>
        <v>64836</v>
      </c>
      <c r="O41" s="39" t="s">
        <v>25</v>
      </c>
      <c r="P41" s="14"/>
      <c r="Q41">
        <f>Q39*Q40</f>
        <v>3.7088000000000001</v>
      </c>
      <c r="R41"/>
      <c r="S41" s="237">
        <f>R33*S40</f>
        <v>60000</v>
      </c>
      <c r="W41" s="231"/>
    </row>
    <row r="42" spans="2:23" s="230" customFormat="1" ht="17.399999999999999" x14ac:dyDescent="0.35">
      <c r="J42" s="47">
        <v>43190</v>
      </c>
      <c r="K42" s="250"/>
      <c r="L42" s="254" t="s">
        <v>35</v>
      </c>
      <c r="M42" s="12"/>
      <c r="N42" s="255">
        <f>N41*2.2</f>
        <v>142639.20000000001</v>
      </c>
      <c r="O42" s="14" t="s">
        <v>142</v>
      </c>
      <c r="P42" s="14"/>
      <c r="Q42" s="46">
        <f>O31/Q41</f>
        <v>0.49342105263157887</v>
      </c>
      <c r="R42"/>
      <c r="S42" s="257" t="e">
        <f>S41/#REF!</f>
        <v>#REF!</v>
      </c>
    </row>
    <row r="43" spans="2:23" s="230" customFormat="1" ht="17.399999999999999" x14ac:dyDescent="0.35">
      <c r="G43"/>
      <c r="H43" s="260"/>
      <c r="I43" s="260"/>
      <c r="J43" s="47">
        <f>J42/1.19</f>
        <v>36294.117647058825</v>
      </c>
      <c r="K43" s="250"/>
      <c r="L43" s="14"/>
      <c r="M43" s="12"/>
      <c r="N43" s="12">
        <f>N42/O31</f>
        <v>77944.918032786896</v>
      </c>
      <c r="O43" s="45" t="s">
        <v>26</v>
      </c>
      <c r="P43" s="14"/>
      <c r="Q43" s="14"/>
      <c r="R43"/>
      <c r="S43" s="237"/>
    </row>
    <row r="44" spans="2:23" s="230" customFormat="1" ht="17.399999999999999" x14ac:dyDescent="0.35">
      <c r="G44"/>
      <c r="J44" s="47"/>
      <c r="K44" s="250"/>
      <c r="L44" s="13"/>
      <c r="M44" s="14"/>
      <c r="N44" s="17">
        <f>N42/N41</f>
        <v>2.2000000000000002</v>
      </c>
      <c r="O44" s="15"/>
      <c r="P44"/>
      <c r="Q44"/>
      <c r="R44"/>
      <c r="S44" s="237"/>
    </row>
    <row r="45" spans="2:23" s="230" customFormat="1" ht="17.399999999999999" x14ac:dyDescent="0.35">
      <c r="G45" s="23"/>
      <c r="J45" s="47"/>
      <c r="K45" s="12"/>
      <c r="S45" s="237"/>
    </row>
    <row r="46" spans="2:23" s="230" customFormat="1" ht="17.399999999999999" x14ac:dyDescent="0.35">
      <c r="B46"/>
      <c r="C46" s="228"/>
      <c r="D46" s="22"/>
      <c r="E46" s="22"/>
      <c r="F46" s="21"/>
      <c r="G46" s="23"/>
      <c r="J46" s="47"/>
      <c r="K46" s="12"/>
      <c r="S46" s="237">
        <v>1.83</v>
      </c>
    </row>
    <row r="47" spans="2:23" ht="14.4" customHeight="1" x14ac:dyDescent="0.3">
      <c r="J47" s="47"/>
      <c r="K47" s="12"/>
      <c r="S47">
        <v>2.5</v>
      </c>
    </row>
    <row r="48" spans="2:23" x14ac:dyDescent="0.3">
      <c r="J48" s="47"/>
      <c r="K48" s="250"/>
      <c r="S48">
        <f>S46*S47</f>
        <v>4.5750000000000002</v>
      </c>
    </row>
    <row r="49" spans="11:19" x14ac:dyDescent="0.3">
      <c r="K49" s="250"/>
      <c r="S49" s="270">
        <f>O33/S48</f>
        <v>0.47999999999999993</v>
      </c>
    </row>
    <row r="50" spans="11:19" x14ac:dyDescent="0.3">
      <c r="K50" s="250"/>
    </row>
    <row r="51" spans="11:19" ht="15" customHeight="1" x14ac:dyDescent="0.3"/>
    <row r="53" spans="11:19" x14ac:dyDescent="0.3">
      <c r="N53">
        <v>40935</v>
      </c>
      <c r="O53" t="s">
        <v>17</v>
      </c>
      <c r="P53" t="s">
        <v>28</v>
      </c>
    </row>
    <row r="55" spans="11:19" x14ac:dyDescent="0.3">
      <c r="N55" s="54"/>
      <c r="O55" s="54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7" spans="3:14" x14ac:dyDescent="0.3">
      <c r="N67" s="43"/>
    </row>
    <row r="68" spans="3:14" x14ac:dyDescent="0.3">
      <c r="N68" s="43"/>
    </row>
    <row r="69" spans="3:14" x14ac:dyDescent="0.3">
      <c r="N69" s="6"/>
    </row>
    <row r="70" spans="3:14" x14ac:dyDescent="0.3">
      <c r="N70" s="6"/>
    </row>
    <row r="78" spans="3:14" x14ac:dyDescent="0.3">
      <c r="C78" t="s">
        <v>150</v>
      </c>
    </row>
    <row r="79" spans="3:14" x14ac:dyDescent="0.3">
      <c r="C79" t="s">
        <v>149</v>
      </c>
    </row>
    <row r="82" spans="3:3" x14ac:dyDescent="0.3">
      <c r="C82" t="s">
        <v>149</v>
      </c>
    </row>
    <row r="159" spans="3:3" x14ac:dyDescent="0.3">
      <c r="C159" t="s">
        <v>149</v>
      </c>
    </row>
    <row r="160" spans="3:3" x14ac:dyDescent="0.3">
      <c r="C160" t="s">
        <v>151</v>
      </c>
    </row>
    <row r="161" spans="3:3" x14ac:dyDescent="0.3">
      <c r="C161" t="s">
        <v>152</v>
      </c>
    </row>
    <row r="586" spans="3:3" x14ac:dyDescent="0.3">
      <c r="C586" t="s">
        <v>149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45424</v>
      </c>
    </row>
    <row r="6" spans="2:31" ht="16.2" thickBot="1" x14ac:dyDescent="0.35">
      <c r="B6" s="140" t="s">
        <v>2</v>
      </c>
      <c r="C6" s="139" t="str">
        <f>'2229'!C10</f>
        <v>UVZ MOBILIARIO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10952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13755.524966545892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'2229'!H29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119745.5249665459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50020.090787439614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101745.5249665459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-50020.090787439614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92745.524966545898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53745.52496654589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82533.149799275358</v>
      </c>
      <c r="F15" s="216">
        <f>E15-D12</f>
        <v>32513.059011835743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53745.52496654589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93745.524966545898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'2229'!N36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'2229'!N35</f>
        <v>7685.9999999999991</v>
      </c>
      <c r="E20" s="121">
        <f>D20*0.19</f>
        <v>1460.34</v>
      </c>
      <c r="F20" s="120">
        <f>SUM(D20:E20)</f>
        <v>9146.3399999999983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20186</v>
      </c>
      <c r="E21" s="116">
        <f>SUM(E18:E20)</f>
        <v>3835.34</v>
      </c>
      <c r="F21" s="115">
        <f>SUM(F18:F20)</f>
        <v>24021.339999999997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-3835.34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20186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-50020.090787439614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-50020.090787439614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2024-05-07T15:15:05Z</cp:lastPrinted>
  <dcterms:created xsi:type="dcterms:W3CDTF">2013-03-18T13:35:42Z</dcterms:created>
  <dcterms:modified xsi:type="dcterms:W3CDTF">2024-05-12T23:36:19Z</dcterms:modified>
</cp:coreProperties>
</file>