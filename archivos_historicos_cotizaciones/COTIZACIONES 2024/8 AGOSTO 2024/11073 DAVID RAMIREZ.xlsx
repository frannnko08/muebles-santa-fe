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8 AGOSTO 2024\"/>
    </mc:Choice>
  </mc:AlternateContent>
  <xr:revisionPtr revIDLastSave="0" documentId="13_ncr:1_{BB4F4A8E-2D50-4870-9E64-31E3A83E72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1" l="1"/>
  <c r="K24" i="1"/>
  <c r="L24" i="1"/>
  <c r="M24" i="1"/>
  <c r="N24" i="1"/>
  <c r="O24" i="1" s="1"/>
  <c r="R24" i="1"/>
  <c r="H26" i="1"/>
  <c r="H24" i="1"/>
  <c r="H25" i="1"/>
  <c r="K22" i="1"/>
  <c r="L22" i="1"/>
  <c r="M22" i="1"/>
  <c r="K23" i="1"/>
  <c r="L23" i="1"/>
  <c r="R23" i="1" s="1"/>
  <c r="M23" i="1"/>
  <c r="H22" i="1"/>
  <c r="H23" i="1"/>
  <c r="K21" i="1"/>
  <c r="K10" i="1"/>
  <c r="N22" i="1" l="1"/>
  <c r="O22" i="1" s="1"/>
  <c r="N23" i="1"/>
  <c r="O23" i="1" s="1"/>
  <c r="R22" i="1"/>
  <c r="J42" i="1"/>
  <c r="L21" i="1" l="1"/>
  <c r="M21" i="1"/>
  <c r="N21" i="1" l="1"/>
  <c r="O21" i="1" s="1"/>
  <c r="O29" i="1" s="1"/>
  <c r="R21" i="1"/>
  <c r="N35" i="1"/>
  <c r="O30" i="1" l="1"/>
  <c r="S47" i="1"/>
  <c r="O31" i="1" l="1"/>
  <c r="M20" i="1"/>
  <c r="K20" i="1"/>
  <c r="N36" i="1" l="1"/>
  <c r="Q40" i="1"/>
  <c r="Q41" i="1" s="1"/>
  <c r="N37" i="1" l="1"/>
  <c r="S40" i="1" l="1"/>
  <c r="S41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9" i="1"/>
  <c r="N38" i="1"/>
  <c r="F18" i="3" l="1"/>
  <c r="O32" i="1" l="1"/>
  <c r="L34" i="1" s="1"/>
  <c r="N34" i="1" l="1"/>
  <c r="S48" i="1"/>
  <c r="N40" i="1" l="1"/>
  <c r="N41" i="1" s="1"/>
  <c r="D20" i="3"/>
  <c r="E20" i="3" s="1"/>
  <c r="E21" i="3" s="1"/>
  <c r="N43" i="1" l="1"/>
  <c r="D21" i="3"/>
  <c r="M43" i="3" s="1"/>
  <c r="D12" i="3" s="1"/>
  <c r="F20" i="3"/>
  <c r="F21" i="3" s="1"/>
  <c r="N42" i="1" l="1"/>
  <c r="P20" i="1" s="1"/>
  <c r="P24" i="1" s="1"/>
  <c r="Q24" i="1" s="1"/>
  <c r="E15" i="3"/>
  <c r="P23" i="1" l="1"/>
  <c r="Q23" i="1" s="1"/>
  <c r="P22" i="1"/>
  <c r="Q22" i="1" s="1"/>
  <c r="P21" i="1"/>
  <c r="F15" i="3"/>
  <c r="Q21" i="1" l="1"/>
  <c r="H21" i="1" s="1"/>
  <c r="R30" i="1"/>
  <c r="H28" i="1" l="1"/>
  <c r="H29" i="1" s="1"/>
  <c r="H30" i="1" l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<sst xmlns="http://schemas.openxmlformats.org/spreadsheetml/2006/main" count="230" uniqueCount="171">
  <si>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</si>
  <si>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</si>
  <si>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</si>
  <si>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</si>
  <si>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</si>
  <si>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</si>
  <si>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</si>
  <si>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</si>
  <si>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</si>
  <si>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</si>
  <si>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</si>
  <si>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</si>
  <si>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</si>
  <si>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</si>
  <si>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</si>
  <si>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</si>
  <si>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</si>
  <si>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</si>
  <si>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</si>
  <si>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</si>
  <si>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</si>
  <si>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</si>
  <si>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</si>
  <si>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</si>
  <si>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</si>
  <si>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</si>
  <si>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</si>
  <si>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</si>
  <si>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</si>
  <si>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</si>
  <si>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</si>
  <si>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</si>
  <si>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</si>
  <si>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</si>
  <si>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</si>
  <si>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</si>
  <si>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</si>
  <si>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</si>
  <si>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</si>
  <si>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</si>
  <si>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</si>
  <si>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</si>
  <si>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</si>
  <si>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</si>
  <si>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</si>
  <si>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</si>
  <si>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</si>
  <si>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</si>
  <si>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</si>
  <si>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</si>
  <si>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</si>
  <si>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</si>
  <si>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</si>
  <si>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</si>
  <si>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</si>
  <si>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</si>
  <si>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</si>
  <si>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</si>
  <si>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</si>
  <si>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</si>
  <si>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</si>
  <si>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</si>
  <si>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</si>
  <si>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</si>
  <si>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</si>
  <si>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</si>
  <si>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</si>
  <si>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</si>
  <si>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</si>
  <si>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</si>
  <si>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</si>
  <si>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</si>
  <si>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</si>
  <si>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</si>
  <si>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</si>
  <si>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</si>
  <si>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</si>
  <si>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</si>
  <si>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</si>
  <si>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</si>
  <si>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</si>
  <si>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</si>
  <si>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</si>
  <si>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</si>
  <si>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</si>
  <si>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</si>
  <si>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</si>
  <si>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</si>
  <si>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</si>
  <si>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</si>
  <si>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</si>
  <si>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</si>
  <si>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</si>
  <si>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</si>
  <si>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</si>
  <si>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</si>
  <si>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</si>
  <si>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</si>
  <si>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</si>
  <si>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</si>
  <si>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</si>
  <si>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</si>
  <si>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</si>
  <si>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</si>
  <si>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</si>
  <si>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</si>
  <si>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</si>
  <si>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</si>
  <si>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</si>
  <si>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</si>
  <si>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</si>
  <si>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</si>
  <si>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</si>
  <si>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</si>
  <si>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</si>
  <si>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</si>
  <si>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</si>
  <si>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</si>
  <si>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</si>
  <si>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</si>
  <si>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</si>
  <si>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</si>
  <si>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</si>
  <si>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</si>
  <si>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</si>
  <si>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</si>
  <si>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</si>
  <si>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</si>
  <si>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</si>
  <si>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</si>
  <si>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</si>
  <si>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</si>
  <si>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</si>
  <si>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</si>
  <si>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</si>
  <si>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</si>
  <si>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</si>
  <si>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</si>
  <si>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</si>
  <si>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</si>
  <si>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</si>
  <si>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</si>
  <si>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</si>
  <si>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</si>
  <si>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</si>
  <si>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</si>
  <si>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</si>
  <si>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</si>
  <si>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</si>
  <si>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</si>
  <si>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</si>
  <si>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</si>
  <si>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</si>
  <si>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</si>
  <si>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</si>
  <si>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</si>
  <si>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</si>
  <si>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</si>
  <si>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DAVID RAMIREZ</t>
  </si>
  <si>
    <t>+569 8521 7073</t>
  </si>
  <si>
    <t>7 DIAS HABILES</t>
  </si>
  <si>
    <t>SI</t>
  </si>
  <si>
    <t>CUB C/R R6</t>
  </si>
  <si>
    <t>GRANITO FOSSIL 2724 BR</t>
  </si>
  <si>
    <t>N° 11073</t>
  </si>
  <si>
    <t>SERVICIO CORTE 45°</t>
  </si>
  <si>
    <t>SERVICIO CORTE A LA MEDIDA MAS ENCHAPE</t>
  </si>
  <si>
    <t>FILKUN CARPINTERIA SPA</t>
  </si>
  <si>
    <t>77.369.374-9</t>
  </si>
  <si>
    <t>MUEBLES</t>
  </si>
  <si>
    <t>LAMANBA.TALLER@GMAIL.COM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</si>
</sst>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21" fillId="20" borderId="42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7" fillId="0" borderId="6" xfId="0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32</xdr:row>
      <xdr:rowOff>28575</xdr:rowOff>
    </xdr:from>
    <xdr:to>
      <xdr:col>8</xdr:col>
      <xdr:colOff>100890</xdr:colOff>
      <xdr:row>35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1714500</xdr:colOff>
      <xdr:row>35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26</xdr:row>
      <xdr:rowOff>169545</xdr:rowOff>
    </xdr:from>
    <xdr:to>
      <xdr:col>5</xdr:col>
      <xdr:colOff>1764030</xdr:colOff>
      <xdr:row>30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 SE ENTREGAN CORTADAS A LA MEDIDA Y ENCHAPADAS SEGUN INDICACIONES CON LA MISMA</a:t>
          </a:r>
          <a:r>
            <a:rPr lang="es-CL" sz="1200" b="1" baseline="0"/>
            <a:t> LAMINA, LLEVAN CORTE DE 45°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18MM</a:t>
          </a:r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AMANBA.TALLER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5"/>
  <sheetViews>
    <sheetView tabSelected="1" topLeftCell="A3" zoomScale="98" zoomScaleNormal="98" workbookViewId="0">
      <selection activeCell="I7" sqref="I7"/>
    </sheetView>
  </sheetViews>
  <sheetFormatPr baseColWidth="10" defaultRowHeight="14.4" x14ac:dyDescent="0.3"/>
  <cols>
    <col min="1" max="1" width="6" customWidth="1"/>
    <col min="2" max="2" width="10.5546875" customWidth="1"/>
    <col min="3" max="3" width="34.88671875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9" t="s">
        <v>164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167</v>
      </c>
      <c r="D10" s="243"/>
      <c r="E10" s="243"/>
      <c r="F10" s="244" t="s">
        <v>0</v>
      </c>
      <c r="G10" s="277">
        <v>45527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 t="s">
        <v>168</v>
      </c>
      <c r="F11" t="s">
        <v>125</v>
      </c>
      <c r="G11" s="289" t="s">
        <v>160</v>
      </c>
      <c r="H11" s="290"/>
      <c r="P11" s="19"/>
      <c r="Q11" s="25" t="s">
        <v>19</v>
      </c>
      <c r="R11" s="19"/>
    </row>
    <row r="12" spans="2:23" ht="17.399999999999999" thickBot="1" x14ac:dyDescent="0.45">
      <c r="B12" s="246" t="s">
        <v>147</v>
      </c>
      <c r="C12" s="311" t="s">
        <v>169</v>
      </c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C13" s="279" t="s">
        <v>158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 t="s">
        <v>170</v>
      </c>
      <c r="F14" s="29" t="s">
        <v>138</v>
      </c>
      <c r="G14" s="291" t="s">
        <v>161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2" t="s">
        <v>159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7" t="s">
        <v>155</v>
      </c>
      <c r="G17" s="327"/>
      <c r="H17" s="328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9" t="s">
        <v>149</v>
      </c>
      <c r="C19" s="330"/>
      <c r="D19" s="330"/>
      <c r="E19" s="330"/>
      <c r="F19" s="330"/>
      <c r="G19" s="330"/>
      <c r="H19" s="331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15" t="s">
        <v>1</v>
      </c>
      <c r="D20" s="325" t="s">
        <v>10</v>
      </c>
      <c r="E20" s="325" t="s">
        <v>11</v>
      </c>
      <c r="F20" s="315" t="s">
        <v>8</v>
      </c>
      <c r="G20" s="315" t="s">
        <v>5</v>
      </c>
      <c r="H20" s="316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N42</f>
        <v>114586.50205761318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1">
        <v>1</v>
      </c>
      <c r="C21" s="312" t="s">
        <v>162</v>
      </c>
      <c r="D21" s="326">
        <v>2.64</v>
      </c>
      <c r="E21" s="326">
        <v>0.6</v>
      </c>
      <c r="F21" s="312" t="s">
        <v>163</v>
      </c>
      <c r="G21" s="313">
        <v>187943</v>
      </c>
      <c r="H21" s="314">
        <f t="shared" ref="H21" si="1">G21*B21</f>
        <v>187943</v>
      </c>
      <c r="I21" s="265"/>
      <c r="J21" s="47"/>
      <c r="K21" s="323">
        <f>B21</f>
        <v>1</v>
      </c>
      <c r="L21" s="324">
        <f t="shared" ref="L21:M21" si="2">D21+L$19</f>
        <v>2.69</v>
      </c>
      <c r="M21" s="324">
        <f t="shared" si="2"/>
        <v>0.6</v>
      </c>
      <c r="N21" s="261">
        <f>L21*M21</f>
        <v>1.6139999999999999</v>
      </c>
      <c r="O21" s="259">
        <f>N21*K21</f>
        <v>1.6139999999999999</v>
      </c>
      <c r="P21" s="252">
        <f>P$20*N21</f>
        <v>184942.61432098766</v>
      </c>
      <c r="Q21" s="258">
        <f>P21+Q$20</f>
        <v>187942.61432098766</v>
      </c>
      <c r="R21" s="308">
        <f>K21*L21</f>
        <v>2.69</v>
      </c>
      <c r="S21" s="14"/>
      <c r="T21" s="9"/>
      <c r="W21" s="4"/>
    </row>
    <row r="22" spans="2:24" ht="17.399999999999999" x14ac:dyDescent="0.3">
      <c r="B22" s="321">
        <v>1</v>
      </c>
      <c r="C22" s="312" t="s">
        <v>162</v>
      </c>
      <c r="D22" s="326">
        <v>0.75</v>
      </c>
      <c r="E22" s="326">
        <v>0.6</v>
      </c>
      <c r="F22" s="312" t="s">
        <v>163</v>
      </c>
      <c r="G22" s="313">
        <v>58002</v>
      </c>
      <c r="H22" s="314">
        <f t="shared" ref="H22:H23" si="3">G22*B22</f>
        <v>58002</v>
      </c>
      <c r="I22" s="265"/>
      <c r="J22" s="47"/>
      <c r="K22" s="323">
        <f t="shared" ref="K22:K23" si="4">B22</f>
        <v>1</v>
      </c>
      <c r="L22" s="324">
        <f t="shared" ref="L22:L23" si="5">D22+L$19</f>
        <v>0.8</v>
      </c>
      <c r="M22" s="324">
        <f t="shared" ref="M22:M23" si="6">E22+M$19</f>
        <v>0.6</v>
      </c>
      <c r="N22" s="261">
        <f t="shared" ref="N22:N23" si="7">L22*M22</f>
        <v>0.48</v>
      </c>
      <c r="O22" s="259">
        <f t="shared" ref="O22:O23" si="8">N22*K22</f>
        <v>0.48</v>
      </c>
      <c r="P22" s="252">
        <f t="shared" ref="P22:P23" si="9">P$20*N22</f>
        <v>55001.520987654323</v>
      </c>
      <c r="Q22" s="258">
        <f t="shared" ref="Q22:Q23" si="10">P22+Q$20</f>
        <v>58001.520987654323</v>
      </c>
      <c r="R22" s="308">
        <f t="shared" ref="R22:R23" si="11">K22*L22</f>
        <v>0.8</v>
      </c>
      <c r="S22" s="14"/>
      <c r="T22" s="9"/>
      <c r="W22" s="4"/>
    </row>
    <row r="23" spans="2:24" ht="17.399999999999999" x14ac:dyDescent="0.3">
      <c r="B23" s="321">
        <v>1</v>
      </c>
      <c r="C23" s="312" t="s">
        <v>162</v>
      </c>
      <c r="D23" s="326">
        <v>1.46</v>
      </c>
      <c r="E23" s="326">
        <v>0.6</v>
      </c>
      <c r="F23" s="312" t="s">
        <v>163</v>
      </c>
      <c r="G23" s="313">
        <v>106815</v>
      </c>
      <c r="H23" s="314">
        <f t="shared" si="3"/>
        <v>106815</v>
      </c>
      <c r="I23" s="265"/>
      <c r="J23" s="47"/>
      <c r="K23" s="323">
        <f t="shared" si="4"/>
        <v>1</v>
      </c>
      <c r="L23" s="324">
        <f t="shared" si="5"/>
        <v>1.51</v>
      </c>
      <c r="M23" s="324">
        <f t="shared" si="6"/>
        <v>0.6</v>
      </c>
      <c r="N23" s="261">
        <f t="shared" si="7"/>
        <v>0.90599999999999992</v>
      </c>
      <c r="O23" s="259">
        <f t="shared" si="8"/>
        <v>0.90599999999999992</v>
      </c>
      <c r="P23" s="252">
        <f t="shared" si="9"/>
        <v>103815.37086419752</v>
      </c>
      <c r="Q23" s="258">
        <f t="shared" si="10"/>
        <v>106815.37086419752</v>
      </c>
      <c r="R23" s="308">
        <f t="shared" si="11"/>
        <v>1.51</v>
      </c>
      <c r="S23" s="14"/>
      <c r="T23" s="9"/>
      <c r="W23" s="4"/>
    </row>
    <row r="24" spans="2:24" ht="17.399999999999999" x14ac:dyDescent="0.3">
      <c r="B24" s="321">
        <v>1</v>
      </c>
      <c r="C24" s="312" t="s">
        <v>162</v>
      </c>
      <c r="D24" s="326">
        <v>1.24</v>
      </c>
      <c r="E24" s="326">
        <v>0.5</v>
      </c>
      <c r="F24" s="312" t="s">
        <v>163</v>
      </c>
      <c r="G24" s="313">
        <v>76908</v>
      </c>
      <c r="H24" s="314">
        <f t="shared" ref="H24" si="12">G24*B24</f>
        <v>76908</v>
      </c>
      <c r="I24" s="265"/>
      <c r="J24" s="47"/>
      <c r="K24" s="323">
        <f t="shared" ref="K24" si="13">B24</f>
        <v>1</v>
      </c>
      <c r="L24" s="324">
        <f t="shared" ref="L24" si="14">D24+L$19</f>
        <v>1.29</v>
      </c>
      <c r="M24" s="324">
        <f t="shared" ref="M24" si="15">E24+M$19</f>
        <v>0.5</v>
      </c>
      <c r="N24" s="261">
        <f t="shared" ref="N24" si="16">L24*M24</f>
        <v>0.64500000000000002</v>
      </c>
      <c r="O24" s="259">
        <f t="shared" ref="O24" si="17">N24*K24</f>
        <v>0.64500000000000002</v>
      </c>
      <c r="P24" s="252">
        <f t="shared" ref="P24" si="18">P$20*N24</f>
        <v>73908.293827160509</v>
      </c>
      <c r="Q24" s="258">
        <f t="shared" ref="Q24" si="19">P24+Q$20</f>
        <v>76908.293827160509</v>
      </c>
      <c r="R24" s="308">
        <f t="shared" ref="R24" si="20">K24*L24</f>
        <v>1.29</v>
      </c>
      <c r="S24" s="14"/>
      <c r="T24" s="9"/>
      <c r="W24" s="4"/>
    </row>
    <row r="25" spans="2:24" ht="17.399999999999999" x14ac:dyDescent="0.3">
      <c r="B25" s="321">
        <v>2</v>
      </c>
      <c r="C25" s="312" t="s">
        <v>165</v>
      </c>
      <c r="D25" s="326">
        <v>1.24</v>
      </c>
      <c r="E25" s="326">
        <v>0.5</v>
      </c>
      <c r="F25" s="312"/>
      <c r="G25" s="313">
        <v>7500</v>
      </c>
      <c r="H25" s="314">
        <f t="shared" ref="H25" si="21">G25*B25</f>
        <v>15000</v>
      </c>
      <c r="I25" s="265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321">
        <v>4</v>
      </c>
      <c r="C26" s="339" t="s">
        <v>166</v>
      </c>
      <c r="D26" s="326">
        <v>1.24</v>
      </c>
      <c r="E26" s="326">
        <v>0.5</v>
      </c>
      <c r="F26" s="312"/>
      <c r="G26" s="313">
        <v>4000</v>
      </c>
      <c r="H26" s="314">
        <f t="shared" ref="H26" si="22">G26*B26</f>
        <v>16000</v>
      </c>
      <c r="I26" s="265"/>
      <c r="J26" s="47"/>
      <c r="K26" s="47"/>
      <c r="L26" s="39"/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8" thickBot="1" x14ac:dyDescent="0.35">
      <c r="B27" s="286"/>
      <c r="C27" s="286"/>
      <c r="D27" s="287"/>
      <c r="E27" s="287"/>
      <c r="F27" s="286"/>
      <c r="G27" s="265"/>
      <c r="H27" s="232"/>
      <c r="I27" s="232"/>
      <c r="J27" s="47"/>
      <c r="K27" s="47"/>
      <c r="L27" s="39"/>
      <c r="M27" s="39"/>
      <c r="N27" s="261"/>
      <c r="O27" s="259"/>
      <c r="P27" s="252"/>
      <c r="Q27" s="258"/>
      <c r="R27" s="308"/>
      <c r="S27" s="14"/>
      <c r="T27" s="9"/>
      <c r="W27" s="4"/>
    </row>
    <row r="28" spans="2:24" ht="17.399999999999999" x14ac:dyDescent="0.3">
      <c r="B28" s="286"/>
      <c r="C28" s="286"/>
      <c r="D28" s="287"/>
      <c r="E28" s="287"/>
      <c r="F28" s="286"/>
      <c r="G28" s="309" t="s">
        <v>30</v>
      </c>
      <c r="H28" s="310">
        <f>SUM(H21:H27)</f>
        <v>460668</v>
      </c>
      <c r="I28" s="265"/>
      <c r="J28" s="47"/>
      <c r="K28" s="47"/>
      <c r="L28" s="39">
        <f>SUM(L21:L27)</f>
        <v>6.29</v>
      </c>
      <c r="M28" s="39"/>
      <c r="N28" s="261"/>
      <c r="O28" s="259"/>
      <c r="P28" s="252"/>
      <c r="Q28" s="258"/>
      <c r="R28" s="308"/>
      <c r="S28" s="14"/>
      <c r="T28" s="9"/>
      <c r="W28" s="4"/>
    </row>
    <row r="29" spans="2:24" ht="17.399999999999999" x14ac:dyDescent="0.3">
      <c r="B29" s="280"/>
      <c r="C29" s="283"/>
      <c r="D29" s="284"/>
      <c r="E29" s="284"/>
      <c r="F29" s="285"/>
      <c r="G29" s="307" t="s">
        <v>53</v>
      </c>
      <c r="H29" s="304">
        <f>H28*19%</f>
        <v>87526.92</v>
      </c>
      <c r="I29" s="265"/>
      <c r="J29" s="47"/>
      <c r="K29" s="47"/>
      <c r="L29" s="39"/>
      <c r="M29" s="12"/>
      <c r="N29" s="12"/>
      <c r="O29" s="253">
        <f>SUM(O21:O24)</f>
        <v>3.645</v>
      </c>
      <c r="P29" s="14"/>
      <c r="Q29" s="12"/>
      <c r="R29" s="238"/>
      <c r="S29" s="14"/>
      <c r="T29" s="9"/>
      <c r="W29" s="4"/>
    </row>
    <row r="30" spans="2:24" ht="18" thickBot="1" x14ac:dyDescent="0.35">
      <c r="B30" s="276"/>
      <c r="C30" s="282"/>
      <c r="D30" s="272"/>
      <c r="E30" s="272"/>
      <c r="F30" s="273"/>
      <c r="G30" s="281" t="s">
        <v>6</v>
      </c>
      <c r="H30" s="305">
        <f>H28+H29</f>
        <v>548194.92000000004</v>
      </c>
      <c r="I30" s="265"/>
      <c r="J30" s="47"/>
      <c r="K30" s="47"/>
      <c r="L30" s="39"/>
      <c r="M30" s="12"/>
      <c r="N30" s="12"/>
      <c r="O30" s="253">
        <f>O29</f>
        <v>3.645</v>
      </c>
      <c r="P30" s="14"/>
      <c r="Q30" s="12"/>
      <c r="R30" s="238">
        <f>SUM(R21:R29)</f>
        <v>6.29</v>
      </c>
      <c r="S30" s="14"/>
      <c r="T30" s="9"/>
      <c r="W30" s="4"/>
    </row>
    <row r="31" spans="2:24" ht="17.399999999999999" x14ac:dyDescent="0.3">
      <c r="B31" s="276"/>
      <c r="C31" s="271"/>
      <c r="D31" s="272"/>
      <c r="E31" s="272"/>
      <c r="F31" s="273"/>
      <c r="I31" s="265"/>
      <c r="J31" s="47"/>
      <c r="K31" s="47"/>
      <c r="L31" s="14"/>
      <c r="M31" s="12"/>
      <c r="N31" s="12"/>
      <c r="O31" s="39">
        <f>O30*20%</f>
        <v>0.72900000000000009</v>
      </c>
      <c r="P31" s="39" t="s">
        <v>132</v>
      </c>
      <c r="Q31" s="42"/>
      <c r="R31" s="239"/>
      <c r="S31" s="14"/>
      <c r="T31" s="9"/>
      <c r="W31" s="4"/>
    </row>
    <row r="32" spans="2:24" ht="17.399999999999999" x14ac:dyDescent="0.3">
      <c r="B32" s="271"/>
      <c r="C32" s="271"/>
      <c r="D32" s="272"/>
      <c r="E32" s="272"/>
      <c r="F32" s="273"/>
      <c r="G32" s="274"/>
      <c r="H32" s="275"/>
      <c r="I32" s="265"/>
      <c r="J32" s="318"/>
      <c r="K32" s="47"/>
      <c r="L32" s="14"/>
      <c r="M32" s="12"/>
      <c r="N32" s="12"/>
      <c r="O32" s="46">
        <f>O30+O31</f>
        <v>4.3740000000000006</v>
      </c>
      <c r="P32" s="14"/>
      <c r="Q32" s="14"/>
      <c r="R32" s="237">
        <v>40</v>
      </c>
      <c r="S32" s="14"/>
      <c r="T32" s="9"/>
      <c r="W32" s="4"/>
    </row>
    <row r="33" spans="2:23" ht="17.399999999999999" x14ac:dyDescent="0.35">
      <c r="B33" s="269"/>
      <c r="C33" s="230"/>
      <c r="D33" s="230"/>
      <c r="E33" s="232"/>
      <c r="F33" s="233"/>
      <c r="G33" s="230"/>
      <c r="H33" s="275"/>
      <c r="I33" s="265"/>
      <c r="J33" s="318"/>
      <c r="K33" s="47"/>
      <c r="L33" s="14"/>
      <c r="M33" s="14"/>
      <c r="N33" s="14"/>
      <c r="O33" s="14"/>
      <c r="P33" s="14"/>
      <c r="Q33" s="14"/>
      <c r="R33" s="237"/>
      <c r="S33" s="14"/>
      <c r="T33" s="9"/>
      <c r="W33" s="4"/>
    </row>
    <row r="34" spans="2:23" ht="17.399999999999999" x14ac:dyDescent="0.35">
      <c r="B34" s="234"/>
      <c r="C34" s="235"/>
      <c r="D34" s="236"/>
      <c r="E34" s="234"/>
      <c r="F34" s="230"/>
      <c r="G34" s="230"/>
      <c r="I34" s="265"/>
      <c r="J34" s="47"/>
      <c r="K34" s="47"/>
      <c r="L34" s="39">
        <f>O32</f>
        <v>4.3740000000000006</v>
      </c>
      <c r="M34" s="12">
        <v>3500</v>
      </c>
      <c r="N34" s="12">
        <f t="shared" ref="N34:N39" si="23">L34*M34</f>
        <v>15309.000000000002</v>
      </c>
      <c r="O34" s="14" t="s">
        <v>22</v>
      </c>
      <c r="P34" s="14" t="s">
        <v>23</v>
      </c>
      <c r="Q34" s="14"/>
      <c r="R34" s="240"/>
      <c r="S34" s="14"/>
      <c r="T34" s="9"/>
      <c r="W34" s="4"/>
    </row>
    <row r="35" spans="2:23" ht="17.399999999999999" x14ac:dyDescent="0.35">
      <c r="B35" s="230"/>
      <c r="C35" s="230"/>
      <c r="D35" s="230"/>
      <c r="E35" s="230"/>
      <c r="F35" s="230"/>
      <c r="G35" s="230"/>
      <c r="I35" s="265"/>
      <c r="J35" s="47"/>
      <c r="K35" s="47"/>
      <c r="L35" s="249">
        <v>1.2</v>
      </c>
      <c r="M35" s="12">
        <v>25000</v>
      </c>
      <c r="N35" s="12">
        <f t="shared" si="23"/>
        <v>30000</v>
      </c>
      <c r="O35" s="39" t="s">
        <v>156</v>
      </c>
      <c r="P35" s="42"/>
      <c r="Q35" s="14"/>
      <c r="R35" s="239"/>
      <c r="S35" s="14"/>
      <c r="T35" s="9"/>
      <c r="W35" s="4"/>
    </row>
    <row r="36" spans="2:23" s="230" customFormat="1" ht="17.399999999999999" x14ac:dyDescent="0.35">
      <c r="I36" s="262"/>
      <c r="J36" s="47"/>
      <c r="K36" s="250"/>
      <c r="L36" s="14"/>
      <c r="M36" s="250">
        <v>71496</v>
      </c>
      <c r="N36" s="12">
        <f t="shared" si="23"/>
        <v>0</v>
      </c>
      <c r="O36" s="39" t="s">
        <v>32</v>
      </c>
      <c r="P36" s="42"/>
      <c r="R36" s="239"/>
      <c r="S36" s="256"/>
      <c r="V36" s="231"/>
    </row>
    <row r="37" spans="2:23" s="230" customFormat="1" ht="17.399999999999999" x14ac:dyDescent="0.35">
      <c r="B37" s="24" t="s">
        <v>153</v>
      </c>
      <c r="I37" s="262"/>
      <c r="J37" s="317"/>
      <c r="K37" s="250"/>
      <c r="L37" s="14">
        <v>2.5</v>
      </c>
      <c r="M37" s="250">
        <v>54042</v>
      </c>
      <c r="N37" s="12">
        <f t="shared" si="23"/>
        <v>135105</v>
      </c>
      <c r="O37" s="14" t="s">
        <v>143</v>
      </c>
      <c r="P37" s="17"/>
      <c r="R37" s="237"/>
      <c r="S37" s="256"/>
      <c r="V37" s="231"/>
    </row>
    <row r="38" spans="2:23" s="230" customFormat="1" ht="17.399999999999999" x14ac:dyDescent="0.35">
      <c r="B38" s="24" t="s">
        <v>146</v>
      </c>
      <c r="C38"/>
      <c r="D38"/>
      <c r="E38"/>
      <c r="F38"/>
      <c r="I38" s="262"/>
      <c r="J38" s="317"/>
      <c r="K38" s="250"/>
      <c r="L38" s="249"/>
      <c r="M38" s="250">
        <v>800</v>
      </c>
      <c r="N38" s="12">
        <f t="shared" si="23"/>
        <v>0</v>
      </c>
      <c r="O38" s="14" t="s">
        <v>34</v>
      </c>
      <c r="P38" s="14"/>
      <c r="Q38" s="230">
        <v>1.52</v>
      </c>
      <c r="R38" s="237"/>
      <c r="S38" s="237"/>
    </row>
    <row r="39" spans="2:23" s="230" customFormat="1" ht="17.399999999999999" x14ac:dyDescent="0.35">
      <c r="B39" s="29" t="s">
        <v>127</v>
      </c>
      <c r="C39"/>
      <c r="D39"/>
      <c r="E39"/>
      <c r="F39" s="229" t="s">
        <v>16</v>
      </c>
      <c r="I39" s="303"/>
      <c r="J39" s="47"/>
      <c r="K39" s="250"/>
      <c r="L39" s="266">
        <v>6.29</v>
      </c>
      <c r="M39" s="12">
        <v>1500</v>
      </c>
      <c r="N39" s="12">
        <f t="shared" si="23"/>
        <v>9435</v>
      </c>
      <c r="O39" s="14" t="s">
        <v>24</v>
      </c>
      <c r="P39" s="14"/>
      <c r="Q39">
        <v>2.44</v>
      </c>
      <c r="R39"/>
      <c r="S39" s="237">
        <v>1500</v>
      </c>
      <c r="W39" s="231"/>
    </row>
    <row r="40" spans="2:23" s="230" customFormat="1" ht="17.399999999999999" x14ac:dyDescent="0.35">
      <c r="J40" s="47"/>
      <c r="K40" s="250"/>
      <c r="L40" s="14"/>
      <c r="M40" s="12"/>
      <c r="N40" s="12">
        <f>SUM(N34:N39)</f>
        <v>189849</v>
      </c>
      <c r="O40" s="39" t="s">
        <v>25</v>
      </c>
      <c r="P40" s="14"/>
      <c r="Q40">
        <f>Q38*Q39</f>
        <v>3.7088000000000001</v>
      </c>
      <c r="R40"/>
      <c r="S40" s="237">
        <f>R32*S39</f>
        <v>60000</v>
      </c>
      <c r="W40" s="231"/>
    </row>
    <row r="41" spans="2:23" s="230" customFormat="1" ht="17.399999999999999" x14ac:dyDescent="0.35">
      <c r="J41" s="47">
        <v>64310</v>
      </c>
      <c r="K41" s="250"/>
      <c r="L41" s="254" t="s">
        <v>35</v>
      </c>
      <c r="M41" s="12"/>
      <c r="N41" s="255">
        <f>N40*2.2</f>
        <v>417667.80000000005</v>
      </c>
      <c r="O41" s="14" t="s">
        <v>142</v>
      </c>
      <c r="P41" s="14"/>
      <c r="Q41" s="46">
        <f>O30/Q40</f>
        <v>0.98279767040552202</v>
      </c>
      <c r="R41"/>
      <c r="S41" s="257" t="e">
        <f>S40/#REF!</f>
        <v>#REF!</v>
      </c>
    </row>
    <row r="42" spans="2:23" s="230" customFormat="1" ht="17.399999999999999" x14ac:dyDescent="0.35">
      <c r="G42"/>
      <c r="H42" s="260"/>
      <c r="I42" s="260"/>
      <c r="J42" s="47">
        <f>J41/1.19</f>
        <v>54042.016806722691</v>
      </c>
      <c r="K42" s="250"/>
      <c r="L42" s="14"/>
      <c r="M42" s="12"/>
      <c r="N42" s="12">
        <f>N41/O30</f>
        <v>114586.50205761318</v>
      </c>
      <c r="O42" s="45" t="s">
        <v>26</v>
      </c>
      <c r="P42" s="14"/>
      <c r="Q42" s="14"/>
      <c r="R42"/>
      <c r="S42" s="237"/>
    </row>
    <row r="43" spans="2:23" s="230" customFormat="1" ht="17.399999999999999" x14ac:dyDescent="0.35">
      <c r="G43"/>
      <c r="J43" s="47"/>
      <c r="K43" s="250"/>
      <c r="L43" s="13"/>
      <c r="M43" s="14"/>
      <c r="N43" s="17">
        <f>N41/N40</f>
        <v>2.2000000000000002</v>
      </c>
      <c r="O43" s="15"/>
      <c r="P43"/>
      <c r="Q43"/>
      <c r="R43"/>
      <c r="S43" s="237"/>
    </row>
    <row r="44" spans="2:23" s="230" customFormat="1" ht="17.399999999999999" x14ac:dyDescent="0.35">
      <c r="G44" s="23"/>
      <c r="J44" s="47"/>
      <c r="K44" s="12"/>
      <c r="S44" s="237"/>
    </row>
    <row r="45" spans="2:23" s="230" customFormat="1" ht="17.399999999999999" x14ac:dyDescent="0.35">
      <c r="B45"/>
      <c r="C45" s="228"/>
      <c r="D45" s="22"/>
      <c r="E45" s="22"/>
      <c r="F45" s="21"/>
      <c r="G45" s="23"/>
      <c r="J45" s="47"/>
      <c r="K45" s="12"/>
      <c r="S45" s="237">
        <v>1.83</v>
      </c>
    </row>
    <row r="46" spans="2:23" ht="14.4" customHeight="1" x14ac:dyDescent="0.3">
      <c r="J46" s="47"/>
      <c r="K46" s="12"/>
      <c r="S46">
        <v>2.5</v>
      </c>
    </row>
    <row r="47" spans="2:23" x14ac:dyDescent="0.3">
      <c r="J47" s="47"/>
      <c r="K47" s="250"/>
      <c r="S47">
        <f>S45*S46</f>
        <v>4.5750000000000002</v>
      </c>
    </row>
    <row r="48" spans="2:23" x14ac:dyDescent="0.3">
      <c r="K48" s="250"/>
      <c r="S48" s="270">
        <f>O32/S47</f>
        <v>0.95606557377049184</v>
      </c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28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150</v>
      </c>
    </row>
    <row r="78" spans="3:14" x14ac:dyDescent="0.3">
      <c r="C78" t="s">
        <v>149</v>
      </c>
    </row>
    <row r="81" spans="3:3" x14ac:dyDescent="0.3">
      <c r="C81" t="s">
        <v>149</v>
      </c>
    </row>
    <row r="158" spans="3:3" x14ac:dyDescent="0.3">
      <c r="C158" t="s">
        <v>149</v>
      </c>
    </row>
    <row r="159" spans="3:3" x14ac:dyDescent="0.3">
      <c r="C159" t="s">
        <v>151</v>
      </c>
    </row>
    <row r="160" spans="3:3" x14ac:dyDescent="0.3">
      <c r="C160" t="s">
        <v>152</v>
      </c>
    </row>
    <row r="585" spans="3:3" x14ac:dyDescent="0.3">
      <c r="C585" t="s">
        <v>149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  <hyperlink ref="C14" r:id="rId2" xr:uid="{A101A8DB-012A-49BA-9E59-AB6CAA3C4359}"/>
  </hyperlinks>
  <pageMargins left="0.23622047244094491" right="0.23622047244094491" top="0.74803149606299213" bottom="0.74803149606299213" header="0.31496062992125984" footer="0.31496062992125984"/>
  <pageSetup scale="80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45527</v>
      </c>
    </row>
    <row r="6" spans="2:31" ht="16.2" thickBot="1" x14ac:dyDescent="0.35">
      <c r="B6" s="140" t="s">
        <v>2</v>
      </c>
      <c r="C6" s="139" t="str">
        <f>'2229'!C10</f>
        <v>FILKUN CARPINTERIA SPA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3" t="s">
        <v>100</v>
      </c>
      <c r="I7" s="334"/>
      <c r="J7" s="334"/>
      <c r="K7" s="335"/>
      <c r="N7" s="75"/>
      <c r="O7" s="33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11073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-56113.650033454112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'2229'!H28</f>
        <v>460668</v>
      </c>
      <c r="E11" s="132">
        <f>D11*0.19</f>
        <v>87526.92</v>
      </c>
      <c r="F11" s="131">
        <f>E11+D11</f>
        <v>548194.92000000004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49876.349966545888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75143.090787439607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31876.349966545888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385524.90921256039</v>
      </c>
      <c r="E13" s="221">
        <f>(D11/D12)-1</f>
        <v>5.1305436757068028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22876.349966545888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-16123.650033454112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123986.09979927534</v>
      </c>
      <c r="F15" s="216">
        <f>E15-D12</f>
        <v>48843.009011835733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-16123.650033454112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23876.349966545888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'2229'!N35</f>
        <v>30000</v>
      </c>
      <c r="E19" s="123">
        <f>D19*0.19</f>
        <v>5700</v>
      </c>
      <c r="F19" s="120">
        <f>SUM(D19:E19)</f>
        <v>35700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'2229'!N34</f>
        <v>15309.000000000002</v>
      </c>
      <c r="E20" s="121">
        <f>D20*0.19</f>
        <v>2908.7100000000005</v>
      </c>
      <c r="F20" s="120">
        <f>SUM(D20:E20)</f>
        <v>18217.710000000003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45309</v>
      </c>
      <c r="E21" s="116">
        <f>SUM(E18:E20)</f>
        <v>8608.7100000000009</v>
      </c>
      <c r="F21" s="115">
        <f>SUM(F18:F20)</f>
        <v>53917.710000000006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78918.209999999992</v>
      </c>
    </row>
    <row r="41" spans="2:16" ht="15" thickBot="1" x14ac:dyDescent="0.35">
      <c r="H41" s="336" t="s">
        <v>62</v>
      </c>
      <c r="I41" s="337"/>
      <c r="J41" s="337"/>
      <c r="K41" s="337"/>
      <c r="L41" s="337"/>
      <c r="M41" s="33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460668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45309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385524.90921256039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385524.90921256039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2024-08-23T13:22:43Z</dcterms:modified>
</cp:coreProperties>
</file>