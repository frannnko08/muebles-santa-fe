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5095BB97-AFE5-405A-AA90-1EDE47500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M22" i="1"/>
  <c r="N22" i="1"/>
  <c r="O22" i="1" s="1"/>
  <c r="R22" i="1"/>
  <c r="K21" i="1"/>
  <c r="K10" i="1"/>
  <c r="J40" i="1" l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<sst xmlns="http://schemas.openxmlformats.org/spreadsheetml/2006/main" count="221" uniqueCount="164">
  <si>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</si>
  <si>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</si>
  <si>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</si>
  <si>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</si>
  <si>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</si>
  <si>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</si>
  <si>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</si>
  <si>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</si>
  <si>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</si>
  <si>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</si>
  <si>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</si>
  <si>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</si>
  <si>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</si>
  <si>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</si>
  <si>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</si>
  <si>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</si>
  <si>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</si>
  <si>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</si>
  <si>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</si>
  <si>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</si>
  <si>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</si>
  <si>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</si>
  <si>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</si>
  <si>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</si>
  <si>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</si>
  <si>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</si>
  <si>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</si>
  <si>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</si>
  <si>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</si>
  <si>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</si>
  <si>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</si>
  <si>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</si>
  <si>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</si>
  <si>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</si>
  <si>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</si>
  <si>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</si>
  <si>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</si>
  <si>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</si>
  <si>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</si>
  <si>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</si>
  <si>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</si>
  <si>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</si>
  <si>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</si>
  <si>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</si>
  <si>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</si>
  <si>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</si>
  <si>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</si>
  <si>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</si>
  <si>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</si>
  <si>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</si>
  <si>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</si>
  <si>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</si>
  <si>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</si>
  <si>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</si>
  <si>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</si>
  <si>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</si>
  <si>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</si>
  <si>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</si>
  <si>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</si>
  <si>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</si>
  <si>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</si>
  <si>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</si>
  <si>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</si>
  <si>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</si>
  <si>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</si>
  <si>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</si>
  <si>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</si>
  <si>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</si>
  <si>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</si>
  <si>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</si>
  <si>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</si>
  <si>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</si>
  <si>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</si>
  <si>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</si>
  <si>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</si>
  <si>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</si>
  <si>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</si>
  <si>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</si>
  <si>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</si>
  <si>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</si>
  <si>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</si>
  <si>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</si>
  <si>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</si>
  <si>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</si>
  <si>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</si>
  <si>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</si>
  <si>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</si>
  <si>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</si>
  <si>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</si>
  <si>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</si>
  <si>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</si>
  <si>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</si>
  <si>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</si>
  <si>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</si>
  <si>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</si>
  <si>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</si>
  <si>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</si>
  <si>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</si>
  <si>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</si>
  <si>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</si>
  <si>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</si>
  <si>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</si>
  <si>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</si>
  <si>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</si>
  <si>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</si>
  <si>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</si>
  <si>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</si>
  <si>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</si>
  <si>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</si>
  <si>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</si>
  <si>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</si>
  <si>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</si>
  <si>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</si>
  <si>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</si>
  <si>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</si>
  <si>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</si>
  <si>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</si>
  <si>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</si>
  <si>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</si>
  <si>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</si>
  <si>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</si>
  <si>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</si>
  <si>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</si>
  <si>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</si>
  <si>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</si>
  <si>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</si>
  <si>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</si>
  <si>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</si>
  <si>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</si>
  <si>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</si>
  <si>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</si>
  <si>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</si>
  <si>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</si>
  <si>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</si>
  <si>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</si>
  <si>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</si>
  <si>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</si>
  <si>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</si>
  <si>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</si>
  <si>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</si>
  <si>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</si>
  <si>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</si>
  <si>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</si>
  <si>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</si>
  <si>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</si>
  <si>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</si>
  <si>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</si>
  <si>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</si>
  <si>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</si>
  <si>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</si>
  <si>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</si>
  <si>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</si>
  <si>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</si>
  <si>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</si>
  <si>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</si>
  <si>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</si>
  <si>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</si>
  <si>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</si>
  <si>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N° 11082</t>
  </si>
  <si>
    <t>MARCO DONOSO</t>
  </si>
  <si>
    <t>CURICO</t>
  </si>
  <si>
    <t>+569 9128 9904</t>
  </si>
  <si>
    <t>7 DÍAS HABILES</t>
  </si>
  <si>
    <t>DURKBERG MARBLE 40476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</si>
</sst>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13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45532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160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91648.23529411765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37</v>
      </c>
      <c r="D21" s="325">
        <v>1.2</v>
      </c>
      <c r="E21" s="325">
        <v>0.5</v>
      </c>
      <c r="F21" s="312" t="s">
        <v>163</v>
      </c>
      <c r="G21" s="313">
        <v>60280</v>
      </c>
      <c r="H21" s="314">
        <f t="shared" ref="H21:H22" si="1">G21*B21</f>
        <v>60280</v>
      </c>
      <c r="I21" s="265"/>
      <c r="J21" s="47"/>
      <c r="K21" s="326">
        <f>B21</f>
        <v>1</v>
      </c>
      <c r="L21" s="327">
        <f t="shared" ref="L21:M21" si="2">D21+L$19</f>
        <v>1.25</v>
      </c>
      <c r="M21" s="327">
        <f t="shared" si="2"/>
        <v>0.5</v>
      </c>
      <c r="N21" s="261">
        <f>L21*M21</f>
        <v>0.625</v>
      </c>
      <c r="O21" s="259">
        <f>N21*K21</f>
        <v>0.625</v>
      </c>
      <c r="P21" s="252">
        <f>P$20*N21</f>
        <v>57280.147058823532</v>
      </c>
      <c r="Q21" s="258">
        <f>P21+Q$20</f>
        <v>60280.147058823532</v>
      </c>
      <c r="R21" s="308">
        <f>K21*L21</f>
        <v>1.25</v>
      </c>
      <c r="S21" s="14"/>
      <c r="T21" s="9"/>
      <c r="W21" s="4"/>
    </row>
    <row r="22" spans="2:24" ht="17.399999999999999" x14ac:dyDescent="0.3">
      <c r="B22" s="322">
        <v>1</v>
      </c>
      <c r="C22" s="312" t="s">
        <v>37</v>
      </c>
      <c r="D22" s="325">
        <v>2.1</v>
      </c>
      <c r="E22" s="325">
        <v>0.5</v>
      </c>
      <c r="F22" s="312" t="s">
        <v>163</v>
      </c>
      <c r="G22" s="313">
        <v>101522</v>
      </c>
      <c r="H22" s="314">
        <f t="shared" si="1"/>
        <v>101522</v>
      </c>
      <c r="I22" s="265"/>
      <c r="J22" s="47"/>
      <c r="K22" s="326">
        <f>B22</f>
        <v>1</v>
      </c>
      <c r="L22" s="327">
        <f t="shared" ref="L22" si="3">D22+L$19</f>
        <v>2.15</v>
      </c>
      <c r="M22" s="327">
        <f t="shared" ref="M22" si="4">E22+M$19</f>
        <v>0.5</v>
      </c>
      <c r="N22" s="261">
        <f>L22*M22</f>
        <v>1.075</v>
      </c>
      <c r="O22" s="259">
        <f>N22*K22</f>
        <v>1.075</v>
      </c>
      <c r="P22" s="252">
        <f>P$20*N22</f>
        <v>98521.852941176476</v>
      </c>
      <c r="Q22" s="258">
        <f>P22+Q$20</f>
        <v>101521.85294117648</v>
      </c>
      <c r="R22" s="308">
        <f>K22*L22</f>
        <v>2.15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7"/>
      <c r="H23" s="31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7"/>
      <c r="H24" s="31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161802</v>
      </c>
      <c r="I26" s="265"/>
      <c r="J26" s="47"/>
      <c r="K26" s="47"/>
      <c r="L26" s="39">
        <f>SUM(L21:L25)</f>
        <v>3.4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30742.38</v>
      </c>
      <c r="I27" s="265"/>
      <c r="J27" s="47"/>
      <c r="K27" s="47"/>
      <c r="L27" s="39"/>
      <c r="M27" s="12"/>
      <c r="N27" s="12"/>
      <c r="O27" s="253">
        <f>SUM(O21:O22)</f>
        <v>1.7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192544.38</v>
      </c>
      <c r="I28" s="265"/>
      <c r="J28" s="47"/>
      <c r="K28" s="47"/>
      <c r="L28" s="39"/>
      <c r="M28" s="12"/>
      <c r="N28" s="12"/>
      <c r="O28" s="253">
        <f>O27</f>
        <v>1.7</v>
      </c>
      <c r="P28" s="14"/>
      <c r="Q28" s="12"/>
      <c r="R28" s="238">
        <f>SUM(R21:R27)</f>
        <v>3.4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9"/>
      <c r="K30" s="47"/>
      <c r="L30" s="14"/>
      <c r="M30" s="12"/>
      <c r="N30" s="12"/>
      <c r="O30" s="46">
        <f>O28+O29</f>
        <v>2.04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9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2.04</v>
      </c>
      <c r="M32" s="12">
        <v>3500</v>
      </c>
      <c r="N32" s="12">
        <f t="shared" ref="N32:N37" si="5">L32*M32</f>
        <v>7140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5"/>
        <v>12500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5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8"/>
      <c r="K35" s="250"/>
      <c r="L35" s="14">
        <v>1</v>
      </c>
      <c r="M35" s="250">
        <v>43000</v>
      </c>
      <c r="N35" s="12">
        <f t="shared" si="5"/>
        <v>43000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8"/>
      <c r="K36" s="250"/>
      <c r="L36" s="249"/>
      <c r="M36" s="250">
        <v>800</v>
      </c>
      <c r="N36" s="12">
        <f t="shared" si="5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3.4</v>
      </c>
      <c r="M37" s="12">
        <v>1500</v>
      </c>
      <c r="N37" s="12">
        <f t="shared" si="5"/>
        <v>5100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67740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48208</v>
      </c>
      <c r="K39" s="250"/>
      <c r="L39" s="254" t="s">
        <v>35</v>
      </c>
      <c r="M39" s="12"/>
      <c r="N39" s="255">
        <f>N38*2.3</f>
        <v>155802</v>
      </c>
      <c r="O39" s="14" t="s">
        <v>142</v>
      </c>
      <c r="P39" s="14"/>
      <c r="Q39" s="46">
        <f>O28/Q38</f>
        <v>0.45836928386540121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40510.924369747903</v>
      </c>
      <c r="K40" s="250"/>
      <c r="L40" s="14"/>
      <c r="M40" s="12"/>
      <c r="N40" s="12">
        <f>N39/O28</f>
        <v>91648.23529411765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0.4459016393442623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45532</v>
      </c>
    </row>
    <row r="6" spans="2:31" ht="16.2" thickBot="1" x14ac:dyDescent="0.35">
      <c r="B6" s="140" t="s">
        <v>2</v>
      </c>
      <c r="C6" s="139" t="str">
        <f>'2229'!C10</f>
        <v>MARCO DONOSO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-13361.625033454106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161802</v>
      </c>
      <c r="E11" s="132">
        <f>D11*0.19</f>
        <v>30742.38</v>
      </c>
      <c r="F11" s="131">
        <f>E11+D11</f>
        <v>192544.38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92628.374966545889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49474.090787439614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74628.374966545889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112327.90921256039</v>
      </c>
      <c r="E13" s="221">
        <f>(D11/D12)-1</f>
        <v>2.2704390808345685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65628.374966545889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26628.374966545896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81632.249799275363</v>
      </c>
      <c r="F15" s="216">
        <f>E15-D12</f>
        <v>32158.159011835749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26628.374966545896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66628.374966545889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7140</v>
      </c>
      <c r="E20" s="121">
        <f>D20*0.19</f>
        <v>1356.6</v>
      </c>
      <c r="F20" s="120">
        <f>SUM(D20:E20)</f>
        <v>8496.6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19640</v>
      </c>
      <c r="E21" s="116">
        <f>SUM(E18:E20)</f>
        <v>3731.6</v>
      </c>
      <c r="F21" s="115">
        <f>SUM(F18:F20)</f>
        <v>23371.599999999999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27010.780000000002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161802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19640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112327.90921256039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112327.90921256039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2024-08-30T13:30:12Z</dcterms:modified>
</cp:coreProperties>
</file>