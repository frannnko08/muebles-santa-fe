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47C22C0C-525D-43D7-BB7F-B7DCBBFB4F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1" i="1" l="1"/>
  <c r="L21" i="1"/>
  <c r="L26" i="1" s="1"/>
  <c r="M21" i="1"/>
  <c r="R21" i="1" l="1"/>
  <c r="R28" i="1" s="1"/>
  <c r="N21" i="1"/>
  <c r="O21" i="1" s="1"/>
  <c r="O27" i="1" l="1"/>
  <c r="J40" i="1"/>
  <c r="N33" i="1" l="1"/>
  <c r="O28" i="1" l="1"/>
  <c r="O29" i="1" s="1"/>
  <c r="O30" i="1" s="1"/>
  <c r="S45" i="1"/>
  <c r="M20" i="1" l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L32" i="1" l="1"/>
  <c r="N32" i="1" l="1"/>
  <c r="N38" i="1" s="1"/>
  <c r="N39" i="1" s="1"/>
  <c r="S46" i="1"/>
  <c r="D20" i="3" l="1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1" i="1" l="1"/>
  <c r="F15" i="3"/>
  <c r="Q21" i="1" l="1"/>
  <c r="H21" i="1" s="1"/>
  <c r="H24" i="1" s="1"/>
  <c r="K15" i="1" l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<sst xmlns="http://schemas.openxmlformats.org/spreadsheetml/2006/main" count="219" uniqueCount="165">
  <si>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</si>
  <si>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</si>
  <si>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</si>
  <si>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</si>
  <si>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</si>
  <si>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</si>
  <si>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</si>
  <si>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</si>
  <si>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</si>
  <si>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</si>
  <si>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</si>
  <si>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</si>
  <si>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</si>
  <si>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</si>
  <si>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</si>
  <si>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</si>
  <si>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</si>
  <si>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</si>
  <si>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</si>
  <si>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</si>
  <si>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</si>
  <si>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</si>
  <si>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</si>
  <si>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</si>
  <si>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</si>
  <si>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</si>
  <si>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</si>
  <si>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</si>
  <si>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</si>
  <si>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</si>
  <si>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</si>
  <si>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</si>
  <si>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</si>
  <si>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</si>
  <si>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</si>
  <si>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</si>
  <si>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</si>
  <si>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</si>
  <si>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</si>
  <si>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</si>
  <si>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</si>
  <si>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</si>
  <si>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</si>
  <si>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</si>
  <si>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</si>
  <si>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</si>
  <si>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</si>
  <si>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</si>
  <si>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</si>
  <si>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</si>
  <si>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</si>
  <si>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</si>
  <si>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</si>
  <si>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</si>
  <si>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</si>
  <si>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</si>
  <si>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</si>
  <si>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</si>
  <si>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</si>
  <si>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</si>
  <si>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</si>
  <si>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</si>
  <si>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</si>
  <si>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</si>
  <si>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</si>
  <si>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</si>
  <si>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</si>
  <si>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</si>
  <si>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</si>
  <si>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</si>
  <si>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</si>
  <si>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</si>
  <si>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</si>
  <si>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</si>
  <si>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</si>
  <si>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</si>
  <si>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</si>
  <si>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</si>
  <si>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</si>
  <si>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</si>
  <si>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</si>
  <si>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</si>
  <si>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</si>
  <si>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</si>
  <si>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</si>
  <si>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</si>
  <si>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</si>
  <si>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</si>
  <si>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</si>
  <si>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</si>
  <si>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</si>
  <si>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</si>
  <si>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</si>
  <si>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</si>
  <si>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</si>
  <si>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</si>
  <si>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</si>
  <si>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</si>
  <si>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</si>
  <si>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</si>
  <si>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</si>
  <si>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</si>
  <si>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</si>
  <si>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</si>
  <si>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</si>
  <si>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</si>
  <si>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</si>
  <si>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</si>
  <si>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</si>
  <si>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</si>
  <si>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</si>
  <si>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</si>
  <si>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</si>
  <si>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</si>
  <si>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</si>
  <si>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</si>
  <si>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</si>
  <si>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</si>
  <si>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</si>
  <si>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</si>
  <si>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</si>
  <si>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</si>
  <si>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</si>
  <si>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</si>
  <si>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</si>
  <si>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</si>
  <si>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</si>
  <si>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</si>
  <si>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</si>
  <si>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</si>
  <si>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</si>
  <si>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</si>
  <si>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</si>
  <si>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</si>
  <si>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</si>
  <si>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</si>
  <si>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</si>
  <si>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</si>
  <si>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</si>
  <si>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</si>
  <si>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</si>
  <si>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</si>
  <si>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</si>
  <si>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</si>
  <si>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</si>
  <si>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</si>
  <si>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</si>
  <si>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</si>
  <si>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</si>
  <si>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</si>
  <si>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</si>
  <si>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</si>
  <si>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</si>
  <si>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</si>
  <si>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</si>
  <si>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</si>
  <si>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</si>
  <si>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</si>
  <si>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>5 DIAS HABILES</t>
  </si>
  <si>
    <t>NEGRO OPACO</t>
  </si>
  <si>
    <t>M. VERONICA SALAZAR H.</t>
  </si>
  <si>
    <t>+569 963607922</t>
  </si>
  <si>
    <t>SI</t>
  </si>
  <si>
    <t>CUB S/R R2</t>
  </si>
  <si>
    <t>DESPACHO A DOMICILIO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</si>
</sst>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27</xdr:row>
      <xdr:rowOff>9525</xdr:rowOff>
    </xdr:from>
    <xdr:to>
      <xdr:col>5</xdr:col>
      <xdr:colOff>1679511</xdr:colOff>
      <xdr:row>30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225489</xdr:rowOff>
    </xdr:from>
    <xdr:to>
      <xdr:col>5</xdr:col>
      <xdr:colOff>1656183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</a:t>
          </a:r>
          <a:r>
            <a:rPr lang="es-CL" sz="1200" b="1" baseline="0"/>
            <a:t> A LA MEDIDA MAS 3 PERFORACIONES PASA CABLE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3"/>
  <sheetViews>
    <sheetView tabSelected="1" topLeftCell="A3" zoomScale="98" zoomScaleNormal="98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>
        <v>11056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160</v>
      </c>
      <c r="D10" s="243"/>
      <c r="E10" s="243"/>
      <c r="F10" s="244" t="s">
        <v>0</v>
      </c>
      <c r="G10" s="276">
        <v>45509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158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162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161</v>
      </c>
      <c r="D15" s="294"/>
      <c r="E15" s="247"/>
      <c r="F15" s="247" t="s">
        <v>136</v>
      </c>
      <c r="G15" s="295" t="s">
        <v>162</v>
      </c>
      <c r="H15" s="248"/>
      <c r="K15" s="18">
        <f>H24/L13</f>
        <v>3986.8101879927231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157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119543.03030303027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18">
        <v>1</v>
      </c>
      <c r="C21" s="324" t="s">
        <v>163</v>
      </c>
      <c r="D21" s="320">
        <v>1.6</v>
      </c>
      <c r="E21" s="320">
        <v>0.55000000000000004</v>
      </c>
      <c r="F21" s="319" t="s">
        <v>159</v>
      </c>
      <c r="G21" s="321">
        <v>111485</v>
      </c>
      <c r="H21" s="322">
        <f t="shared" ref="H21" si="1">G21*B21</f>
        <v>111485</v>
      </c>
      <c r="I21" s="265"/>
      <c r="J21" s="47"/>
      <c r="K21" s="47">
        <f t="shared" ref="K21" si="2">B21</f>
        <v>1</v>
      </c>
      <c r="L21" s="39">
        <f t="shared" ref="L21" si="3">D21+L$19</f>
        <v>1.6500000000000001</v>
      </c>
      <c r="M21" s="39">
        <f t="shared" ref="M21" si="4">E21+M$19</f>
        <v>0.55000000000000004</v>
      </c>
      <c r="N21" s="261">
        <f t="shared" ref="N21" si="5">L21*M21</f>
        <v>0.9075000000000002</v>
      </c>
      <c r="O21" s="259">
        <f t="shared" ref="O21" si="6">N21*K21</f>
        <v>0.9075000000000002</v>
      </c>
      <c r="P21" s="252">
        <f t="shared" ref="P21" si="7">P$20*N21</f>
        <v>108485.3</v>
      </c>
      <c r="Q21" s="258">
        <f t="shared" ref="Q21" si="8">P21+Q$20</f>
        <v>111485.3</v>
      </c>
      <c r="R21" s="307">
        <f t="shared" ref="R21" si="9">K21*L21</f>
        <v>1.6500000000000001</v>
      </c>
      <c r="S21" s="14"/>
      <c r="T21" s="9"/>
      <c r="W21" s="4"/>
    </row>
    <row r="22" spans="1:24" ht="17.399999999999999" x14ac:dyDescent="0.3">
      <c r="B22" s="318">
        <v>1</v>
      </c>
      <c r="C22" s="324" t="s">
        <v>164</v>
      </c>
      <c r="D22" s="320"/>
      <c r="E22" s="320"/>
      <c r="F22" s="319"/>
      <c r="G22" s="321">
        <v>20000</v>
      </c>
      <c r="H22" s="322">
        <f t="shared" ref="H22" si="10">G22*B22</f>
        <v>20000</v>
      </c>
      <c r="I22" s="265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1:24" ht="18" thickBot="1" x14ac:dyDescent="0.35">
      <c r="B23" s="285"/>
      <c r="C23" s="285"/>
      <c r="D23" s="286"/>
      <c r="E23" s="286"/>
      <c r="F23" s="285"/>
      <c r="G23" s="323"/>
      <c r="H23" s="323"/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85"/>
      <c r="C24" s="285"/>
      <c r="D24" s="286"/>
      <c r="E24" s="286"/>
      <c r="F24" s="285"/>
      <c r="G24" s="308" t="s">
        <v>30</v>
      </c>
      <c r="H24" s="309">
        <f>SUM(H21:H23)</f>
        <v>131485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79"/>
      <c r="C25" s="282"/>
      <c r="D25" s="283"/>
      <c r="E25" s="283"/>
      <c r="F25" s="284"/>
      <c r="G25" s="306" t="s">
        <v>53</v>
      </c>
      <c r="H25" s="303">
        <f>H24*0.19</f>
        <v>24982.15</v>
      </c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8" thickBot="1" x14ac:dyDescent="0.35">
      <c r="B26" s="275"/>
      <c r="C26" s="281"/>
      <c r="D26" s="272"/>
      <c r="E26" s="272"/>
      <c r="F26" s="273"/>
      <c r="G26" s="280" t="s">
        <v>6</v>
      </c>
      <c r="H26" s="304">
        <f>H24+H25</f>
        <v>156467.15</v>
      </c>
      <c r="I26" s="265"/>
      <c r="J26" s="47"/>
      <c r="K26" s="47"/>
      <c r="L26" s="39">
        <f>SUM(L21:L21)*2</f>
        <v>3.3000000000000003</v>
      </c>
      <c r="M26" s="39"/>
      <c r="N26" s="261"/>
      <c r="O26" s="259"/>
      <c r="P26" s="252"/>
      <c r="Q26" s="258"/>
      <c r="R26" s="307"/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39"/>
      <c r="M27" s="12"/>
      <c r="N27" s="12"/>
      <c r="O27" s="253">
        <f>SUM(O21:O23)</f>
        <v>0.9075000000000002</v>
      </c>
      <c r="P27" s="14"/>
      <c r="Q27" s="12"/>
      <c r="R27" s="238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47"/>
      <c r="K28" s="47"/>
      <c r="L28" s="39"/>
      <c r="M28" s="12"/>
      <c r="N28" s="12"/>
      <c r="O28" s="253">
        <f>O27</f>
        <v>0.9075000000000002</v>
      </c>
      <c r="P28" s="14"/>
      <c r="Q28" s="12"/>
      <c r="R28" s="238">
        <f>SUM(R21:R27)</f>
        <v>1.6500000000000001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I29" s="265"/>
      <c r="J29" s="47"/>
      <c r="K29" s="47"/>
      <c r="L29" s="14"/>
      <c r="M29" s="12"/>
      <c r="N29" s="12"/>
      <c r="O29" s="39">
        <f>O28*0.2</f>
        <v>0.18150000000000005</v>
      </c>
      <c r="P29" s="39" t="s">
        <v>132</v>
      </c>
      <c r="Q29" s="42"/>
      <c r="R29" s="239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312"/>
      <c r="K30" s="47"/>
      <c r="L30" s="14"/>
      <c r="M30" s="12"/>
      <c r="N30" s="12"/>
      <c r="O30" s="46">
        <f>O28+O29</f>
        <v>1.0890000000000002</v>
      </c>
      <c r="P30" s="14"/>
      <c r="Q30" s="14"/>
      <c r="R30" s="237">
        <v>40</v>
      </c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312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1:24" ht="17.399999999999999" x14ac:dyDescent="0.35">
      <c r="A32" s="230"/>
      <c r="B32" s="24" t="s">
        <v>155</v>
      </c>
      <c r="C32" s="230"/>
      <c r="D32" s="230"/>
      <c r="E32" s="230"/>
      <c r="F32" s="230"/>
      <c r="G32" s="230"/>
      <c r="H32" s="230"/>
      <c r="I32" s="265"/>
      <c r="J32" s="47"/>
      <c r="K32" s="47"/>
      <c r="L32" s="39">
        <f>O30</f>
        <v>1.0890000000000002</v>
      </c>
      <c r="M32" s="12">
        <v>3500</v>
      </c>
      <c r="N32" s="12">
        <f t="shared" ref="N32:N37" si="11">L32*M32</f>
        <v>3811.5000000000005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1:23" ht="17.399999999999999" x14ac:dyDescent="0.35">
      <c r="A33" s="230"/>
      <c r="B33" s="24" t="s">
        <v>156</v>
      </c>
      <c r="G33" s="230"/>
      <c r="H33" s="230"/>
      <c r="I33" s="265"/>
      <c r="J33" s="47"/>
      <c r="K33" s="47"/>
      <c r="L33" s="249">
        <v>0.4</v>
      </c>
      <c r="M33" s="12">
        <v>25000</v>
      </c>
      <c r="N33" s="12">
        <f t="shared" si="11"/>
        <v>10000</v>
      </c>
      <c r="O33" s="39" t="s">
        <v>152</v>
      </c>
      <c r="P33" s="42"/>
      <c r="Q33" s="14"/>
      <c r="R33" s="239"/>
      <c r="S33" s="14"/>
      <c r="T33" s="9"/>
      <c r="W33" s="4"/>
    </row>
    <row r="34" spans="1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47"/>
      <c r="K34" s="250"/>
      <c r="L34" s="14"/>
      <c r="M34" s="250">
        <v>23500</v>
      </c>
      <c r="N34" s="12">
        <f t="shared" si="11"/>
        <v>0</v>
      </c>
      <c r="O34" s="39" t="s">
        <v>32</v>
      </c>
      <c r="P34" s="42"/>
      <c r="R34" s="239"/>
      <c r="S34" s="256"/>
      <c r="V34" s="231"/>
    </row>
    <row r="35" spans="1:23" s="230" customFormat="1" ht="17.399999999999999" x14ac:dyDescent="0.35">
      <c r="I35" s="262"/>
      <c r="J35" s="311"/>
      <c r="K35" s="250"/>
      <c r="L35" s="14">
        <v>1</v>
      </c>
      <c r="M35" s="250">
        <v>35500</v>
      </c>
      <c r="N35" s="12">
        <f t="shared" si="11"/>
        <v>35500</v>
      </c>
      <c r="O35" s="14" t="s">
        <v>143</v>
      </c>
      <c r="P35" s="17"/>
      <c r="R35" s="237"/>
      <c r="S35" s="256"/>
      <c r="V35" s="231"/>
    </row>
    <row r="36" spans="1:23" s="230" customFormat="1" ht="17.399999999999999" x14ac:dyDescent="0.35">
      <c r="I36" s="262"/>
      <c r="J36" s="311"/>
      <c r="K36" s="250"/>
      <c r="L36" s="249"/>
      <c r="M36" s="250">
        <v>800</v>
      </c>
      <c r="N36" s="12">
        <f t="shared" si="11"/>
        <v>0</v>
      </c>
      <c r="O36" s="14" t="s">
        <v>34</v>
      </c>
      <c r="P36" s="14"/>
      <c r="Q36" s="230">
        <v>1.52</v>
      </c>
      <c r="R36" s="237"/>
      <c r="S36" s="237"/>
    </row>
    <row r="37" spans="1:23" s="230" customFormat="1" ht="17.399999999999999" x14ac:dyDescent="0.35">
      <c r="I37" s="302"/>
      <c r="J37" s="47"/>
      <c r="K37" s="250"/>
      <c r="L37" s="266"/>
      <c r="M37" s="12">
        <v>1500</v>
      </c>
      <c r="N37" s="12">
        <f t="shared" si="11"/>
        <v>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1:23" s="230" customFormat="1" ht="17.399999999999999" x14ac:dyDescent="0.35">
      <c r="I38" s="265"/>
      <c r="J38" s="47"/>
      <c r="K38" s="250"/>
      <c r="L38" s="14"/>
      <c r="M38" s="12"/>
      <c r="N38" s="12">
        <f>SUM(N32:N37)</f>
        <v>49311.5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1:23" s="230" customFormat="1" ht="17.399999999999999" x14ac:dyDescent="0.35">
      <c r="J39" s="47">
        <v>58690</v>
      </c>
      <c r="K39" s="250"/>
      <c r="L39" s="254" t="s">
        <v>35</v>
      </c>
      <c r="M39" s="12"/>
      <c r="N39" s="255">
        <f>N38*2.2</f>
        <v>108485.3</v>
      </c>
      <c r="O39" s="14" t="s">
        <v>142</v>
      </c>
      <c r="P39" s="14"/>
      <c r="Q39" s="46">
        <f>O30/Q38</f>
        <v>0.29362597066436585</v>
      </c>
      <c r="R39"/>
      <c r="S39" s="257" t="e">
        <f>S38/#REF!</f>
        <v>#REF!</v>
      </c>
    </row>
    <row r="40" spans="1:23" s="230" customFormat="1" ht="17.399999999999999" x14ac:dyDescent="0.35">
      <c r="G40"/>
      <c r="H40" s="260"/>
      <c r="I40" s="260"/>
      <c r="J40" s="47">
        <f>J39/1.19</f>
        <v>49319.327731092439</v>
      </c>
      <c r="K40" s="250"/>
      <c r="L40" s="14"/>
      <c r="M40" s="12"/>
      <c r="N40" s="12">
        <f>N39/O28</f>
        <v>119543.03030303027</v>
      </c>
      <c r="O40" s="45" t="s">
        <v>26</v>
      </c>
      <c r="P40" s="14"/>
      <c r="Q40" s="14"/>
      <c r="R40"/>
      <c r="S40" s="237"/>
    </row>
    <row r="41" spans="1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1:23" s="230" customFormat="1" ht="17.399999999999999" x14ac:dyDescent="0.35">
      <c r="G42" s="23"/>
      <c r="J42" s="47"/>
      <c r="K42" s="12"/>
      <c r="S42" s="237"/>
    </row>
    <row r="43" spans="1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1:23" ht="14.4" customHeight="1" x14ac:dyDescent="0.3">
      <c r="J44" s="47"/>
      <c r="K44" s="12"/>
      <c r="S44">
        <v>2.5</v>
      </c>
    </row>
    <row r="45" spans="1:23" x14ac:dyDescent="0.3">
      <c r="J45" s="47"/>
      <c r="K45" s="250"/>
      <c r="S45">
        <f>S43*S44</f>
        <v>4.5750000000000002</v>
      </c>
    </row>
    <row r="46" spans="1:23" x14ac:dyDescent="0.3">
      <c r="K46" s="250"/>
      <c r="S46" s="270">
        <f>O30/S45</f>
        <v>0.23803278688524593</v>
      </c>
    </row>
    <row r="47" spans="1:23" x14ac:dyDescent="0.3">
      <c r="K47" s="250"/>
    </row>
    <row r="48" spans="1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45509</v>
      </c>
    </row>
    <row r="6" spans="2:31" ht="16.2" thickBot="1" x14ac:dyDescent="0.35">
      <c r="B6" s="140" t="s">
        <v>2</v>
      </c>
      <c r="C6" s="139" t="str">
        <f>'2229'!C10</f>
        <v>M. VERONICA SALAZAR H.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11056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-9911.6292001207748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131485</v>
      </c>
      <c r="E11" s="132">
        <f>D11*0.19</f>
        <v>24982.15</v>
      </c>
      <c r="F11" s="131">
        <f>E11+D11</f>
        <v>156467.15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96078.370799879223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43645.590787439614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78078.370799879223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87839.409212560393</v>
      </c>
      <c r="E13" s="221">
        <f>(D11/D12)-1</f>
        <v>2.0125608939595092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69078.370799879223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30078.370799879223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72015.224799275355</v>
      </c>
      <c r="F15" s="216">
        <f>E15-D12</f>
        <v>28369.63401183574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30078.370799879223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70078.370799879223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3811.5000000000005</v>
      </c>
      <c r="E20" s="121">
        <f>D20*0.19</f>
        <v>724.18500000000006</v>
      </c>
      <c r="F20" s="120">
        <f>SUM(D20:E20)</f>
        <v>4535.6850000000004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13811.5</v>
      </c>
      <c r="E21" s="116">
        <f>SUM(E18:E20)</f>
        <v>2624.1849999999999</v>
      </c>
      <c r="F21" s="115">
        <f>SUM(F18:F20)</f>
        <v>16435.685000000001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22357.965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131485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13811.5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87839.409212560393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87839.409212560393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2024-07-02T20:57:46Z</cp:lastPrinted>
  <dcterms:created xsi:type="dcterms:W3CDTF">2013-03-18T13:35:42Z</dcterms:created>
  <dcterms:modified xsi:type="dcterms:W3CDTF">2024-08-05T19:26:09Z</dcterms:modified>
</cp:coreProperties>
</file>