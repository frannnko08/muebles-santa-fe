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76D120FE-9A47-4F8F-AC41-BFFD993B7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K21" i="1"/>
  <c r="K10" i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H24" i="1" s="1"/>
  <c r="R26" i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<sst xmlns="http://schemas.openxmlformats.org/spreadsheetml/2006/main" count="218" uniqueCount="164">
  <si>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</si>
  <si>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</si>
  <si>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</si>
  <si>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</si>
  <si>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</si>
  <si>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</si>
  <si>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</si>
  <si>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</si>
  <si>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</si>
  <si>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</si>
  <si>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</si>
  <si>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</si>
  <si>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</si>
  <si>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</si>
  <si>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</si>
  <si>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</si>
  <si>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</si>
  <si>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</si>
  <si>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</si>
  <si>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</si>
  <si>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</si>
  <si>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</si>
  <si>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</si>
  <si>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</si>
  <si>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</si>
  <si>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</si>
  <si>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</si>
  <si>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</si>
  <si>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</si>
  <si>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</si>
  <si>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</si>
  <si>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</si>
  <si>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</si>
  <si>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</si>
  <si>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</si>
  <si>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</si>
  <si>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</si>
  <si>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</si>
  <si>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</si>
  <si>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</si>
  <si>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</si>
  <si>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</si>
  <si>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</si>
  <si>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</si>
  <si>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</si>
  <si>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</si>
  <si>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</si>
  <si>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</si>
  <si>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</si>
  <si>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</si>
  <si>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</si>
  <si>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</si>
  <si>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</si>
  <si>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</si>
  <si>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</si>
  <si>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</si>
  <si>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</si>
  <si>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</si>
  <si>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</si>
  <si>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</si>
  <si>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</si>
  <si>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</si>
  <si>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</si>
  <si>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</si>
  <si>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</si>
  <si>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</si>
  <si>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</si>
  <si>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</si>
  <si>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</si>
  <si>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</si>
  <si>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</si>
  <si>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</si>
  <si>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</si>
  <si>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</si>
  <si>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</si>
  <si>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</si>
  <si>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</si>
  <si>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</si>
  <si>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</si>
  <si>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</si>
  <si>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</si>
  <si>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</si>
  <si>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</si>
  <si>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</si>
  <si>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</si>
  <si>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</si>
  <si>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</si>
  <si>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</si>
  <si>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</si>
  <si>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</si>
  <si>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</si>
  <si>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</si>
  <si>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</si>
  <si>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</si>
  <si>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</si>
  <si>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</si>
  <si>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</si>
  <si>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</si>
  <si>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</si>
  <si>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</si>
  <si>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</si>
  <si>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</si>
  <si>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</si>
  <si>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</si>
  <si>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</si>
  <si>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</si>
  <si>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</si>
  <si>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</si>
  <si>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</si>
  <si>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</si>
  <si>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</si>
  <si>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</si>
  <si>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</si>
  <si>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</si>
  <si>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</si>
  <si>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</si>
  <si>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</si>
  <si>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</si>
  <si>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</si>
  <si>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</si>
  <si>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</si>
  <si>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</si>
  <si>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</si>
  <si>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</si>
  <si>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</si>
  <si>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</si>
  <si>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</si>
  <si>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</si>
  <si>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</si>
  <si>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</si>
  <si>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</si>
  <si>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</si>
  <si>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</si>
  <si>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</si>
  <si>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</si>
  <si>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</si>
  <si>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</si>
  <si>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</si>
  <si>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</si>
  <si>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</si>
  <si>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</si>
  <si>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</si>
  <si>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</si>
  <si>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</si>
  <si>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</si>
  <si>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</si>
  <si>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</si>
  <si>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</si>
  <si>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</si>
  <si>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</si>
  <si>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</si>
  <si>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</si>
  <si>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</si>
  <si>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</si>
  <si>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ABONO 50%, SALDO C/E</t>
  </si>
  <si>
    <t>AGLOMERADO 24MM</t>
  </si>
  <si>
    <t>LAMINA 153 X 244</t>
  </si>
  <si>
    <t>LAMINA 122 X 305</t>
  </si>
  <si>
    <t>5 DIAS HABILES</t>
  </si>
  <si>
    <t>ALEJANDRO SALINAS</t>
  </si>
  <si>
    <t>+569 94831373</t>
  </si>
  <si>
    <t>NOCE HAVANA 1555 UP</t>
  </si>
  <si>
    <t>CUB MESA R6 2 LADOS TRASCARA BALANCE</t>
  </si>
  <si>
    <t>N° 11060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</si>
</sst>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 SE ENTREGAN CORTADA</a:t>
          </a:r>
          <a:r>
            <a:rPr lang="es-CL" sz="1200" b="1" baseline="0"/>
            <a:t> A LA MEDIDA Y SUS CANTOS RECTOS ENCHAPADOS CON LA MISMA LAMINA</a:t>
          </a:r>
          <a:endParaRPr lang="es-CL" sz="1200" b="1"/>
        </a:p>
        <a:p>
          <a:pPr algn="l"/>
          <a:r>
            <a:rPr lang="es-CL" sz="1200" b="1"/>
            <a:t>SUSTRATO:</a:t>
          </a:r>
          <a:r>
            <a:rPr lang="es-CL" sz="1200" b="1" baseline="0"/>
            <a:t> MDF30MM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4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4414062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19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45511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1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146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160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1"/>
      <c r="F16" s="293" t="s">
        <v>130</v>
      </c>
      <c r="G16" s="294" t="s">
        <v>154</v>
      </c>
      <c r="H16" s="290"/>
    </row>
    <row r="17" spans="2:24" ht="15" thickBot="1" x14ac:dyDescent="0.35">
      <c r="B17" s="297" t="s">
        <v>13</v>
      </c>
      <c r="C17" s="298" t="s">
        <v>152</v>
      </c>
      <c r="D17" s="299"/>
      <c r="E17" s="300"/>
      <c r="F17" s="328" t="s">
        <v>153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147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0.02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15" t="s">
        <v>1</v>
      </c>
      <c r="D20" s="323" t="s">
        <v>10</v>
      </c>
      <c r="E20" s="323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N38</f>
        <v>136401.89655172414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1">
        <v>1</v>
      </c>
      <c r="C21" s="312" t="s">
        <v>162</v>
      </c>
      <c r="D21" s="324">
        <v>2.2999999999999998</v>
      </c>
      <c r="E21" s="324">
        <v>1</v>
      </c>
      <c r="F21" s="312" t="s">
        <v>161</v>
      </c>
      <c r="G21" s="313">
        <v>319452</v>
      </c>
      <c r="H21" s="314">
        <f t="shared" ref="H21" si="1">G21*B21</f>
        <v>319452</v>
      </c>
      <c r="I21" s="265"/>
      <c r="J21" s="47"/>
      <c r="K21" s="326">
        <f>B21</f>
        <v>1</v>
      </c>
      <c r="L21" s="327">
        <f t="shared" ref="L21:M21" si="2">D21+L$19</f>
        <v>2.3199999999999998</v>
      </c>
      <c r="M21" s="327">
        <f t="shared" si="2"/>
        <v>1</v>
      </c>
      <c r="N21" s="261">
        <f>L21*M21</f>
        <v>2.3199999999999998</v>
      </c>
      <c r="O21" s="259">
        <f>N21*K21</f>
        <v>2.3199999999999998</v>
      </c>
      <c r="P21" s="252">
        <f>P$20*N21</f>
        <v>316452.40000000002</v>
      </c>
      <c r="Q21" s="258">
        <f>P21+Q$20</f>
        <v>319452.40000000002</v>
      </c>
      <c r="R21" s="308">
        <f>K21*L21</f>
        <v>2.3199999999999998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25"/>
      <c r="H22" s="325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319452</v>
      </c>
      <c r="I24" s="265"/>
      <c r="J24" s="47"/>
      <c r="K24" s="47"/>
      <c r="L24" s="39">
        <f>SUM(L21:L23)</f>
        <v>2.3199999999999998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52</v>
      </c>
      <c r="H25" s="304">
        <f>H24*19%</f>
        <v>60695.88</v>
      </c>
      <c r="I25" s="265"/>
      <c r="J25" s="47"/>
      <c r="K25" s="47"/>
      <c r="L25" s="39"/>
      <c r="M25" s="12"/>
      <c r="N25" s="12"/>
      <c r="O25" s="253">
        <f>SUM(O21:O21)</f>
        <v>2.3199999999999998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380147.88</v>
      </c>
      <c r="I26" s="265"/>
      <c r="J26" s="47"/>
      <c r="K26" s="47"/>
      <c r="L26" s="39"/>
      <c r="M26" s="12"/>
      <c r="N26" s="12"/>
      <c r="O26" s="253">
        <f>O25</f>
        <v>2.3199999999999998</v>
      </c>
      <c r="P26" s="14"/>
      <c r="Q26" s="12"/>
      <c r="R26" s="238">
        <f>SUM(R21:R25)</f>
        <v>2.3199999999999998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0.46399999999999997</v>
      </c>
      <c r="P27" s="39" t="s">
        <v>131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8"/>
      <c r="K28" s="47"/>
      <c r="L28" s="14"/>
      <c r="M28" s="12"/>
      <c r="N28" s="12"/>
      <c r="O28" s="46">
        <f>O26+O27</f>
        <v>2.7839999999999998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8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O28*2</f>
        <v>5.5679999999999996</v>
      </c>
      <c r="M30" s="12">
        <v>3500</v>
      </c>
      <c r="N30" s="12">
        <f t="shared" ref="N30:N35" si="3">L30*M30</f>
        <v>19488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45000</v>
      </c>
      <c r="N31" s="12">
        <f t="shared" si="3"/>
        <v>45000</v>
      </c>
      <c r="O31" s="39" t="s">
        <v>155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>
        <v>1</v>
      </c>
      <c r="M32" s="250">
        <v>17100</v>
      </c>
      <c r="N32" s="12">
        <f t="shared" si="3"/>
        <v>17100</v>
      </c>
      <c r="O32" s="39" t="s">
        <v>156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151</v>
      </c>
      <c r="I33" s="262"/>
      <c r="J33" s="317"/>
      <c r="K33" s="250"/>
      <c r="L33" s="14">
        <v>1</v>
      </c>
      <c r="M33" s="250">
        <v>56000</v>
      </c>
      <c r="N33" s="12">
        <f t="shared" si="3"/>
        <v>56000</v>
      </c>
      <c r="O33" s="14" t="s">
        <v>157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144</v>
      </c>
      <c r="C34"/>
      <c r="D34"/>
      <c r="E34"/>
      <c r="F34"/>
      <c r="I34" s="262"/>
      <c r="J34" s="317"/>
      <c r="K34" s="250"/>
      <c r="L34" s="249"/>
      <c r="M34" s="250">
        <v>800</v>
      </c>
      <c r="N34" s="12">
        <f t="shared" si="3"/>
        <v>0</v>
      </c>
      <c r="O34" s="14" t="s">
        <v>33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137588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74160</v>
      </c>
      <c r="K37" s="250"/>
      <c r="L37" s="254" t="s">
        <v>34</v>
      </c>
      <c r="M37" s="12"/>
      <c r="N37" s="255">
        <f>N36*2.3</f>
        <v>316452.39999999997</v>
      </c>
      <c r="O37" s="14" t="s">
        <v>141</v>
      </c>
      <c r="P37" s="14"/>
      <c r="Q37" s="46">
        <f>O26/Q36</f>
        <v>0.62553925798101806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62319.327731092439</v>
      </c>
      <c r="K38" s="250"/>
      <c r="L38" s="14"/>
      <c r="M38" s="12"/>
      <c r="N38" s="12">
        <f>N37/O26</f>
        <v>136401.89655172414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2.2999999999999998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0.60852459016393434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148</v>
      </c>
    </row>
    <row r="74" spans="3:14" x14ac:dyDescent="0.3">
      <c r="C74" t="s">
        <v>147</v>
      </c>
    </row>
    <row r="77" spans="3:14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45511</v>
      </c>
    </row>
    <row r="6" spans="2:31" ht="16.2" thickBot="1" x14ac:dyDescent="0.35">
      <c r="B6" s="140" t="s">
        <v>2</v>
      </c>
      <c r="C6" s="139" t="str">
        <f>'2229'!C10</f>
        <v>ALEJANDRO SALINAS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99</v>
      </c>
      <c r="I7" s="335"/>
      <c r="J7" s="335"/>
      <c r="K7" s="336"/>
      <c r="N7" s="75"/>
      <c r="O7" s="333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11060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3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-22600.92503345411</v>
      </c>
    </row>
    <row r="10" spans="2:31" ht="16.2" thickBot="1" x14ac:dyDescent="0.35">
      <c r="D10" s="218" t="s">
        <v>30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319452</v>
      </c>
      <c r="E11" s="132">
        <f>D11*0.19</f>
        <v>60695.88</v>
      </c>
      <c r="F11" s="131">
        <f>E11+D11</f>
        <v>380147.88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83389.074966545886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111422.09078743961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65389.074966545886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208029.90921256039</v>
      </c>
      <c r="E13" s="221">
        <f>(D11/D12)-1</f>
        <v>1.8670436691896217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56389.074966545886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30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17389.07496654589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183846.44979927535</v>
      </c>
      <c r="F15" s="216">
        <f>E15-D12</f>
        <v>72424.359011835739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17389.07496654589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57389.074966545886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30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17100</v>
      </c>
      <c r="E18" s="123">
        <f>D18*0.19</f>
        <v>3249</v>
      </c>
      <c r="F18" s="120">
        <f>SUM(D18:E18)</f>
        <v>20349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19488</v>
      </c>
      <c r="E20" s="121">
        <f>D20*0.19</f>
        <v>3702.7200000000003</v>
      </c>
      <c r="F20" s="120">
        <f>SUM(D20:E20)</f>
        <v>23190.720000000001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81588</v>
      </c>
      <c r="E21" s="116">
        <f>SUM(E18:E20)</f>
        <v>15501.720000000001</v>
      </c>
      <c r="F21" s="115">
        <f>SUM(F18:F20)</f>
        <v>97089.72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45194.159999999996</v>
      </c>
    </row>
    <row r="41" spans="2:16" ht="15" thickBot="1" x14ac:dyDescent="0.35">
      <c r="H41" s="337" t="s">
        <v>61</v>
      </c>
      <c r="I41" s="338"/>
      <c r="J41" s="338"/>
      <c r="K41" s="338"/>
      <c r="L41" s="338"/>
      <c r="M41" s="339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319452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81588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208029.90921256039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208029.90921256039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2024-08-08T21:30:22Z</dcterms:modified>
</cp:coreProperties>
</file>