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96FE8B49-74ED-490B-B83B-03807F3A7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2" i="1"/>
  <c r="M22" i="1"/>
  <c r="N22" i="1" s="1"/>
  <c r="O22" i="1" s="1"/>
  <c r="R22" i="1"/>
  <c r="L23" i="1"/>
  <c r="R23" i="1" s="1"/>
  <c r="M23" i="1"/>
  <c r="L24" i="1"/>
  <c r="R24" i="1" s="1"/>
  <c r="M24" i="1"/>
  <c r="K25" i="1"/>
  <c r="L25" i="1"/>
  <c r="R25" i="1" s="1"/>
  <c r="M25" i="1"/>
  <c r="N25" i="1" s="1"/>
  <c r="O25" i="1" s="1"/>
  <c r="K26" i="1"/>
  <c r="L26" i="1"/>
  <c r="M26" i="1"/>
  <c r="H22" i="1"/>
  <c r="H23" i="1"/>
  <c r="H24" i="1"/>
  <c r="H25" i="1"/>
  <c r="K21" i="1"/>
  <c r="K10" i="1"/>
  <c r="N26" i="1" l="1"/>
  <c r="O26" i="1" s="1"/>
  <c r="N24" i="1"/>
  <c r="O24" i="1" s="1"/>
  <c r="N23" i="1"/>
  <c r="O23" i="1" s="1"/>
  <c r="R26" i="1"/>
  <c r="J44" i="1"/>
  <c r="L21" i="1" l="1"/>
  <c r="L30" i="1" s="1"/>
  <c r="M21" i="1"/>
  <c r="N21" i="1" l="1"/>
  <c r="O21" i="1" s="1"/>
  <c r="O31" i="1" s="1"/>
  <c r="R21" i="1"/>
  <c r="N37" i="1"/>
  <c r="O32" i="1" l="1"/>
  <c r="S49" i="1"/>
  <c r="O33" i="1" l="1"/>
  <c r="M20" i="1"/>
  <c r="K20" i="1"/>
  <c r="N38" i="1" l="1"/>
  <c r="Q42" i="1"/>
  <c r="Q43" i="1" s="1"/>
  <c r="N39" i="1" l="1"/>
  <c r="S42" i="1" l="1"/>
  <c r="S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O34" i="1" l="1"/>
  <c r="L36" i="1" s="1"/>
  <c r="N36" i="1" l="1"/>
  <c r="S50" i="1"/>
  <c r="N42" i="1" l="1"/>
  <c r="N43" i="1" s="1"/>
  <c r="D20" i="3"/>
  <c r="E20" i="3" s="1"/>
  <c r="E21" i="3" s="1"/>
  <c r="N45" i="1" l="1"/>
  <c r="D21" i="3"/>
  <c r="M43" i="3" s="1"/>
  <c r="D12" i="3" s="1"/>
  <c r="F20" i="3"/>
  <c r="F21" i="3" s="1"/>
  <c r="N44" i="1" l="1"/>
  <c r="P20" i="1" s="1"/>
  <c r="E15" i="3"/>
  <c r="P26" i="1" l="1"/>
  <c r="Q26" i="1" s="1"/>
  <c r="P22" i="1"/>
  <c r="Q22" i="1" s="1"/>
  <c r="P25" i="1"/>
  <c r="Q25" i="1" s="1"/>
  <c r="P24" i="1"/>
  <c r="Q24" i="1" s="1"/>
  <c r="P23" i="1"/>
  <c r="Q23" i="1" s="1"/>
  <c r="P21" i="1"/>
  <c r="F15" i="3"/>
  <c r="Q21" i="1" l="1"/>
  <c r="H21" i="1" s="1"/>
  <c r="R32" i="1"/>
  <c r="H30" i="1" l="1"/>
  <c r="H31" i="1" s="1"/>
  <c r="H32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<sst xmlns="http://schemas.openxmlformats.org/spreadsheetml/2006/main" count="229" uniqueCount="171">
  <si>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</si>
  <si>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</si>
  <si>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</si>
  <si>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</si>
  <si>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</si>
  <si>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</si>
  <si>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</si>
  <si>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</si>
  <si>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</si>
  <si>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</si>
  <si>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</si>
  <si>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</si>
  <si>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</si>
  <si>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</si>
  <si>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</si>
  <si>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</si>
  <si>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</si>
  <si>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</si>
  <si>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</si>
  <si>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</si>
  <si>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</si>
  <si>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</si>
  <si>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</si>
  <si>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</si>
  <si>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</si>
  <si>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</si>
  <si>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</si>
  <si>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</si>
  <si>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</si>
  <si>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</si>
  <si>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</si>
  <si>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</si>
  <si>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</si>
  <si>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</si>
  <si>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</si>
  <si>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</si>
  <si>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</si>
  <si>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</si>
  <si>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</si>
  <si>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</si>
  <si>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</si>
  <si>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</si>
  <si>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</si>
  <si>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</si>
  <si>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</si>
  <si>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</si>
  <si>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</si>
  <si>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</si>
  <si>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</si>
  <si>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</si>
  <si>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</si>
  <si>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</si>
  <si>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</si>
  <si>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</si>
  <si>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</si>
  <si>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</si>
  <si>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</si>
  <si>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</si>
  <si>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</si>
  <si>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</si>
  <si>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</si>
  <si>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</si>
  <si>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</si>
  <si>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</si>
  <si>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</si>
  <si>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</si>
  <si>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</si>
  <si>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</si>
  <si>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</si>
  <si>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</si>
  <si>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</si>
  <si>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</si>
  <si>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</si>
  <si>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</si>
  <si>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</si>
  <si>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</si>
  <si>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</si>
  <si>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</si>
  <si>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</si>
  <si>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</si>
  <si>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</si>
  <si>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</si>
  <si>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</si>
  <si>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</si>
  <si>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</si>
  <si>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</si>
  <si>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</si>
  <si>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</si>
  <si>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</si>
  <si>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</si>
  <si>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</si>
  <si>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</si>
  <si>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</si>
  <si>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</si>
  <si>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</si>
  <si>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</si>
  <si>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</si>
  <si>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</si>
  <si>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</si>
  <si>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</si>
  <si>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</si>
  <si>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</si>
  <si>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</si>
  <si>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</si>
  <si>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</si>
  <si>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</si>
  <si>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</si>
  <si>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</si>
  <si>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</si>
  <si>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</si>
  <si>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</si>
  <si>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</si>
  <si>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</si>
  <si>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</si>
  <si>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</si>
  <si>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</si>
  <si>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</si>
  <si>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</si>
  <si>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</si>
  <si>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</si>
  <si>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</si>
  <si>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</si>
  <si>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</si>
  <si>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</si>
  <si>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</si>
  <si>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</si>
  <si>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</si>
  <si>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</si>
  <si>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</si>
  <si>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</si>
  <si>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</si>
  <si>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</si>
  <si>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</si>
  <si>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</si>
  <si>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</si>
  <si>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</si>
  <si>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</si>
  <si>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</si>
  <si>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</si>
  <si>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</si>
  <si>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</si>
  <si>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</si>
  <si>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</si>
  <si>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</si>
  <si>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</si>
  <si>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</si>
  <si>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</si>
  <si>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</si>
  <si>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</si>
  <si>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</si>
  <si>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</si>
  <si>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</si>
  <si>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</si>
  <si>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</si>
  <si>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</si>
  <si>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</si>
  <si>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</si>
  <si>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PR6</t>
  </si>
  <si>
    <t>REAL NATURAL ELM NORDIC 1531</t>
  </si>
  <si>
    <t>REAL NATURAL ELM NORDIC 1544</t>
  </si>
  <si>
    <t>REAL NATURAL ELM NORDIC 1545</t>
  </si>
  <si>
    <t>REAL NATURAL ELM NORDIC 1546</t>
  </si>
  <si>
    <t>REAL NATURAL ELM NORDIC 1547</t>
  </si>
  <si>
    <t>REAL NATURAL ELM NORDIC 1548</t>
  </si>
  <si>
    <t>1.53X2,44</t>
  </si>
  <si>
    <t>SI</t>
  </si>
  <si>
    <t>MARCO MORENO</t>
  </si>
  <si>
    <t>+569 7782 4695</t>
  </si>
  <si>
    <t>SANTIAGO</t>
  </si>
  <si>
    <t>N° 11081</t>
  </si>
  <si>
    <t>5 DÍAS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</si>
</sst>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34</xdr:row>
      <xdr:rowOff>28575</xdr:rowOff>
    </xdr:from>
    <xdr:to>
      <xdr:col>8</xdr:col>
      <xdr:colOff>100890</xdr:colOff>
      <xdr:row>37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28</xdr:row>
      <xdr:rowOff>169545</xdr:rowOff>
    </xdr:from>
    <xdr:to>
      <xdr:col>5</xdr:col>
      <xdr:colOff>1764030</xdr:colOff>
      <xdr:row>32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ENCHAPADAS</a:t>
          </a:r>
          <a:r>
            <a:rPr lang="es-CL" sz="1200" b="1" baseline="0"/>
            <a:t> CON TAPACANTO PVC 0,4MM LO MAS PARECIDO A LA LAMINA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7"/>
  <sheetViews>
    <sheetView tabSelected="1" topLeftCell="A3" zoomScale="98" zoomScaleNormal="98" workbookViewId="0">
      <selection activeCell="I29" sqref="I29"/>
    </sheetView>
  </sheetViews>
  <sheetFormatPr baseColWidth="10" defaultRowHeight="14.4" x14ac:dyDescent="0.3"/>
  <cols>
    <col min="1" max="1" width="6" customWidth="1"/>
    <col min="2" max="2" width="10.5546875" customWidth="1"/>
    <col min="3" max="3" width="27.777343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166</v>
      </c>
      <c r="D10" s="243"/>
      <c r="E10" s="243"/>
      <c r="F10" s="244" t="s">
        <v>0</v>
      </c>
      <c r="G10" s="277">
        <v>45532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165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167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168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4" t="s">
        <v>10</v>
      </c>
      <c r="E20" s="324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N44</f>
        <v>721892.32323232316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157</v>
      </c>
      <c r="D21" s="325">
        <v>0.75</v>
      </c>
      <c r="E21" s="325">
        <v>0.185</v>
      </c>
      <c r="F21" s="312" t="s">
        <v>158</v>
      </c>
      <c r="G21" s="313">
        <v>15795</v>
      </c>
      <c r="H21" s="314">
        <f t="shared" ref="H21" si="1">G21*B21</f>
        <v>15795</v>
      </c>
      <c r="I21" s="265"/>
      <c r="J21" s="47"/>
      <c r="K21" s="326">
        <f>B21</f>
        <v>1</v>
      </c>
      <c r="L21" s="327">
        <f t="shared" ref="L21:M21" si="2">D21+L$19</f>
        <v>0.8</v>
      </c>
      <c r="M21" s="327">
        <f t="shared" si="2"/>
        <v>0.185</v>
      </c>
      <c r="N21" s="261">
        <f>L21*M21</f>
        <v>0.14799999999999999</v>
      </c>
      <c r="O21" s="259">
        <f>N21*K21</f>
        <v>0.14799999999999999</v>
      </c>
      <c r="P21" s="252">
        <f>P$20*N21</f>
        <v>106840.06383838382</v>
      </c>
      <c r="Q21" s="258">
        <f>P21+Q$20</f>
        <v>109840.06383838382</v>
      </c>
      <c r="R21" s="308">
        <f>K21*L21</f>
        <v>0.8</v>
      </c>
      <c r="S21" s="14"/>
      <c r="T21" s="9"/>
      <c r="W21" s="4"/>
    </row>
    <row r="22" spans="2:24" ht="17.399999999999999" x14ac:dyDescent="0.3">
      <c r="B22" s="322">
        <v>1</v>
      </c>
      <c r="C22" s="312" t="s">
        <v>87</v>
      </c>
      <c r="D22" s="325">
        <v>0.78</v>
      </c>
      <c r="E22" s="325">
        <v>4.4999999999999998E-2</v>
      </c>
      <c r="F22" s="312" t="s">
        <v>159</v>
      </c>
      <c r="G22" s="313">
        <v>2000</v>
      </c>
      <c r="H22" s="314">
        <f t="shared" ref="H22:H25" si="3">G22*B23</f>
        <v>2000</v>
      </c>
      <c r="I22" s="265"/>
      <c r="J22" s="47"/>
      <c r="K22" s="47"/>
      <c r="L22" s="39">
        <f t="shared" ref="L22:L26" si="4">D22+L$19</f>
        <v>0.83000000000000007</v>
      </c>
      <c r="M22" s="39">
        <f t="shared" ref="M22:M26" si="5">E22+M$19</f>
        <v>4.4999999999999998E-2</v>
      </c>
      <c r="N22" s="261">
        <f t="shared" ref="N22:N26" si="6">L22*M22</f>
        <v>3.7350000000000001E-2</v>
      </c>
      <c r="O22" s="259">
        <f t="shared" ref="O22:O26" si="7">N22*K22</f>
        <v>0</v>
      </c>
      <c r="P22" s="252">
        <f t="shared" ref="P22:P26" si="8">P$20*N22</f>
        <v>26962.678272727269</v>
      </c>
      <c r="Q22" s="258">
        <f t="shared" ref="Q22:Q26" si="9">P22+Q$20</f>
        <v>29962.678272727269</v>
      </c>
      <c r="R22" s="308">
        <f t="shared" ref="R22:R26" si="10">K22*L22</f>
        <v>0</v>
      </c>
      <c r="S22" s="14"/>
      <c r="T22" s="9"/>
      <c r="W22" s="4"/>
    </row>
    <row r="23" spans="2:24" ht="17.399999999999999" x14ac:dyDescent="0.3">
      <c r="B23" s="322">
        <v>1</v>
      </c>
      <c r="C23" s="312" t="s">
        <v>87</v>
      </c>
      <c r="D23" s="325">
        <v>0.78</v>
      </c>
      <c r="E23" s="325">
        <v>9.5000000000000001E-2</v>
      </c>
      <c r="F23" s="312" t="s">
        <v>160</v>
      </c>
      <c r="G23" s="313">
        <v>2000</v>
      </c>
      <c r="H23" s="314">
        <f t="shared" si="3"/>
        <v>2000</v>
      </c>
      <c r="I23" s="265"/>
      <c r="J23" s="47"/>
      <c r="K23" s="47"/>
      <c r="L23" s="39">
        <f t="shared" si="4"/>
        <v>0.83000000000000007</v>
      </c>
      <c r="M23" s="39">
        <f t="shared" si="5"/>
        <v>9.5000000000000001E-2</v>
      </c>
      <c r="N23" s="261">
        <f t="shared" si="6"/>
        <v>7.8850000000000003E-2</v>
      </c>
      <c r="O23" s="259">
        <f t="shared" si="7"/>
        <v>0</v>
      </c>
      <c r="P23" s="252">
        <f t="shared" si="8"/>
        <v>56921.209686868686</v>
      </c>
      <c r="Q23" s="258">
        <f t="shared" si="9"/>
        <v>59921.209686868686</v>
      </c>
      <c r="R23" s="308">
        <f t="shared" si="10"/>
        <v>0</v>
      </c>
      <c r="S23" s="14"/>
      <c r="T23" s="9"/>
      <c r="W23" s="4"/>
    </row>
    <row r="24" spans="2:24" ht="17.399999999999999" x14ac:dyDescent="0.3">
      <c r="B24" s="322">
        <v>1</v>
      </c>
      <c r="C24" s="312" t="s">
        <v>87</v>
      </c>
      <c r="D24" s="325">
        <v>0.3</v>
      </c>
      <c r="E24" s="325">
        <v>0.30499999999999999</v>
      </c>
      <c r="F24" s="312" t="s">
        <v>161</v>
      </c>
      <c r="G24" s="313">
        <v>3500</v>
      </c>
      <c r="H24" s="314">
        <f t="shared" si="3"/>
        <v>3500</v>
      </c>
      <c r="I24" s="265"/>
      <c r="J24" s="47"/>
      <c r="K24" s="47"/>
      <c r="L24" s="327">
        <f t="shared" si="4"/>
        <v>0.35</v>
      </c>
      <c r="M24" s="327">
        <f t="shared" si="5"/>
        <v>0.30499999999999999</v>
      </c>
      <c r="N24" s="261">
        <f t="shared" si="6"/>
        <v>0.10675</v>
      </c>
      <c r="O24" s="259">
        <f t="shared" si="7"/>
        <v>0</v>
      </c>
      <c r="P24" s="252">
        <f t="shared" si="8"/>
        <v>77062.005505050489</v>
      </c>
      <c r="Q24" s="258">
        <f t="shared" si="9"/>
        <v>80062.005505050489</v>
      </c>
      <c r="R24" s="308">
        <f t="shared" si="10"/>
        <v>0</v>
      </c>
      <c r="S24" s="14"/>
      <c r="T24" s="9"/>
      <c r="W24" s="4"/>
    </row>
    <row r="25" spans="2:24" ht="17.399999999999999" x14ac:dyDescent="0.3">
      <c r="B25" s="322">
        <v>1</v>
      </c>
      <c r="C25" s="312" t="s">
        <v>87</v>
      </c>
      <c r="D25" s="325">
        <v>0.54</v>
      </c>
      <c r="E25" s="325">
        <v>0.14499999999999999</v>
      </c>
      <c r="F25" s="312" t="s">
        <v>162</v>
      </c>
      <c r="G25" s="313">
        <v>2000</v>
      </c>
      <c r="H25" s="314">
        <f t="shared" si="3"/>
        <v>2000</v>
      </c>
      <c r="I25" s="265"/>
      <c r="J25" s="47"/>
      <c r="K25" s="47">
        <f t="shared" ref="K25:K26" si="11">B25</f>
        <v>1</v>
      </c>
      <c r="L25" s="39">
        <f t="shared" si="4"/>
        <v>0.59000000000000008</v>
      </c>
      <c r="M25" s="39">
        <f t="shared" si="5"/>
        <v>0.14499999999999999</v>
      </c>
      <c r="N25" s="261">
        <f t="shared" si="6"/>
        <v>8.5550000000000001E-2</v>
      </c>
      <c r="O25" s="259">
        <f t="shared" si="7"/>
        <v>8.5550000000000001E-2</v>
      </c>
      <c r="P25" s="252">
        <f t="shared" si="8"/>
        <v>61757.888252525248</v>
      </c>
      <c r="Q25" s="258">
        <f t="shared" si="9"/>
        <v>64757.888252525248</v>
      </c>
      <c r="R25" s="308">
        <f t="shared" si="10"/>
        <v>0.59000000000000008</v>
      </c>
      <c r="S25" s="14"/>
      <c r="T25" s="9"/>
      <c r="W25" s="4"/>
    </row>
    <row r="26" spans="2:24" ht="17.399999999999999" x14ac:dyDescent="0.3">
      <c r="B26" s="322">
        <v>1</v>
      </c>
      <c r="C26" s="312" t="s">
        <v>87</v>
      </c>
      <c r="D26" s="325">
        <v>0.76</v>
      </c>
      <c r="E26" s="325">
        <v>0.55500000000000005</v>
      </c>
      <c r="F26" s="312" t="s">
        <v>163</v>
      </c>
      <c r="G26" s="313">
        <v>8000</v>
      </c>
      <c r="H26" s="314">
        <f>G26*B26</f>
        <v>8000</v>
      </c>
      <c r="I26" s="265"/>
      <c r="J26" s="47"/>
      <c r="K26" s="47">
        <f t="shared" si="11"/>
        <v>1</v>
      </c>
      <c r="L26" s="39">
        <f t="shared" si="4"/>
        <v>0.81</v>
      </c>
      <c r="M26" s="39">
        <f t="shared" si="5"/>
        <v>0.55500000000000005</v>
      </c>
      <c r="N26" s="261">
        <f t="shared" si="6"/>
        <v>0.44955000000000006</v>
      </c>
      <c r="O26" s="259">
        <f t="shared" si="7"/>
        <v>0.44955000000000006</v>
      </c>
      <c r="P26" s="252">
        <f t="shared" si="8"/>
        <v>324526.69390909094</v>
      </c>
      <c r="Q26" s="258">
        <f t="shared" si="9"/>
        <v>327526.69390909094</v>
      </c>
      <c r="R26" s="308">
        <f t="shared" si="10"/>
        <v>0.81</v>
      </c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7"/>
      <c r="H27" s="317"/>
      <c r="I27" s="265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17"/>
      <c r="H28" s="317"/>
      <c r="I28" s="265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8" thickBot="1" x14ac:dyDescent="0.35">
      <c r="B29" s="286"/>
      <c r="C29" s="286"/>
      <c r="D29" s="287"/>
      <c r="E29" s="287"/>
      <c r="F29" s="286"/>
      <c r="G29" s="265"/>
      <c r="H29" s="232"/>
      <c r="I29" s="232"/>
      <c r="J29" s="47"/>
      <c r="K29" s="47"/>
      <c r="L29" s="39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309" t="s">
        <v>30</v>
      </c>
      <c r="H30" s="310">
        <f>SUM(H21:H29)</f>
        <v>33295</v>
      </c>
      <c r="I30" s="265"/>
      <c r="J30" s="47"/>
      <c r="K30" s="47"/>
      <c r="L30" s="39">
        <f>SUM(L21:L29)</f>
        <v>4.2100000000000009</v>
      </c>
      <c r="M30" s="39"/>
      <c r="N30" s="261"/>
      <c r="O30" s="259"/>
      <c r="P30" s="252"/>
      <c r="Q30" s="258"/>
      <c r="R30" s="308"/>
      <c r="S30" s="14"/>
      <c r="T30" s="9"/>
      <c r="W30" s="4"/>
    </row>
    <row r="31" spans="2:24" ht="17.399999999999999" x14ac:dyDescent="0.3">
      <c r="B31" s="280"/>
      <c r="C31" s="283"/>
      <c r="D31" s="284"/>
      <c r="E31" s="284"/>
      <c r="F31" s="285"/>
      <c r="G31" s="307" t="s">
        <v>53</v>
      </c>
      <c r="H31" s="304">
        <f>H30*19%</f>
        <v>6326.05</v>
      </c>
      <c r="I31" s="265"/>
      <c r="J31" s="47"/>
      <c r="K31" s="47"/>
      <c r="L31" s="39"/>
      <c r="M31" s="12"/>
      <c r="N31" s="12"/>
      <c r="O31" s="253">
        <f>SUM(O21:O26)</f>
        <v>0.68310000000000004</v>
      </c>
      <c r="P31" s="14"/>
      <c r="Q31" s="12"/>
      <c r="R31" s="238"/>
      <c r="S31" s="14"/>
      <c r="T31" s="9"/>
      <c r="W31" s="4"/>
    </row>
    <row r="32" spans="2:24" ht="18" thickBot="1" x14ac:dyDescent="0.35">
      <c r="B32" s="276"/>
      <c r="C32" s="282"/>
      <c r="D32" s="272"/>
      <c r="E32" s="272"/>
      <c r="F32" s="273"/>
      <c r="G32" s="281" t="s">
        <v>6</v>
      </c>
      <c r="H32" s="305">
        <f>H30+H31</f>
        <v>39621.050000000003</v>
      </c>
      <c r="I32" s="265"/>
      <c r="J32" s="47"/>
      <c r="K32" s="47"/>
      <c r="L32" s="39"/>
      <c r="M32" s="12"/>
      <c r="N32" s="12"/>
      <c r="O32" s="253">
        <f>O31</f>
        <v>0.68310000000000004</v>
      </c>
      <c r="P32" s="14"/>
      <c r="Q32" s="12"/>
      <c r="R32" s="238">
        <f>SUM(R21:R31)</f>
        <v>2.2000000000000002</v>
      </c>
      <c r="S32" s="14"/>
      <c r="T32" s="9"/>
      <c r="W32" s="4"/>
    </row>
    <row r="33" spans="2:23" ht="17.399999999999999" x14ac:dyDescent="0.3">
      <c r="B33" s="276"/>
      <c r="C33" s="271"/>
      <c r="D33" s="272"/>
      <c r="E33" s="272"/>
      <c r="F33" s="273"/>
      <c r="I33" s="265"/>
      <c r="J33" s="47"/>
      <c r="K33" s="47"/>
      <c r="L33" s="14"/>
      <c r="M33" s="12"/>
      <c r="N33" s="12"/>
      <c r="O33" s="39">
        <f>O32*20%</f>
        <v>0.13662000000000002</v>
      </c>
      <c r="P33" s="39" t="s">
        <v>132</v>
      </c>
      <c r="Q33" s="42"/>
      <c r="R33" s="239"/>
      <c r="S33" s="14"/>
      <c r="T33" s="9"/>
      <c r="W33" s="4"/>
    </row>
    <row r="34" spans="2:23" ht="17.399999999999999" x14ac:dyDescent="0.3">
      <c r="B34" s="271"/>
      <c r="C34" s="271"/>
      <c r="D34" s="272"/>
      <c r="E34" s="272"/>
      <c r="F34" s="273"/>
      <c r="G34" s="274"/>
      <c r="H34" s="275"/>
      <c r="I34" s="265"/>
      <c r="J34" s="319"/>
      <c r="K34" s="47"/>
      <c r="L34" s="14"/>
      <c r="M34" s="12"/>
      <c r="N34" s="12"/>
      <c r="O34" s="46">
        <f>O32+O33</f>
        <v>0.81972</v>
      </c>
      <c r="P34" s="14"/>
      <c r="Q34" s="14"/>
      <c r="R34" s="237">
        <v>40</v>
      </c>
      <c r="S34" s="14"/>
      <c r="T34" s="9"/>
      <c r="W34" s="4"/>
    </row>
    <row r="35" spans="2:23" ht="17.399999999999999" x14ac:dyDescent="0.35">
      <c r="B35" s="269"/>
      <c r="C35" s="230"/>
      <c r="D35" s="230"/>
      <c r="E35" s="232"/>
      <c r="F35" s="233"/>
      <c r="G35" s="230"/>
      <c r="H35" s="275"/>
      <c r="I35" s="265"/>
      <c r="J35" s="319"/>
      <c r="K35" s="47"/>
      <c r="L35" s="14"/>
      <c r="M35" s="14"/>
      <c r="N35" s="14"/>
      <c r="O35" s="14"/>
      <c r="P35" s="14"/>
      <c r="Q35" s="14"/>
      <c r="R35" s="237"/>
      <c r="S35" s="14"/>
      <c r="T35" s="9"/>
      <c r="W35" s="4"/>
    </row>
    <row r="36" spans="2:23" ht="17.399999999999999" x14ac:dyDescent="0.35">
      <c r="B36" s="234"/>
      <c r="C36" s="235"/>
      <c r="D36" s="236"/>
      <c r="E36" s="234"/>
      <c r="F36" s="230"/>
      <c r="G36" s="230"/>
      <c r="I36" s="265"/>
      <c r="J36" s="47"/>
      <c r="K36" s="47"/>
      <c r="L36" s="39">
        <f>O34</f>
        <v>0.81972</v>
      </c>
      <c r="M36" s="12">
        <v>3500</v>
      </c>
      <c r="N36" s="12">
        <f t="shared" ref="N36:N41" si="12">L36*M36</f>
        <v>2869.02</v>
      </c>
      <c r="O36" s="14" t="s">
        <v>22</v>
      </c>
      <c r="P36" s="14" t="s">
        <v>23</v>
      </c>
      <c r="Q36" s="14"/>
      <c r="R36" s="240"/>
      <c r="S36" s="14"/>
      <c r="T36" s="9"/>
      <c r="W36" s="4"/>
    </row>
    <row r="37" spans="2:23" ht="17.399999999999999" x14ac:dyDescent="0.35">
      <c r="B37" s="230"/>
      <c r="C37" s="230"/>
      <c r="D37" s="230"/>
      <c r="E37" s="230"/>
      <c r="F37" s="230"/>
      <c r="G37" s="230"/>
      <c r="I37" s="265"/>
      <c r="J37" s="47"/>
      <c r="K37" s="47"/>
      <c r="L37" s="249">
        <v>2</v>
      </c>
      <c r="M37" s="12">
        <v>45000</v>
      </c>
      <c r="N37" s="12">
        <f t="shared" si="12"/>
        <v>90000</v>
      </c>
      <c r="O37" s="39" t="s">
        <v>155</v>
      </c>
      <c r="P37" s="42"/>
      <c r="Q37" s="14"/>
      <c r="R37" s="239"/>
      <c r="S37" s="14"/>
      <c r="T37" s="9"/>
      <c r="W37" s="4"/>
    </row>
    <row r="38" spans="2:23" s="230" customFormat="1" ht="17.399999999999999" x14ac:dyDescent="0.35">
      <c r="I38" s="262"/>
      <c r="J38" s="47"/>
      <c r="K38" s="250"/>
      <c r="L38" s="14"/>
      <c r="M38" s="250">
        <v>43000</v>
      </c>
      <c r="N38" s="12">
        <f t="shared" si="12"/>
        <v>0</v>
      </c>
      <c r="O38" s="39" t="s">
        <v>32</v>
      </c>
      <c r="P38" s="42"/>
      <c r="R38" s="239"/>
      <c r="S38" s="256"/>
      <c r="V38" s="231"/>
    </row>
    <row r="39" spans="2:23" s="230" customFormat="1" ht="17.399999999999999" x14ac:dyDescent="0.35">
      <c r="B39" s="24" t="s">
        <v>153</v>
      </c>
      <c r="I39" s="262"/>
      <c r="J39" s="318"/>
      <c r="K39" s="250"/>
      <c r="L39" s="14">
        <v>3</v>
      </c>
      <c r="M39" s="250">
        <v>40511</v>
      </c>
      <c r="N39" s="12">
        <f t="shared" si="12"/>
        <v>121533</v>
      </c>
      <c r="O39" s="14" t="s">
        <v>143</v>
      </c>
      <c r="P39" s="17"/>
      <c r="R39" s="237"/>
      <c r="S39" s="256"/>
      <c r="V39" s="231"/>
    </row>
    <row r="40" spans="2:23" s="230" customFormat="1" ht="17.399999999999999" x14ac:dyDescent="0.35">
      <c r="B40" s="24" t="s">
        <v>146</v>
      </c>
      <c r="C40"/>
      <c r="D40"/>
      <c r="E40"/>
      <c r="F40"/>
      <c r="I40" s="262"/>
      <c r="J40" s="318"/>
      <c r="K40" s="250"/>
      <c r="L40" s="249"/>
      <c r="M40" s="250">
        <v>800</v>
      </c>
      <c r="N40" s="12">
        <f t="shared" si="12"/>
        <v>0</v>
      </c>
      <c r="O40" s="14" t="s">
        <v>34</v>
      </c>
      <c r="P40" s="14"/>
      <c r="Q40" s="230">
        <v>1.52</v>
      </c>
      <c r="R40" s="237"/>
      <c r="S40" s="237"/>
    </row>
    <row r="41" spans="2:23" s="230" customFormat="1" ht="17.399999999999999" x14ac:dyDescent="0.35">
      <c r="B41" s="29" t="s">
        <v>127</v>
      </c>
      <c r="C41"/>
      <c r="D41"/>
      <c r="E41"/>
      <c r="F41" s="229" t="s">
        <v>16</v>
      </c>
      <c r="I41" s="303"/>
      <c r="J41" s="47"/>
      <c r="K41" s="250"/>
      <c r="L41" s="266"/>
      <c r="M41" s="12">
        <v>1500</v>
      </c>
      <c r="N41" s="12">
        <f t="shared" si="12"/>
        <v>0</v>
      </c>
      <c r="O41" s="14" t="s">
        <v>24</v>
      </c>
      <c r="P41" s="14"/>
      <c r="Q41">
        <v>2.44</v>
      </c>
      <c r="R41"/>
      <c r="S41" s="237">
        <v>1500</v>
      </c>
      <c r="W41" s="231"/>
    </row>
    <row r="42" spans="2:23" s="230" customFormat="1" ht="17.399999999999999" x14ac:dyDescent="0.35">
      <c r="I42" s="230" t="s">
        <v>164</v>
      </c>
      <c r="J42" s="47"/>
      <c r="K42" s="250"/>
      <c r="L42" s="14"/>
      <c r="M42" s="12"/>
      <c r="N42" s="12">
        <f>SUM(N36:N41)</f>
        <v>214402.02000000002</v>
      </c>
      <c r="O42" s="39" t="s">
        <v>25</v>
      </c>
      <c r="P42" s="14"/>
      <c r="Q42">
        <f>Q40*Q41</f>
        <v>3.7088000000000001</v>
      </c>
      <c r="R42"/>
      <c r="S42" s="237">
        <f>R34*S41</f>
        <v>60000</v>
      </c>
      <c r="W42" s="231"/>
    </row>
    <row r="43" spans="2:23" s="230" customFormat="1" ht="17.399999999999999" x14ac:dyDescent="0.35">
      <c r="J43" s="47">
        <v>48208</v>
      </c>
      <c r="K43" s="250"/>
      <c r="L43" s="254" t="s">
        <v>35</v>
      </c>
      <c r="M43" s="12"/>
      <c r="N43" s="255">
        <f>N42*2.3</f>
        <v>493124.64600000001</v>
      </c>
      <c r="O43" s="14" t="s">
        <v>142</v>
      </c>
      <c r="P43" s="14"/>
      <c r="Q43" s="46">
        <f>O32/Q42</f>
        <v>0.18418356341673858</v>
      </c>
      <c r="R43"/>
      <c r="S43" s="257" t="e">
        <f>S42/#REF!</f>
        <v>#REF!</v>
      </c>
    </row>
    <row r="44" spans="2:23" s="230" customFormat="1" ht="17.399999999999999" x14ac:dyDescent="0.35">
      <c r="G44"/>
      <c r="H44" s="260"/>
      <c r="I44" s="260"/>
      <c r="J44" s="47">
        <f>J43/1.19</f>
        <v>40510.924369747903</v>
      </c>
      <c r="K44" s="250"/>
      <c r="L44" s="14"/>
      <c r="M44" s="12"/>
      <c r="N44" s="12">
        <f>N43/O32</f>
        <v>721892.32323232316</v>
      </c>
      <c r="O44" s="45" t="s">
        <v>26</v>
      </c>
      <c r="P44" s="14"/>
      <c r="Q44" s="14"/>
      <c r="R44"/>
      <c r="S44" s="237"/>
    </row>
    <row r="45" spans="2:23" s="230" customFormat="1" ht="17.399999999999999" x14ac:dyDescent="0.35">
      <c r="G45"/>
      <c r="J45" s="47"/>
      <c r="K45" s="250"/>
      <c r="L45" s="13"/>
      <c r="M45" s="14"/>
      <c r="N45" s="17">
        <f>N43/N42</f>
        <v>2.2999999999999998</v>
      </c>
      <c r="O45" s="15"/>
      <c r="P45"/>
      <c r="Q45"/>
      <c r="R45"/>
      <c r="S45" s="237"/>
    </row>
    <row r="46" spans="2:23" s="230" customFormat="1" ht="17.399999999999999" x14ac:dyDescent="0.35">
      <c r="G46" s="23"/>
      <c r="J46" s="47"/>
      <c r="K46" s="12"/>
      <c r="S46" s="237"/>
    </row>
    <row r="47" spans="2:23" s="230" customFormat="1" ht="17.399999999999999" x14ac:dyDescent="0.35">
      <c r="B47"/>
      <c r="C47" s="228"/>
      <c r="D47" s="22"/>
      <c r="E47" s="22"/>
      <c r="F47" s="21"/>
      <c r="G47" s="23"/>
      <c r="J47" s="47"/>
      <c r="K47" s="12"/>
      <c r="S47" s="237">
        <v>1.83</v>
      </c>
    </row>
    <row r="48" spans="2:23" ht="14.4" customHeight="1" x14ac:dyDescent="0.3">
      <c r="J48" s="47"/>
      <c r="K48" s="12"/>
      <c r="S48">
        <v>2.5</v>
      </c>
    </row>
    <row r="49" spans="10:19" x14ac:dyDescent="0.3">
      <c r="J49" s="47"/>
      <c r="K49" s="250"/>
      <c r="S49">
        <f>S47*S48</f>
        <v>4.5750000000000002</v>
      </c>
    </row>
    <row r="50" spans="10:19" x14ac:dyDescent="0.3">
      <c r="K50" s="250"/>
      <c r="S50" s="270">
        <f>O34/S49</f>
        <v>0.17917377049180327</v>
      </c>
    </row>
    <row r="51" spans="10:19" x14ac:dyDescent="0.3">
      <c r="K51" s="250"/>
    </row>
    <row r="52" spans="10:19" ht="15" customHeight="1" x14ac:dyDescent="0.3"/>
    <row r="54" spans="10:19" x14ac:dyDescent="0.3">
      <c r="N54">
        <v>40935</v>
      </c>
      <c r="O54" t="s">
        <v>17</v>
      </c>
      <c r="P54" t="s">
        <v>28</v>
      </c>
    </row>
    <row r="56" spans="10:19" x14ac:dyDescent="0.3">
      <c r="N56" s="54"/>
      <c r="O56" s="54"/>
    </row>
    <row r="57" spans="10:19" x14ac:dyDescent="0.3">
      <c r="R57" s="18"/>
      <c r="S57" s="18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150</v>
      </c>
    </row>
    <row r="80" spans="3:19" x14ac:dyDescent="0.3">
      <c r="C80" t="s">
        <v>149</v>
      </c>
    </row>
    <row r="83" spans="3:3" x14ac:dyDescent="0.3">
      <c r="C83" t="s">
        <v>149</v>
      </c>
    </row>
    <row r="160" spans="3:3" x14ac:dyDescent="0.3">
      <c r="C160" t="s">
        <v>149</v>
      </c>
    </row>
    <row r="161" spans="3:3" x14ac:dyDescent="0.3">
      <c r="C161" t="s">
        <v>151</v>
      </c>
    </row>
    <row r="162" spans="3:3" x14ac:dyDescent="0.3">
      <c r="C162" t="s">
        <v>152</v>
      </c>
    </row>
    <row r="587" spans="3:3" x14ac:dyDescent="0.3">
      <c r="C587" t="s">
        <v>149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45532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28194.188799879226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'2229'!H30</f>
        <v>33295</v>
      </c>
      <c r="E11" s="132">
        <f>D11*0.19</f>
        <v>6326.05</v>
      </c>
      <c r="F11" s="131">
        <f>E11+D11</f>
        <v>39621.050000000003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134184.18879987922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122703.11078743963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116184.18879987922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-89408.110787439626</v>
      </c>
      <c r="E13" s="221">
        <f>(D11/D12)-1</f>
        <v>-0.72865398614320864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107184.18879987922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68184.188799879223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202460.13279927536</v>
      </c>
      <c r="F15" s="216">
        <f>E15-D12</f>
        <v>79757.022011835739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68184.188799879223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108184.18879987922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'2229'!N37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2869.02</v>
      </c>
      <c r="E20" s="121">
        <f>D20*0.19</f>
        <v>545.11379999999997</v>
      </c>
      <c r="F20" s="120">
        <f>SUM(D20:E20)</f>
        <v>3414.1338000000001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92869.02</v>
      </c>
      <c r="E21" s="116">
        <f>SUM(E18:E20)</f>
        <v>17645.113799999999</v>
      </c>
      <c r="F21" s="115">
        <f>SUM(F18:F20)</f>
        <v>110514.1338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-11319.0638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33295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92869.02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-89408.110787439626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-89408.110787439626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2024-08-28T22:27:00Z</dcterms:modified>
</cp:coreProperties>
</file>