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67EE1BF7-ACFA-4FC2-83E8-371B245D16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L23" i="1"/>
  <c r="M23" i="1"/>
  <c r="N23" i="1" s="1"/>
  <c r="O23" i="1" s="1"/>
  <c r="R23" i="1"/>
  <c r="K24" i="1"/>
  <c r="L24" i="1"/>
  <c r="N24" i="1" s="1"/>
  <c r="O24" i="1" s="1"/>
  <c r="M24" i="1"/>
  <c r="K25" i="1"/>
  <c r="R25" i="1" s="1"/>
  <c r="L25" i="1"/>
  <c r="N25" i="1" s="1"/>
  <c r="O25" i="1" s="1"/>
  <c r="M25" i="1"/>
  <c r="H22" i="1"/>
  <c r="H23" i="1"/>
  <c r="H24" i="1"/>
  <c r="H25" i="1"/>
  <c r="R24" i="1" l="1"/>
  <c r="K22" i="1"/>
  <c r="L22" i="1"/>
  <c r="M22" i="1"/>
  <c r="K21" i="1"/>
  <c r="K10" i="1"/>
  <c r="N22" i="1" l="1"/>
  <c r="O22" i="1" s="1"/>
  <c r="R22" i="1"/>
  <c r="J42" i="1"/>
  <c r="L21" i="1" l="1"/>
  <c r="L28" i="1" s="1"/>
  <c r="M21" i="1"/>
  <c r="N21" i="1" l="1"/>
  <c r="O21" i="1" s="1"/>
  <c r="O29" i="1" s="1"/>
  <c r="R21" i="1"/>
  <c r="N35" i="1"/>
  <c r="O30" i="1" l="1"/>
  <c r="S47" i="1"/>
  <c r="O31" i="1" l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2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2" i="1" l="1"/>
  <c r="Q22" i="1" s="1"/>
  <c r="P25" i="1"/>
  <c r="Q25" i="1" s="1"/>
  <c r="P24" i="1"/>
  <c r="Q24" i="1" s="1"/>
  <c r="P23" i="1"/>
  <c r="Q23" i="1" s="1"/>
  <c r="P21" i="1"/>
  <c r="F15" i="3"/>
  <c r="Q21" i="1" l="1"/>
  <c r="H21" i="1" s="1"/>
  <c r="R30" i="1"/>
  <c r="H28" i="1" l="1"/>
  <c r="H29" i="1" s="1"/>
  <c r="H30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<sst xmlns="http://schemas.openxmlformats.org/spreadsheetml/2006/main" count="227" uniqueCount="165">
  <si>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</si>
  <si>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</si>
  <si>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</si>
  <si>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</si>
  <si>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</si>
  <si>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</si>
  <si>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</si>
  <si>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</si>
  <si>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</si>
  <si>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</si>
  <si>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</si>
  <si>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</si>
  <si>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</si>
  <si>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</si>
  <si>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</si>
  <si>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</si>
  <si>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</si>
  <si>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</si>
  <si>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</si>
  <si>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</si>
  <si>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</si>
  <si>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</si>
  <si>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</si>
  <si>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</si>
  <si>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</si>
  <si>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</si>
  <si>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</si>
  <si>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</si>
  <si>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</si>
  <si>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</si>
  <si>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</si>
  <si>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</si>
  <si>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</si>
  <si>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</si>
  <si>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</si>
  <si>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</si>
  <si>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</si>
  <si>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</si>
  <si>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</si>
  <si>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</si>
  <si>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</si>
  <si>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</si>
  <si>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</si>
  <si>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</si>
  <si>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</si>
  <si>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</si>
  <si>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</si>
  <si>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</si>
  <si>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</si>
  <si>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</si>
  <si>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</si>
  <si>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</si>
  <si>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</si>
  <si>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</si>
  <si>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</si>
  <si>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</si>
  <si>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</si>
  <si>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</si>
  <si>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</si>
  <si>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</si>
  <si>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</si>
  <si>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</si>
  <si>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</si>
  <si>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</si>
  <si>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</si>
  <si>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</si>
  <si>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</si>
  <si>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</si>
  <si>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</si>
  <si>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</si>
  <si>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</si>
  <si>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</si>
  <si>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</si>
  <si>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</si>
  <si>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</si>
  <si>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</si>
  <si>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</si>
  <si>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</si>
  <si>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</si>
  <si>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</si>
  <si>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</si>
  <si>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</si>
  <si>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</si>
  <si>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</si>
  <si>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</si>
  <si>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</si>
  <si>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</si>
  <si>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</si>
  <si>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</si>
  <si>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</si>
  <si>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</si>
  <si>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</si>
  <si>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</si>
  <si>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</si>
  <si>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</si>
  <si>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</si>
  <si>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</si>
  <si>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</si>
  <si>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</si>
  <si>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</si>
  <si>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</si>
  <si>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</si>
  <si>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</si>
  <si>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</si>
  <si>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</si>
  <si>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</si>
  <si>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</si>
  <si>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</si>
  <si>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</si>
  <si>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</si>
  <si>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</si>
  <si>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</si>
  <si>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</si>
  <si>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</si>
  <si>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</si>
  <si>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</si>
  <si>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</si>
  <si>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</si>
  <si>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</si>
  <si>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</si>
  <si>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</si>
  <si>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</si>
  <si>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</si>
  <si>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</si>
  <si>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</si>
  <si>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</si>
  <si>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</si>
  <si>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</si>
  <si>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</si>
  <si>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</si>
  <si>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</si>
  <si>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</si>
  <si>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</si>
  <si>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</si>
  <si>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</si>
  <si>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</si>
  <si>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</si>
  <si>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</si>
  <si>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</si>
  <si>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</si>
  <si>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</si>
  <si>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</si>
  <si>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</si>
  <si>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</si>
  <si>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</si>
  <si>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</si>
  <si>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</si>
  <si>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</si>
  <si>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</si>
  <si>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</si>
  <si>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</si>
  <si>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</si>
  <si>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</si>
  <si>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</si>
  <si>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</si>
  <si>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</si>
  <si>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</si>
  <si>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</si>
  <si>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</si>
  <si>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5 DÍAS HABILES</t>
  </si>
  <si>
    <t>N° 11084</t>
  </si>
  <si>
    <t>ELENA FLORES</t>
  </si>
  <si>
    <t xml:space="preserve">+569 </t>
  </si>
  <si>
    <t>CUB S/R 180°</t>
  </si>
  <si>
    <t>PIETRA GLAZE 2719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</si>
</sst>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CORTADAS</a:t>
          </a:r>
          <a:r>
            <a:rPr lang="es-CL" sz="1200" b="1" baseline="0"/>
            <a:t> A LA MEDIDA Y ENCHAPADAS SIN REGRUESO CON MISMA LAMINA</a:t>
          </a:r>
          <a:endParaRPr lang="es-CL" sz="1200" b="1"/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3" zoomScale="98" zoomScaleNormal="98" workbookViewId="0">
      <selection activeCell="J27" sqref="J27"/>
    </sheetView>
  </sheetViews>
  <sheetFormatPr baseColWidth="10" defaultRowHeight="14.4" x14ac:dyDescent="0.3"/>
  <cols>
    <col min="1" max="1" width="6" customWidth="1"/>
    <col min="2" max="2" width="10.5546875" customWidth="1"/>
    <col min="3" max="3" width="27.777343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0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45533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15" t="s">
        <v>1</v>
      </c>
      <c r="D20" s="324" t="s">
        <v>10</v>
      </c>
      <c r="E20" s="324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92073.146185504214</v>
      </c>
      <c r="Q20" s="258">
        <v>5000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12" t="s">
        <v>163</v>
      </c>
      <c r="D21" s="325">
        <v>1.61</v>
      </c>
      <c r="E21" s="325">
        <v>0.52500000000000002</v>
      </c>
      <c r="F21" s="312" t="s">
        <v>164</v>
      </c>
      <c r="G21" s="313">
        <v>85242</v>
      </c>
      <c r="H21" s="314">
        <f t="shared" ref="H21" si="1">G21*B21</f>
        <v>85242</v>
      </c>
      <c r="I21" s="265"/>
      <c r="J21" s="47"/>
      <c r="K21" s="326">
        <f>B21</f>
        <v>1</v>
      </c>
      <c r="L21" s="327">
        <f t="shared" ref="L21:M21" si="2">D21+L$19</f>
        <v>1.6600000000000001</v>
      </c>
      <c r="M21" s="327">
        <f t="shared" si="2"/>
        <v>0.52500000000000002</v>
      </c>
      <c r="N21" s="261">
        <f>L21*M21</f>
        <v>0.87150000000000016</v>
      </c>
      <c r="O21" s="259">
        <f>N21*K21</f>
        <v>0.87150000000000016</v>
      </c>
      <c r="P21" s="252">
        <f>P$20*N21</f>
        <v>80241.746900666942</v>
      </c>
      <c r="Q21" s="258">
        <f>P21+Q$20</f>
        <v>85241.746900666942</v>
      </c>
      <c r="R21" s="308">
        <f>K21*L21</f>
        <v>1.6600000000000001</v>
      </c>
      <c r="S21" s="14"/>
      <c r="T21" s="9"/>
      <c r="W21" s="4"/>
    </row>
    <row r="22" spans="2:24" ht="17.399999999999999" x14ac:dyDescent="0.3">
      <c r="B22" s="322">
        <v>1</v>
      </c>
      <c r="C22" s="312" t="s">
        <v>163</v>
      </c>
      <c r="D22" s="325">
        <v>0.4</v>
      </c>
      <c r="E22" s="325">
        <v>0.52500000000000002</v>
      </c>
      <c r="F22" s="312" t="s">
        <v>164</v>
      </c>
      <c r="G22" s="313">
        <v>26752</v>
      </c>
      <c r="H22" s="314">
        <f t="shared" ref="H22:H25" si="3">G22*B22</f>
        <v>26752</v>
      </c>
      <c r="I22" s="265"/>
      <c r="J22" s="47"/>
      <c r="K22" s="326">
        <f>B22</f>
        <v>1</v>
      </c>
      <c r="L22" s="327">
        <f t="shared" ref="L22" si="4">D22+L$19</f>
        <v>0.45</v>
      </c>
      <c r="M22" s="327">
        <f t="shared" ref="M22" si="5">E22+M$19</f>
        <v>0.52500000000000002</v>
      </c>
      <c r="N22" s="261">
        <f>L22*M22</f>
        <v>0.23625000000000002</v>
      </c>
      <c r="O22" s="259">
        <f>N22*K22</f>
        <v>0.23625000000000002</v>
      </c>
      <c r="P22" s="252">
        <f>P$20*N22</f>
        <v>21752.280786325373</v>
      </c>
      <c r="Q22" s="258">
        <f>P22+Q$20</f>
        <v>26752.280786325373</v>
      </c>
      <c r="R22" s="308">
        <f>K22*L22</f>
        <v>0.45</v>
      </c>
      <c r="S22" s="14"/>
      <c r="T22" s="9"/>
      <c r="W22" s="4"/>
    </row>
    <row r="23" spans="2:24" ht="17.399999999999999" x14ac:dyDescent="0.3">
      <c r="B23" s="322">
        <v>1</v>
      </c>
      <c r="C23" s="312" t="s">
        <v>163</v>
      </c>
      <c r="D23" s="325">
        <v>0.38</v>
      </c>
      <c r="E23" s="325">
        <v>0.52500000000000002</v>
      </c>
      <c r="F23" s="312" t="s">
        <v>164</v>
      </c>
      <c r="G23" s="313">
        <v>25786</v>
      </c>
      <c r="H23" s="314">
        <f t="shared" si="3"/>
        <v>25786</v>
      </c>
      <c r="I23" s="265"/>
      <c r="J23" s="47"/>
      <c r="K23" s="326">
        <f t="shared" ref="K23:K25" si="6">B23</f>
        <v>1</v>
      </c>
      <c r="L23" s="327">
        <f t="shared" ref="L23:L25" si="7">D23+L$19</f>
        <v>0.43</v>
      </c>
      <c r="M23" s="327">
        <f t="shared" ref="M23:M25" si="8">E23+M$19</f>
        <v>0.52500000000000002</v>
      </c>
      <c r="N23" s="261">
        <f t="shared" ref="N23:N25" si="9">L23*M23</f>
        <v>0.22575000000000001</v>
      </c>
      <c r="O23" s="259">
        <f t="shared" ref="O23:O25" si="10">N23*K23</f>
        <v>0.22575000000000001</v>
      </c>
      <c r="P23" s="252">
        <f t="shared" ref="P23:P25" si="11">P$20*N23</f>
        <v>20785.512751377577</v>
      </c>
      <c r="Q23" s="258">
        <f t="shared" ref="Q23:Q25" si="12">P23+Q$20</f>
        <v>25785.512751377577</v>
      </c>
      <c r="R23" s="308">
        <f t="shared" ref="R23:R25" si="13">K23*L23</f>
        <v>0.43</v>
      </c>
      <c r="S23" s="14"/>
      <c r="T23" s="9"/>
      <c r="W23" s="4"/>
    </row>
    <row r="24" spans="2:24" ht="17.399999999999999" x14ac:dyDescent="0.3">
      <c r="B24" s="322">
        <v>1</v>
      </c>
      <c r="C24" s="312" t="s">
        <v>163</v>
      </c>
      <c r="D24" s="325">
        <v>1.37</v>
      </c>
      <c r="E24" s="325">
        <v>0.625</v>
      </c>
      <c r="F24" s="312" t="s">
        <v>164</v>
      </c>
      <c r="G24" s="313">
        <v>86715</v>
      </c>
      <c r="H24" s="314">
        <f t="shared" si="3"/>
        <v>86715</v>
      </c>
      <c r="I24" s="265"/>
      <c r="J24" s="47"/>
      <c r="K24" s="326">
        <f t="shared" si="6"/>
        <v>1</v>
      </c>
      <c r="L24" s="327">
        <f t="shared" si="7"/>
        <v>1.4200000000000002</v>
      </c>
      <c r="M24" s="327">
        <f t="shared" si="8"/>
        <v>0.625</v>
      </c>
      <c r="N24" s="261">
        <f t="shared" si="9"/>
        <v>0.88750000000000007</v>
      </c>
      <c r="O24" s="259">
        <f t="shared" si="10"/>
        <v>0.88750000000000007</v>
      </c>
      <c r="P24" s="252">
        <f t="shared" si="11"/>
        <v>81714.91723963499</v>
      </c>
      <c r="Q24" s="258">
        <f t="shared" si="12"/>
        <v>86714.91723963499</v>
      </c>
      <c r="R24" s="308">
        <f t="shared" si="13"/>
        <v>1.4200000000000002</v>
      </c>
      <c r="S24" s="14"/>
      <c r="T24" s="9"/>
      <c r="W24" s="4"/>
    </row>
    <row r="25" spans="2:24" ht="17.399999999999999" x14ac:dyDescent="0.3">
      <c r="B25" s="322">
        <v>1</v>
      </c>
      <c r="C25" s="312" t="s">
        <v>163</v>
      </c>
      <c r="D25" s="325">
        <v>0.60499999999999998</v>
      </c>
      <c r="E25" s="325">
        <v>0.495</v>
      </c>
      <c r="F25" s="312" t="s">
        <v>164</v>
      </c>
      <c r="G25" s="313">
        <v>34852</v>
      </c>
      <c r="H25" s="314">
        <f t="shared" si="3"/>
        <v>34852</v>
      </c>
      <c r="I25" s="265"/>
      <c r="J25" s="47"/>
      <c r="K25" s="326">
        <f t="shared" si="6"/>
        <v>1</v>
      </c>
      <c r="L25" s="327">
        <f t="shared" si="7"/>
        <v>0.65500000000000003</v>
      </c>
      <c r="M25" s="327">
        <f t="shared" si="8"/>
        <v>0.495</v>
      </c>
      <c r="N25" s="261">
        <f t="shared" si="9"/>
        <v>0.32422499999999999</v>
      </c>
      <c r="O25" s="259">
        <f t="shared" si="10"/>
        <v>0.32422499999999999</v>
      </c>
      <c r="P25" s="252">
        <f t="shared" si="11"/>
        <v>29852.415821995102</v>
      </c>
      <c r="Q25" s="258">
        <f t="shared" si="12"/>
        <v>34852.415821995106</v>
      </c>
      <c r="R25" s="308">
        <f t="shared" si="13"/>
        <v>0.65500000000000003</v>
      </c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7"/>
      <c r="H26" s="317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f>SUM(H21:H27)</f>
        <v>259347</v>
      </c>
      <c r="I28" s="265"/>
      <c r="J28" s="47"/>
      <c r="K28" s="47"/>
      <c r="L28" s="39">
        <f>SUM(L21:L27)</f>
        <v>4.6150000000000011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53</v>
      </c>
      <c r="H29" s="304">
        <f>H28*19%</f>
        <v>49275.93</v>
      </c>
      <c r="I29" s="265"/>
      <c r="J29" s="47"/>
      <c r="K29" s="47"/>
      <c r="L29" s="39"/>
      <c r="M29" s="12"/>
      <c r="N29" s="12"/>
      <c r="O29" s="253">
        <f>SUM(O21:O25)</f>
        <v>2.5452250000000003</v>
      </c>
      <c r="P29" s="14"/>
      <c r="Q29" s="12"/>
      <c r="R29" s="238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308622.93</v>
      </c>
      <c r="I30" s="265"/>
      <c r="J30" s="47"/>
      <c r="K30" s="47"/>
      <c r="L30" s="39"/>
      <c r="M30" s="12"/>
      <c r="N30" s="12"/>
      <c r="O30" s="253">
        <f>O29</f>
        <v>2.5452250000000003</v>
      </c>
      <c r="P30" s="14"/>
      <c r="Q30" s="12"/>
      <c r="R30" s="238">
        <f>SUM(R21:R29)</f>
        <v>4.6150000000000011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0.50904500000000008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19"/>
      <c r="K32" s="47"/>
      <c r="L32" s="14"/>
      <c r="M32" s="12"/>
      <c r="N32" s="12"/>
      <c r="O32" s="46">
        <f>O30+O31</f>
        <v>3.0542700000000003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19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/>
      <c r="K34" s="47"/>
      <c r="L34" s="39">
        <f>O32</f>
        <v>3.0542700000000003</v>
      </c>
      <c r="M34" s="12">
        <v>3500</v>
      </c>
      <c r="N34" s="12">
        <f t="shared" ref="N34:N39" si="14">L34*M34</f>
        <v>10689.945000000002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</v>
      </c>
      <c r="M35" s="12">
        <v>25000</v>
      </c>
      <c r="N35" s="12">
        <f t="shared" si="14"/>
        <v>25000</v>
      </c>
      <c r="O35" s="39" t="s">
        <v>155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>
        <v>1</v>
      </c>
      <c r="M36" s="250">
        <v>66200</v>
      </c>
      <c r="N36" s="12">
        <f t="shared" si="14"/>
        <v>66200</v>
      </c>
      <c r="O36" s="39" t="s">
        <v>32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153</v>
      </c>
      <c r="I37" s="262"/>
      <c r="J37" s="318"/>
      <c r="K37" s="250"/>
      <c r="L37" s="14"/>
      <c r="M37" s="250">
        <v>47000</v>
      </c>
      <c r="N37" s="12">
        <f t="shared" si="14"/>
        <v>0</v>
      </c>
      <c r="O37" s="14" t="s">
        <v>143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146</v>
      </c>
      <c r="C38"/>
      <c r="D38"/>
      <c r="E38"/>
      <c r="F38"/>
      <c r="I38" s="262"/>
      <c r="J38" s="318"/>
      <c r="K38" s="250"/>
      <c r="L38" s="249"/>
      <c r="M38" s="250">
        <v>800</v>
      </c>
      <c r="N38" s="12">
        <f t="shared" si="14"/>
        <v>0</v>
      </c>
      <c r="O38" s="14" t="s">
        <v>34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127</v>
      </c>
      <c r="C39"/>
      <c r="D39"/>
      <c r="E39"/>
      <c r="F39" s="229" t="s">
        <v>16</v>
      </c>
      <c r="I39" s="303"/>
      <c r="J39" s="47"/>
      <c r="K39" s="250"/>
      <c r="L39" s="266"/>
      <c r="M39" s="12">
        <v>1500</v>
      </c>
      <c r="N39" s="12">
        <f t="shared" si="14"/>
        <v>0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I40" s="230" t="s">
        <v>157</v>
      </c>
      <c r="J40" s="47"/>
      <c r="K40" s="250"/>
      <c r="L40" s="14"/>
      <c r="M40" s="12"/>
      <c r="N40" s="12">
        <f>SUM(N34:N39)</f>
        <v>101889.94500000001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48208</v>
      </c>
      <c r="K41" s="250"/>
      <c r="L41" s="254" t="s">
        <v>35</v>
      </c>
      <c r="M41" s="12"/>
      <c r="N41" s="255">
        <f>N40*2.3</f>
        <v>234346.87349999999</v>
      </c>
      <c r="O41" s="14" t="s">
        <v>142</v>
      </c>
      <c r="P41" s="14"/>
      <c r="Q41" s="46">
        <f>O30/Q40</f>
        <v>0.68626644736842113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40510.924369747903</v>
      </c>
      <c r="K42" s="250"/>
      <c r="L42" s="14"/>
      <c r="M42" s="12"/>
      <c r="N42" s="12">
        <f>N41/O30</f>
        <v>92073.146185504214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2.2999999999999998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0.66760000000000008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45533</v>
      </c>
    </row>
    <row r="6" spans="2:31" ht="16.2" thickBot="1" x14ac:dyDescent="0.35">
      <c r="B6" s="140" t="s">
        <v>2</v>
      </c>
      <c r="C6" s="139" t="str">
        <f>'2229'!C10</f>
        <v>ELENA FLORES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11084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-7000.3901584541063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'2229'!H28</f>
        <v>259347</v>
      </c>
      <c r="E11" s="132">
        <f>D11*0.19</f>
        <v>49275.93</v>
      </c>
      <c r="F11" s="131">
        <f>E11+D11</f>
        <v>308622.93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98989.609841545898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131724.03578743961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80989.609841545898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127622.96421256039</v>
      </c>
      <c r="E13" s="221">
        <f>(D11/D12)-1</f>
        <v>0.96886618641492994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71989.609841545898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32989.609841545891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217344.65904927536</v>
      </c>
      <c r="F15" s="216">
        <f>E15-D12</f>
        <v>85620.623261835746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32989.609841545891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72989.609841545898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66200</v>
      </c>
      <c r="E18" s="123">
        <f>D18*0.19</f>
        <v>12578</v>
      </c>
      <c r="F18" s="120">
        <f>SUM(D18:E18)</f>
        <v>78778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10689.945000000002</v>
      </c>
      <c r="E20" s="121">
        <f>D20*0.19</f>
        <v>2031.0895500000004</v>
      </c>
      <c r="F20" s="120">
        <f>SUM(D20:E20)</f>
        <v>12721.034550000002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101889.94500000001</v>
      </c>
      <c r="E21" s="116">
        <f>SUM(E18:E20)</f>
        <v>19359.089550000001</v>
      </c>
      <c r="F21" s="115">
        <f>SUM(F18:F20)</f>
        <v>121249.03455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29916.84045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259347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101889.94500000001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127622.96421256039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127622.96421256039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2024-08-30T13:37:39Z</cp:lastPrinted>
  <dcterms:created xsi:type="dcterms:W3CDTF">2013-03-18T13:35:42Z</dcterms:created>
  <dcterms:modified xsi:type="dcterms:W3CDTF">2024-08-30T13:45:39Z</dcterms:modified>
</cp:coreProperties>
</file>