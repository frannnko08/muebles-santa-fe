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E21BC642-B38D-43CA-BB05-92E6B34FD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O27" i="1"/>
  <c r="H22" i="1"/>
  <c r="K22" i="1"/>
  <c r="L22" i="1"/>
  <c r="M22" i="1"/>
  <c r="N22" i="1" s="1"/>
  <c r="K23" i="1"/>
  <c r="L23" i="1"/>
  <c r="M23" i="1"/>
  <c r="H23" i="1"/>
  <c r="K21" i="1"/>
  <c r="K10" i="1"/>
  <c r="O22" i="1" l="1"/>
  <c r="R23" i="1"/>
  <c r="R22" i="1"/>
  <c r="N23" i="1"/>
  <c r="O23" i="1" s="1"/>
  <c r="J40" i="1"/>
  <c r="L21" i="1" l="1"/>
  <c r="L26" i="1" s="1"/>
  <c r="L27" i="1" s="1"/>
  <c r="M21" i="1"/>
  <c r="N21" i="1" l="1"/>
  <c r="O21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P22" i="1"/>
  <c r="Q22" i="1" s="1"/>
  <c r="P21" i="1"/>
  <c r="F15" i="3"/>
  <c r="Q21" i="1" l="1"/>
  <c r="H21" i="1" s="1"/>
  <c r="H26" i="1" s="1"/>
  <c r="R28" i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<sst xmlns="http://schemas.openxmlformats.org/spreadsheetml/2006/main" count="221" uniqueCount="164">
  <si>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</si>
  <si>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</si>
  <si>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</si>
  <si>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</si>
  <si>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</si>
  <si>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</si>
  <si>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</si>
  <si>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</si>
  <si>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</si>
  <si>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</si>
  <si>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</si>
  <si>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</si>
  <si>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</si>
  <si>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</si>
  <si>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</si>
  <si>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</si>
  <si>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</si>
  <si>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</si>
  <si>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</si>
  <si>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</si>
  <si>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</si>
  <si>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</si>
  <si>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</si>
  <si>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</si>
  <si>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</si>
  <si>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</si>
  <si>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</si>
  <si>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</si>
  <si>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</si>
  <si>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</si>
  <si>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</si>
  <si>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</si>
  <si>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</si>
  <si>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</si>
  <si>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</si>
  <si>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</si>
  <si>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</si>
  <si>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</si>
  <si>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</si>
  <si>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</si>
  <si>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</si>
  <si>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</si>
  <si>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</si>
  <si>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</si>
  <si>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</si>
  <si>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</si>
  <si>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</si>
  <si>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</si>
  <si>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</si>
  <si>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</si>
  <si>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</si>
  <si>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</si>
  <si>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</si>
  <si>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</si>
  <si>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</si>
  <si>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</si>
  <si>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</si>
  <si>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</si>
  <si>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</si>
  <si>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</si>
  <si>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</si>
  <si>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</si>
  <si>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</si>
  <si>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</si>
  <si>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</si>
  <si>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</si>
  <si>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</si>
  <si>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</si>
  <si>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</si>
  <si>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</si>
  <si>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</si>
  <si>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</si>
  <si>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</si>
  <si>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</si>
  <si>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</si>
  <si>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</si>
  <si>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</si>
  <si>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</si>
  <si>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</si>
  <si>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</si>
  <si>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</si>
  <si>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</si>
  <si>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</si>
  <si>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</si>
  <si>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</si>
  <si>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</si>
  <si>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</si>
  <si>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</si>
  <si>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</si>
  <si>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</si>
  <si>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</si>
  <si>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</si>
  <si>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</si>
  <si>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</si>
  <si>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</si>
  <si>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</si>
  <si>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</si>
  <si>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</si>
  <si>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</si>
  <si>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</si>
  <si>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</si>
  <si>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</si>
  <si>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</si>
  <si>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</si>
  <si>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</si>
  <si>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</si>
  <si>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</si>
  <si>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</si>
  <si>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</si>
  <si>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</si>
  <si>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</si>
  <si>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</si>
  <si>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</si>
  <si>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</si>
  <si>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</si>
  <si>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</si>
  <si>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</si>
  <si>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</si>
  <si>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</si>
  <si>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</si>
  <si>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</si>
  <si>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</si>
  <si>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</si>
  <si>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</si>
  <si>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</si>
  <si>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</si>
  <si>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</si>
  <si>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</si>
  <si>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</si>
  <si>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</si>
  <si>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</si>
  <si>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</si>
  <si>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</si>
  <si>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</si>
  <si>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</si>
  <si>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</si>
  <si>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</si>
  <si>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</si>
  <si>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</si>
  <si>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</si>
  <si>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</si>
  <si>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</si>
  <si>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</si>
  <si>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</si>
  <si>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</si>
  <si>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</si>
  <si>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</si>
  <si>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</si>
  <si>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</si>
  <si>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</si>
  <si>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</si>
  <si>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</si>
  <si>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</si>
  <si>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</si>
  <si>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AGLOMERADO 24MM</t>
  </si>
  <si>
    <t>LAMINA 153 X 244</t>
  </si>
  <si>
    <t>LAMINA 122 X 305</t>
  </si>
  <si>
    <t>2 DIAS HABILES</t>
  </si>
  <si>
    <t>SI</t>
  </si>
  <si>
    <t>JEREMIAS NOVOA</t>
  </si>
  <si>
    <t>+569 4428 3751</t>
  </si>
  <si>
    <t>E/R 1 CARA 36MM</t>
  </si>
  <si>
    <t>E/R 2 CARAS MDF36MM</t>
  </si>
  <si>
    <t>TAUPE 2165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</si>
</sst>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CUBIERTAS ENCHAPADAS EN EL FRENTE CON MISMA LAMINA</a:t>
          </a:r>
        </a:p>
        <a:p>
          <a:pPr algn="l"/>
          <a:r>
            <a:rPr lang="es-CL" sz="1200" b="1"/>
            <a:t>SUSTRATO: MDF18MM + MDF18MM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8" zoomScaleNormal="98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4414062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19">
        <v>11065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45395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157</v>
      </c>
      <c r="H11" s="290"/>
      <c r="P11" s="19"/>
      <c r="Q11" s="25" t="s">
        <v>19</v>
      </c>
      <c r="R11" s="19"/>
    </row>
    <row r="12" spans="2:23" ht="16.8" x14ac:dyDescent="0.4">
      <c r="B12" s="246" t="s">
        <v>144</v>
      </c>
      <c r="C12" s="311"/>
      <c r="D12" s="247"/>
      <c r="E12" s="247"/>
      <c r="F12" s="247" t="s">
        <v>128</v>
      </c>
      <c r="G12" s="278" t="s">
        <v>158</v>
      </c>
      <c r="H12" s="248"/>
      <c r="P12" s="19"/>
      <c r="Q12" s="25"/>
      <c r="R12" s="19"/>
    </row>
    <row r="13" spans="2:23" x14ac:dyDescent="0.3">
      <c r="B13" s="246" t="s">
        <v>145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139</v>
      </c>
      <c r="C14" s="306"/>
      <c r="F14" s="29" t="s">
        <v>136</v>
      </c>
      <c r="G14" s="291" t="s">
        <v>158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160</v>
      </c>
      <c r="D15" s="295"/>
      <c r="E15" s="247"/>
      <c r="F15" s="247" t="s">
        <v>135</v>
      </c>
      <c r="G15" s="296" t="s">
        <v>158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153</v>
      </c>
      <c r="H16" s="290"/>
    </row>
    <row r="17" spans="2:24" ht="15" thickBot="1" x14ac:dyDescent="0.35">
      <c r="B17" s="297" t="s">
        <v>13</v>
      </c>
      <c r="C17" s="298" t="s">
        <v>151</v>
      </c>
      <c r="D17" s="299"/>
      <c r="E17" s="300"/>
      <c r="F17" s="328" t="s">
        <v>152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146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3" t="s">
        <v>10</v>
      </c>
      <c r="E20" s="323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N40</f>
        <v>125687.84062611169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1">
        <v>1</v>
      </c>
      <c r="C21" s="312" t="s">
        <v>161</v>
      </c>
      <c r="D21" s="324">
        <v>1.97</v>
      </c>
      <c r="E21" s="324">
        <v>0.65</v>
      </c>
      <c r="F21" s="312" t="s">
        <v>163</v>
      </c>
      <c r="G21" s="313">
        <v>167577</v>
      </c>
      <c r="H21" s="314">
        <f t="shared" ref="H21:H22" si="1">G21*B21</f>
        <v>167577</v>
      </c>
      <c r="I21" s="265"/>
      <c r="J21" s="47"/>
      <c r="K21" s="326">
        <f>B21</f>
        <v>1</v>
      </c>
      <c r="L21" s="327">
        <f t="shared" ref="L21:M21" si="2">D21+L$19</f>
        <v>1.99</v>
      </c>
      <c r="M21" s="327">
        <f t="shared" si="2"/>
        <v>0.65</v>
      </c>
      <c r="N21" s="261">
        <f>L21*M21</f>
        <v>1.2935000000000001</v>
      </c>
      <c r="O21" s="259">
        <f>N21*K21</f>
        <v>1.2935000000000001</v>
      </c>
      <c r="P21" s="252">
        <f>P$20*N21</f>
        <v>162577.2218498755</v>
      </c>
      <c r="Q21" s="258">
        <f>P21+Q$20</f>
        <v>167577.2218498755</v>
      </c>
      <c r="R21" s="308">
        <f>K21*L21</f>
        <v>1.99</v>
      </c>
      <c r="S21" s="14"/>
      <c r="T21" s="9"/>
      <c r="W21" s="4"/>
    </row>
    <row r="22" spans="2:24" ht="17.399999999999999" x14ac:dyDescent="0.3">
      <c r="B22" s="321">
        <v>1</v>
      </c>
      <c r="C22" s="312" t="s">
        <v>161</v>
      </c>
      <c r="D22" s="324">
        <v>1.61</v>
      </c>
      <c r="E22" s="324">
        <v>0.6</v>
      </c>
      <c r="F22" s="312" t="s">
        <v>163</v>
      </c>
      <c r="G22" s="313">
        <v>127923</v>
      </c>
      <c r="H22" s="314">
        <f t="shared" si="1"/>
        <v>127923</v>
      </c>
      <c r="I22" s="265"/>
      <c r="J22" s="47"/>
      <c r="K22" s="326">
        <f>B22</f>
        <v>1</v>
      </c>
      <c r="L22" s="327">
        <f t="shared" ref="L22" si="3">D22+L$19</f>
        <v>1.6300000000000001</v>
      </c>
      <c r="M22" s="327">
        <f t="shared" ref="M22" si="4">E22+M$19</f>
        <v>0.6</v>
      </c>
      <c r="N22" s="261">
        <f>L22*M22</f>
        <v>0.97799999999999998</v>
      </c>
      <c r="O22" s="259">
        <f>N22*K22</f>
        <v>0.97799999999999998</v>
      </c>
      <c r="P22" s="252">
        <f>P$20*N22</f>
        <v>122922.70813233723</v>
      </c>
      <c r="Q22" s="258">
        <f>P22+Q$20</f>
        <v>127922.70813233723</v>
      </c>
      <c r="R22" s="308">
        <f>K22*L22</f>
        <v>1.6300000000000001</v>
      </c>
      <c r="S22" s="14"/>
      <c r="T22" s="9"/>
      <c r="W22" s="4"/>
    </row>
    <row r="23" spans="2:24" ht="17.399999999999999" x14ac:dyDescent="0.3">
      <c r="B23" s="321">
        <v>1</v>
      </c>
      <c r="C23" s="312" t="s">
        <v>162</v>
      </c>
      <c r="D23" s="324">
        <v>0.81</v>
      </c>
      <c r="E23" s="324">
        <v>0.65</v>
      </c>
      <c r="F23" s="312" t="s">
        <v>163</v>
      </c>
      <c r="G23" s="313">
        <v>72809</v>
      </c>
      <c r="H23" s="314">
        <f t="shared" ref="H23" si="5">G23*B23</f>
        <v>72809</v>
      </c>
      <c r="I23" s="265"/>
      <c r="J23" s="47"/>
      <c r="K23" s="326">
        <f>B23</f>
        <v>1</v>
      </c>
      <c r="L23" s="327">
        <f t="shared" ref="L23" si="6">D23+L$19</f>
        <v>0.83000000000000007</v>
      </c>
      <c r="M23" s="327">
        <f t="shared" ref="M23" si="7">E23+M$19</f>
        <v>0.65</v>
      </c>
      <c r="N23" s="261">
        <f>L23*M23</f>
        <v>0.53950000000000009</v>
      </c>
      <c r="O23" s="259">
        <f>N23*K23</f>
        <v>0.53950000000000009</v>
      </c>
      <c r="P23" s="252">
        <f>P$20*N23</f>
        <v>67808.590017787268</v>
      </c>
      <c r="Q23" s="258">
        <f>P23+Q$20</f>
        <v>72808.590017787268</v>
      </c>
      <c r="R23" s="308">
        <f>K23*L23</f>
        <v>0.83000000000000007</v>
      </c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5"/>
      <c r="H24" s="325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368309</v>
      </c>
      <c r="I26" s="265"/>
      <c r="J26" s="47"/>
      <c r="K26" s="47"/>
      <c r="L26" s="39">
        <f>SUM(L21:L25)</f>
        <v>4.45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69978.710000000006</v>
      </c>
      <c r="I27" s="265"/>
      <c r="J27" s="47"/>
      <c r="K27" s="47"/>
      <c r="L27" s="39">
        <f>L26+L21</f>
        <v>6.44</v>
      </c>
      <c r="M27" s="12"/>
      <c r="N27" s="12"/>
      <c r="O27" s="253">
        <f>SUM(O21:O23)</f>
        <v>2.8109999999999999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438287.71</v>
      </c>
      <c r="I28" s="265"/>
      <c r="J28" s="47"/>
      <c r="K28" s="47"/>
      <c r="L28" s="39"/>
      <c r="M28" s="12"/>
      <c r="N28" s="12"/>
      <c r="O28" s="253">
        <f>O27</f>
        <v>2.8109999999999999</v>
      </c>
      <c r="P28" s="14"/>
      <c r="Q28" s="12"/>
      <c r="R28" s="238">
        <f>SUM(R21:R27)</f>
        <v>4.45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0.56220000000000003</v>
      </c>
      <c r="P29" s="39" t="s">
        <v>131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8"/>
      <c r="K30" s="47"/>
      <c r="L30" s="14"/>
      <c r="M30" s="12"/>
      <c r="N30" s="12"/>
      <c r="O30" s="46">
        <f>O28+O29</f>
        <v>3.3731999999999998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8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O30*2</f>
        <v>6.7463999999999995</v>
      </c>
      <c r="M32" s="12">
        <v>3500</v>
      </c>
      <c r="N32" s="12">
        <f t="shared" ref="N32:N37" si="8">L32*M32</f>
        <v>23612.399999999998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2</v>
      </c>
      <c r="M33" s="12">
        <v>25000</v>
      </c>
      <c r="N33" s="12">
        <f t="shared" si="8"/>
        <v>50000</v>
      </c>
      <c r="O33" s="39" t="s">
        <v>154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17100</v>
      </c>
      <c r="N34" s="12">
        <f t="shared" si="8"/>
        <v>0</v>
      </c>
      <c r="O34" s="39" t="s">
        <v>155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150</v>
      </c>
      <c r="I35" s="262"/>
      <c r="J35" s="317"/>
      <c r="K35" s="250"/>
      <c r="L35" s="14">
        <v>2</v>
      </c>
      <c r="M35" s="250">
        <v>40000</v>
      </c>
      <c r="N35" s="12">
        <f t="shared" si="8"/>
        <v>80000</v>
      </c>
      <c r="O35" s="14" t="s">
        <v>156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143</v>
      </c>
      <c r="C36"/>
      <c r="D36"/>
      <c r="E36"/>
      <c r="F36"/>
      <c r="I36" s="262"/>
      <c r="J36" s="317"/>
      <c r="K36" s="250"/>
      <c r="L36" s="249"/>
      <c r="M36" s="250">
        <v>800</v>
      </c>
      <c r="N36" s="12">
        <f t="shared" si="8"/>
        <v>0</v>
      </c>
      <c r="O36" s="14" t="s">
        <v>33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J37" s="47"/>
      <c r="K37" s="250"/>
      <c r="L37" s="266"/>
      <c r="M37" s="12">
        <v>1500</v>
      </c>
      <c r="N37" s="12">
        <f t="shared" si="8"/>
        <v>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153612.4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47470</v>
      </c>
      <c r="K39" s="250"/>
      <c r="L39" s="254" t="s">
        <v>34</v>
      </c>
      <c r="M39" s="12"/>
      <c r="N39" s="255">
        <f>N38*2.3</f>
        <v>353308.51999999996</v>
      </c>
      <c r="O39" s="14" t="s">
        <v>140</v>
      </c>
      <c r="P39" s="14"/>
      <c r="Q39" s="46">
        <f>O28/Q38</f>
        <v>0.75792709232096633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39890.756302521011</v>
      </c>
      <c r="K40" s="250"/>
      <c r="L40" s="14"/>
      <c r="M40" s="12"/>
      <c r="N40" s="12">
        <f>N39/O28</f>
        <v>125687.84062611169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2.2999999999999998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0.73731147540983599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147</v>
      </c>
    </row>
    <row r="76" spans="3:14" x14ac:dyDescent="0.3">
      <c r="C76" t="s">
        <v>146</v>
      </c>
    </row>
    <row r="79" spans="3:14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45395</v>
      </c>
    </row>
    <row r="6" spans="2:31" ht="16.2" thickBot="1" x14ac:dyDescent="0.35">
      <c r="B6" s="140" t="s">
        <v>2</v>
      </c>
      <c r="C6" s="139" t="str">
        <f>'2229'!C10</f>
        <v>JEREMIAS NOVOA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11065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-32937.048366787443</v>
      </c>
    </row>
    <row r="10" spans="2:31" ht="16.2" thickBot="1" x14ac:dyDescent="0.35">
      <c r="D10" s="218" t="s">
        <v>30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368309</v>
      </c>
      <c r="E11" s="132">
        <f>D11*0.19</f>
        <v>69978.710000000006</v>
      </c>
      <c r="F11" s="131">
        <f>E11+D11</f>
        <v>438287.71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73052.951633212564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103446.4907874396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55052.951633212557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264862.50921256037</v>
      </c>
      <c r="E13" s="221">
        <f>(D11/D12)-1</f>
        <v>2.5603817702893004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46052.951633212557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30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7052.9516332125568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170686.70979927533</v>
      </c>
      <c r="F15" s="216">
        <f>E15-D12</f>
        <v>67240.219011835725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7052.9516332125568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47052.951633212557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30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23612.399999999998</v>
      </c>
      <c r="E20" s="121">
        <f>D20*0.19</f>
        <v>4486.3559999999998</v>
      </c>
      <c r="F20" s="120">
        <f>SUM(D20:E20)</f>
        <v>28098.755999999998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73612.399999999994</v>
      </c>
      <c r="E21" s="116">
        <f>SUM(E18:E20)</f>
        <v>13986.356</v>
      </c>
      <c r="F21" s="115">
        <f>SUM(F18:F20)</f>
        <v>87598.755999999994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55992.354000000007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368309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73612.399999999994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264862.50921256037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264862.50921256037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2024-08-09T18:10:17Z</cp:lastPrinted>
  <dcterms:created xsi:type="dcterms:W3CDTF">2013-03-18T13:35:42Z</dcterms:created>
  <dcterms:modified xsi:type="dcterms:W3CDTF">2024-08-13T13:44:04Z</dcterms:modified>
</cp:coreProperties>
</file>