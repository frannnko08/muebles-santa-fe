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8 AGOSTO 2024\"/>
    </mc:Choice>
  </mc:AlternateContent>
  <xr:revisionPtr revIDLastSave="0" documentId="13_ncr:1_{E27C66C0-5DB9-48B8-B64B-D5B460CA37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K22" i="1"/>
  <c r="L22" i="1"/>
  <c r="M22" i="1"/>
  <c r="N22" i="1" s="1"/>
  <c r="O22" i="1" s="1"/>
  <c r="K23" i="1"/>
  <c r="L23" i="1"/>
  <c r="M23" i="1"/>
  <c r="H23" i="1"/>
  <c r="K21" i="1"/>
  <c r="K10" i="1"/>
  <c r="R23" i="1" l="1"/>
  <c r="R22" i="1"/>
  <c r="N23" i="1"/>
  <c r="O23" i="1" s="1"/>
  <c r="J40" i="1"/>
  <c r="L21" i="1" l="1"/>
  <c r="L26" i="1" s="1"/>
  <c r="L27" i="1" s="1"/>
  <c r="M21" i="1"/>
  <c r="N21" i="1" l="1"/>
  <c r="O21" i="1" s="1"/>
  <c r="O27" i="1" s="1"/>
  <c r="R21" i="1"/>
  <c r="N33" i="1"/>
  <c r="O28" i="1" l="1"/>
  <c r="S45" i="1"/>
  <c r="O29" i="1" l="1"/>
  <c r="M20" i="1"/>
  <c r="K20" i="1"/>
  <c r="N34" i="1" l="1"/>
  <c r="Q38" i="1"/>
  <c r="Q39" i="1" s="1"/>
  <c r="N35" i="1" l="1"/>
  <c r="S38" i="1" l="1"/>
  <c r="S39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O30" i="1" l="1"/>
  <c r="L32" i="1" s="1"/>
  <c r="N32" i="1" l="1"/>
  <c r="S46" i="1"/>
  <c r="N38" i="1" l="1"/>
  <c r="N39" i="1" s="1"/>
  <c r="D20" i="3"/>
  <c r="E20" i="3" s="1"/>
  <c r="E21" i="3" s="1"/>
  <c r="N41" i="1" l="1"/>
  <c r="D21" i="3"/>
  <c r="M43" i="3" s="1"/>
  <c r="D12" i="3" s="1"/>
  <c r="F20" i="3"/>
  <c r="F21" i="3" s="1"/>
  <c r="N40" i="1" l="1"/>
  <c r="P20" i="1" s="1"/>
  <c r="E15" i="3"/>
  <c r="P23" i="1" l="1"/>
  <c r="Q23" i="1" s="1"/>
  <c r="P22" i="1"/>
  <c r="Q22" i="1" s="1"/>
  <c r="P21" i="1"/>
  <c r="F15" i="3"/>
  <c r="Q21" i="1" l="1"/>
  <c r="H21" i="1" s="1"/>
  <c r="H26" i="1" s="1"/>
  <c r="R28" i="1"/>
  <c r="H27" i="1" l="1"/>
  <c r="H28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<sst xmlns="http://schemas.openxmlformats.org/spreadsheetml/2006/main" count="221" uniqueCount="167">
  <si>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</si>
  <si>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</si>
  <si>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</si>
  <si>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</si>
  <si>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</si>
  <si>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</si>
  <si>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</si>
  <si>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</si>
  <si>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</si>
  <si>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</si>
  <si>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</si>
  <si>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</si>
  <si>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</si>
  <si>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</si>
  <si>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</si>
  <si>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</si>
  <si>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</si>
  <si>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</si>
  <si>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</si>
  <si>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</si>
  <si>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</si>
  <si>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</si>
  <si>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</si>
  <si>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</si>
  <si>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</si>
  <si>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</si>
  <si>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</si>
  <si>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</si>
  <si>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</si>
  <si>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</si>
  <si>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</si>
  <si>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</si>
  <si>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</si>
  <si>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</si>
  <si>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</si>
  <si>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</si>
  <si>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</si>
  <si>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</si>
  <si>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</si>
  <si>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</si>
  <si>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</si>
  <si>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</si>
  <si>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</si>
  <si>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</si>
  <si>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</si>
  <si>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</si>
  <si>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</si>
  <si>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</si>
  <si>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</si>
  <si>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</si>
  <si>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</si>
  <si>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</si>
  <si>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</si>
  <si>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</si>
  <si>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</si>
  <si>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</si>
  <si>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</si>
  <si>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</si>
  <si>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</si>
  <si>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</si>
  <si>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</si>
  <si>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</si>
  <si>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</si>
  <si>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</si>
  <si>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</si>
  <si>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</si>
  <si>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</si>
  <si>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</si>
  <si>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</si>
  <si>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</si>
  <si>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</si>
  <si>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</si>
  <si>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</si>
  <si>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</si>
  <si>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</si>
  <si>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</si>
  <si>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</si>
  <si>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</si>
  <si>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</si>
  <si>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</si>
  <si>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</si>
  <si>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</si>
  <si>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</si>
  <si>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</si>
  <si>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</si>
  <si>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</si>
  <si>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</si>
  <si>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</si>
  <si>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</si>
  <si>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</si>
  <si>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</si>
  <si>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</si>
  <si>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</si>
  <si>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</si>
  <si>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</si>
  <si>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</si>
  <si>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</si>
  <si>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</si>
  <si>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</si>
  <si>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</si>
  <si>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</si>
  <si>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</si>
  <si>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</si>
  <si>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</si>
  <si>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</si>
  <si>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</si>
  <si>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</si>
  <si>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</si>
  <si>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</si>
  <si>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</si>
  <si>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</si>
  <si>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</si>
  <si>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</si>
  <si>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</si>
  <si>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</si>
  <si>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</si>
  <si>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</si>
  <si>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</si>
  <si>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</si>
  <si>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</si>
  <si>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</si>
  <si>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</si>
  <si>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</si>
  <si>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</si>
  <si>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</si>
  <si>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</si>
  <si>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</si>
  <si>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</si>
  <si>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</si>
  <si>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</si>
  <si>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</si>
  <si>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</si>
  <si>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</si>
  <si>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</si>
  <si>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</si>
  <si>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</si>
  <si>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</si>
  <si>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</si>
  <si>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</si>
  <si>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</si>
  <si>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</si>
  <si>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</si>
  <si>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</si>
  <si>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</si>
  <si>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</si>
  <si>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</si>
  <si>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</si>
  <si>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</si>
  <si>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</si>
  <si>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</si>
  <si>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</si>
  <si>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</si>
  <si>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</si>
  <si>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ABONO 50%, SALDO C/E</t>
  </si>
  <si>
    <t>AGLOMERADO 24MM</t>
  </si>
  <si>
    <t>LAMINA 153 X 244</t>
  </si>
  <si>
    <t>LAMINA 122 X 305</t>
  </si>
  <si>
    <t>CONSTRUCTORA SEVIAL</t>
  </si>
  <si>
    <t>SHEILA</t>
  </si>
  <si>
    <t>+569 9893 7145</t>
  </si>
  <si>
    <t>2 DIAS HABILES</t>
  </si>
  <si>
    <t>SI</t>
  </si>
  <si>
    <t>DESPACHO MAS INSTALACION</t>
  </si>
  <si>
    <t>PATAS METALICAS CROMADAS</t>
  </si>
  <si>
    <t>CROMADA</t>
  </si>
  <si>
    <t>BASE DE APOYO</t>
  </si>
  <si>
    <t>MELAMINA BLANCA 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</si>
</sst>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0" fontId="21" fillId="20" borderId="42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" fillId="21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30</xdr:row>
      <xdr:rowOff>28575</xdr:rowOff>
    </xdr:from>
    <xdr:to>
      <xdr:col>8</xdr:col>
      <xdr:colOff>100890</xdr:colOff>
      <xdr:row>33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24</xdr:row>
      <xdr:rowOff>169545</xdr:rowOff>
    </xdr:from>
    <xdr:to>
      <xdr:col>5</xdr:col>
      <xdr:colOff>1764030</xdr:colOff>
      <xdr:row>28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SON PARA INSTALACION</a:t>
          </a:r>
        </a:p>
        <a:p>
          <a:pPr algn="l"/>
          <a:r>
            <a:rPr lang="es-CL" sz="1200" b="1"/>
            <a:t>SUSTRATO: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A6" zoomScale="98" zoomScaleNormal="98" workbookViewId="0">
      <selection activeCell="D13" sqref="D13"/>
    </sheetView>
  </sheetViews>
  <sheetFormatPr baseColWidth="10" defaultRowHeight="14.4" x14ac:dyDescent="0.3"/>
  <cols>
    <col min="1" max="1" width="6" customWidth="1"/>
    <col min="2" max="2" width="10.5546875" customWidth="1"/>
    <col min="3" max="3" width="42.44140625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141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138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142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19">
        <v>11064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157</v>
      </c>
      <c r="D10" s="243"/>
      <c r="E10" s="243"/>
      <c r="F10" s="244" t="s">
        <v>0</v>
      </c>
      <c r="G10" s="277">
        <v>45395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160</v>
      </c>
      <c r="H11" s="290"/>
      <c r="P11" s="19"/>
      <c r="Q11" s="25" t="s">
        <v>19</v>
      </c>
      <c r="R11" s="19"/>
    </row>
    <row r="12" spans="2:23" ht="16.8" x14ac:dyDescent="0.4">
      <c r="B12" s="246" t="s">
        <v>144</v>
      </c>
      <c r="C12" s="311"/>
      <c r="D12" s="247"/>
      <c r="E12" s="247"/>
      <c r="F12" s="247" t="s">
        <v>128</v>
      </c>
      <c r="G12" s="278" t="s">
        <v>161</v>
      </c>
      <c r="H12" s="248"/>
      <c r="P12" s="19"/>
      <c r="Q12" s="25"/>
      <c r="R12" s="19"/>
    </row>
    <row r="13" spans="2:23" x14ac:dyDescent="0.3">
      <c r="B13" s="246" t="s">
        <v>145</v>
      </c>
      <c r="C13" t="s">
        <v>158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139</v>
      </c>
      <c r="C14" s="306"/>
      <c r="F14" s="29" t="s">
        <v>136</v>
      </c>
      <c r="G14" s="291" t="s">
        <v>161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2" t="s">
        <v>159</v>
      </c>
      <c r="D15" s="295"/>
      <c r="E15" s="247"/>
      <c r="F15" s="247" t="s">
        <v>135</v>
      </c>
      <c r="G15" s="296" t="s">
        <v>161</v>
      </c>
      <c r="H15" s="248"/>
    </row>
    <row r="16" spans="2:23" ht="16.8" x14ac:dyDescent="0.4">
      <c r="B16" s="292" t="s">
        <v>3</v>
      </c>
      <c r="C16" s="311"/>
      <c r="F16" s="293" t="s">
        <v>130</v>
      </c>
      <c r="G16" s="294" t="s">
        <v>153</v>
      </c>
      <c r="H16" s="290"/>
    </row>
    <row r="17" spans="2:24" ht="15" thickBot="1" x14ac:dyDescent="0.35">
      <c r="B17" s="297" t="s">
        <v>13</v>
      </c>
      <c r="C17" s="298" t="s">
        <v>151</v>
      </c>
      <c r="D17" s="299"/>
      <c r="E17" s="300"/>
      <c r="F17" s="328" t="s">
        <v>152</v>
      </c>
      <c r="G17" s="328"/>
      <c r="H17" s="329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0" t="s">
        <v>146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0.02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137</v>
      </c>
      <c r="T19" s="9"/>
      <c r="U19" s="9"/>
      <c r="W19" s="6"/>
      <c r="X19" s="6"/>
    </row>
    <row r="20" spans="2:24" ht="18" thickBot="1" x14ac:dyDescent="0.35">
      <c r="B20" s="320" t="s">
        <v>7</v>
      </c>
      <c r="C20" s="315" t="s">
        <v>1</v>
      </c>
      <c r="D20" s="323" t="s">
        <v>10</v>
      </c>
      <c r="E20" s="323" t="s">
        <v>11</v>
      </c>
      <c r="F20" s="315" t="s">
        <v>8</v>
      </c>
      <c r="G20" s="315" t="s">
        <v>5</v>
      </c>
      <c r="H20" s="316" t="s">
        <v>6</v>
      </c>
      <c r="I20" s="265"/>
      <c r="J20" s="47"/>
      <c r="K20" s="268" t="str">
        <f t="shared" ref="K20" si="0">B20</f>
        <v>UNIDAD</v>
      </c>
      <c r="L20" s="267" t="s">
        <v>132</v>
      </c>
      <c r="M20" s="39" t="str">
        <f>E20</f>
        <v>ANCHO</v>
      </c>
      <c r="N20" s="261" t="s">
        <v>133</v>
      </c>
      <c r="O20" s="259" t="s">
        <v>17</v>
      </c>
      <c r="P20" s="252">
        <f>N40</f>
        <v>168892.54414125197</v>
      </c>
      <c r="Q20" s="258">
        <v>10000</v>
      </c>
      <c r="R20" s="38"/>
      <c r="S20" s="14" t="s">
        <v>129</v>
      </c>
      <c r="T20" s="9"/>
      <c r="W20" s="4"/>
    </row>
    <row r="21" spans="2:24" ht="17.399999999999999" x14ac:dyDescent="0.3">
      <c r="B21" s="321">
        <v>6</v>
      </c>
      <c r="C21" s="312" t="s">
        <v>163</v>
      </c>
      <c r="D21" s="324">
        <v>0.87</v>
      </c>
      <c r="E21" s="324">
        <v>0.06</v>
      </c>
      <c r="F21" s="312" t="s">
        <v>164</v>
      </c>
      <c r="G21" s="313">
        <v>8739</v>
      </c>
      <c r="H21" s="314">
        <f t="shared" ref="H21:H22" si="1">G21*B21</f>
        <v>52434</v>
      </c>
      <c r="I21" s="265"/>
      <c r="J21" s="47"/>
      <c r="K21" s="326">
        <f>B21</f>
        <v>6</v>
      </c>
      <c r="L21" s="327">
        <f t="shared" ref="L21:M21" si="2">D21+L$19</f>
        <v>0.89</v>
      </c>
      <c r="M21" s="327">
        <f t="shared" si="2"/>
        <v>0.06</v>
      </c>
      <c r="N21" s="261">
        <f>L21*M21</f>
        <v>5.3399999999999996E-2</v>
      </c>
      <c r="O21" s="259">
        <f>N21*K21</f>
        <v>0.32039999999999996</v>
      </c>
      <c r="P21" s="252">
        <f>P$20*N21</f>
        <v>9018.8618571428542</v>
      </c>
      <c r="Q21" s="258">
        <f>P21+Q$20</f>
        <v>19018.861857142852</v>
      </c>
      <c r="R21" s="308">
        <f>K21*L21</f>
        <v>5.34</v>
      </c>
      <c r="S21" s="14"/>
      <c r="T21" s="9"/>
      <c r="W21" s="4"/>
    </row>
    <row r="22" spans="2:24" ht="17.399999999999999" x14ac:dyDescent="0.3">
      <c r="B22" s="321">
        <v>4</v>
      </c>
      <c r="C22" s="312" t="s">
        <v>165</v>
      </c>
      <c r="D22" s="324">
        <v>0.87</v>
      </c>
      <c r="E22" s="324">
        <v>0.4</v>
      </c>
      <c r="F22" s="312" t="s">
        <v>166</v>
      </c>
      <c r="G22" s="313">
        <v>5950</v>
      </c>
      <c r="H22" s="314">
        <f t="shared" si="1"/>
        <v>23800</v>
      </c>
      <c r="I22" s="265"/>
      <c r="J22" s="47"/>
      <c r="K22" s="326">
        <f>B22</f>
        <v>4</v>
      </c>
      <c r="L22" s="327">
        <f t="shared" ref="L22" si="3">D22+L$19</f>
        <v>0.89</v>
      </c>
      <c r="M22" s="327">
        <f t="shared" ref="M22" si="4">E22+M$19</f>
        <v>0.4</v>
      </c>
      <c r="N22" s="261">
        <f>L22*M22</f>
        <v>0.35600000000000004</v>
      </c>
      <c r="O22" s="259">
        <f>N22*K22</f>
        <v>1.4240000000000002</v>
      </c>
      <c r="P22" s="252">
        <f>P$20*N22</f>
        <v>60125.745714285709</v>
      </c>
      <c r="Q22" s="258">
        <f>P22+Q$20</f>
        <v>70125.745714285702</v>
      </c>
      <c r="R22" s="308">
        <f>K22*L22</f>
        <v>3.56</v>
      </c>
      <c r="S22" s="14"/>
      <c r="T22" s="9"/>
      <c r="W22" s="4"/>
    </row>
    <row r="23" spans="2:24" ht="17.399999999999999" x14ac:dyDescent="0.3">
      <c r="B23" s="321">
        <v>1</v>
      </c>
      <c r="C23" s="312" t="s">
        <v>162</v>
      </c>
      <c r="D23" s="324"/>
      <c r="E23" s="324"/>
      <c r="F23" s="312"/>
      <c r="G23" s="313">
        <v>50000</v>
      </c>
      <c r="H23" s="314">
        <f t="shared" ref="H23" si="5">G23*B23</f>
        <v>50000</v>
      </c>
      <c r="I23" s="265"/>
      <c r="J23" s="47"/>
      <c r="K23" s="326">
        <f>B23</f>
        <v>1</v>
      </c>
      <c r="L23" s="327">
        <f t="shared" ref="L23" si="6">D23+L$19</f>
        <v>0.02</v>
      </c>
      <c r="M23" s="327">
        <f t="shared" ref="M23" si="7">E23+M$19</f>
        <v>0</v>
      </c>
      <c r="N23" s="261">
        <f>L23*M23</f>
        <v>0</v>
      </c>
      <c r="O23" s="259">
        <f>N23*K23</f>
        <v>0</v>
      </c>
      <c r="P23" s="252">
        <f>P$20*N23</f>
        <v>0</v>
      </c>
      <c r="Q23" s="258">
        <f>P23+Q$20</f>
        <v>10000</v>
      </c>
      <c r="R23" s="308">
        <f>K23*L23</f>
        <v>0.02</v>
      </c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25"/>
      <c r="H24" s="325"/>
      <c r="I24" s="265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/>
      <c r="H25" s="232"/>
      <c r="I25" s="232"/>
      <c r="J25" s="47"/>
      <c r="K25" s="47"/>
      <c r="L25" s="39"/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09" t="s">
        <v>30</v>
      </c>
      <c r="H26" s="310">
        <f>SUM(H21:H25)</f>
        <v>126234</v>
      </c>
      <c r="I26" s="265"/>
      <c r="J26" s="47"/>
      <c r="K26" s="47"/>
      <c r="L26" s="39">
        <f>SUM(L21:L25)</f>
        <v>1.8</v>
      </c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307" t="s">
        <v>52</v>
      </c>
      <c r="H27" s="304">
        <f>H26*19%</f>
        <v>23984.46</v>
      </c>
      <c r="I27" s="265"/>
      <c r="J27" s="47"/>
      <c r="K27" s="47"/>
      <c r="L27" s="39">
        <f>L26+L21</f>
        <v>2.69</v>
      </c>
      <c r="M27" s="12"/>
      <c r="N27" s="12"/>
      <c r="O27" s="253">
        <f>SUM(O21:O23)</f>
        <v>1.7444000000000002</v>
      </c>
      <c r="P27" s="14"/>
      <c r="Q27" s="12"/>
      <c r="R27" s="238"/>
      <c r="S27" s="14"/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305">
        <f>H26+H27</f>
        <v>150218.46</v>
      </c>
      <c r="I28" s="265"/>
      <c r="J28" s="47"/>
      <c r="K28" s="47"/>
      <c r="L28" s="39"/>
      <c r="M28" s="12"/>
      <c r="N28" s="12"/>
      <c r="O28" s="253">
        <f>O27</f>
        <v>1.7444000000000002</v>
      </c>
      <c r="P28" s="14"/>
      <c r="Q28" s="12"/>
      <c r="R28" s="238">
        <f>SUM(R21:R27)</f>
        <v>8.92</v>
      </c>
      <c r="S28" s="14"/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/>
      <c r="K29" s="47"/>
      <c r="L29" s="14"/>
      <c r="M29" s="12"/>
      <c r="N29" s="12"/>
      <c r="O29" s="39">
        <f>O28*20%</f>
        <v>0.34888000000000008</v>
      </c>
      <c r="P29" s="39" t="s">
        <v>131</v>
      </c>
      <c r="Q29" s="42"/>
      <c r="R29" s="239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318"/>
      <c r="K30" s="47"/>
      <c r="L30" s="14"/>
      <c r="M30" s="12"/>
      <c r="N30" s="12"/>
      <c r="O30" s="46">
        <f>O28+O29</f>
        <v>2.09328</v>
      </c>
      <c r="P30" s="14"/>
      <c r="Q30" s="14"/>
      <c r="R30" s="237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2"/>
      <c r="F31" s="233"/>
      <c r="G31" s="230"/>
      <c r="H31" s="275"/>
      <c r="I31" s="265"/>
      <c r="J31" s="318"/>
      <c r="K31" s="47"/>
      <c r="L31" s="14"/>
      <c r="M31" s="14"/>
      <c r="N31" s="14"/>
      <c r="O31" s="14"/>
      <c r="P31" s="14"/>
      <c r="Q31" s="14"/>
      <c r="R31" s="237"/>
      <c r="S31" s="14"/>
      <c r="T31" s="9"/>
      <c r="W31" s="4"/>
    </row>
    <row r="32" spans="2:24" ht="17.399999999999999" x14ac:dyDescent="0.35">
      <c r="B32" s="234"/>
      <c r="C32" s="235"/>
      <c r="D32" s="236"/>
      <c r="E32" s="234"/>
      <c r="F32" s="230"/>
      <c r="G32" s="230"/>
      <c r="I32" s="265"/>
      <c r="J32" s="47"/>
      <c r="K32" s="47"/>
      <c r="L32" s="39">
        <f>O30</f>
        <v>2.09328</v>
      </c>
      <c r="M32" s="12">
        <v>3500</v>
      </c>
      <c r="N32" s="12">
        <f t="shared" ref="N32:N37" si="8">L32*M32</f>
        <v>7326.4800000000005</v>
      </c>
      <c r="O32" s="14" t="s">
        <v>22</v>
      </c>
      <c r="P32" s="14" t="s">
        <v>23</v>
      </c>
      <c r="Q32" s="14"/>
      <c r="R32" s="240"/>
      <c r="S32" s="14"/>
      <c r="T32" s="9"/>
      <c r="W32" s="4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1.5</v>
      </c>
      <c r="M33" s="12">
        <v>25000</v>
      </c>
      <c r="N33" s="12">
        <f t="shared" si="8"/>
        <v>37500</v>
      </c>
      <c r="O33" s="39" t="s">
        <v>154</v>
      </c>
      <c r="P33" s="42"/>
      <c r="Q33" s="14"/>
      <c r="R33" s="239"/>
      <c r="S33" s="14"/>
      <c r="T33" s="9"/>
      <c r="W33" s="4"/>
    </row>
    <row r="34" spans="2:23" s="230" customFormat="1" ht="17.399999999999999" x14ac:dyDescent="0.35">
      <c r="I34" s="262"/>
      <c r="J34" s="47"/>
      <c r="K34" s="250"/>
      <c r="L34" s="14"/>
      <c r="M34" s="250">
        <v>17100</v>
      </c>
      <c r="N34" s="12">
        <f t="shared" si="8"/>
        <v>0</v>
      </c>
      <c r="O34" s="39" t="s">
        <v>155</v>
      </c>
      <c r="P34" s="42"/>
      <c r="R34" s="239"/>
      <c r="S34" s="256"/>
      <c r="V34" s="231"/>
    </row>
    <row r="35" spans="2:23" s="230" customFormat="1" ht="17.399999999999999" x14ac:dyDescent="0.35">
      <c r="B35" s="24" t="s">
        <v>150</v>
      </c>
      <c r="I35" s="262"/>
      <c r="J35" s="317"/>
      <c r="K35" s="250"/>
      <c r="L35" s="14">
        <v>2</v>
      </c>
      <c r="M35" s="250">
        <v>35000</v>
      </c>
      <c r="N35" s="12">
        <f t="shared" si="8"/>
        <v>70000</v>
      </c>
      <c r="O35" s="14" t="s">
        <v>156</v>
      </c>
      <c r="P35" s="17"/>
      <c r="R35" s="237"/>
      <c r="S35" s="256"/>
      <c r="V35" s="231"/>
    </row>
    <row r="36" spans="2:23" s="230" customFormat="1" ht="17.399999999999999" x14ac:dyDescent="0.35">
      <c r="B36" s="24" t="s">
        <v>143</v>
      </c>
      <c r="C36"/>
      <c r="D36"/>
      <c r="E36"/>
      <c r="F36"/>
      <c r="I36" s="262"/>
      <c r="J36" s="317"/>
      <c r="K36" s="250"/>
      <c r="L36" s="249"/>
      <c r="M36" s="250">
        <v>800</v>
      </c>
      <c r="N36" s="12">
        <f t="shared" si="8"/>
        <v>0</v>
      </c>
      <c r="O36" s="14" t="s">
        <v>33</v>
      </c>
      <c r="P36" s="14"/>
      <c r="Q36" s="230">
        <v>1.52</v>
      </c>
      <c r="R36" s="237"/>
      <c r="S36" s="237"/>
    </row>
    <row r="37" spans="2:23" s="230" customFormat="1" ht="17.399999999999999" x14ac:dyDescent="0.35">
      <c r="B37" s="29" t="s">
        <v>126</v>
      </c>
      <c r="C37"/>
      <c r="D37"/>
      <c r="E37"/>
      <c r="F37" s="229" t="s">
        <v>16</v>
      </c>
      <c r="I37" s="303"/>
      <c r="J37" s="47"/>
      <c r="K37" s="250"/>
      <c r="L37" s="266">
        <v>8.8450000000000006</v>
      </c>
      <c r="M37" s="12">
        <v>1500</v>
      </c>
      <c r="N37" s="12">
        <f t="shared" si="8"/>
        <v>13267.500000000002</v>
      </c>
      <c r="O37" s="14" t="s">
        <v>24</v>
      </c>
      <c r="P37" s="14"/>
      <c r="Q37">
        <v>2.44</v>
      </c>
      <c r="R37"/>
      <c r="S37" s="237">
        <v>1500</v>
      </c>
      <c r="W37" s="231"/>
    </row>
    <row r="38" spans="2:23" s="230" customFormat="1" ht="17.399999999999999" x14ac:dyDescent="0.35">
      <c r="J38" s="47"/>
      <c r="K38" s="250"/>
      <c r="L38" s="14"/>
      <c r="M38" s="12"/>
      <c r="N38" s="12">
        <f>SUM(N32:N37)</f>
        <v>128093.98000000001</v>
      </c>
      <c r="O38" s="39" t="s">
        <v>25</v>
      </c>
      <c r="P38" s="14"/>
      <c r="Q38">
        <f>Q36*Q37</f>
        <v>3.7088000000000001</v>
      </c>
      <c r="R38"/>
      <c r="S38" s="237">
        <f>R30*S37</f>
        <v>60000</v>
      </c>
      <c r="W38" s="231"/>
    </row>
    <row r="39" spans="2:23" s="230" customFormat="1" ht="17.399999999999999" x14ac:dyDescent="0.35">
      <c r="J39" s="47">
        <v>74160</v>
      </c>
      <c r="K39" s="250"/>
      <c r="L39" s="254" t="s">
        <v>34</v>
      </c>
      <c r="M39" s="12"/>
      <c r="N39" s="255">
        <f>N38*2.3</f>
        <v>294616.15399999998</v>
      </c>
      <c r="O39" s="14" t="s">
        <v>140</v>
      </c>
      <c r="P39" s="14"/>
      <c r="Q39" s="46">
        <f>O28/Q38</f>
        <v>0.47034081104400349</v>
      </c>
      <c r="R39"/>
      <c r="S39" s="257" t="e">
        <f>S38/#REF!</f>
        <v>#REF!</v>
      </c>
    </row>
    <row r="40" spans="2:23" s="230" customFormat="1" ht="17.399999999999999" x14ac:dyDescent="0.35">
      <c r="G40"/>
      <c r="H40" s="260"/>
      <c r="I40" s="260"/>
      <c r="J40" s="47">
        <f>J39/1.19</f>
        <v>62319.327731092439</v>
      </c>
      <c r="K40" s="250"/>
      <c r="L40" s="14"/>
      <c r="M40" s="12"/>
      <c r="N40" s="12">
        <f>N39/O28</f>
        <v>168892.54414125197</v>
      </c>
      <c r="O40" s="45" t="s">
        <v>26</v>
      </c>
      <c r="P40" s="14"/>
      <c r="Q40" s="14"/>
      <c r="R40"/>
      <c r="S40" s="237"/>
    </row>
    <row r="41" spans="2:23" s="230" customFormat="1" ht="17.399999999999999" x14ac:dyDescent="0.35">
      <c r="G41"/>
      <c r="J41" s="47"/>
      <c r="K41" s="250"/>
      <c r="L41" s="13"/>
      <c r="M41" s="14"/>
      <c r="N41" s="17">
        <f>N39/N38</f>
        <v>2.2999999999999998</v>
      </c>
      <c r="O41" s="15"/>
      <c r="P41"/>
      <c r="Q41"/>
      <c r="R41"/>
      <c r="S41" s="237"/>
    </row>
    <row r="42" spans="2:23" s="230" customFormat="1" ht="17.399999999999999" x14ac:dyDescent="0.35">
      <c r="G42" s="23"/>
      <c r="J42" s="47"/>
      <c r="K42" s="12"/>
      <c r="S42" s="237"/>
    </row>
    <row r="43" spans="2:23" s="230" customFormat="1" ht="17.399999999999999" x14ac:dyDescent="0.35">
      <c r="B43"/>
      <c r="C43" s="228"/>
      <c r="D43" s="22"/>
      <c r="E43" s="22"/>
      <c r="F43" s="21"/>
      <c r="G43" s="23"/>
      <c r="J43" s="47"/>
      <c r="K43" s="12"/>
      <c r="S43" s="237">
        <v>1.83</v>
      </c>
    </row>
    <row r="44" spans="2:23" ht="14.4" customHeight="1" x14ac:dyDescent="0.3">
      <c r="J44" s="47"/>
      <c r="K44" s="12"/>
      <c r="S44">
        <v>2.5</v>
      </c>
    </row>
    <row r="45" spans="2:23" x14ac:dyDescent="0.3">
      <c r="J45" s="47"/>
      <c r="K45" s="250"/>
      <c r="S45">
        <f>S43*S44</f>
        <v>4.5750000000000002</v>
      </c>
    </row>
    <row r="46" spans="2:23" x14ac:dyDescent="0.3">
      <c r="K46" s="250"/>
      <c r="S46" s="270">
        <f>O30/S45</f>
        <v>0.45754754098360656</v>
      </c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28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147</v>
      </c>
    </row>
    <row r="76" spans="3:14" x14ac:dyDescent="0.3">
      <c r="C76" t="s">
        <v>146</v>
      </c>
    </row>
    <row r="79" spans="3:14" x14ac:dyDescent="0.3">
      <c r="C79" t="s">
        <v>146</v>
      </c>
    </row>
    <row r="156" spans="3:3" x14ac:dyDescent="0.3">
      <c r="C156" t="s">
        <v>146</v>
      </c>
    </row>
    <row r="157" spans="3:3" x14ac:dyDescent="0.3">
      <c r="C157" t="s">
        <v>148</v>
      </c>
    </row>
    <row r="158" spans="3:3" x14ac:dyDescent="0.3">
      <c r="C158" t="s">
        <v>149</v>
      </c>
    </row>
    <row r="583" spans="3:3" x14ac:dyDescent="0.3">
      <c r="C583" t="s">
        <v>146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6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45395</v>
      </c>
    </row>
    <row r="6" spans="2:31" ht="16.2" thickBot="1" x14ac:dyDescent="0.35">
      <c r="B6" s="140" t="s">
        <v>2</v>
      </c>
      <c r="C6" s="139" t="str">
        <f>'2229'!C10</f>
        <v>CONSTRUCTORA SEVIAL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99</v>
      </c>
      <c r="I7" s="335"/>
      <c r="J7" s="335"/>
      <c r="K7" s="336"/>
      <c r="N7" s="75"/>
      <c r="O7" s="333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11064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3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-507.34303345410689</v>
      </c>
    </row>
    <row r="10" spans="2:31" ht="16.2" thickBot="1" x14ac:dyDescent="0.35">
      <c r="D10" s="218" t="s">
        <v>30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'2229'!H26</f>
        <v>126234</v>
      </c>
      <c r="E11" s="132">
        <f>D11*0.19</f>
        <v>23984.46</v>
      </c>
      <c r="F11" s="131">
        <f>E11+D11</f>
        <v>150218.46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105482.6569665459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74660.570787439618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87482.656966545896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51573.429212560382</v>
      </c>
      <c r="E13" s="221">
        <f>(D11/D12)-1</f>
        <v>0.690771965290637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78482.656966545896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30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39482.656966545896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123189.94179927536</v>
      </c>
      <c r="F15" s="216">
        <f>E15-D12</f>
        <v>48529.371011835741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39482.656966545896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79482.656966545896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30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'2229'!N33</f>
        <v>37500</v>
      </c>
      <c r="E19" s="123">
        <f>D19*0.19</f>
        <v>7125</v>
      </c>
      <c r="F19" s="120">
        <f>SUM(D19:E19)</f>
        <v>44625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7326.4800000000005</v>
      </c>
      <c r="E20" s="121">
        <f>D20*0.19</f>
        <v>1392.0312000000001</v>
      </c>
      <c r="F20" s="120">
        <f>SUM(D20:E20)</f>
        <v>8718.5112000000008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44826.48</v>
      </c>
      <c r="E21" s="116">
        <f>SUM(E18:E20)</f>
        <v>8517.0311999999994</v>
      </c>
      <c r="F21" s="115">
        <f>SUM(F18:F20)</f>
        <v>53343.511200000001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15467.4288</v>
      </c>
    </row>
    <row r="41" spans="2:16" ht="15" thickBot="1" x14ac:dyDescent="0.35">
      <c r="H41" s="337" t="s">
        <v>61</v>
      </c>
      <c r="I41" s="338"/>
      <c r="J41" s="338"/>
      <c r="K41" s="338"/>
      <c r="L41" s="338"/>
      <c r="M41" s="339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126234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44826.48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51573.429212560382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51573.429212560382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2024-08-09T18:10:17Z</cp:lastPrinted>
  <dcterms:created xsi:type="dcterms:W3CDTF">2013-03-18T13:35:42Z</dcterms:created>
  <dcterms:modified xsi:type="dcterms:W3CDTF">2024-08-13T12:53:38Z</dcterms:modified>
</cp:coreProperties>
</file>