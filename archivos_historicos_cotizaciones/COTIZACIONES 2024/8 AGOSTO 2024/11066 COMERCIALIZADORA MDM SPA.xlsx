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2BF39CC2-8B26-467A-A3DD-5C82345AB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4" i="1"/>
  <c r="K25" i="1"/>
  <c r="H22" i="1" l="1"/>
  <c r="H23" i="1"/>
  <c r="H24" i="1"/>
  <c r="L22" i="1"/>
  <c r="R22" i="1" s="1"/>
  <c r="M22" i="1"/>
  <c r="L23" i="1"/>
  <c r="M23" i="1"/>
  <c r="L24" i="1"/>
  <c r="N24" i="1" s="1"/>
  <c r="O24" i="1" s="1"/>
  <c r="M24" i="1"/>
  <c r="N22" i="1" l="1"/>
  <c r="N23" i="1"/>
  <c r="O23" i="1" s="1"/>
  <c r="R23" i="1"/>
  <c r="R24" i="1"/>
  <c r="O22" i="1"/>
  <c r="O29" i="1" l="1"/>
  <c r="K10" i="1"/>
  <c r="J42" i="1" l="1"/>
  <c r="L21" i="1" l="1"/>
  <c r="L28" i="1" s="1"/>
  <c r="M21" i="1"/>
  <c r="N21" i="1" l="1"/>
  <c r="O21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3" i="1" l="1"/>
  <c r="Q23" i="1" s="1"/>
  <c r="P22" i="1"/>
  <c r="Q22" i="1" s="1"/>
  <c r="P24" i="1"/>
  <c r="Q24" i="1" s="1"/>
  <c r="P21" i="1"/>
  <c r="F15" i="3"/>
  <c r="Q21" i="1" l="1"/>
  <c r="H21" i="1" s="1"/>
  <c r="R30" i="1"/>
  <c r="H28" i="1" l="1"/>
  <c r="H29" i="1" s="1"/>
  <c r="H3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<sst xmlns="http://schemas.openxmlformats.org/spreadsheetml/2006/main" count="226" uniqueCount="168">
  <si>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</si>
  <si>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</si>
  <si>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</si>
  <si>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</si>
  <si>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</si>
  <si>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</si>
  <si>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</si>
  <si>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</si>
  <si>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</si>
  <si>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</si>
  <si>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</si>
  <si>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</si>
  <si>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</si>
  <si>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</si>
  <si>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</si>
  <si>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</si>
  <si>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</si>
  <si>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</si>
  <si>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</si>
  <si>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</si>
  <si>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</si>
  <si>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</si>
  <si>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</si>
  <si>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</si>
  <si>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</si>
  <si>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</si>
  <si>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</si>
  <si>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</si>
  <si>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</si>
  <si>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</si>
  <si>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</si>
  <si>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</si>
  <si>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</si>
  <si>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</si>
  <si>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</si>
  <si>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</si>
  <si>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</si>
  <si>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</si>
  <si>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</si>
  <si>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</si>
  <si>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</si>
  <si>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</si>
  <si>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</si>
  <si>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</si>
  <si>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</si>
  <si>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</si>
  <si>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</si>
  <si>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</si>
  <si>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</si>
  <si>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</si>
  <si>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</si>
  <si>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</si>
  <si>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</si>
  <si>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</si>
  <si>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</si>
  <si>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</si>
  <si>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</si>
  <si>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</si>
  <si>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</si>
  <si>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</si>
  <si>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</si>
  <si>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</si>
  <si>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</si>
  <si>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</si>
  <si>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</si>
  <si>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</si>
  <si>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</si>
  <si>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</si>
  <si>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</si>
  <si>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</si>
  <si>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</si>
  <si>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</si>
  <si>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</si>
  <si>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</si>
  <si>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</si>
  <si>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</si>
  <si>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</si>
  <si>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</si>
  <si>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</si>
  <si>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</si>
  <si>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</si>
  <si>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</si>
  <si>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</si>
  <si>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</si>
  <si>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</si>
  <si>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</si>
  <si>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</si>
  <si>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</si>
  <si>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</si>
  <si>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</si>
  <si>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</si>
  <si>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</si>
  <si>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</si>
  <si>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</si>
  <si>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</si>
  <si>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</si>
  <si>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</si>
  <si>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</si>
  <si>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</si>
  <si>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</si>
  <si>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</si>
  <si>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</si>
  <si>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</si>
  <si>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</si>
  <si>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</si>
  <si>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</si>
  <si>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</si>
  <si>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</si>
  <si>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</si>
  <si>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</si>
  <si>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</si>
  <si>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</si>
  <si>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</si>
  <si>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</si>
  <si>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</si>
  <si>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</si>
  <si>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</si>
  <si>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</si>
  <si>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</si>
  <si>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</si>
  <si>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</si>
  <si>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</si>
  <si>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</si>
  <si>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</si>
  <si>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</si>
  <si>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</si>
  <si>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</si>
  <si>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</si>
  <si>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</si>
  <si>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</si>
  <si>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</si>
  <si>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</si>
  <si>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</si>
  <si>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</si>
  <si>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</si>
  <si>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</si>
  <si>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</si>
  <si>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</si>
  <si>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</si>
  <si>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</si>
  <si>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</si>
  <si>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</si>
  <si>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</si>
  <si>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</si>
  <si>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</si>
  <si>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</si>
  <si>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</si>
  <si>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</si>
  <si>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</si>
  <si>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</si>
  <si>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</si>
  <si>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</si>
  <si>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</si>
  <si>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</si>
  <si>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</si>
  <si>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</si>
  <si>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</si>
  <si>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</si>
  <si>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</si>
  <si>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</si>
  <si>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+569 85526125</t>
  </si>
  <si>
    <t>COMERCILIAZADORA MDM SPA</t>
  </si>
  <si>
    <t>DANIELA MORA</t>
  </si>
  <si>
    <t>PR6</t>
  </si>
  <si>
    <t>CUB MESA 180° 2 LADOS</t>
  </si>
  <si>
    <t>CUB S/R 180°</t>
  </si>
  <si>
    <t>VAINILLA 2109 MT</t>
  </si>
  <si>
    <t>N° 11066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</si>
</sst>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NOTA: LA CUBIERTA DE 3700 NO SE PUEDE HACER A ESE LARGO, POR ESO ESTA DIVIDA EN 2 PARTES IGUALES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9" zoomScale="98" zoomScaleNormal="98" workbookViewId="0">
      <selection activeCell="B24" sqref="B24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45524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t="s">
        <v>162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7" t="s">
        <v>160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31" t="s">
        <v>154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3" t="s">
        <v>149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150314.20289855075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4">
        <v>4</v>
      </c>
      <c r="C21" s="325" t="s">
        <v>163</v>
      </c>
      <c r="D21" s="326">
        <v>0.52</v>
      </c>
      <c r="E21" s="326">
        <v>0.39500000000000002</v>
      </c>
      <c r="F21" s="329" t="s">
        <v>166</v>
      </c>
      <c r="G21" s="327">
        <v>24577</v>
      </c>
      <c r="H21" s="328">
        <f t="shared" ref="H21" si="1">G21*B21</f>
        <v>98308</v>
      </c>
      <c r="I21" s="265"/>
      <c r="J21" s="47"/>
      <c r="K21" s="319"/>
      <c r="L21" s="320">
        <f t="shared" ref="L21:M21" si="2">D21+L$19</f>
        <v>0.57000000000000006</v>
      </c>
      <c r="M21" s="320">
        <f t="shared" si="2"/>
        <v>0.39500000000000002</v>
      </c>
      <c r="N21" s="261">
        <f>L21*M21</f>
        <v>0.22515000000000004</v>
      </c>
      <c r="O21" s="259">
        <f>N21*K21</f>
        <v>0</v>
      </c>
      <c r="P21" s="252">
        <f>P$20*N21</f>
        <v>33843.242782608708</v>
      </c>
      <c r="Q21" s="258">
        <f>P21+Q$20</f>
        <v>36843.242782608708</v>
      </c>
      <c r="R21" s="308">
        <f>K21*L21</f>
        <v>0</v>
      </c>
      <c r="S21" s="14"/>
      <c r="T21" s="9"/>
      <c r="W21" s="4"/>
    </row>
    <row r="22" spans="2:24" ht="17.399999999999999" x14ac:dyDescent="0.3">
      <c r="B22" s="329">
        <v>2</v>
      </c>
      <c r="C22" s="329" t="s">
        <v>164</v>
      </c>
      <c r="D22" s="318">
        <v>0.6</v>
      </c>
      <c r="E22" s="318">
        <v>0.4</v>
      </c>
      <c r="F22" s="329" t="s">
        <v>166</v>
      </c>
      <c r="G22" s="330">
        <v>37486</v>
      </c>
      <c r="H22" s="312">
        <f t="shared" ref="H22:H24" si="3">G22*B22</f>
        <v>74972</v>
      </c>
      <c r="I22" s="265"/>
      <c r="J22" s="47"/>
      <c r="K22" s="319"/>
      <c r="L22" s="320">
        <f t="shared" ref="L22:L24" si="4">D22+L$19</f>
        <v>0.65</v>
      </c>
      <c r="M22" s="320">
        <f t="shared" ref="M22:M24" si="5">E22+M$19</f>
        <v>0.4</v>
      </c>
      <c r="N22" s="261">
        <f t="shared" ref="N22:N24" si="6">L22*M22</f>
        <v>0.26</v>
      </c>
      <c r="O22" s="259">
        <f t="shared" ref="O22:O24" si="7">N22*K22</f>
        <v>0</v>
      </c>
      <c r="P22" s="252">
        <f t="shared" ref="P22:P24" si="8">P$20*N22</f>
        <v>39081.692753623196</v>
      </c>
      <c r="Q22" s="258">
        <f t="shared" ref="Q22:Q24" si="9">P22+Q$20</f>
        <v>42081.692753623196</v>
      </c>
      <c r="R22" s="308">
        <f t="shared" ref="R22:R24" si="10">K22*L22</f>
        <v>0</v>
      </c>
      <c r="S22" s="14"/>
      <c r="T22" s="9"/>
      <c r="W22" s="4"/>
    </row>
    <row r="23" spans="2:24" ht="17.399999999999999" x14ac:dyDescent="0.3">
      <c r="B23" s="329">
        <v>1</v>
      </c>
      <c r="C23" s="329" t="s">
        <v>165</v>
      </c>
      <c r="D23" s="318">
        <v>1.5</v>
      </c>
      <c r="E23" s="318">
        <v>0.6</v>
      </c>
      <c r="F23" s="329" t="s">
        <v>166</v>
      </c>
      <c r="G23" s="330">
        <v>114057</v>
      </c>
      <c r="H23" s="312">
        <f t="shared" si="3"/>
        <v>114057</v>
      </c>
      <c r="I23" s="265"/>
      <c r="J23" s="47"/>
      <c r="K23" s="319">
        <f t="shared" ref="K23:K25" si="11">B23</f>
        <v>1</v>
      </c>
      <c r="L23" s="320">
        <f t="shared" si="4"/>
        <v>1.55</v>
      </c>
      <c r="M23" s="320">
        <f t="shared" si="5"/>
        <v>0.6</v>
      </c>
      <c r="N23" s="261">
        <f t="shared" si="6"/>
        <v>0.92999999999999994</v>
      </c>
      <c r="O23" s="259">
        <f t="shared" si="7"/>
        <v>0.92999999999999994</v>
      </c>
      <c r="P23" s="252">
        <f t="shared" si="8"/>
        <v>139792.2086956522</v>
      </c>
      <c r="Q23" s="258">
        <f t="shared" si="9"/>
        <v>142792.2086956522</v>
      </c>
      <c r="R23" s="308">
        <f t="shared" si="10"/>
        <v>1.55</v>
      </c>
      <c r="S23" s="14"/>
      <c r="T23" s="9"/>
      <c r="W23" s="4"/>
    </row>
    <row r="24" spans="2:24" ht="17.399999999999999" x14ac:dyDescent="0.3">
      <c r="B24" s="329">
        <v>1</v>
      </c>
      <c r="C24" s="329" t="s">
        <v>165</v>
      </c>
      <c r="D24" s="318">
        <v>3</v>
      </c>
      <c r="E24" s="318">
        <v>0.6</v>
      </c>
      <c r="F24" s="329" t="s">
        <v>166</v>
      </c>
      <c r="G24" s="330">
        <v>221532</v>
      </c>
      <c r="H24" s="312">
        <f t="shared" si="3"/>
        <v>221532</v>
      </c>
      <c r="I24" s="265"/>
      <c r="J24" s="47"/>
      <c r="K24" s="319">
        <f t="shared" si="11"/>
        <v>1</v>
      </c>
      <c r="L24" s="320">
        <f t="shared" si="4"/>
        <v>3.05</v>
      </c>
      <c r="M24" s="320">
        <f t="shared" si="5"/>
        <v>0.6</v>
      </c>
      <c r="N24" s="261">
        <f t="shared" si="6"/>
        <v>1.8299999999999998</v>
      </c>
      <c r="O24" s="259">
        <f t="shared" si="7"/>
        <v>1.8299999999999998</v>
      </c>
      <c r="P24" s="252">
        <f t="shared" si="8"/>
        <v>275074.99130434787</v>
      </c>
      <c r="Q24" s="258">
        <f t="shared" si="9"/>
        <v>278074.99130434787</v>
      </c>
      <c r="R24" s="308">
        <f t="shared" si="10"/>
        <v>3.05</v>
      </c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3"/>
      <c r="H25" s="313"/>
      <c r="I25" s="265"/>
      <c r="J25" s="47"/>
      <c r="K25" s="319">
        <f t="shared" si="11"/>
        <v>0</v>
      </c>
      <c r="L25" s="320"/>
      <c r="M25" s="320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3"/>
      <c r="H26" s="313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508869</v>
      </c>
      <c r="I28" s="265"/>
      <c r="J28" s="47"/>
      <c r="K28" s="47"/>
      <c r="L28" s="39">
        <f>SUM(L21:L27)</f>
        <v>5.82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H28*19%</f>
        <v>96685.11</v>
      </c>
      <c r="I29" s="265"/>
      <c r="J29" s="47"/>
      <c r="K29" s="47"/>
      <c r="L29" s="39"/>
      <c r="M29" s="12"/>
      <c r="N29" s="12"/>
      <c r="O29" s="253">
        <f>SUM(O21:O24)</f>
        <v>2.76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605554.11</v>
      </c>
      <c r="I30" s="265"/>
      <c r="J30" s="47"/>
      <c r="K30" s="47"/>
      <c r="L30" s="39"/>
      <c r="M30" s="12"/>
      <c r="N30" s="12"/>
      <c r="O30" s="253">
        <f>O29</f>
        <v>2.76</v>
      </c>
      <c r="P30" s="14"/>
      <c r="Q30" s="12"/>
      <c r="R30" s="238">
        <f>SUM(R21:R29)</f>
        <v>4.5999999999999996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0.55199999999999994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5"/>
      <c r="K32" s="47"/>
      <c r="L32" s="14"/>
      <c r="M32" s="12"/>
      <c r="N32" s="12"/>
      <c r="O32" s="46">
        <f>O30+O31</f>
        <v>3.3119999999999998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5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O32*3</f>
        <v>9.9359999999999999</v>
      </c>
      <c r="M34" s="12">
        <v>3500</v>
      </c>
      <c r="N34" s="12">
        <f t="shared" ref="N34:N39" si="12">L34*M34</f>
        <v>34776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2</v>
      </c>
      <c r="M35" s="12">
        <v>25000</v>
      </c>
      <c r="N35" s="12">
        <f t="shared" si="12"/>
        <v>50000</v>
      </c>
      <c r="O35" s="39" t="s">
        <v>155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43000</v>
      </c>
      <c r="N36" s="12">
        <f t="shared" si="12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4"/>
      <c r="K37" s="250"/>
      <c r="L37" s="14">
        <v>2</v>
      </c>
      <c r="M37" s="250">
        <v>51900</v>
      </c>
      <c r="N37" s="12">
        <f t="shared" si="12"/>
        <v>103800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4"/>
      <c r="K38" s="250"/>
      <c r="L38" s="249"/>
      <c r="M38" s="250">
        <v>800</v>
      </c>
      <c r="N38" s="12">
        <f t="shared" si="12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2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I40" s="230" t="s">
        <v>157</v>
      </c>
      <c r="J40" s="47"/>
      <c r="K40" s="250"/>
      <c r="L40" s="14"/>
      <c r="M40" s="12"/>
      <c r="N40" s="12">
        <f>SUM(N34:N39)</f>
        <v>188576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61660</v>
      </c>
      <c r="K41" s="250"/>
      <c r="L41" s="254" t="s">
        <v>35</v>
      </c>
      <c r="M41" s="12"/>
      <c r="N41" s="255">
        <f>N40*2.2</f>
        <v>414867.20000000001</v>
      </c>
      <c r="O41" s="14" t="s">
        <v>142</v>
      </c>
      <c r="P41" s="14"/>
      <c r="Q41" s="46">
        <f>O30/Q40</f>
        <v>0.7441760138050042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51815.126050420171</v>
      </c>
      <c r="K42" s="250"/>
      <c r="L42" s="14"/>
      <c r="M42" s="12"/>
      <c r="N42" s="12">
        <f>N41/O30</f>
        <v>150314.20289855075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0.7239344262295081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45524</v>
      </c>
    </row>
    <row r="6" spans="2:31" ht="16.2" thickBot="1" x14ac:dyDescent="0.35">
      <c r="B6" s="140" t="s">
        <v>2</v>
      </c>
      <c r="C6" s="139" t="str">
        <f>'2229'!C10</f>
        <v>COMERCILIAZADORA MDM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100</v>
      </c>
      <c r="I7" s="338"/>
      <c r="J7" s="338"/>
      <c r="K7" s="339"/>
      <c r="N7" s="75"/>
      <c r="O7" s="336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11066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6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-53293.72503345411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508869</v>
      </c>
      <c r="E11" s="132">
        <f>D11*0.19</f>
        <v>96685.11</v>
      </c>
      <c r="F11" s="131">
        <f>E11+D11</f>
        <v>605554.11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52696.27496654589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114610.09078743961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34696.27496654589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394258.90921256039</v>
      </c>
      <c r="E13" s="221">
        <f>(D11/D12)-1</f>
        <v>3.4400017180316915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25696.27496654589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-13303.72503345411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189106.64979927533</v>
      </c>
      <c r="F15" s="216">
        <f>E15-D12</f>
        <v>74496.559011835721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-13303.72503345411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26696.27496654589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34776</v>
      </c>
      <c r="E20" s="121">
        <f>D20*0.19</f>
        <v>6607.4400000000005</v>
      </c>
      <c r="F20" s="120">
        <f>SUM(D20:E20)</f>
        <v>41383.440000000002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84776</v>
      </c>
      <c r="E21" s="116">
        <f>SUM(E18:E20)</f>
        <v>16107.44</v>
      </c>
      <c r="F21" s="115">
        <f>SUM(F18:F20)</f>
        <v>100883.44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80577.67</v>
      </c>
    </row>
    <row r="41" spans="2:16" ht="15" thickBot="1" x14ac:dyDescent="0.35">
      <c r="H41" s="340" t="s">
        <v>62</v>
      </c>
      <c r="I41" s="341"/>
      <c r="J41" s="341"/>
      <c r="K41" s="341"/>
      <c r="L41" s="341"/>
      <c r="M41" s="342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508869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84776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394258.90921256039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394258.90921256039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2024-08-20T20:54:10Z</dcterms:modified>
</cp:coreProperties>
</file>