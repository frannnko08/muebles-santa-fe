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299E4708-E098-4E57-AEA9-F573675A41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2" i="1"/>
  <c r="L22" i="1"/>
  <c r="N22" i="1" s="1"/>
  <c r="O22" i="1" s="1"/>
  <c r="M22" i="1"/>
  <c r="K21" i="1"/>
  <c r="K10" i="1"/>
  <c r="R22" i="1" l="1"/>
  <c r="J40" i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<sst xmlns="http://schemas.openxmlformats.org/spreadsheetml/2006/main" count="233" uniqueCount="175">
  <si>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</si>
  <si>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</si>
  <si>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</si>
  <si>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</si>
  <si>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</si>
  <si>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</si>
  <si>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</si>
  <si>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</si>
  <si>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</si>
  <si>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</si>
  <si>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</si>
  <si>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</si>
  <si>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</si>
  <si>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</si>
  <si>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</si>
  <si>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</si>
  <si>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</si>
  <si>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</si>
  <si>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</si>
  <si>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</si>
  <si>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</si>
  <si>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</si>
  <si>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</si>
  <si>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</si>
  <si>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</si>
  <si>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</si>
  <si>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</si>
  <si>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</si>
  <si>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</si>
  <si>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</si>
  <si>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</si>
  <si>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</si>
  <si>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</si>
  <si>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</si>
  <si>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</si>
  <si>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</si>
  <si>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</si>
  <si>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</si>
  <si>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</si>
  <si>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</si>
  <si>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</si>
  <si>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</si>
  <si>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</si>
  <si>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</si>
  <si>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</si>
  <si>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</si>
  <si>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</si>
  <si>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</si>
  <si>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</si>
  <si>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</si>
  <si>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</si>
  <si>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</si>
  <si>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</si>
  <si>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</si>
  <si>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</si>
  <si>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</si>
  <si>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</si>
  <si>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</si>
  <si>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</si>
  <si>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</si>
  <si>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</si>
  <si>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</si>
  <si>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</si>
  <si>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</si>
  <si>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</si>
  <si>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</si>
  <si>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</si>
  <si>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</si>
  <si>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</si>
  <si>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</si>
  <si>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</si>
  <si>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</si>
  <si>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</si>
  <si>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</si>
  <si>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</si>
  <si>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</si>
  <si>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</si>
  <si>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</si>
  <si>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</si>
  <si>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</si>
  <si>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</si>
  <si>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</si>
  <si>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</si>
  <si>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</si>
  <si>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</si>
  <si>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</si>
  <si>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</si>
  <si>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</si>
  <si>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</si>
  <si>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</si>
  <si>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</si>
  <si>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</si>
  <si>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</si>
  <si>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</si>
  <si>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</si>
  <si>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</si>
  <si>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</si>
  <si>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</si>
  <si>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</si>
  <si>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</si>
  <si>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</si>
  <si>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</si>
  <si>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</si>
  <si>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</si>
  <si>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</si>
  <si>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</si>
  <si>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</si>
  <si>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</si>
  <si>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</si>
  <si>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</si>
  <si>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</si>
  <si>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</si>
  <si>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</si>
  <si>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</si>
  <si>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</si>
  <si>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</si>
  <si>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</si>
  <si>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</si>
  <si>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</si>
  <si>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</si>
  <si>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</si>
  <si>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</si>
  <si>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</si>
  <si>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</si>
  <si>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</si>
  <si>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</si>
  <si>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</si>
  <si>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</si>
  <si>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</si>
  <si>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</si>
  <si>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</si>
  <si>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</si>
  <si>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</si>
  <si>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</si>
  <si>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</si>
  <si>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</si>
  <si>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</si>
  <si>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</si>
  <si>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</si>
  <si>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</si>
  <si>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</si>
  <si>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</si>
  <si>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</si>
  <si>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</si>
  <si>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</si>
  <si>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</si>
  <si>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</si>
  <si>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</si>
  <si>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</si>
  <si>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</si>
  <si>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</si>
  <si>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</si>
  <si>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</si>
  <si>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</si>
  <si>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</si>
  <si>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</si>
  <si>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</si>
  <si>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</si>
  <si>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N° 11083</t>
  </si>
  <si>
    <t>+569 98876537</t>
  </si>
  <si>
    <t>SANTIAGO</t>
  </si>
  <si>
    <t>5 DÍAS HABILES</t>
  </si>
  <si>
    <t>BLANCO BRILLO</t>
  </si>
  <si>
    <t>CLAUDIA GUZMAN</t>
  </si>
  <si>
    <t>Agencia Bookers Ltda</t>
  </si>
  <si>
    <t>78.543.260-6</t>
  </si>
  <si>
    <t>Cerro El plomo 5931 of 510 Las Condes</t>
  </si>
  <si>
    <t>Giro productora </t>
  </si>
  <si>
    <t>boris@bookers.cl</t>
  </si>
  <si>
    <t>56 998876537</t>
  </si>
  <si>
    <t>Saludos</t>
  </si>
  <si>
    <t>AGENCIA BOOKERS LTDA</t>
  </si>
  <si>
    <t>PRODUCTORA</t>
  </si>
  <si>
    <t>BORIS@BOOKERS.CL</t>
  </si>
  <si>
    <t>CERRO EL PLOMO 5931 OF 510 LAS 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</si>
</sst>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RIS@BOOKERS.CL" TargetMode="External"/><Relationship Id="rId2" Type="http://schemas.openxmlformats.org/officeDocument/2006/relationships/hyperlink" Target="mailto:boris@bookers.cl" TargetMode="External"/><Relationship Id="rId1" Type="http://schemas.openxmlformats.org/officeDocument/2006/relationships/hyperlink" Target="http://www.topmobilichile.cl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2" zoomScale="98" zoomScaleNormal="98" workbookViewId="0">
      <selection activeCell="C17" sqref="C1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171</v>
      </c>
      <c r="D10" s="243"/>
      <c r="E10" s="243"/>
      <c r="F10" s="244" t="s">
        <v>0</v>
      </c>
      <c r="G10" s="277">
        <v>45533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165</v>
      </c>
      <c r="F11" t="s">
        <v>125</v>
      </c>
      <c r="G11" s="289" t="s">
        <v>161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172</v>
      </c>
      <c r="D12" s="247"/>
      <c r="E12" s="247"/>
      <c r="F12" s="247" t="s">
        <v>129</v>
      </c>
      <c r="G12" s="278" t="s">
        <v>137</v>
      </c>
      <c r="H12" s="248"/>
      <c r="J12" t="s">
        <v>164</v>
      </c>
      <c r="P12" s="19"/>
      <c r="Q12" s="25"/>
      <c r="R12" s="19"/>
    </row>
    <row r="13" spans="2:23" x14ac:dyDescent="0.3">
      <c r="B13" s="246" t="s">
        <v>148</v>
      </c>
      <c r="C13" s="279" t="s">
        <v>163</v>
      </c>
      <c r="D13" s="247"/>
      <c r="E13" s="247"/>
      <c r="F13" s="247"/>
      <c r="G13" s="278"/>
      <c r="H13" s="248"/>
      <c r="J13" t="s">
        <v>165</v>
      </c>
      <c r="P13" s="19"/>
      <c r="Q13" s="25"/>
      <c r="R13" s="19"/>
    </row>
    <row r="14" spans="2:23" x14ac:dyDescent="0.3">
      <c r="B14" s="288" t="s">
        <v>141</v>
      </c>
      <c r="C14" s="306" t="s">
        <v>173</v>
      </c>
      <c r="F14" s="29" t="s">
        <v>138</v>
      </c>
      <c r="G14" s="291" t="s">
        <v>137</v>
      </c>
      <c r="H14" s="290"/>
      <c r="J14" t="s">
        <v>166</v>
      </c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159</v>
      </c>
      <c r="D15" s="295"/>
      <c r="E15" s="247"/>
      <c r="F15" s="247" t="s">
        <v>136</v>
      </c>
      <c r="G15" s="296" t="s">
        <v>137</v>
      </c>
      <c r="H15" s="248"/>
      <c r="J15" t="s">
        <v>167</v>
      </c>
    </row>
    <row r="16" spans="2:23" ht="16.8" x14ac:dyDescent="0.4">
      <c r="B16" s="292" t="s">
        <v>3</v>
      </c>
      <c r="C16" s="311" t="s">
        <v>174</v>
      </c>
      <c r="F16" s="293" t="s">
        <v>131</v>
      </c>
      <c r="G16" s="294" t="s">
        <v>156</v>
      </c>
      <c r="H16" s="290"/>
      <c r="J16" s="306" t="s">
        <v>168</v>
      </c>
    </row>
    <row r="17" spans="2:24" ht="15" thickBot="1" x14ac:dyDescent="0.35">
      <c r="B17" s="297" t="s">
        <v>13</v>
      </c>
      <c r="C17" s="298" t="s">
        <v>160</v>
      </c>
      <c r="D17" s="299"/>
      <c r="E17" s="300"/>
      <c r="F17" s="328" t="s">
        <v>154</v>
      </c>
      <c r="G17" s="328"/>
      <c r="H17" s="329"/>
      <c r="I17" s="263"/>
      <c r="J17" t="s">
        <v>169</v>
      </c>
      <c r="S17" s="6"/>
      <c r="T17" s="6"/>
    </row>
    <row r="18" spans="2:24" ht="15.75" customHeight="1" thickBot="1" x14ac:dyDescent="0.35">
      <c r="I18" s="47"/>
      <c r="J18" t="s">
        <v>170</v>
      </c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68832.727272727265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37</v>
      </c>
      <c r="D21" s="325">
        <v>1.5</v>
      </c>
      <c r="E21" s="325">
        <v>0.5</v>
      </c>
      <c r="F21" s="312" t="s">
        <v>162</v>
      </c>
      <c r="G21" s="313">
        <v>56345</v>
      </c>
      <c r="H21" s="314">
        <f t="shared" ref="H21:H22" si="1">G21*B21</f>
        <v>56345</v>
      </c>
      <c r="I21" s="265"/>
      <c r="J21" s="47"/>
      <c r="K21" s="326">
        <f>B21</f>
        <v>1</v>
      </c>
      <c r="L21" s="327">
        <f t="shared" ref="L21:M21" si="2">D21+L$19</f>
        <v>1.55</v>
      </c>
      <c r="M21" s="327">
        <f t="shared" si="2"/>
        <v>0.5</v>
      </c>
      <c r="N21" s="261">
        <f>L21*M21</f>
        <v>0.77500000000000002</v>
      </c>
      <c r="O21" s="259">
        <f>N21*K21</f>
        <v>0.77500000000000002</v>
      </c>
      <c r="P21" s="252">
        <f>P$20*N21</f>
        <v>53345.363636363632</v>
      </c>
      <c r="Q21" s="258">
        <f>P21+Q$20</f>
        <v>56345.363636363632</v>
      </c>
      <c r="R21" s="308">
        <f>K21*L21</f>
        <v>1.55</v>
      </c>
      <c r="S21" s="14"/>
      <c r="T21" s="9"/>
      <c r="W21" s="4"/>
    </row>
    <row r="22" spans="2:24" ht="17.399999999999999" x14ac:dyDescent="0.3">
      <c r="B22" s="322">
        <v>1</v>
      </c>
      <c r="C22" s="312" t="s">
        <v>37</v>
      </c>
      <c r="D22" s="325">
        <v>1.7</v>
      </c>
      <c r="E22" s="325">
        <v>0.5</v>
      </c>
      <c r="F22" s="312" t="s">
        <v>162</v>
      </c>
      <c r="G22" s="313">
        <v>63229</v>
      </c>
      <c r="H22" s="314">
        <f t="shared" si="1"/>
        <v>63229</v>
      </c>
      <c r="I22" s="265"/>
      <c r="J22" s="47"/>
      <c r="K22" s="326">
        <f>B22</f>
        <v>1</v>
      </c>
      <c r="L22" s="327">
        <f t="shared" ref="L22" si="3">D22+L$19</f>
        <v>1.75</v>
      </c>
      <c r="M22" s="327">
        <f t="shared" ref="M22" si="4">E22+M$19</f>
        <v>0.5</v>
      </c>
      <c r="N22" s="261">
        <f>L22*M22</f>
        <v>0.875</v>
      </c>
      <c r="O22" s="259">
        <f>N22*K22</f>
        <v>0.875</v>
      </c>
      <c r="P22" s="252">
        <f>P$20*N22</f>
        <v>60228.636363636353</v>
      </c>
      <c r="Q22" s="258">
        <f>P22+Q$20</f>
        <v>63228.636363636353</v>
      </c>
      <c r="R22" s="308">
        <f>K22*L22</f>
        <v>1.75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7"/>
      <c r="H23" s="31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7"/>
      <c r="H24" s="31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119574</v>
      </c>
      <c r="I26" s="265"/>
      <c r="J26" s="47"/>
      <c r="K26" s="47"/>
      <c r="L26" s="39">
        <f>SUM(L21:L25)</f>
        <v>3.3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22719.06</v>
      </c>
      <c r="I27" s="265"/>
      <c r="J27" s="47"/>
      <c r="K27" s="47"/>
      <c r="L27" s="39"/>
      <c r="M27" s="12"/>
      <c r="N27" s="12"/>
      <c r="O27" s="253">
        <f>SUM(O21:O22)</f>
        <v>1.65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142293.06</v>
      </c>
      <c r="I28" s="265"/>
      <c r="J28" s="47"/>
      <c r="K28" s="47"/>
      <c r="L28" s="39"/>
      <c r="M28" s="12"/>
      <c r="N28" s="12"/>
      <c r="O28" s="253">
        <f>O27</f>
        <v>1.65</v>
      </c>
      <c r="P28" s="14"/>
      <c r="Q28" s="12"/>
      <c r="R28" s="238">
        <f>SUM(R21:R27)</f>
        <v>3.3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0.33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9"/>
      <c r="K30" s="47"/>
      <c r="L30" s="14"/>
      <c r="M30" s="12"/>
      <c r="N30" s="12"/>
      <c r="O30" s="46">
        <f>O28+O29</f>
        <v>1.98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9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1.98</v>
      </c>
      <c r="M32" s="12">
        <v>3500</v>
      </c>
      <c r="N32" s="12">
        <f t="shared" ref="N32:N37" si="5">L32*M32</f>
        <v>6930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0.5</v>
      </c>
      <c r="M33" s="12">
        <v>25000</v>
      </c>
      <c r="N33" s="12">
        <f t="shared" si="5"/>
        <v>12500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5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8"/>
      <c r="K35" s="250"/>
      <c r="L35" s="14">
        <v>1</v>
      </c>
      <c r="M35" s="250">
        <v>25000</v>
      </c>
      <c r="N35" s="12">
        <f t="shared" si="5"/>
        <v>25000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8"/>
      <c r="K36" s="250"/>
      <c r="L36" s="249"/>
      <c r="M36" s="250">
        <v>800</v>
      </c>
      <c r="N36" s="12">
        <f t="shared" si="5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>
        <v>3.3</v>
      </c>
      <c r="M37" s="12">
        <v>1500</v>
      </c>
      <c r="N37" s="12">
        <f t="shared" si="5"/>
        <v>4950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49380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48208</v>
      </c>
      <c r="K39" s="250"/>
      <c r="L39" s="254" t="s">
        <v>35</v>
      </c>
      <c r="M39" s="12"/>
      <c r="N39" s="255">
        <f>N38*2.3</f>
        <v>113573.99999999999</v>
      </c>
      <c r="O39" s="14" t="s">
        <v>142</v>
      </c>
      <c r="P39" s="14"/>
      <c r="Q39" s="46">
        <f>O28/Q38</f>
        <v>0.44488783433994822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40510.924369747903</v>
      </c>
      <c r="K40" s="250"/>
      <c r="L40" s="14"/>
      <c r="M40" s="12"/>
      <c r="N40" s="12">
        <f>N39/O28</f>
        <v>68832.727272727265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2.2999999999999998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0.43278688524590164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  <hyperlink ref="J16" r:id="rId2" display="mailto:boris@bookers.cl" xr:uid="{B245DBAB-C3F3-476F-99A2-9554B76EBB8A}"/>
    <hyperlink ref="C14" r:id="rId3" xr:uid="{230E0AD1-8098-4F1D-90B8-7B8D94922215}"/>
  </hyperlinks>
  <pageMargins left="0.23622047244094491" right="0.23622047244094491" top="0.74803149606299213" bottom="0.74803149606299213" header="0.31496062992125984" footer="0.31496062992125984"/>
  <pageSetup scale="80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45533</v>
      </c>
    </row>
    <row r="6" spans="2:31" ht="16.2" thickBot="1" x14ac:dyDescent="0.35">
      <c r="B6" s="140" t="s">
        <v>2</v>
      </c>
      <c r="C6" s="139" t="str">
        <f>'2229'!C10</f>
        <v>AGENCIA BOOKERS LTDA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-6381.3750334541064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119574</v>
      </c>
      <c r="E11" s="132">
        <f>D11*0.19</f>
        <v>22719.06</v>
      </c>
      <c r="F11" s="131">
        <f>E11+D11</f>
        <v>142293.06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99608.624966545889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49264.090787439614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81608.624966545889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70309.909212560393</v>
      </c>
      <c r="E13" s="221">
        <f>(D11/D12)-1</f>
        <v>1.4272040362203664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72608.624966545889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33608.624966545896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81285.749799275363</v>
      </c>
      <c r="F15" s="216">
        <f>E15-D12</f>
        <v>32021.659011835749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33608.624966545896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73608.624966545889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6930</v>
      </c>
      <c r="E20" s="121">
        <f>D20*0.19</f>
        <v>1316.7</v>
      </c>
      <c r="F20" s="120">
        <f>SUM(D20:E20)</f>
        <v>8246.7000000000007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19430</v>
      </c>
      <c r="E21" s="116">
        <f>SUM(E18:E20)</f>
        <v>3691.7</v>
      </c>
      <c r="F21" s="115">
        <f>SUM(F18:F20)</f>
        <v>23121.7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19027.36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119574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19430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70309.909212560393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70309.909212560393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2024-09-02T14:36:01Z</dcterms:modified>
</cp:coreProperties>
</file>