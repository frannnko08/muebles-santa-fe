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279D5DD6-58D4-4052-9891-F35D49F56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R22" i="1"/>
  <c r="M21" i="1"/>
  <c r="J40" i="1"/>
  <c r="L21" i="1"/>
  <c r="R21" i="1" l="1"/>
  <c r="S21" i="1"/>
  <c r="S27" i="1" s="1"/>
  <c r="L25" i="1"/>
  <c r="N21" i="1"/>
  <c r="O21" i="1" s="1"/>
  <c r="O26" i="1" s="1"/>
  <c r="U33" i="1"/>
  <c r="U34" i="1" s="1"/>
  <c r="R27" i="1" l="1"/>
  <c r="R28" i="1" s="1"/>
  <c r="R29" i="1" s="1"/>
  <c r="R30" i="1" s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H22" i="1" s="1"/>
  <c r="E15" i="3"/>
  <c r="P21" i="1" l="1"/>
  <c r="F15" i="3"/>
  <c r="Q21" i="1" l="1"/>
  <c r="G21" i="1" l="1"/>
  <c r="H21" i="1" s="1"/>
  <c r="H25" i="1" s="1"/>
  <c r="H26" i="1" l="1"/>
  <c r="H27" i="1" s="1"/>
  <c r="D11" i="3"/>
  <c r="X9" i="3" s="1"/>
  <c r="X15" i="3" s="1"/>
  <c r="X14" i="3" l="1"/>
  <c r="X11" i="3"/>
  <c r="X16" i="3"/>
  <c r="E11" i="3"/>
  <c r="D40" i="3" s="1"/>
  <c r="E13" i="3"/>
  <c r="X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<sst xmlns="http://schemas.openxmlformats.org/spreadsheetml/2006/main" count="232" uniqueCount="174">
  <si>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</si>
  <si>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</si>
  <si>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</si>
  <si>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</si>
  <si>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</si>
  <si>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</si>
  <si>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</si>
  <si>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</si>
  <si>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</si>
  <si>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</si>
  <si>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</si>
  <si>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</si>
  <si>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</si>
  <si>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</si>
  <si>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</si>
  <si>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</si>
  <si>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</si>
  <si>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</si>
  <si>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</si>
  <si>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</si>
  <si>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</si>
  <si>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</si>
  <si>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</si>
  <si>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</si>
  <si>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</si>
  <si>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</si>
  <si>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</si>
  <si>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</si>
  <si>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</si>
  <si>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</si>
  <si>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</si>
  <si>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</si>
  <si>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</si>
  <si>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</si>
  <si>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</si>
  <si>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</si>
  <si>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</si>
  <si>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</si>
  <si>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</si>
  <si>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</si>
  <si>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</si>
  <si>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</si>
  <si>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</si>
  <si>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</si>
  <si>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</si>
  <si>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</si>
  <si>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</si>
  <si>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</si>
  <si>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</si>
  <si>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</si>
  <si>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</si>
  <si>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</si>
  <si>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</si>
  <si>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</si>
  <si>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</si>
  <si>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</si>
  <si>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</si>
  <si>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</si>
  <si>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</si>
  <si>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</si>
  <si>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</si>
  <si>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</si>
  <si>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</si>
  <si>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</si>
  <si>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</si>
  <si>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</si>
  <si>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</si>
  <si>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</si>
  <si>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</si>
  <si>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</si>
  <si>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</si>
  <si>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</si>
  <si>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</si>
  <si>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</si>
  <si>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</si>
  <si>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</si>
  <si>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</si>
  <si>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</si>
  <si>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</si>
  <si>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</si>
  <si>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</si>
  <si>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</si>
  <si>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</si>
  <si>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</si>
  <si>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</si>
  <si>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</si>
  <si>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</si>
  <si>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</si>
  <si>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</si>
  <si>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</si>
  <si>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</si>
  <si>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</si>
  <si>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</si>
  <si>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</si>
  <si>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</si>
  <si>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</si>
  <si>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</si>
  <si>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</si>
  <si>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</si>
  <si>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</si>
  <si>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</si>
  <si>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</si>
  <si>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</si>
  <si>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</si>
  <si>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</si>
  <si>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</si>
  <si>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</si>
  <si>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</si>
  <si>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</si>
  <si>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</si>
  <si>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</si>
  <si>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</si>
  <si>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</si>
  <si>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</si>
  <si>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</si>
  <si>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</si>
  <si>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</si>
  <si>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</si>
  <si>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</si>
  <si>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</si>
  <si>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</si>
  <si>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</si>
  <si>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</si>
  <si>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</si>
  <si>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</si>
  <si>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</si>
  <si>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</si>
  <si>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</si>
  <si>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</si>
  <si>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</si>
  <si>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</si>
  <si>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</si>
  <si>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</si>
  <si>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</si>
  <si>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</si>
  <si>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</si>
  <si>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</si>
  <si>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</si>
  <si>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</si>
  <si>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</si>
  <si>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</si>
  <si>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</si>
  <si>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</si>
  <si>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</si>
  <si>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</si>
  <si>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</si>
  <si>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</si>
  <si>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</si>
  <si>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</si>
  <si>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</si>
  <si>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</si>
  <si>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</si>
  <si>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</si>
  <si>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</si>
  <si>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</si>
  <si>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</si>
  <si>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</si>
  <si>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</si>
  <si>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</si>
  <si>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</si>
  <si>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</si>
  <si>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</si>
  <si>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</si>
  <si>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</si>
  <si>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</si>
  <si>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</si>
  <si>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SANTIAGO</t>
  </si>
  <si>
    <t>DURACION COTIZACION: 5 DIAS                            FRANCO DONOSO</t>
  </si>
  <si>
    <t>5 DIAS HABILES</t>
  </si>
  <si>
    <t>WALTER GONZALEZ</t>
  </si>
  <si>
    <t>+569 6244 6305</t>
  </si>
  <si>
    <t>CUB C/R 180°</t>
  </si>
  <si>
    <t>NEGRO OPACO</t>
  </si>
  <si>
    <t>N° 11078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</si>
</sst>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13624</xdr:colOff>
      <xdr:row>29</xdr:row>
      <xdr:rowOff>9525</xdr:rowOff>
    </xdr:from>
    <xdr:to>
      <xdr:col>5</xdr:col>
      <xdr:colOff>1747276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301" y="5720428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16390</xdr:colOff>
      <xdr:row>24</xdr:row>
      <xdr:rowOff>9525</xdr:rowOff>
    </xdr:from>
    <xdr:to>
      <xdr:col>5</xdr:col>
      <xdr:colOff>1745225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7" y="4606106"/>
          <a:ext cx="7677352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5546875" customWidth="1"/>
    <col min="4" max="4" width="13" customWidth="1"/>
    <col min="5" max="5" width="10.5546875" customWidth="1"/>
    <col min="6" max="6" width="30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169</v>
      </c>
      <c r="D10" s="243"/>
      <c r="E10" s="243"/>
      <c r="F10" s="244" t="s">
        <v>0</v>
      </c>
      <c r="G10" s="277">
        <v>45531</v>
      </c>
      <c r="H10" s="245"/>
      <c r="J10" s="1"/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170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0" t="s">
        <v>167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N39</f>
        <v>92076.666666666657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171</v>
      </c>
      <c r="D21" s="325">
        <v>1.6</v>
      </c>
      <c r="E21" s="325">
        <v>0.6</v>
      </c>
      <c r="F21" s="324" t="s">
        <v>172</v>
      </c>
      <c r="G21" s="326">
        <f>Q21</f>
        <v>94155.9</v>
      </c>
      <c r="H21" s="327">
        <f>G21*B21</f>
        <v>94155.9</v>
      </c>
      <c r="I21" s="265"/>
      <c r="J21" s="47"/>
      <c r="K21" s="47">
        <v>1</v>
      </c>
      <c r="L21" s="39">
        <f>D21+L$19</f>
        <v>1.6500000000000001</v>
      </c>
      <c r="M21" s="39">
        <f>E21+M$19</f>
        <v>0.6</v>
      </c>
      <c r="N21" s="261">
        <f t="shared" ref="N21" si="0">L21*M21</f>
        <v>0.99</v>
      </c>
      <c r="O21" s="259">
        <f t="shared" ref="O21" si="1">N21*K21</f>
        <v>0.99</v>
      </c>
      <c r="P21" s="252">
        <f t="shared" ref="P21" si="2">P$20*N21</f>
        <v>91155.9</v>
      </c>
      <c r="Q21" s="258">
        <f t="shared" ref="Q21" si="3">P21+Q$20</f>
        <v>94155.9</v>
      </c>
      <c r="R21" s="309">
        <f>L21*K21*2</f>
        <v>3.3000000000000003</v>
      </c>
      <c r="S21" s="46">
        <f>M21*K21*2</f>
        <v>1.2</v>
      </c>
      <c r="T21" s="9"/>
      <c r="W21" s="4"/>
    </row>
    <row r="22" spans="2:24" ht="17.399999999999999" x14ac:dyDescent="0.3">
      <c r="B22" s="323">
        <v>1</v>
      </c>
      <c r="C22" s="324" t="s">
        <v>171</v>
      </c>
      <c r="D22" s="325">
        <v>3</v>
      </c>
      <c r="E22" s="325">
        <v>0.6</v>
      </c>
      <c r="F22" s="324" t="s">
        <v>172</v>
      </c>
      <c r="G22" s="326">
        <v>123373</v>
      </c>
      <c r="H22" s="327">
        <f>G22*B22</f>
        <v>123373</v>
      </c>
      <c r="I22" s="265"/>
      <c r="J22" s="47"/>
      <c r="K22" s="47"/>
      <c r="L22" s="39">
        <f>D22+L$19</f>
        <v>3.05</v>
      </c>
      <c r="M22" s="39">
        <f>E22+M$19</f>
        <v>0.6</v>
      </c>
      <c r="N22" s="261">
        <f t="shared" ref="N22" si="4">L22*M22</f>
        <v>1.8299999999999998</v>
      </c>
      <c r="O22" s="259">
        <f t="shared" ref="O22" si="5">N22*K22</f>
        <v>0</v>
      </c>
      <c r="P22" s="252">
        <f t="shared" ref="P22" si="6">P$20*N22</f>
        <v>168500.29999999996</v>
      </c>
      <c r="Q22" s="258">
        <f t="shared" ref="Q22" si="7">P22+Q$20</f>
        <v>171500.29999999996</v>
      </c>
      <c r="R22" s="309">
        <f>L22*K22*2</f>
        <v>0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8"/>
      <c r="H23" s="328"/>
      <c r="I23" s="265"/>
      <c r="J23" s="47"/>
      <c r="K23" s="47"/>
      <c r="L23" s="39"/>
      <c r="M23" s="39"/>
      <c r="N23" s="261"/>
      <c r="O23" s="259"/>
      <c r="P23" s="252"/>
      <c r="Q23" s="258"/>
      <c r="R23" s="30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29</v>
      </c>
      <c r="H25" s="311">
        <f>SUM(H21:H21)</f>
        <v>94155.9</v>
      </c>
      <c r="I25" s="265"/>
      <c r="J25" s="47"/>
      <c r="K25" s="47"/>
      <c r="L25" s="39">
        <f>SUM(L21:L24)</f>
        <v>4.7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H25*0.19</f>
        <v>17889.620999999999</v>
      </c>
      <c r="I26" s="265"/>
      <c r="J26" s="47"/>
      <c r="K26" s="47"/>
      <c r="L26" s="39"/>
      <c r="M26" s="12"/>
      <c r="N26" s="12"/>
      <c r="O26" s="253">
        <f>SUM(O21:O22)</f>
        <v>0.99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112045.52099999999</v>
      </c>
      <c r="I27" s="265"/>
      <c r="J27" s="47"/>
      <c r="K27" s="47"/>
      <c r="L27" s="39"/>
      <c r="M27" s="12"/>
      <c r="N27" s="12"/>
      <c r="O27" s="253">
        <f>O26</f>
        <v>0.99</v>
      </c>
      <c r="P27" s="14"/>
      <c r="Q27" s="12"/>
      <c r="R27" s="239">
        <f>SUM(R21:R26)</f>
        <v>3.3000000000000003</v>
      </c>
      <c r="S27" s="46">
        <f>SUM(S21:S26)</f>
        <v>1.2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0.19800000000000001</v>
      </c>
      <c r="P28" s="39" t="s">
        <v>131</v>
      </c>
      <c r="Q28" s="42"/>
      <c r="R28" s="240">
        <f>R27+S27</f>
        <v>4.5</v>
      </c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1.1879999999999999</v>
      </c>
      <c r="P29" s="14"/>
      <c r="Q29" s="14"/>
      <c r="R29" s="238">
        <f>R28*20%</f>
        <v>0.9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40">
        <f>R28+R29</f>
        <v>5.4</v>
      </c>
      <c r="S30" s="14"/>
      <c r="T30" s="316" t="s">
        <v>22</v>
      </c>
      <c r="U30" s="313" t="s">
        <v>153</v>
      </c>
      <c r="V30" s="317">
        <v>44971</v>
      </c>
      <c r="W30" s="31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1.1879999999999999</v>
      </c>
      <c r="M31" s="12">
        <v>3500</v>
      </c>
      <c r="N31" s="12">
        <f t="shared" ref="N31:N36" si="8">L31*M31</f>
        <v>4158</v>
      </c>
      <c r="O31" s="14" t="s">
        <v>22</v>
      </c>
      <c r="P31" s="14"/>
      <c r="Q31" s="14"/>
      <c r="R31" s="241"/>
      <c r="S31" s="14"/>
      <c r="T31" s="316" t="s">
        <v>154</v>
      </c>
      <c r="U31" s="313">
        <v>3625</v>
      </c>
      <c r="V31" s="59" t="s">
        <v>155</v>
      </c>
      <c r="W31" s="31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0.32</v>
      </c>
      <c r="M32" s="12">
        <v>25000</v>
      </c>
      <c r="N32" s="12">
        <f t="shared" si="8"/>
        <v>8000</v>
      </c>
      <c r="O32" s="39" t="s">
        <v>32</v>
      </c>
      <c r="P32" s="42"/>
      <c r="Q32" s="14"/>
      <c r="R32" s="240"/>
      <c r="S32" s="14"/>
      <c r="T32" s="316"/>
      <c r="U32" s="59">
        <v>906.25</v>
      </c>
      <c r="V32" s="59" t="s">
        <v>156</v>
      </c>
      <c r="W32" s="318"/>
    </row>
    <row r="33" spans="2:23" s="230" customFormat="1" ht="17.399999999999999" x14ac:dyDescent="0.35">
      <c r="I33" s="262"/>
      <c r="J33" s="232"/>
      <c r="K33" s="250"/>
      <c r="L33" s="14"/>
      <c r="M33" s="250">
        <v>71390</v>
      </c>
      <c r="N33" s="12">
        <f t="shared" si="8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25000</v>
      </c>
      <c r="N34" s="12">
        <f t="shared" si="8"/>
        <v>25000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8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>
        <v>1.65</v>
      </c>
      <c r="M36" s="12">
        <v>1500</v>
      </c>
      <c r="N36" s="12">
        <f t="shared" si="8"/>
        <v>2475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39633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N37*2.3</f>
        <v>91155.9</v>
      </c>
      <c r="O38" s="14" t="s">
        <v>141</v>
      </c>
      <c r="P38" s="14"/>
      <c r="Q38" s="40">
        <f>O29/Q37</f>
        <v>0.3203192407247627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42571</v>
      </c>
      <c r="K39" s="250"/>
      <c r="L39" s="14"/>
      <c r="M39" s="12"/>
      <c r="N39" s="12">
        <f>N38/O27</f>
        <v>92076.666666666657</v>
      </c>
      <c r="O39" s="45" t="s">
        <v>25</v>
      </c>
      <c r="P39" s="14"/>
      <c r="Q39" s="14"/>
      <c r="R39"/>
      <c r="S39" s="238"/>
      <c r="T39" s="59" t="s">
        <v>159</v>
      </c>
      <c r="U39" s="31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35773.949579831933</v>
      </c>
      <c r="K40" s="250"/>
      <c r="L40" s="13"/>
      <c r="M40" s="14"/>
      <c r="N40" s="17">
        <f>N38/N37</f>
        <v>2.2999999999999998</v>
      </c>
      <c r="O40" s="15"/>
      <c r="P40"/>
      <c r="Q40"/>
      <c r="R40"/>
      <c r="S40" s="238"/>
      <c r="T40" s="59" t="s">
        <v>161</v>
      </c>
      <c r="U40" s="31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45531</v>
      </c>
    </row>
    <row r="6" spans="2:31" ht="16.2" thickBot="1" x14ac:dyDescent="0.35">
      <c r="B6" s="140" t="s">
        <v>2</v>
      </c>
      <c r="C6" s="139" t="str">
        <f>'2229'!C10</f>
        <v>WALTER GONZALEZ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11078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-4144.8250334541053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94155.9</v>
      </c>
      <c r="E11" s="132">
        <f>D11*0.19</f>
        <v>17889.620999999999</v>
      </c>
      <c r="F11" s="131">
        <f>E11+D11</f>
        <v>112045.52099999999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101845.17496654589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41992.090787439614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83845.174966545892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52163.80921256038</v>
      </c>
      <c r="E13" s="221">
        <f>(D11/D12)-1</f>
        <v>1.2422293873531838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74845.174966545892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35845.174966545892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69286.94979927536</v>
      </c>
      <c r="F15" s="216">
        <f>E15-D12</f>
        <v>27294.859011835746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35845.174966545892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75845.174966545892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8000</v>
      </c>
      <c r="E19" s="123">
        <f>D19*0.19</f>
        <v>1520</v>
      </c>
      <c r="F19" s="120">
        <f>SUM(D19:E19)</f>
        <v>9520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4158</v>
      </c>
      <c r="E20" s="121">
        <f>D20*0.19</f>
        <v>790.02</v>
      </c>
      <c r="F20" s="120">
        <f>SUM(D20:E20)</f>
        <v>4948.0200000000004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12158</v>
      </c>
      <c r="E21" s="116">
        <f>SUM(E18:E20)</f>
        <v>2310.02</v>
      </c>
      <c r="F21" s="115">
        <f>SUM(F18:F20)</f>
        <v>14468.02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15579.600999999999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94155.9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12158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52163.80921256038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52163.80921256038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2024-03-14T13:34:31Z</cp:lastPrinted>
  <dcterms:created xsi:type="dcterms:W3CDTF">2013-03-18T13:35:42Z</dcterms:created>
  <dcterms:modified xsi:type="dcterms:W3CDTF">2024-08-27T12:36:35Z</dcterms:modified>
</cp:coreProperties>
</file>