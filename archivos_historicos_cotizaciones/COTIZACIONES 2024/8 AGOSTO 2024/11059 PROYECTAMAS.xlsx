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CA3FEC14-72D6-43BD-93B3-C5915EA48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2" i="1"/>
  <c r="H23" i="1"/>
  <c r="K22" i="1"/>
  <c r="L22" i="1"/>
  <c r="M22" i="1"/>
  <c r="K23" i="1"/>
  <c r="L23" i="1"/>
  <c r="M23" i="1"/>
  <c r="K21" i="1"/>
  <c r="K10" i="1"/>
  <c r="N23" i="1" l="1"/>
  <c r="O23" i="1" s="1"/>
  <c r="N22" i="1"/>
  <c r="O22" i="1" s="1"/>
  <c r="R23" i="1"/>
  <c r="R22" i="1"/>
  <c r="J40" i="1"/>
  <c r="L21" i="1" l="1"/>
  <c r="L26" i="1" s="1"/>
  <c r="M21" i="1"/>
  <c r="N21" i="1" l="1"/>
  <c r="O21" i="1" s="1"/>
  <c r="O27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 s="1"/>
  <c r="R28" i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<sst xmlns="http://schemas.openxmlformats.org/spreadsheetml/2006/main" count="223" uniqueCount="165">
  <si>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</si>
  <si>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</si>
  <si>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</si>
  <si>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</si>
  <si>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</si>
  <si>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</si>
  <si>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</si>
  <si>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</si>
  <si>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</si>
  <si>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</si>
  <si>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</si>
  <si>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</si>
  <si>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</si>
  <si>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</si>
  <si>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</si>
  <si>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</si>
  <si>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</si>
  <si>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</si>
  <si>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</si>
  <si>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</si>
  <si>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</si>
  <si>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</si>
  <si>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</si>
  <si>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</si>
  <si>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</si>
  <si>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</si>
  <si>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</si>
  <si>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</si>
  <si>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</si>
  <si>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</si>
  <si>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</si>
  <si>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</si>
  <si>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</si>
  <si>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</si>
  <si>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</si>
  <si>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</si>
  <si>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</si>
  <si>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</si>
  <si>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</si>
  <si>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</si>
  <si>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</si>
  <si>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</si>
  <si>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</si>
  <si>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</si>
  <si>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</si>
  <si>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</si>
  <si>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</si>
  <si>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</si>
  <si>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</si>
  <si>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</si>
  <si>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</si>
  <si>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</si>
  <si>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</si>
  <si>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</si>
  <si>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</si>
  <si>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</si>
  <si>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</si>
  <si>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</si>
  <si>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</si>
  <si>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</si>
  <si>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</si>
  <si>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</si>
  <si>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</si>
  <si>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</si>
  <si>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</si>
  <si>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</si>
  <si>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</si>
  <si>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</si>
  <si>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</si>
  <si>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</si>
  <si>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</si>
  <si>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</si>
  <si>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</si>
  <si>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</si>
  <si>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</si>
  <si>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</si>
  <si>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</si>
  <si>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</si>
  <si>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</si>
  <si>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</si>
  <si>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</si>
  <si>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</si>
  <si>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</si>
  <si>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</si>
  <si>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</si>
  <si>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</si>
  <si>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</si>
  <si>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</si>
  <si>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</si>
  <si>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</si>
  <si>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</si>
  <si>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</si>
  <si>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</si>
  <si>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</si>
  <si>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</si>
  <si>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</si>
  <si>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</si>
  <si>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</si>
  <si>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</si>
  <si>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</si>
  <si>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</si>
  <si>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</si>
  <si>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</si>
  <si>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</si>
  <si>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</si>
  <si>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</si>
  <si>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</si>
  <si>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</si>
  <si>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</si>
  <si>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</si>
  <si>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</si>
  <si>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</si>
  <si>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</si>
  <si>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</si>
  <si>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</si>
  <si>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</si>
  <si>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</si>
  <si>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</si>
  <si>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</si>
  <si>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</si>
  <si>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</si>
  <si>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</si>
  <si>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</si>
  <si>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</si>
  <si>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</si>
  <si>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</si>
  <si>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</si>
  <si>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</si>
  <si>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</si>
  <si>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</si>
  <si>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</si>
  <si>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</si>
  <si>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</si>
  <si>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</si>
  <si>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</si>
  <si>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</si>
  <si>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</si>
  <si>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</si>
  <si>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</si>
  <si>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</si>
  <si>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</si>
  <si>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</si>
  <si>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</si>
  <si>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</si>
  <si>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</si>
  <si>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</si>
  <si>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</si>
  <si>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</si>
  <si>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</si>
  <si>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</si>
  <si>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</si>
  <si>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</si>
  <si>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</si>
  <si>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</si>
  <si>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</si>
  <si>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PROYECTAMAS</t>
  </si>
  <si>
    <t>DANIELA SEPULVEDA</t>
  </si>
  <si>
    <t>+569 78505612</t>
  </si>
  <si>
    <t>AGLOMERADO 24MM</t>
  </si>
  <si>
    <t>LAMINA 153 X 244</t>
  </si>
  <si>
    <t>LAMINA 122 X 305</t>
  </si>
  <si>
    <t>N° 11059</t>
  </si>
  <si>
    <t>5 DIAS HABILES</t>
  </si>
  <si>
    <t>CUB C/R R6</t>
  </si>
  <si>
    <t>MOUSE 2193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</si>
</sst>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10" borderId="0" xfId="0" applyNumberFormat="1" applyFill="1"/>
    <xf numFmtId="166" fontId="3" fillId="1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CON SOBRE MEDIDA EN EL LARGO</a:t>
          </a:r>
        </a:p>
        <a:p>
          <a:pPr algn="l"/>
          <a:r>
            <a:rPr lang="es-CL" sz="1200" b="1"/>
            <a:t>SUSTRATO:</a:t>
          </a:r>
          <a:r>
            <a:rPr lang="es-CL" sz="1200" b="1" baseline="0"/>
            <a:t> MDF18MM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7" zoomScale="98" zoomScaleNormal="98" workbookViewId="0">
      <selection activeCell="I28" sqref="I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155</v>
      </c>
      <c r="D10" s="243"/>
      <c r="E10" s="243"/>
      <c r="F10" s="244" t="s">
        <v>0</v>
      </c>
      <c r="G10" s="277">
        <v>45511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C13" t="s">
        <v>156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157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154</v>
      </c>
      <c r="H16" s="290"/>
    </row>
    <row r="17" spans="2:24" ht="15" thickBot="1" x14ac:dyDescent="0.35">
      <c r="B17" s="297" t="s">
        <v>13</v>
      </c>
      <c r="C17" s="298" t="s">
        <v>152</v>
      </c>
      <c r="D17" s="299"/>
      <c r="E17" s="300"/>
      <c r="F17" s="330" t="s">
        <v>153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147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126366.33020085869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163</v>
      </c>
      <c r="D21" s="324">
        <v>2.1</v>
      </c>
      <c r="E21" s="324">
        <v>0.61</v>
      </c>
      <c r="F21" s="312" t="s">
        <v>164</v>
      </c>
      <c r="G21" s="313">
        <v>163417</v>
      </c>
      <c r="H21" s="314">
        <f t="shared" ref="H21" si="1">G21*B21</f>
        <v>163417</v>
      </c>
      <c r="I21" s="265"/>
      <c r="J21" s="47"/>
      <c r="K21" s="328">
        <f>B21</f>
        <v>1</v>
      </c>
      <c r="L21" s="329">
        <f t="shared" ref="L21:M21" si="2">D21+L$19</f>
        <v>2.12</v>
      </c>
      <c r="M21" s="329">
        <f t="shared" si="2"/>
        <v>0.61</v>
      </c>
      <c r="N21" s="261">
        <f>L21*M21</f>
        <v>1.2932000000000001</v>
      </c>
      <c r="O21" s="259">
        <f>N21*K21</f>
        <v>1.2932000000000001</v>
      </c>
      <c r="P21" s="252">
        <f>P$20*N21</f>
        <v>163416.93821575047</v>
      </c>
      <c r="Q21" s="258">
        <f>P21+Q$20</f>
        <v>166416.93821575047</v>
      </c>
      <c r="R21" s="308">
        <f>K21*L21</f>
        <v>2.12</v>
      </c>
      <c r="S21" s="14"/>
      <c r="T21" s="9"/>
      <c r="W21" s="4"/>
    </row>
    <row r="22" spans="2:24" ht="17.399999999999999" x14ac:dyDescent="0.3">
      <c r="B22" s="321">
        <v>1</v>
      </c>
      <c r="C22" s="312" t="s">
        <v>163</v>
      </c>
      <c r="D22" s="324">
        <v>1.53</v>
      </c>
      <c r="E22" s="324">
        <v>0.61</v>
      </c>
      <c r="F22" s="312" t="s">
        <v>164</v>
      </c>
      <c r="G22" s="313">
        <v>119479</v>
      </c>
      <c r="H22" s="314">
        <f t="shared" ref="H22:H23" si="3">G22*B22</f>
        <v>119479</v>
      </c>
      <c r="I22" s="265"/>
      <c r="J22" s="47"/>
      <c r="K22" s="326">
        <f t="shared" ref="K22:K23" si="4">B22</f>
        <v>1</v>
      </c>
      <c r="L22" s="327">
        <f t="shared" ref="L22:L23" si="5">D22+L$19</f>
        <v>1.55</v>
      </c>
      <c r="M22" s="327">
        <f t="shared" ref="M22:M23" si="6">E22+M$19</f>
        <v>0.61</v>
      </c>
      <c r="N22" s="261">
        <f t="shared" ref="N22:N23" si="7">L22*M22</f>
        <v>0.94550000000000001</v>
      </c>
      <c r="O22" s="259">
        <f t="shared" ref="O22:O23" si="8">N22*K22</f>
        <v>0.94550000000000001</v>
      </c>
      <c r="P22" s="252">
        <f t="shared" ref="P22:P23" si="9">P$20*N22</f>
        <v>119479.3652049119</v>
      </c>
      <c r="Q22" s="258">
        <f t="shared" ref="Q22:Q23" si="10">P22+Q$20</f>
        <v>122479.3652049119</v>
      </c>
      <c r="R22" s="308">
        <f t="shared" ref="R22:R23" si="11">K22*L22</f>
        <v>1.55</v>
      </c>
      <c r="S22" s="14"/>
      <c r="T22" s="9"/>
      <c r="W22" s="4"/>
    </row>
    <row r="23" spans="2:24" ht="17.399999999999999" x14ac:dyDescent="0.3">
      <c r="B23" s="321">
        <v>1</v>
      </c>
      <c r="C23" s="312" t="s">
        <v>163</v>
      </c>
      <c r="D23" s="324">
        <v>1.8</v>
      </c>
      <c r="E23" s="324">
        <v>0.6</v>
      </c>
      <c r="F23" s="312" t="s">
        <v>164</v>
      </c>
      <c r="G23" s="313">
        <v>137992</v>
      </c>
      <c r="H23" s="314">
        <f t="shared" si="3"/>
        <v>137992</v>
      </c>
      <c r="I23" s="265"/>
      <c r="J23" s="47"/>
      <c r="K23" s="47">
        <f t="shared" si="4"/>
        <v>1</v>
      </c>
      <c r="L23" s="39">
        <f t="shared" si="5"/>
        <v>1.82</v>
      </c>
      <c r="M23" s="39">
        <f t="shared" si="6"/>
        <v>0.6</v>
      </c>
      <c r="N23" s="261">
        <f t="shared" si="7"/>
        <v>1.0920000000000001</v>
      </c>
      <c r="O23" s="259">
        <f t="shared" si="8"/>
        <v>1.0920000000000001</v>
      </c>
      <c r="P23" s="252">
        <f t="shared" si="9"/>
        <v>137992.03257933771</v>
      </c>
      <c r="Q23" s="258">
        <f t="shared" si="10"/>
        <v>140992.03257933771</v>
      </c>
      <c r="R23" s="308">
        <f t="shared" si="11"/>
        <v>1.82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5"/>
      <c r="H24" s="32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420888</v>
      </c>
      <c r="I26" s="265"/>
      <c r="J26" s="47"/>
      <c r="K26" s="47"/>
      <c r="L26" s="39">
        <f>SUM(L21:L25)</f>
        <v>5.49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79968.72</v>
      </c>
      <c r="I27" s="265"/>
      <c r="J27" s="47"/>
      <c r="K27" s="47"/>
      <c r="L27" s="39"/>
      <c r="M27" s="12"/>
      <c r="N27" s="12"/>
      <c r="O27" s="253">
        <f>SUM(O21:O23)</f>
        <v>3.3307000000000002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500856.72</v>
      </c>
      <c r="I28" s="265"/>
      <c r="J28" s="47"/>
      <c r="K28" s="47"/>
      <c r="L28" s="39"/>
      <c r="M28" s="12"/>
      <c r="N28" s="12"/>
      <c r="O28" s="253">
        <f>O27</f>
        <v>3.3307000000000002</v>
      </c>
      <c r="P28" s="14"/>
      <c r="Q28" s="12"/>
      <c r="R28" s="238">
        <f>SUM(R21:R27)</f>
        <v>5.49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0.66614000000000007</v>
      </c>
      <c r="P29" s="39" t="s">
        <v>131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8"/>
      <c r="K30" s="47"/>
      <c r="L30" s="14"/>
      <c r="M30" s="12"/>
      <c r="N30" s="12"/>
      <c r="O30" s="46">
        <f>O28+O29</f>
        <v>3.9968400000000002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8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O30*2</f>
        <v>7.9936800000000003</v>
      </c>
      <c r="M32" s="12">
        <v>3500</v>
      </c>
      <c r="N32" s="12">
        <f t="shared" ref="N32:N37" si="12">L32*M32</f>
        <v>27977.88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1.5</v>
      </c>
      <c r="M33" s="12">
        <v>25000</v>
      </c>
      <c r="N33" s="12">
        <f t="shared" si="12"/>
        <v>37500</v>
      </c>
      <c r="O33" s="39" t="s">
        <v>158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40511</v>
      </c>
      <c r="N34" s="12">
        <f t="shared" si="12"/>
        <v>0</v>
      </c>
      <c r="O34" s="39" t="s">
        <v>159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151</v>
      </c>
      <c r="I35" s="262"/>
      <c r="J35" s="317"/>
      <c r="K35" s="250"/>
      <c r="L35" s="14">
        <v>3</v>
      </c>
      <c r="M35" s="250">
        <v>39200</v>
      </c>
      <c r="N35" s="12">
        <f t="shared" si="12"/>
        <v>117600</v>
      </c>
      <c r="O35" s="14" t="s">
        <v>160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J36" s="317"/>
      <c r="K36" s="250"/>
      <c r="L36" s="249"/>
      <c r="M36" s="250">
        <v>800</v>
      </c>
      <c r="N36" s="12">
        <f t="shared" si="12"/>
        <v>0</v>
      </c>
      <c r="O36" s="14" t="s">
        <v>33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J37" s="47"/>
      <c r="K37" s="250"/>
      <c r="L37" s="266">
        <v>5.49</v>
      </c>
      <c r="M37" s="12">
        <v>1500</v>
      </c>
      <c r="N37" s="12">
        <f t="shared" si="12"/>
        <v>8235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J38" s="47"/>
      <c r="K38" s="250"/>
      <c r="L38" s="14"/>
      <c r="M38" s="12"/>
      <c r="N38" s="12">
        <f>SUM(N32:N37)</f>
        <v>191312.88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46640</v>
      </c>
      <c r="K39" s="250"/>
      <c r="L39" s="254" t="s">
        <v>34</v>
      </c>
      <c r="M39" s="12"/>
      <c r="N39" s="255">
        <f>N38*2.2</f>
        <v>420888.33600000007</v>
      </c>
      <c r="O39" s="14" t="s">
        <v>141</v>
      </c>
      <c r="P39" s="14"/>
      <c r="Q39" s="46">
        <f>O28/Q38</f>
        <v>0.89805327868852458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39193.277310924372</v>
      </c>
      <c r="K40" s="250"/>
      <c r="L40" s="14"/>
      <c r="M40" s="12"/>
      <c r="N40" s="12">
        <f>N39/O28</f>
        <v>126366.33020085869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0.87362622950819668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45511</v>
      </c>
    </row>
    <row r="6" spans="2:31" ht="16.2" thickBot="1" x14ac:dyDescent="0.35">
      <c r="B6" s="140" t="s">
        <v>2</v>
      </c>
      <c r="C6" s="139" t="str">
        <f>'2229'!C10</f>
        <v>PROYECTAMAS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-43937.20803345411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420888</v>
      </c>
      <c r="E11" s="132">
        <f>D11*0.19</f>
        <v>79968.72</v>
      </c>
      <c r="F11" s="131">
        <f>E11+D11</f>
        <v>500856.72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62052.79196654589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95311.970787439612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44052.79196654589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325576.02921256039</v>
      </c>
      <c r="E13" s="221">
        <f>(D11/D12)-1</f>
        <v>3.4158986171699786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35052.79196654589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-3947.2080334541097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157264.75179927534</v>
      </c>
      <c r="F15" s="216">
        <f>E15-D12</f>
        <v>61952.78101183573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-3947.2080334541097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36052.79196654589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27977.88</v>
      </c>
      <c r="E20" s="121">
        <f>D20*0.19</f>
        <v>5315.7972</v>
      </c>
      <c r="F20" s="120">
        <f>SUM(D20:E20)</f>
        <v>33293.677199999998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65477.880000000005</v>
      </c>
      <c r="E21" s="116">
        <f>SUM(E18:E20)</f>
        <v>12440.797200000001</v>
      </c>
      <c r="F21" s="115">
        <f>SUM(F18:F20)</f>
        <v>77918.677200000006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67527.9228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420888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65477.880000000005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325576.02921256039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325576.02921256039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2024-08-07T20:52:23Z</dcterms:modified>
</cp:coreProperties>
</file>