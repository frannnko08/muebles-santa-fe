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60D2D214-E27D-4ABC-8A9C-55B4ED5439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K23" i="1" l="1"/>
  <c r="L23" i="1"/>
  <c r="R23" i="1" s="1"/>
  <c r="M23" i="1"/>
  <c r="K24" i="1"/>
  <c r="L24" i="1"/>
  <c r="R24" i="1" s="1"/>
  <c r="M24" i="1"/>
  <c r="N24" i="1"/>
  <c r="O24" i="1" s="1"/>
  <c r="K25" i="1"/>
  <c r="L25" i="1"/>
  <c r="N25" i="1" s="1"/>
  <c r="O25" i="1" s="1"/>
  <c r="M25" i="1"/>
  <c r="K26" i="1"/>
  <c r="L26" i="1"/>
  <c r="R26" i="1" s="1"/>
  <c r="M26" i="1"/>
  <c r="K27" i="1"/>
  <c r="L27" i="1"/>
  <c r="N27" i="1" s="1"/>
  <c r="O27" i="1" s="1"/>
  <c r="M27" i="1"/>
  <c r="K28" i="1"/>
  <c r="L28" i="1"/>
  <c r="M28" i="1"/>
  <c r="H24" i="1"/>
  <c r="H22" i="1"/>
  <c r="H23" i="1"/>
  <c r="H25" i="1"/>
  <c r="H26" i="1"/>
  <c r="H27" i="1"/>
  <c r="K22" i="1"/>
  <c r="L22" i="1"/>
  <c r="M22" i="1"/>
  <c r="K21" i="1"/>
  <c r="J46" i="1"/>
  <c r="L21" i="1"/>
  <c r="M21" i="1"/>
  <c r="R28" i="1" l="1"/>
  <c r="N28" i="1"/>
  <c r="O28" i="1" s="1"/>
  <c r="R27" i="1"/>
  <c r="N23" i="1"/>
  <c r="O23" i="1" s="1"/>
  <c r="N26" i="1"/>
  <c r="O26" i="1" s="1"/>
  <c r="R25" i="1"/>
  <c r="R22" i="1"/>
  <c r="L31" i="1"/>
  <c r="N22" i="1"/>
  <c r="O22" i="1" s="1"/>
  <c r="S21" i="1"/>
  <c r="R21" i="1"/>
  <c r="R33" i="1" s="1"/>
  <c r="N21" i="1"/>
  <c r="O21" i="1" s="1"/>
  <c r="U39" i="1"/>
  <c r="U40" i="1" s="1"/>
  <c r="O32" i="1" l="1"/>
  <c r="N38" i="1"/>
  <c r="O33" i="1" l="1"/>
  <c r="O34" i="1" s="1"/>
  <c r="O35" i="1" s="1"/>
  <c r="L37" i="1" s="1"/>
  <c r="M20" i="1"/>
  <c r="K20" i="1"/>
  <c r="N39" i="1" l="1"/>
  <c r="Q43" i="1"/>
  <c r="N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2" i="1"/>
  <c r="N41" i="1"/>
  <c r="F18" i="3" l="1"/>
  <c r="N37" i="1" l="1"/>
  <c r="Q44" i="1"/>
  <c r="N43" i="1" l="1"/>
  <c r="N44" i="1" s="1"/>
  <c r="D20" i="3"/>
  <c r="E20" i="3" s="1"/>
  <c r="E21" i="3" s="1"/>
  <c r="N46" i="1" l="1"/>
  <c r="D21" i="3"/>
  <c r="M43" i="3" s="1"/>
  <c r="D12" i="3" s="1"/>
  <c r="F20" i="3"/>
  <c r="F21" i="3" s="1"/>
  <c r="N45" i="1" l="1"/>
  <c r="P20" i="1" s="1"/>
  <c r="E15" i="3"/>
  <c r="P28" i="1" l="1"/>
  <c r="Q28" i="1" s="1"/>
  <c r="P24" i="1"/>
  <c r="Q24" i="1" s="1"/>
  <c r="P23" i="1"/>
  <c r="Q23" i="1" s="1"/>
  <c r="P26" i="1"/>
  <c r="Q26" i="1" s="1"/>
  <c r="P27" i="1"/>
  <c r="Q27" i="1" s="1"/>
  <c r="P25" i="1"/>
  <c r="Q25" i="1" s="1"/>
  <c r="P21" i="1"/>
  <c r="P22" i="1"/>
  <c r="F15" i="3"/>
  <c r="Q22" i="1" l="1"/>
  <c r="Q21" i="1"/>
  <c r="H21" i="1" s="1"/>
  <c r="H31" i="1" s="1"/>
  <c r="D11" i="3" l="1"/>
  <c r="X9" i="3" s="1"/>
  <c r="X15" i="3" s="1"/>
  <c r="H33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<sst xmlns="http://schemas.openxmlformats.org/spreadsheetml/2006/main" count="243" uniqueCount="174">
  <si>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</si>
  <si>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</si>
  <si>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</si>
  <si>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</si>
  <si>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</si>
  <si>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</si>
  <si>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</si>
  <si>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</si>
  <si>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</si>
  <si>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</si>
  <si>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</si>
  <si>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</si>
  <si>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</si>
  <si>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</si>
  <si>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</si>
  <si>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</si>
  <si>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</si>
  <si>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</si>
  <si>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</si>
  <si>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</si>
  <si>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</si>
  <si>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</si>
  <si>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</si>
  <si>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</si>
  <si>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</si>
  <si>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</si>
  <si>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</si>
  <si>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</si>
  <si>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</si>
  <si>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</si>
  <si>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</si>
  <si>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</si>
  <si>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</si>
  <si>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</si>
  <si>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</si>
  <si>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</si>
  <si>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</si>
  <si>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</si>
  <si>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</si>
  <si>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</si>
  <si>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</si>
  <si>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</si>
  <si>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</si>
  <si>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</si>
  <si>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</si>
  <si>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</si>
  <si>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</si>
  <si>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</si>
  <si>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</si>
  <si>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</si>
  <si>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</si>
  <si>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</si>
  <si>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</si>
  <si>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</si>
  <si>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</si>
  <si>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</si>
  <si>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</si>
  <si>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</si>
  <si>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</si>
  <si>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</si>
  <si>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</si>
  <si>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</si>
  <si>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</si>
  <si>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</si>
  <si>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</si>
  <si>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</si>
  <si>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</si>
  <si>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</si>
  <si>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</si>
  <si>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</si>
  <si>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</si>
  <si>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</si>
  <si>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</si>
  <si>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</si>
  <si>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</si>
  <si>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</si>
  <si>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</si>
  <si>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</si>
  <si>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</si>
  <si>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</si>
  <si>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</si>
  <si>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</si>
  <si>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</si>
  <si>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</si>
  <si>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</si>
  <si>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</si>
  <si>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</si>
  <si>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</si>
  <si>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</si>
  <si>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</si>
  <si>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</si>
  <si>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</si>
  <si>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</si>
  <si>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</si>
  <si>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</si>
  <si>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</si>
  <si>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</si>
  <si>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</si>
  <si>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</si>
  <si>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</si>
  <si>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</si>
  <si>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</si>
  <si>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</si>
  <si>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</si>
  <si>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</si>
  <si>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</si>
  <si>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</si>
  <si>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</si>
  <si>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</si>
  <si>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</si>
  <si>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</si>
  <si>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</si>
  <si>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</si>
  <si>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</si>
  <si>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</si>
  <si>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</si>
  <si>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</si>
  <si>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</si>
  <si>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</si>
  <si>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</si>
  <si>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</si>
  <si>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</si>
  <si>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</si>
  <si>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</si>
  <si>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</si>
  <si>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</si>
  <si>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</si>
  <si>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</si>
  <si>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</si>
  <si>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</si>
  <si>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</si>
  <si>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</si>
  <si>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</si>
  <si>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</si>
  <si>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</si>
  <si>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</si>
  <si>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</si>
  <si>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</si>
  <si>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</si>
  <si>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</si>
  <si>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</si>
  <si>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</si>
  <si>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</si>
  <si>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</si>
  <si>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</si>
  <si>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</si>
  <si>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</si>
  <si>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</si>
  <si>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</si>
  <si>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</si>
  <si>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</si>
  <si>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</si>
  <si>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</si>
  <si>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</si>
  <si>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</si>
  <si>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</si>
  <si>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</si>
  <si>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</si>
  <si>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</si>
  <si>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</si>
  <si>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</si>
  <si>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</si>
  <si>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</si>
  <si>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</si>
  <si>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</si>
  <si>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</si>
  <si>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</si>
  <si>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10 DIAS HABILES</t>
  </si>
  <si>
    <t>CORTE 45°</t>
  </si>
  <si>
    <t>DANIELA MORENO</t>
  </si>
  <si>
    <t>PUNTO ESCUADRA SPA</t>
  </si>
  <si>
    <t>77.273.391-7</t>
  </si>
  <si>
    <t>569 26179801</t>
  </si>
  <si>
    <t>BLANCO BR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</si>
</sst>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11" fillId="0" borderId="0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167" fontId="0" fillId="2" borderId="0" xfId="0" applyNumberFormat="1" applyFill="1"/>
    <xf numFmtId="166" fontId="3" fillId="2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35</xdr:row>
      <xdr:rowOff>26670</xdr:rowOff>
    </xdr:from>
    <xdr:to>
      <xdr:col>7</xdr:col>
      <xdr:colOff>1034435</xdr:colOff>
      <xdr:row>38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37</xdr:row>
      <xdr:rowOff>154305</xdr:rowOff>
    </xdr:from>
    <xdr:to>
      <xdr:col>7</xdr:col>
      <xdr:colOff>853440</xdr:colOff>
      <xdr:row>37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35</xdr:row>
      <xdr:rowOff>9525</xdr:rowOff>
    </xdr:from>
    <xdr:to>
      <xdr:col>5</xdr:col>
      <xdr:colOff>1714500</xdr:colOff>
      <xdr:row>38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29</xdr:row>
      <xdr:rowOff>222558</xdr:rowOff>
    </xdr:from>
    <xdr:to>
      <xdr:col>5</xdr:col>
      <xdr:colOff>1659644</xdr:colOff>
      <xdr:row>33</xdr:row>
      <xdr:rowOff>155063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4589719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8"/>
  <sheetViews>
    <sheetView tabSelected="1" topLeftCell="A12" zoomScale="93" zoomScaleNormal="93" workbookViewId="0">
      <selection activeCell="B21" sqref="B21:H28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11080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170</v>
      </c>
      <c r="D10" s="243"/>
      <c r="E10" s="243"/>
      <c r="F10" s="244" t="s">
        <v>0</v>
      </c>
      <c r="G10" s="277">
        <v>45532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 t="s">
        <v>171</v>
      </c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 t="s">
        <v>169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9" t="s">
        <v>172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7" t="s">
        <v>165</v>
      </c>
      <c r="G17" s="337"/>
      <c r="H17" s="33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9" t="s">
        <v>148</v>
      </c>
      <c r="C19" s="340"/>
      <c r="D19" s="340"/>
      <c r="E19" s="340"/>
      <c r="F19" s="340"/>
      <c r="G19" s="340"/>
      <c r="H19" s="34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N45</f>
        <v>56234.748478553614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23">
        <v>1</v>
      </c>
      <c r="C21" s="324" t="s">
        <v>36</v>
      </c>
      <c r="D21" s="325">
        <v>2.77</v>
      </c>
      <c r="E21" s="325">
        <v>0.66</v>
      </c>
      <c r="F21" s="324" t="s">
        <v>173</v>
      </c>
      <c r="G21" s="326">
        <v>104664</v>
      </c>
      <c r="H21" s="327">
        <f>G21*B21</f>
        <v>104664</v>
      </c>
      <c r="I21" s="265"/>
      <c r="J21" s="47"/>
      <c r="K21" s="331">
        <f>B21</f>
        <v>1</v>
      </c>
      <c r="L21" s="332">
        <f t="shared" ref="L21" si="1">D21+L$19</f>
        <v>2.82</v>
      </c>
      <c r="M21" s="332">
        <f t="shared" ref="M21" si="2">E21+M$19</f>
        <v>0.66</v>
      </c>
      <c r="N21" s="261">
        <f t="shared" ref="N21" si="3">L21*M21</f>
        <v>1.8612</v>
      </c>
      <c r="O21" s="259">
        <f t="shared" ref="O21" si="4">N21*K21</f>
        <v>1.8612</v>
      </c>
      <c r="P21" s="252">
        <f>P$20*N21</f>
        <v>104664.11386828398</v>
      </c>
      <c r="Q21" s="258">
        <f t="shared" ref="Q21" si="5">P21+Q$20</f>
        <v>107664.11386828398</v>
      </c>
      <c r="R21" s="309">
        <f>L21*K21*2</f>
        <v>5.64</v>
      </c>
      <c r="S21" s="46">
        <f>M21*K21*2</f>
        <v>1.32</v>
      </c>
      <c r="T21" s="9"/>
      <c r="W21" s="4"/>
    </row>
    <row r="22" spans="2:24" ht="18" thickBot="1" x14ac:dyDescent="0.35">
      <c r="B22" s="323">
        <v>1</v>
      </c>
      <c r="C22" s="324" t="s">
        <v>36</v>
      </c>
      <c r="D22" s="325">
        <v>2.7</v>
      </c>
      <c r="E22" s="325">
        <v>0.67</v>
      </c>
      <c r="F22" s="324" t="s">
        <v>173</v>
      </c>
      <c r="G22" s="326">
        <v>103613</v>
      </c>
      <c r="H22" s="327">
        <f t="shared" ref="H22:H28" si="6">G22*B22</f>
        <v>103613</v>
      </c>
      <c r="I22" s="265"/>
      <c r="J22" s="47"/>
      <c r="K22" s="333">
        <f t="shared" ref="K22" si="7">B22</f>
        <v>1</v>
      </c>
      <c r="L22" s="334">
        <f t="shared" ref="L22" si="8">D22+L$19</f>
        <v>2.75</v>
      </c>
      <c r="M22" s="334">
        <f t="shared" ref="M22" si="9">E22+M$19</f>
        <v>0.67</v>
      </c>
      <c r="N22" s="261">
        <f t="shared" ref="N22" si="10">L22*M22</f>
        <v>1.8425</v>
      </c>
      <c r="O22" s="259">
        <f t="shared" ref="O22" si="11">N22*K22</f>
        <v>1.8425</v>
      </c>
      <c r="P22" s="252">
        <f t="shared" ref="P22" si="12">P$20*N22</f>
        <v>103612.52407173504</v>
      </c>
      <c r="Q22" s="258">
        <f t="shared" ref="Q22" si="13">P22+Q$20</f>
        <v>106612.52407173504</v>
      </c>
      <c r="R22" s="309">
        <f t="shared" ref="R22" si="14">L22*K22*2</f>
        <v>5.5</v>
      </c>
      <c r="S22" s="46"/>
      <c r="T22" s="9"/>
      <c r="W22" s="4"/>
    </row>
    <row r="23" spans="2:24" ht="18" thickBot="1" x14ac:dyDescent="0.35">
      <c r="B23" s="323">
        <v>1</v>
      </c>
      <c r="C23" s="324" t="s">
        <v>36</v>
      </c>
      <c r="D23" s="325">
        <v>3.2</v>
      </c>
      <c r="E23" s="325">
        <v>0.52</v>
      </c>
      <c r="F23" s="324" t="s">
        <v>173</v>
      </c>
      <c r="G23" s="326">
        <v>95037</v>
      </c>
      <c r="H23" s="327">
        <f t="shared" si="6"/>
        <v>95037</v>
      </c>
      <c r="I23" s="265"/>
      <c r="J23" s="47"/>
      <c r="K23" s="333">
        <f t="shared" ref="K23:K28" si="15">B23</f>
        <v>1</v>
      </c>
      <c r="L23" s="334">
        <f t="shared" ref="L23:L28" si="16">D23+L$19</f>
        <v>3.25</v>
      </c>
      <c r="M23" s="334">
        <f t="shared" ref="M23:M28" si="17">E23+M$19</f>
        <v>0.52</v>
      </c>
      <c r="N23" s="261">
        <f t="shared" ref="N23:N28" si="18">L23*M23</f>
        <v>1.69</v>
      </c>
      <c r="O23" s="259">
        <f t="shared" ref="O23:O28" si="19">N23*K23</f>
        <v>1.69</v>
      </c>
      <c r="P23" s="252">
        <f t="shared" ref="P23:P28" si="20">P$20*N23</f>
        <v>95036.724928755604</v>
      </c>
      <c r="Q23" s="258">
        <f t="shared" ref="Q23:Q28" si="21">P23+Q$20</f>
        <v>98036.724928755604</v>
      </c>
      <c r="R23" s="309">
        <f t="shared" ref="R23:R28" si="22">L23*K23*2</f>
        <v>6.5</v>
      </c>
      <c r="S23" s="46"/>
      <c r="T23" s="9"/>
      <c r="W23" s="4"/>
    </row>
    <row r="24" spans="2:24" ht="18" thickBot="1" x14ac:dyDescent="0.35">
      <c r="B24" s="323">
        <v>1</v>
      </c>
      <c r="C24" s="324" t="s">
        <v>36</v>
      </c>
      <c r="D24" s="325">
        <v>2.88</v>
      </c>
      <c r="E24" s="325">
        <v>0.52</v>
      </c>
      <c r="F24" s="324" t="s">
        <v>173</v>
      </c>
      <c r="G24" s="326">
        <v>85679</v>
      </c>
      <c r="H24" s="327">
        <f t="shared" ref="H24" si="23">G24*B24</f>
        <v>85679</v>
      </c>
      <c r="I24" s="265"/>
      <c r="J24" s="47"/>
      <c r="K24" s="335">
        <f t="shared" si="15"/>
        <v>1</v>
      </c>
      <c r="L24" s="336">
        <f t="shared" si="16"/>
        <v>2.9299999999999997</v>
      </c>
      <c r="M24" s="336">
        <f t="shared" si="17"/>
        <v>0.52</v>
      </c>
      <c r="N24" s="261">
        <f t="shared" si="18"/>
        <v>1.5235999999999998</v>
      </c>
      <c r="O24" s="259">
        <f t="shared" si="19"/>
        <v>1.5235999999999998</v>
      </c>
      <c r="P24" s="252">
        <f t="shared" si="20"/>
        <v>85679.262781924277</v>
      </c>
      <c r="Q24" s="258">
        <f t="shared" si="21"/>
        <v>88679.262781924277</v>
      </c>
      <c r="R24" s="309">
        <f t="shared" si="22"/>
        <v>5.8599999999999994</v>
      </c>
      <c r="S24" s="46"/>
      <c r="T24" s="9"/>
      <c r="W24" s="4"/>
    </row>
    <row r="25" spans="2:24" ht="18" thickBot="1" x14ac:dyDescent="0.35">
      <c r="B25" s="323">
        <v>1</v>
      </c>
      <c r="C25" s="324" t="s">
        <v>36</v>
      </c>
      <c r="D25" s="325">
        <v>1.88</v>
      </c>
      <c r="E25" s="325">
        <v>0.52</v>
      </c>
      <c r="F25" s="324" t="s">
        <v>173</v>
      </c>
      <c r="G25" s="326">
        <v>56437</v>
      </c>
      <c r="H25" s="327">
        <f t="shared" si="6"/>
        <v>56437</v>
      </c>
      <c r="I25" s="265"/>
      <c r="J25" s="47"/>
      <c r="K25" s="331">
        <f t="shared" si="15"/>
        <v>1</v>
      </c>
      <c r="L25" s="332">
        <f t="shared" si="16"/>
        <v>1.93</v>
      </c>
      <c r="M25" s="332">
        <f t="shared" si="17"/>
        <v>0.52</v>
      </c>
      <c r="N25" s="261">
        <f t="shared" si="18"/>
        <v>1.0036</v>
      </c>
      <c r="O25" s="259">
        <f t="shared" si="19"/>
        <v>1.0036</v>
      </c>
      <c r="P25" s="252">
        <f t="shared" si="20"/>
        <v>56437.193573076409</v>
      </c>
      <c r="Q25" s="258">
        <f t="shared" si="21"/>
        <v>59437.193573076409</v>
      </c>
      <c r="R25" s="309">
        <f t="shared" si="22"/>
        <v>3.86</v>
      </c>
      <c r="S25" s="46"/>
      <c r="T25" s="9"/>
      <c r="W25" s="4"/>
    </row>
    <row r="26" spans="2:24" ht="18" thickBot="1" x14ac:dyDescent="0.35">
      <c r="B26" s="323">
        <v>1</v>
      </c>
      <c r="C26" s="324" t="s">
        <v>36</v>
      </c>
      <c r="D26" s="325">
        <v>1.74</v>
      </c>
      <c r="E26" s="325">
        <v>0.52</v>
      </c>
      <c r="F26" s="324" t="s">
        <v>173</v>
      </c>
      <c r="G26" s="326">
        <v>52343</v>
      </c>
      <c r="H26" s="327">
        <f t="shared" si="6"/>
        <v>52343</v>
      </c>
      <c r="I26" s="265"/>
      <c r="J26" s="47"/>
      <c r="K26" s="335">
        <f t="shared" si="15"/>
        <v>1</v>
      </c>
      <c r="L26" s="336">
        <f t="shared" si="16"/>
        <v>1.79</v>
      </c>
      <c r="M26" s="336">
        <f t="shared" si="17"/>
        <v>0.52</v>
      </c>
      <c r="N26" s="261">
        <f t="shared" si="18"/>
        <v>0.93080000000000007</v>
      </c>
      <c r="O26" s="259">
        <f t="shared" si="19"/>
        <v>0.93080000000000007</v>
      </c>
      <c r="P26" s="252">
        <f t="shared" si="20"/>
        <v>52343.303883837711</v>
      </c>
      <c r="Q26" s="258">
        <f t="shared" si="21"/>
        <v>55343.303883837711</v>
      </c>
      <c r="R26" s="309">
        <f t="shared" si="22"/>
        <v>3.58</v>
      </c>
      <c r="S26" s="46"/>
      <c r="T26" s="9"/>
      <c r="W26" s="4"/>
    </row>
    <row r="27" spans="2:24" ht="18" thickBot="1" x14ac:dyDescent="0.35">
      <c r="B27" s="323">
        <v>1</v>
      </c>
      <c r="C27" s="324" t="s">
        <v>36</v>
      </c>
      <c r="D27" s="325">
        <v>1.35</v>
      </c>
      <c r="E27" s="325">
        <v>0.52</v>
      </c>
      <c r="F27" s="324" t="s">
        <v>173</v>
      </c>
      <c r="G27" s="326">
        <v>40939</v>
      </c>
      <c r="H27" s="327">
        <f t="shared" si="6"/>
        <v>40939</v>
      </c>
      <c r="I27" s="265"/>
      <c r="J27" s="47"/>
      <c r="K27" s="335">
        <f t="shared" si="15"/>
        <v>1</v>
      </c>
      <c r="L27" s="336">
        <f t="shared" si="16"/>
        <v>1.4000000000000001</v>
      </c>
      <c r="M27" s="336">
        <f t="shared" si="17"/>
        <v>0.52</v>
      </c>
      <c r="N27" s="261">
        <f t="shared" si="18"/>
        <v>0.72800000000000009</v>
      </c>
      <c r="O27" s="259">
        <f t="shared" si="19"/>
        <v>0.72800000000000009</v>
      </c>
      <c r="P27" s="252">
        <f t="shared" si="20"/>
        <v>40938.896892387034</v>
      </c>
      <c r="Q27" s="258">
        <f t="shared" si="21"/>
        <v>43938.896892387034</v>
      </c>
      <c r="R27" s="309">
        <f t="shared" si="22"/>
        <v>2.8000000000000003</v>
      </c>
      <c r="S27" s="46"/>
      <c r="T27" s="9"/>
      <c r="W27" s="4"/>
    </row>
    <row r="28" spans="2:24" ht="17.399999999999999" x14ac:dyDescent="0.3">
      <c r="B28" s="323"/>
      <c r="C28" s="324" t="s">
        <v>168</v>
      </c>
      <c r="D28" s="325"/>
      <c r="E28" s="325"/>
      <c r="F28" s="324"/>
      <c r="G28" s="326">
        <v>7500</v>
      </c>
      <c r="H28" s="327">
        <f t="shared" si="6"/>
        <v>0</v>
      </c>
      <c r="I28" s="265"/>
      <c r="J28" s="47"/>
      <c r="K28" s="47">
        <f t="shared" si="15"/>
        <v>0</v>
      </c>
      <c r="L28" s="39">
        <f t="shared" si="16"/>
        <v>0.05</v>
      </c>
      <c r="M28" s="39">
        <f t="shared" si="17"/>
        <v>0</v>
      </c>
      <c r="N28" s="261">
        <f t="shared" si="18"/>
        <v>0</v>
      </c>
      <c r="O28" s="259">
        <f t="shared" si="19"/>
        <v>0</v>
      </c>
      <c r="P28" s="252">
        <f t="shared" si="20"/>
        <v>0</v>
      </c>
      <c r="Q28" s="258">
        <f t="shared" si="21"/>
        <v>3000</v>
      </c>
      <c r="R28" s="309">
        <f t="shared" si="22"/>
        <v>0</v>
      </c>
      <c r="S28" s="46"/>
      <c r="T28" s="9"/>
      <c r="W28" s="4"/>
    </row>
    <row r="29" spans="2:24" ht="17.399999999999999" x14ac:dyDescent="0.3">
      <c r="B29" s="286"/>
      <c r="C29" s="286"/>
      <c r="D29" s="287"/>
      <c r="E29" s="287"/>
      <c r="F29" s="286"/>
      <c r="G29" s="330"/>
      <c r="H29" s="330"/>
      <c r="I29" s="265"/>
      <c r="J29" s="47"/>
      <c r="K29" s="47"/>
      <c r="L29" s="39"/>
      <c r="M29" s="39"/>
      <c r="N29" s="261"/>
      <c r="O29" s="259"/>
      <c r="P29" s="252"/>
      <c r="Q29" s="258"/>
      <c r="R29" s="309"/>
      <c r="S29" s="46"/>
      <c r="T29" s="9"/>
      <c r="W29" s="4"/>
    </row>
    <row r="30" spans="2:24" ht="18" thickBot="1" x14ac:dyDescent="0.35">
      <c r="B30" s="286"/>
      <c r="C30" s="286"/>
      <c r="D30" s="287"/>
      <c r="E30" s="287"/>
      <c r="F30" s="286"/>
      <c r="G30" s="265"/>
      <c r="H30" s="233"/>
      <c r="I30" s="233"/>
      <c r="J30" s="47"/>
      <c r="K30" s="47"/>
      <c r="L30" s="39"/>
      <c r="M30" s="39"/>
      <c r="N30" s="261"/>
      <c r="O30" s="259"/>
      <c r="P30" s="252"/>
      <c r="Q30" s="258"/>
      <c r="R30" s="309"/>
      <c r="S30" s="14"/>
      <c r="T30" s="9"/>
      <c r="W30" s="4"/>
    </row>
    <row r="31" spans="2:24" ht="17.399999999999999" x14ac:dyDescent="0.3">
      <c r="B31" s="286"/>
      <c r="C31" s="286"/>
      <c r="D31" s="287"/>
      <c r="E31" s="287"/>
      <c r="F31" s="286"/>
      <c r="G31" s="310" t="s">
        <v>29</v>
      </c>
      <c r="H31" s="311">
        <f>SUM(H21:H28)</f>
        <v>538712</v>
      </c>
      <c r="I31" s="265"/>
      <c r="J31" s="47"/>
      <c r="K31" s="47"/>
      <c r="L31" s="39">
        <f>SUM(L21:L30)</f>
        <v>16.919999999999998</v>
      </c>
      <c r="M31" s="39"/>
      <c r="N31" s="261"/>
      <c r="O31" s="259"/>
      <c r="P31" s="252"/>
      <c r="Q31" s="258"/>
      <c r="R31" s="309"/>
      <c r="S31" s="14"/>
      <c r="T31" s="9"/>
      <c r="W31" s="4"/>
    </row>
    <row r="32" spans="2:24" ht="17.399999999999999" x14ac:dyDescent="0.3">
      <c r="B32" s="280"/>
      <c r="C32" s="283"/>
      <c r="D32" s="284"/>
      <c r="E32" s="284"/>
      <c r="F32" s="285"/>
      <c r="G32" s="308" t="s">
        <v>52</v>
      </c>
      <c r="H32" s="305"/>
      <c r="I32" s="265"/>
      <c r="J32" s="47"/>
      <c r="K32" s="47"/>
      <c r="L32" s="39"/>
      <c r="M32" s="12"/>
      <c r="N32" s="12"/>
      <c r="O32" s="253">
        <f>SUM(O21:O27)</f>
        <v>9.579699999999999</v>
      </c>
      <c r="P32" s="14"/>
      <c r="Q32" s="12"/>
      <c r="R32" s="239"/>
      <c r="S32" s="14"/>
      <c r="T32" s="9"/>
      <c r="W32" s="4"/>
    </row>
    <row r="33" spans="2:23" ht="18" thickBot="1" x14ac:dyDescent="0.35">
      <c r="B33" s="276"/>
      <c r="C33" s="282"/>
      <c r="D33" s="272"/>
      <c r="E33" s="272"/>
      <c r="F33" s="273"/>
      <c r="G33" s="281" t="s">
        <v>6</v>
      </c>
      <c r="H33" s="306">
        <f>H31+H32</f>
        <v>538712</v>
      </c>
      <c r="I33" s="265"/>
      <c r="J33" s="47"/>
      <c r="K33" s="47"/>
      <c r="L33" s="39"/>
      <c r="M33" s="12"/>
      <c r="N33" s="12"/>
      <c r="O33" s="253">
        <f>O32</f>
        <v>9.579699999999999</v>
      </c>
      <c r="P33" s="14"/>
      <c r="Q33" s="12"/>
      <c r="R33" s="239">
        <f>SUM(R21:R32)</f>
        <v>33.739999999999995</v>
      </c>
      <c r="S33" s="14"/>
      <c r="T33" s="9"/>
      <c r="W33" s="4"/>
    </row>
    <row r="34" spans="2:23" ht="17.399999999999999" x14ac:dyDescent="0.3">
      <c r="B34" s="276"/>
      <c r="C34" s="271"/>
      <c r="D34" s="272"/>
      <c r="E34" s="272"/>
      <c r="F34" s="273"/>
      <c r="I34" s="265"/>
      <c r="J34" s="47"/>
      <c r="K34" s="47"/>
      <c r="L34" s="14"/>
      <c r="M34" s="12"/>
      <c r="N34" s="12"/>
      <c r="O34" s="39">
        <f>O33*20%</f>
        <v>1.91594</v>
      </c>
      <c r="P34" s="39" t="s">
        <v>131</v>
      </c>
      <c r="Q34" s="42"/>
      <c r="R34" s="240"/>
      <c r="S34" s="14"/>
      <c r="T34" s="9"/>
      <c r="W34" s="4"/>
    </row>
    <row r="35" spans="2:23" ht="17.399999999999999" x14ac:dyDescent="0.3">
      <c r="B35" s="271"/>
      <c r="C35" s="271"/>
      <c r="D35" s="272"/>
      <c r="E35" s="272"/>
      <c r="F35" s="273"/>
      <c r="G35" s="274"/>
      <c r="H35" s="275"/>
      <c r="I35" s="265"/>
      <c r="J35" s="47"/>
      <c r="K35" s="47"/>
      <c r="L35" s="14"/>
      <c r="M35" s="12"/>
      <c r="N35" s="12"/>
      <c r="O35" s="46">
        <f>O33+O34</f>
        <v>11.495639999999998</v>
      </c>
      <c r="P35" s="14"/>
      <c r="Q35" s="14"/>
      <c r="R35" s="238">
        <v>40</v>
      </c>
      <c r="S35" s="14"/>
      <c r="T35" s="9"/>
      <c r="W35" s="4"/>
    </row>
    <row r="36" spans="2:23" ht="17.399999999999999" x14ac:dyDescent="0.35">
      <c r="B36" s="269"/>
      <c r="C36" s="230"/>
      <c r="D36" s="230"/>
      <c r="E36" s="233"/>
      <c r="F36" s="234"/>
      <c r="G36" s="230"/>
      <c r="H36" s="275"/>
      <c r="I36" s="265"/>
      <c r="J36" s="47"/>
      <c r="K36" s="47"/>
      <c r="L36" s="14"/>
      <c r="M36" s="14"/>
      <c r="N36" s="14"/>
      <c r="O36" s="14"/>
      <c r="P36" s="14"/>
      <c r="Q36" s="14"/>
      <c r="R36" s="238"/>
      <c r="S36" s="14"/>
      <c r="T36" s="316" t="s">
        <v>22</v>
      </c>
      <c r="U36" s="313" t="s">
        <v>153</v>
      </c>
      <c r="V36" s="317">
        <v>44971</v>
      </c>
      <c r="W36" s="318"/>
    </row>
    <row r="37" spans="2:23" ht="17.399999999999999" x14ac:dyDescent="0.35">
      <c r="B37" s="235"/>
      <c r="C37" s="236"/>
      <c r="D37" s="237"/>
      <c r="E37" s="235"/>
      <c r="F37" s="230"/>
      <c r="G37" s="230"/>
      <c r="I37" s="265"/>
      <c r="J37" s="47"/>
      <c r="K37" s="47"/>
      <c r="L37" s="39">
        <f>O35</f>
        <v>11.495639999999998</v>
      </c>
      <c r="M37" s="12">
        <v>2500</v>
      </c>
      <c r="N37" s="12">
        <f t="shared" ref="N37:N42" si="24">L37*M37</f>
        <v>28739.099999999995</v>
      </c>
      <c r="O37" s="14" t="s">
        <v>22</v>
      </c>
      <c r="P37" s="14"/>
      <c r="Q37" s="14"/>
      <c r="R37" s="241"/>
      <c r="S37" s="14"/>
      <c r="T37" s="316" t="s">
        <v>154</v>
      </c>
      <c r="U37" s="313">
        <v>3625</v>
      </c>
      <c r="V37" s="59" t="s">
        <v>155</v>
      </c>
      <c r="W37" s="318"/>
    </row>
    <row r="38" spans="2:23" ht="17.399999999999999" x14ac:dyDescent="0.35">
      <c r="B38" s="230"/>
      <c r="C38" s="230"/>
      <c r="D38" s="230"/>
      <c r="E38" s="230"/>
      <c r="F38" s="230"/>
      <c r="G38" s="230"/>
      <c r="I38" s="265"/>
      <c r="J38" s="47"/>
      <c r="K38" s="47"/>
      <c r="L38" s="249">
        <v>3.1</v>
      </c>
      <c r="M38" s="12">
        <v>23500</v>
      </c>
      <c r="N38" s="12">
        <f t="shared" si="24"/>
        <v>72850</v>
      </c>
      <c r="O38" s="39" t="s">
        <v>32</v>
      </c>
      <c r="P38" s="42"/>
      <c r="Q38" s="14"/>
      <c r="R38" s="240"/>
      <c r="S38" s="14"/>
      <c r="T38" s="316"/>
      <c r="U38" s="59">
        <v>906.25</v>
      </c>
      <c r="V38" s="59" t="s">
        <v>156</v>
      </c>
      <c r="W38" s="318"/>
    </row>
    <row r="39" spans="2:23" s="230" customFormat="1" ht="17.399999999999999" x14ac:dyDescent="0.35">
      <c r="I39" s="262"/>
      <c r="J39" s="232"/>
      <c r="K39" s="250"/>
      <c r="L39" s="14"/>
      <c r="M39" s="250">
        <v>34000</v>
      </c>
      <c r="N39" s="12">
        <f t="shared" si="24"/>
        <v>0</v>
      </c>
      <c r="O39" s="39" t="s">
        <v>31</v>
      </c>
      <c r="P39" s="42"/>
      <c r="R39" s="240"/>
      <c r="S39" s="256"/>
      <c r="T39" s="59"/>
      <c r="U39" s="59">
        <f>U38*20%</f>
        <v>181.25</v>
      </c>
      <c r="V39" s="318" t="s">
        <v>157</v>
      </c>
      <c r="W39" s="59"/>
    </row>
    <row r="40" spans="2:23" s="230" customFormat="1" ht="17.399999999999999" x14ac:dyDescent="0.35">
      <c r="B40" s="24" t="s">
        <v>152</v>
      </c>
      <c r="I40" s="262"/>
      <c r="J40" s="232"/>
      <c r="K40" s="250"/>
      <c r="L40" s="14">
        <v>5</v>
      </c>
      <c r="M40" s="250">
        <v>23700</v>
      </c>
      <c r="N40" s="12">
        <f t="shared" si="24"/>
        <v>118500</v>
      </c>
      <c r="O40" s="14" t="s">
        <v>142</v>
      </c>
      <c r="P40" s="17"/>
      <c r="R40" s="238"/>
      <c r="S40" s="256"/>
      <c r="T40" s="59"/>
      <c r="U40" s="59">
        <f>U38+U39</f>
        <v>1087.5</v>
      </c>
      <c r="V40" s="318" t="s">
        <v>158</v>
      </c>
      <c r="W40" s="59"/>
    </row>
    <row r="41" spans="2:23" s="230" customFormat="1" ht="17.399999999999999" x14ac:dyDescent="0.35">
      <c r="B41" s="24" t="s">
        <v>145</v>
      </c>
      <c r="C41"/>
      <c r="D41"/>
      <c r="E41"/>
      <c r="F41"/>
      <c r="I41" s="262"/>
      <c r="K41" s="250"/>
      <c r="L41" s="249"/>
      <c r="M41" s="250">
        <v>300</v>
      </c>
      <c r="N41" s="12">
        <f t="shared" si="24"/>
        <v>0</v>
      </c>
      <c r="O41" s="14" t="s">
        <v>33</v>
      </c>
      <c r="P41" s="14"/>
      <c r="Q41" s="230">
        <v>1.52</v>
      </c>
      <c r="R41" s="238"/>
      <c r="S41" s="238"/>
    </row>
    <row r="42" spans="2:23" s="230" customFormat="1" ht="17.399999999999999" x14ac:dyDescent="0.35">
      <c r="B42" s="29" t="s">
        <v>126</v>
      </c>
      <c r="C42"/>
      <c r="D42"/>
      <c r="E42"/>
      <c r="F42" s="229" t="s">
        <v>16</v>
      </c>
      <c r="I42" s="304"/>
      <c r="K42" s="250"/>
      <c r="L42" s="266">
        <v>16.52</v>
      </c>
      <c r="M42" s="12">
        <v>1500</v>
      </c>
      <c r="N42" s="12">
        <f t="shared" si="24"/>
        <v>24780</v>
      </c>
      <c r="O42" s="14" t="s">
        <v>23</v>
      </c>
      <c r="P42" s="14"/>
      <c r="Q42">
        <v>2.44</v>
      </c>
      <c r="R42"/>
      <c r="S42" s="238"/>
      <c r="W42" s="231"/>
    </row>
    <row r="43" spans="2:23" s="230" customFormat="1" ht="17.399999999999999" x14ac:dyDescent="0.35">
      <c r="K43" s="250"/>
      <c r="L43" s="14"/>
      <c r="M43" s="12"/>
      <c r="N43" s="12">
        <f>SUM(N37:N42)</f>
        <v>244869.09999999998</v>
      </c>
      <c r="O43" s="39" t="s">
        <v>24</v>
      </c>
      <c r="P43" s="14"/>
      <c r="Q43">
        <f>Q41*Q42</f>
        <v>3.7088000000000001</v>
      </c>
      <c r="R43"/>
      <c r="S43" s="238"/>
      <c r="W43" s="231"/>
    </row>
    <row r="44" spans="2:23" s="230" customFormat="1" ht="17.399999999999999" x14ac:dyDescent="0.35">
      <c r="K44" s="250"/>
      <c r="L44" s="254" t="s">
        <v>34</v>
      </c>
      <c r="M44" s="12"/>
      <c r="N44" s="255">
        <f>N43*2.2</f>
        <v>538712.02</v>
      </c>
      <c r="O44" s="14" t="s">
        <v>141</v>
      </c>
      <c r="P44" s="14"/>
      <c r="Q44" s="40">
        <f>O35/Q43</f>
        <v>3.0995578084555646</v>
      </c>
      <c r="R44"/>
      <c r="S44" s="257"/>
    </row>
    <row r="45" spans="2:23" s="230" customFormat="1" ht="17.399999999999999" x14ac:dyDescent="0.35">
      <c r="G45"/>
      <c r="H45" s="260"/>
      <c r="I45" s="260"/>
      <c r="J45" s="230">
        <v>83200</v>
      </c>
      <c r="K45" s="250"/>
      <c r="L45" s="14"/>
      <c r="M45" s="12"/>
      <c r="N45" s="12">
        <f>N44/O33</f>
        <v>56234.748478553614</v>
      </c>
      <c r="O45" s="45" t="s">
        <v>25</v>
      </c>
      <c r="P45" s="14"/>
      <c r="Q45" s="14"/>
      <c r="R45"/>
      <c r="S45" s="238"/>
      <c r="T45" s="59" t="s">
        <v>159</v>
      </c>
      <c r="U45" s="313">
        <v>43650</v>
      </c>
    </row>
    <row r="46" spans="2:23" s="230" customFormat="1" ht="17.399999999999999" x14ac:dyDescent="0.35">
      <c r="G46"/>
      <c r="J46" s="230">
        <f>J45/1.19</f>
        <v>69915.966386554632</v>
      </c>
      <c r="K46" s="250"/>
      <c r="L46" s="13"/>
      <c r="M46" s="14"/>
      <c r="N46" s="17">
        <f>N44/N43</f>
        <v>2.2000000000000002</v>
      </c>
      <c r="O46" s="15"/>
      <c r="P46"/>
      <c r="Q46"/>
      <c r="R46"/>
      <c r="S46" s="238"/>
      <c r="T46" s="59" t="s">
        <v>161</v>
      </c>
      <c r="U46" s="314" t="s">
        <v>160</v>
      </c>
      <c r="V46" s="59">
        <v>2.4</v>
      </c>
    </row>
    <row r="47" spans="2:23" s="230" customFormat="1" ht="17.399999999999999" x14ac:dyDescent="0.35">
      <c r="G47" s="23"/>
      <c r="K47" s="12"/>
      <c r="S47" s="238"/>
      <c r="T47" s="59" t="s">
        <v>162</v>
      </c>
      <c r="U47" s="315">
        <v>395.37</v>
      </c>
    </row>
    <row r="48" spans="2:23" s="230" customFormat="1" ht="17.399999999999999" x14ac:dyDescent="0.35">
      <c r="B48"/>
      <c r="C48" s="228"/>
      <c r="D48" s="22"/>
      <c r="E48" s="22"/>
      <c r="F48" s="21"/>
      <c r="G48" s="23"/>
      <c r="K48" s="12"/>
      <c r="S48" s="238"/>
      <c r="T48" s="59" t="s">
        <v>157</v>
      </c>
      <c r="U48" s="59">
        <v>474.45</v>
      </c>
    </row>
    <row r="49" spans="11:21" ht="14.4" customHeight="1" x14ac:dyDescent="0.3">
      <c r="K49" s="12"/>
      <c r="T49" s="59"/>
      <c r="U49" s="59"/>
    </row>
    <row r="50" spans="11:21" x14ac:dyDescent="0.3">
      <c r="K50" s="250"/>
    </row>
    <row r="51" spans="11:21" x14ac:dyDescent="0.3">
      <c r="K51" s="250"/>
      <c r="S51" s="270"/>
    </row>
    <row r="52" spans="11:21" x14ac:dyDescent="0.3">
      <c r="K52" s="250"/>
    </row>
    <row r="53" spans="11:21" ht="15" customHeight="1" x14ac:dyDescent="0.3"/>
    <row r="55" spans="11:21" x14ac:dyDescent="0.3">
      <c r="N55">
        <v>40935</v>
      </c>
      <c r="O55" t="s">
        <v>17</v>
      </c>
      <c r="P55" t="s">
        <v>27</v>
      </c>
    </row>
    <row r="57" spans="11:21" x14ac:dyDescent="0.3">
      <c r="N57" s="54"/>
      <c r="O57" s="54"/>
    </row>
    <row r="58" spans="11:21" x14ac:dyDescent="0.3">
      <c r="R58" s="18"/>
      <c r="S58" s="18"/>
    </row>
    <row r="59" spans="11:21" x14ac:dyDescent="0.3">
      <c r="R59" s="18"/>
      <c r="S59" s="18"/>
    </row>
    <row r="60" spans="11:21" x14ac:dyDescent="0.3">
      <c r="R60" s="18"/>
      <c r="S60" s="18"/>
    </row>
    <row r="61" spans="11:21" x14ac:dyDescent="0.3">
      <c r="R61" s="18"/>
      <c r="S61" s="18"/>
    </row>
    <row r="62" spans="11:21" x14ac:dyDescent="0.3">
      <c r="R62" s="18"/>
      <c r="S62" s="18"/>
    </row>
    <row r="63" spans="11:21" x14ac:dyDescent="0.3">
      <c r="R63" s="18"/>
      <c r="S63" s="18"/>
    </row>
    <row r="64" spans="11:21" x14ac:dyDescent="0.3">
      <c r="R64" s="18"/>
      <c r="S64" s="18"/>
    </row>
    <row r="65" spans="3:19" x14ac:dyDescent="0.3">
      <c r="R65" s="18"/>
      <c r="S65" s="18"/>
    </row>
    <row r="66" spans="3:19" x14ac:dyDescent="0.3">
      <c r="R66" s="18"/>
      <c r="S66" s="18"/>
    </row>
    <row r="69" spans="3:19" x14ac:dyDescent="0.3">
      <c r="N69" s="43"/>
    </row>
    <row r="70" spans="3:19" x14ac:dyDescent="0.3">
      <c r="N70" s="43"/>
    </row>
    <row r="71" spans="3:19" x14ac:dyDescent="0.3">
      <c r="N71" s="6"/>
    </row>
    <row r="72" spans="3:19" x14ac:dyDescent="0.3">
      <c r="N72" s="6"/>
    </row>
    <row r="80" spans="3:19" x14ac:dyDescent="0.3">
      <c r="C80" t="s">
        <v>149</v>
      </c>
    </row>
    <row r="81" spans="3:3" x14ac:dyDescent="0.3">
      <c r="C81" t="s">
        <v>148</v>
      </c>
    </row>
    <row r="84" spans="3:3" x14ac:dyDescent="0.3">
      <c r="C84" t="s">
        <v>148</v>
      </c>
    </row>
    <row r="161" spans="3:3" x14ac:dyDescent="0.3">
      <c r="C161" t="s">
        <v>148</v>
      </c>
    </row>
    <row r="162" spans="3:3" x14ac:dyDescent="0.3">
      <c r="C162" t="s">
        <v>150</v>
      </c>
    </row>
    <row r="163" spans="3:3" x14ac:dyDescent="0.3">
      <c r="C163" t="s">
        <v>151</v>
      </c>
    </row>
    <row r="588" spans="3:3" x14ac:dyDescent="0.3">
      <c r="C588" t="s">
        <v>148</v>
      </c>
    </row>
  </sheetData>
  <mergeCells count="2">
    <mergeCell ref="F17:H17"/>
    <mergeCell ref="B19:H19"/>
  </mergeCells>
  <phoneticPr fontId="34" type="noConversion"/>
  <hyperlinks>
    <hyperlink ref="F42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45532</v>
      </c>
    </row>
    <row r="6" spans="2:31" ht="16.2" thickBot="1" x14ac:dyDescent="0.35">
      <c r="B6" s="140" t="s">
        <v>2</v>
      </c>
      <c r="C6" s="139" t="str">
        <f>'2229'!C10</f>
        <v>PUNTO ESCUADRA SPA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3" t="s">
        <v>99</v>
      </c>
      <c r="I7" s="344"/>
      <c r="J7" s="344"/>
      <c r="K7" s="345"/>
      <c r="N7" s="75"/>
      <c r="O7" s="342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11080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42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-53643.955866787444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'2229'!H31</f>
        <v>538712</v>
      </c>
      <c r="E11" s="132">
        <f>D11*0.19</f>
        <v>102355.28</v>
      </c>
      <c r="F11" s="131">
        <f>E11+D11</f>
        <v>641067.28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52346.044133212556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131423.19078743961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34346.044133212556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407288.80921256042</v>
      </c>
      <c r="E13" s="221">
        <f>(D11/D12)-1</f>
        <v>3.099063466441768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25346.044133212556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-13653.955866787444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216848.26479927535</v>
      </c>
      <c r="F15" s="216">
        <f>E15-D12</f>
        <v>85425.074011835735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-13653.955866787444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26346.044133212556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'2229'!N39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'2229'!N38</f>
        <v>72850</v>
      </c>
      <c r="E19" s="123">
        <f>D19*0.19</f>
        <v>13841.5</v>
      </c>
      <c r="F19" s="120">
        <f>SUM(D19:E19)</f>
        <v>86691.5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'2229'!N37</f>
        <v>28739.099999999995</v>
      </c>
      <c r="E20" s="121">
        <f>D20*0.19</f>
        <v>5460.4289999999992</v>
      </c>
      <c r="F20" s="120">
        <f>SUM(D20:E20)</f>
        <v>34199.528999999995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101589.09999999999</v>
      </c>
      <c r="E21" s="116">
        <f>SUM(E18:E20)</f>
        <v>19301.929</v>
      </c>
      <c r="F21" s="115">
        <f>SUM(F18:F20)</f>
        <v>120891.02899999999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83053.350999999995</v>
      </c>
    </row>
    <row r="41" spans="2:16" ht="15" thickBot="1" x14ac:dyDescent="0.35">
      <c r="H41" s="346" t="s">
        <v>61</v>
      </c>
      <c r="I41" s="347"/>
      <c r="J41" s="347"/>
      <c r="K41" s="347"/>
      <c r="L41" s="347"/>
      <c r="M41" s="348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538712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101589.09999999999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407288.80921256042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407288.80921256042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2024-08-28T20:04:14Z</cp:lastPrinted>
  <dcterms:created xsi:type="dcterms:W3CDTF">2013-03-18T13:35:42Z</dcterms:created>
  <dcterms:modified xsi:type="dcterms:W3CDTF">2024-09-02T15:42:01Z</dcterms:modified>
</cp:coreProperties>
</file>