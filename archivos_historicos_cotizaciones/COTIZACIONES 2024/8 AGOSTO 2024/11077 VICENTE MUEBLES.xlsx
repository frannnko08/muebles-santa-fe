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9CC6C230-86A2-4E16-9639-6090659F7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K21" i="1"/>
  <c r="J40" i="1"/>
  <c r="L21" i="1"/>
  <c r="R21" i="1" l="1"/>
  <c r="S21" i="1"/>
  <c r="S27" i="1" s="1"/>
  <c r="L25" i="1"/>
  <c r="N21" i="1"/>
  <c r="O21" i="1" s="1"/>
  <c r="U33" i="1"/>
  <c r="U34" i="1" s="1"/>
  <c r="R27" i="1" l="1"/>
  <c r="R28" i="1" s="1"/>
  <c r="R29" i="1" s="1"/>
  <c r="R30" i="1" s="1"/>
  <c r="O26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G21" i="1" l="1"/>
  <c r="H21" i="1" s="1"/>
  <c r="H25" i="1" s="1"/>
  <c r="H26" i="1" l="1"/>
  <c r="H27" i="1" s="1"/>
  <c r="D11" i="3"/>
  <c r="X9" i="3" s="1"/>
  <c r="X15" i="3" s="1"/>
  <c r="X14" i="3" l="1"/>
  <c r="X11" i="3"/>
  <c r="X16" i="3"/>
  <c r="E11" i="3"/>
  <c r="D40" i="3" s="1"/>
  <c r="E13" i="3"/>
  <c r="X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<sst xmlns="http://schemas.openxmlformats.org/spreadsheetml/2006/main" count="232" uniqueCount="176">
  <si>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</si>
  <si>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</si>
  <si>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</si>
  <si>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</si>
  <si>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</si>
  <si>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</si>
  <si>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</si>
  <si>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</si>
  <si>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</si>
  <si>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</si>
  <si>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</si>
  <si>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</si>
  <si>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</si>
  <si>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</si>
  <si>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</si>
  <si>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</si>
  <si>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</si>
  <si>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</si>
  <si>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</si>
  <si>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</si>
  <si>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</si>
  <si>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</si>
  <si>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</si>
  <si>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</si>
  <si>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</si>
  <si>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</si>
  <si>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</si>
  <si>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</si>
  <si>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</si>
  <si>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</si>
  <si>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</si>
  <si>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</si>
  <si>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</si>
  <si>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</si>
  <si>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</si>
  <si>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</si>
  <si>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</si>
  <si>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</si>
  <si>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</si>
  <si>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</si>
  <si>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</si>
  <si>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</si>
  <si>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</si>
  <si>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</si>
  <si>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</si>
  <si>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</si>
  <si>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</si>
  <si>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</si>
  <si>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</si>
  <si>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</si>
  <si>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</si>
  <si>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</si>
  <si>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</si>
  <si>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</si>
  <si>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</si>
  <si>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</si>
  <si>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</si>
  <si>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</si>
  <si>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</si>
  <si>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</si>
  <si>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</si>
  <si>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</si>
  <si>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</si>
  <si>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</si>
  <si>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</si>
  <si>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</si>
  <si>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</si>
  <si>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</si>
  <si>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</si>
  <si>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</si>
  <si>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</si>
  <si>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</si>
  <si>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</si>
  <si>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</si>
  <si>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</si>
  <si>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</si>
  <si>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</si>
  <si>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</si>
  <si>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</si>
  <si>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</si>
  <si>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</si>
  <si>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</si>
  <si>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</si>
  <si>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</si>
  <si>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</si>
  <si>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</si>
  <si>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</si>
  <si>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</si>
  <si>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</si>
  <si>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</si>
  <si>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</si>
  <si>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</si>
  <si>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</si>
  <si>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</si>
  <si>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</si>
  <si>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</si>
  <si>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</si>
  <si>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</si>
  <si>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</si>
  <si>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</si>
  <si>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</si>
  <si>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</si>
  <si>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</si>
  <si>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</si>
  <si>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</si>
  <si>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</si>
  <si>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</si>
  <si>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</si>
  <si>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</si>
  <si>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</si>
  <si>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</si>
  <si>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</si>
  <si>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</si>
  <si>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</si>
  <si>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</si>
  <si>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</si>
  <si>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</si>
  <si>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</si>
  <si>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</si>
  <si>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</si>
  <si>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</si>
  <si>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</si>
  <si>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</si>
  <si>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</si>
  <si>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</si>
  <si>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</si>
  <si>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</si>
  <si>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</si>
  <si>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</si>
  <si>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</si>
  <si>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</si>
  <si>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</si>
  <si>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</si>
  <si>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</si>
  <si>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</si>
  <si>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</si>
  <si>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</si>
  <si>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</si>
  <si>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</si>
  <si>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</si>
  <si>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</si>
  <si>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</si>
  <si>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</si>
  <si>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</si>
  <si>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</si>
  <si>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</si>
  <si>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</si>
  <si>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</si>
  <si>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</si>
  <si>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</si>
  <si>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</si>
  <si>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</si>
  <si>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</si>
  <si>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</si>
  <si>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</si>
  <si>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</si>
  <si>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</si>
  <si>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</si>
  <si>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</si>
  <si>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</si>
  <si>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</si>
  <si>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</si>
  <si>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</si>
  <si>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</si>
  <si>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</si>
  <si>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</si>
  <si>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</si>
  <si>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DURACION COTIZACION: 5 DIAS                            FRANCO DONOSO</t>
  </si>
  <si>
    <t>5 DIAS HABILES</t>
  </si>
  <si>
    <t>VICENTE MUEBLES SPA</t>
  </si>
  <si>
    <t>77.247.699-K</t>
  </si>
  <si>
    <t>MARTIN TEJEDA</t>
  </si>
  <si>
    <t>+569 9825 0017</t>
  </si>
  <si>
    <t>N° 11077</t>
  </si>
  <si>
    <t>CUB S/R R8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</si>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</sst>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29</xdr:row>
      <xdr:rowOff>9525</xdr:rowOff>
    </xdr:from>
    <xdr:to>
      <xdr:col>5</xdr:col>
      <xdr:colOff>1747276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24</xdr:row>
      <xdr:rowOff>9525</xdr:rowOff>
    </xdr:from>
    <xdr:to>
      <xdr:col>5</xdr:col>
      <xdr:colOff>1745225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A35" sqref="A3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5546875" customWidth="1"/>
    <col min="4" max="4" width="13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169</v>
      </c>
      <c r="D10" s="243"/>
      <c r="E10" s="243"/>
      <c r="F10" s="244" t="s">
        <v>0</v>
      </c>
      <c r="G10" s="277">
        <v>45530</v>
      </c>
      <c r="H10" s="245"/>
      <c r="J10" s="1"/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170</v>
      </c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172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167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N39</f>
        <v>61523.782788771277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8</v>
      </c>
      <c r="C21" s="324" t="s">
        <v>174</v>
      </c>
      <c r="D21" s="325">
        <v>2</v>
      </c>
      <c r="E21" s="325">
        <v>0.53</v>
      </c>
      <c r="F21" s="324" t="s">
        <v>175</v>
      </c>
      <c r="G21" s="326">
        <f>Q21</f>
        <v>69845.59</v>
      </c>
      <c r="H21" s="327">
        <f>G21*B21</f>
        <v>558764.72</v>
      </c>
      <c r="I21" s="265"/>
      <c r="J21" s="47"/>
      <c r="K21" s="47">
        <f>B21</f>
        <v>8</v>
      </c>
      <c r="L21" s="39">
        <f>D21+L$19</f>
        <v>2.0499999999999998</v>
      </c>
      <c r="M21" s="39">
        <f>E21+M$19</f>
        <v>0.53</v>
      </c>
      <c r="N21" s="261">
        <f t="shared" ref="N21" si="0">L21*M21</f>
        <v>1.0865</v>
      </c>
      <c r="O21" s="259">
        <f t="shared" ref="O21" si="1">N21*K21</f>
        <v>8.6920000000000002</v>
      </c>
      <c r="P21" s="252">
        <f t="shared" ref="P21" si="2">P$20*N21</f>
        <v>66845.59</v>
      </c>
      <c r="Q21" s="258">
        <f t="shared" ref="Q21" si="3">P21+Q$20</f>
        <v>69845.59</v>
      </c>
      <c r="R21" s="309">
        <f>L21*K21*2</f>
        <v>32.799999999999997</v>
      </c>
      <c r="S21" s="46">
        <f>M21*K21*2</f>
        <v>8.48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8"/>
      <c r="H22" s="328"/>
      <c r="I22" s="265"/>
      <c r="J22" s="47"/>
      <c r="K22" s="47"/>
      <c r="L22" s="39"/>
      <c r="M22" s="39"/>
      <c r="N22" s="261"/>
      <c r="O22" s="259"/>
      <c r="P22" s="252"/>
      <c r="Q22" s="258"/>
      <c r="R22" s="309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8"/>
      <c r="H23" s="328"/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SUM(H21:H21)</f>
        <v>558764.72</v>
      </c>
      <c r="I25" s="265"/>
      <c r="J25" s="47"/>
      <c r="K25" s="47"/>
      <c r="L25" s="39">
        <f>SUM(L21:L24)</f>
        <v>2.0499999999999998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H25*0.19</f>
        <v>106165.2968</v>
      </c>
      <c r="I26" s="265"/>
      <c r="J26" s="47"/>
      <c r="K26" s="47"/>
      <c r="L26" s="39"/>
      <c r="M26" s="12"/>
      <c r="N26" s="12"/>
      <c r="O26" s="253">
        <f>SUM(O21:O21)</f>
        <v>8.6920000000000002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664930.01679999998</v>
      </c>
      <c r="I27" s="265"/>
      <c r="J27" s="47"/>
      <c r="K27" s="47"/>
      <c r="L27" s="39"/>
      <c r="M27" s="12"/>
      <c r="N27" s="12"/>
      <c r="O27" s="253">
        <f>O26</f>
        <v>8.6920000000000002</v>
      </c>
      <c r="P27" s="14"/>
      <c r="Q27" s="12"/>
      <c r="R27" s="239">
        <f>SUM(R21:R26)</f>
        <v>32.799999999999997</v>
      </c>
      <c r="S27" s="46">
        <f>SUM(S21:S26)</f>
        <v>8.48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1.7384000000000002</v>
      </c>
      <c r="P28" s="39" t="s">
        <v>131</v>
      </c>
      <c r="Q28" s="42"/>
      <c r="R28" s="240">
        <f>R27+S27</f>
        <v>41.28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10.430400000000001</v>
      </c>
      <c r="P29" s="14"/>
      <c r="Q29" s="14"/>
      <c r="R29" s="238">
        <f>R28*20%</f>
        <v>8.2560000000000002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40">
        <f>R28+R29</f>
        <v>49.536000000000001</v>
      </c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10.430400000000001</v>
      </c>
      <c r="M31" s="12">
        <v>3500</v>
      </c>
      <c r="N31" s="12">
        <f t="shared" ref="N31:N36" si="4">L31*M31</f>
        <v>36506.400000000001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4</v>
      </c>
      <c r="M32" s="12">
        <v>25000</v>
      </c>
      <c r="N32" s="12">
        <f t="shared" si="4"/>
        <v>100000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71390</v>
      </c>
      <c r="N33" s="12">
        <f t="shared" si="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4</v>
      </c>
      <c r="M34" s="250">
        <v>24000</v>
      </c>
      <c r="N34" s="12">
        <f t="shared" si="4"/>
        <v>96000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/>
      <c r="M36" s="12">
        <v>1500</v>
      </c>
      <c r="N36" s="12">
        <f t="shared" si="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232506.4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534764.72</v>
      </c>
      <c r="O38" s="14" t="s">
        <v>141</v>
      </c>
      <c r="P38" s="14"/>
      <c r="Q38" s="40">
        <f>O29/Q37</f>
        <v>2.8123382226056948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42571</v>
      </c>
      <c r="K39" s="250"/>
      <c r="L39" s="14"/>
      <c r="M39" s="12"/>
      <c r="N39" s="12">
        <f>N38/O27</f>
        <v>61523.782788771277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35773.949579831933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45530</v>
      </c>
    </row>
    <row r="6" spans="2:31" ht="16.2" thickBot="1" x14ac:dyDescent="0.35">
      <c r="B6" s="140" t="s">
        <v>2</v>
      </c>
      <c r="C6" s="139" t="str">
        <f>'2229'!C10</f>
        <v>VICENTE MUEBLES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-47383.818366787447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558764.72</v>
      </c>
      <c r="E11" s="132">
        <f>D11*0.19</f>
        <v>106165.2968</v>
      </c>
      <c r="F11" s="131">
        <f>E11+D11</f>
        <v>664930.01679999998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58606.181633212553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166340.4907874396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40606.181633212553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392424.22921256034</v>
      </c>
      <c r="E13" s="221">
        <f>(D11/D12)-1</f>
        <v>2.3591623864692384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31606.181633212553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-7393.8183667874473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274461.8097992753</v>
      </c>
      <c r="F15" s="216">
        <f>E15-D12</f>
        <v>108121.3190118357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-7393.8183667874473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32606.181633212553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100000</v>
      </c>
      <c r="E19" s="123">
        <f>D19*0.19</f>
        <v>19000</v>
      </c>
      <c r="F19" s="120">
        <f>SUM(D19:E19)</f>
        <v>119000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36506.400000000001</v>
      </c>
      <c r="E20" s="121">
        <f>D20*0.19</f>
        <v>6936.2160000000003</v>
      </c>
      <c r="F20" s="120">
        <f>SUM(D20:E20)</f>
        <v>43442.616000000002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136506.4</v>
      </c>
      <c r="E21" s="116">
        <f>SUM(E18:E20)</f>
        <v>25936.216</v>
      </c>
      <c r="F21" s="115">
        <f>SUM(F18:F20)</f>
        <v>162442.61600000001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80229.080799999996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558764.72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136506.4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392424.22921256034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392424.22921256034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2024-03-14T13:34:31Z</cp:lastPrinted>
  <dcterms:created xsi:type="dcterms:W3CDTF">2013-03-18T13:35:42Z</dcterms:created>
  <dcterms:modified xsi:type="dcterms:W3CDTF">2024-08-26T15:29:15Z</dcterms:modified>
</cp:coreProperties>
</file>