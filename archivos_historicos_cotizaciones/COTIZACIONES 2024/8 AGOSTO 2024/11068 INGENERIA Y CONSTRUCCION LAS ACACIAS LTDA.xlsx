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1C5AFB68-A480-4724-BD66-D57314A8BF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'2229'!$A$2:$H$42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N43" i="1"/>
  <c r="O30" i="1"/>
  <c r="M28" i="1"/>
  <c r="N28" i="1" s="1"/>
  <c r="O28" i="1" s="1"/>
  <c r="L28" i="1"/>
  <c r="K28" i="1" l="1"/>
  <c r="M23" i="1"/>
  <c r="M24" i="1"/>
  <c r="M25" i="1"/>
  <c r="M22" i="1"/>
  <c r="M29" i="1"/>
  <c r="L29" i="1"/>
  <c r="K29" i="1"/>
  <c r="M27" i="1"/>
  <c r="L27" i="1"/>
  <c r="K27" i="1"/>
  <c r="M26" i="1"/>
  <c r="L26" i="1"/>
  <c r="K26" i="1"/>
  <c r="L25" i="1"/>
  <c r="K25" i="1"/>
  <c r="L24" i="1"/>
  <c r="K24" i="1"/>
  <c r="L23" i="1"/>
  <c r="K23" i="1"/>
  <c r="N23" i="1" l="1"/>
  <c r="O23" i="1" s="1"/>
  <c r="N25" i="1"/>
  <c r="O25" i="1" s="1"/>
  <c r="N27" i="1"/>
  <c r="O27" i="1" s="1"/>
  <c r="N26" i="1"/>
  <c r="O26" i="1" s="1"/>
  <c r="N29" i="1"/>
  <c r="O29" i="1" s="1"/>
  <c r="N24" i="1"/>
  <c r="O24" i="1" s="1"/>
  <c r="K22" i="1" l="1"/>
  <c r="R42" i="1" l="1"/>
  <c r="S22" i="1" l="1"/>
  <c r="L22" i="1"/>
  <c r="L32" i="1" s="1"/>
  <c r="T22" i="1" l="1"/>
  <c r="R22" i="1"/>
  <c r="R31" i="1" s="1"/>
  <c r="N22" i="1"/>
  <c r="O22" i="1" s="1"/>
  <c r="O31" i="1" l="1"/>
  <c r="S40" i="1"/>
  <c r="M21" i="1" l="1"/>
  <c r="K21" i="1"/>
  <c r="N38" i="1" l="1"/>
  <c r="Q42" i="1"/>
  <c r="N39" i="1" l="1"/>
  <c r="N37" i="1" l="1"/>
  <c r="C7" i="3" l="1"/>
  <c r="C5" i="3"/>
  <c r="C6" i="3"/>
  <c r="C8" i="3" l="1"/>
  <c r="X8" i="3"/>
  <c r="K10" i="3"/>
  <c r="K11" i="3"/>
  <c r="W11" i="3"/>
  <c r="K12" i="3"/>
  <c r="W12" i="3"/>
  <c r="W19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W20" i="3" l="1"/>
  <c r="W21" i="3" s="1"/>
  <c r="L24" i="3"/>
  <c r="D35" i="3" s="1"/>
  <c r="H37" i="3"/>
  <c r="K37" i="3" s="1"/>
  <c r="L36" i="3" s="1"/>
  <c r="D36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D38" i="3" l="1"/>
  <c r="M45" i="3" s="1"/>
  <c r="F33" i="3"/>
  <c r="M44" i="3" s="1"/>
  <c r="D33" i="3"/>
  <c r="D19" i="3" l="1"/>
  <c r="D18" i="3" l="1"/>
  <c r="E18" i="3" s="1"/>
  <c r="E19" i="3"/>
  <c r="F19" i="3" s="1"/>
  <c r="N41" i="1"/>
  <c r="N40" i="1"/>
  <c r="F18" i="3" l="1"/>
  <c r="O32" i="1" l="1"/>
  <c r="O33" i="1" s="1"/>
  <c r="L36" i="1" s="1"/>
  <c r="N36" i="1" s="1"/>
  <c r="R43" i="1" l="1"/>
  <c r="S41" i="1"/>
  <c r="Q43" i="1"/>
  <c r="N42" i="1" l="1"/>
  <c r="D20" i="3"/>
  <c r="N44" i="1" l="1"/>
  <c r="P21" i="1" s="1"/>
  <c r="P28" i="1" s="1"/>
  <c r="Q28" i="1" s="1"/>
  <c r="E20" i="3"/>
  <c r="E21" i="3" s="1"/>
  <c r="D21" i="3"/>
  <c r="M43" i="3" s="1"/>
  <c r="N45" i="1"/>
  <c r="F20" i="3" l="1"/>
  <c r="F21" i="3" s="1"/>
  <c r="P29" i="1"/>
  <c r="P26" i="1"/>
  <c r="P24" i="1"/>
  <c r="P27" i="1"/>
  <c r="P25" i="1"/>
  <c r="P23" i="1"/>
  <c r="D12" i="3"/>
  <c r="Q26" i="1" l="1"/>
  <c r="H26" i="1"/>
  <c r="Q27" i="1"/>
  <c r="H27" i="1"/>
  <c r="Q25" i="1"/>
  <c r="H25" i="1"/>
  <c r="Q23" i="1"/>
  <c r="H23" i="1"/>
  <c r="Q24" i="1"/>
  <c r="H24" i="1"/>
  <c r="Q29" i="1"/>
  <c r="H29" i="1"/>
  <c r="P22" i="1"/>
  <c r="E15" i="3"/>
  <c r="Q22" i="1" l="1"/>
  <c r="H22" i="1"/>
  <c r="H31" i="1" s="1"/>
  <c r="F15" i="3"/>
  <c r="H32" i="1" l="1"/>
  <c r="H33" i="1" s="1"/>
  <c r="D11" i="3"/>
  <c r="E13" i="3" s="1"/>
  <c r="D13" i="3" l="1"/>
  <c r="X9" i="3"/>
  <c r="X11" i="3" s="1"/>
  <c r="E11" i="3"/>
  <c r="D40" i="3" s="1"/>
  <c r="M42" i="3"/>
  <c r="M46" i="3" s="1"/>
  <c r="M49" i="3" s="1"/>
  <c r="F11" i="3" l="1"/>
  <c r="X12" i="3"/>
  <c r="X16" i="3"/>
  <c r="X14" i="3"/>
  <c r="X15" i="3"/>
  <c r="X13" i="3"/>
</calcChain>
</file>

<file path=xl/sharedStrings.xml><?xml version="1.0" encoding="utf-8"?>
<sst xmlns="http://schemas.openxmlformats.org/spreadsheetml/2006/main" count="236" uniqueCount="170">
  <si>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</si>
  <si>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</si>
  <si>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</si>
  <si>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</si>
  <si>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</si>
  <si>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</si>
  <si>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</si>
  <si>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</si>
  <si>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</si>
  <si>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</si>
  <si>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</si>
  <si>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</si>
  <si>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</si>
  <si>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</si>
  <si>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</si>
  <si>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</si>
  <si>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</si>
  <si>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</si>
  <si>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</si>
  <si>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</si>
  <si>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</si>
  <si>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</si>
  <si>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</si>
  <si>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</si>
  <si>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</si>
  <si>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</si>
  <si>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</si>
  <si>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FACTOR 2,5 PARA PT</t>
  </si>
  <si>
    <t>CORTE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</si>
  <si>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</si>
  <si>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</si>
  <si>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</si>
  <si>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</si>
  <si>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</si>
  <si>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</si>
  <si>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</si>
  <si>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</si>
  <si>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</si>
  <si>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</si>
  <si>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</si>
  <si>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</si>
  <si>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</si>
  <si>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</si>
  <si>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</si>
  <si>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</si>
  <si>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</si>
  <si>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</si>
  <si>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</si>
  <si>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</si>
  <si>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</si>
  <si>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</si>
  <si>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</si>
  <si>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</si>
  <si>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</si>
  <si>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</si>
  <si>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</si>
  <si>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</si>
  <si>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</si>
  <si>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</si>
  <si>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</si>
  <si>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</si>
  <si>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</si>
  <si>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</si>
  <si>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</si>
  <si>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</si>
  <si>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</si>
  <si>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</si>
  <si>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</si>
  <si>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</si>
  <si>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</si>
  <si>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</si>
  <si>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</si>
  <si>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</si>
  <si>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</si>
  <si>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</si>
  <si>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</si>
  <si>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</si>
  <si>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</si>
  <si>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</si>
  <si>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</si>
  <si>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</si>
  <si>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</si>
  <si>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</si>
  <si>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</si>
  <si>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</si>
  <si>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</si>
  <si>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</si>
  <si>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</si>
  <si>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</si>
  <si>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</si>
  <si>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</si>
  <si>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</si>
  <si>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</si>
  <si>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</si>
  <si>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</si>
  <si>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</si>
  <si>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</si>
  <si>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</si>
  <si>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</si>
  <si>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</si>
  <si>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</si>
  <si>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</si>
  <si>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</si>
  <si>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</si>
  <si>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</si>
  <si>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</si>
  <si>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</si>
  <si>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</si>
  <si>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</si>
  <si>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</si>
  <si>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</si>
  <si>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</si>
  <si>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</si>
  <si>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</si>
  <si>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</si>
  <si>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</si>
  <si>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</si>
  <si>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</si>
  <si>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</si>
  <si>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</si>
  <si>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</si>
  <si>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</si>
  <si>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</si>
  <si>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</si>
  <si>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</si>
  <si>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</si>
  <si>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</si>
  <si>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</si>
  <si>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 xml:space="preserve">D E T A L L E </t>
  </si>
  <si>
    <t>CONTACTO:</t>
  </si>
  <si>
    <t>SERVICIO EXPRESS</t>
  </si>
  <si>
    <t>m/l</t>
  </si>
  <si>
    <t>FORMA DE PAGO:</t>
  </si>
  <si>
    <t>LAMINA 122X305</t>
  </si>
  <si>
    <t>VALIDEZ COTIZACION: 5 DIAS HABILES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</si>
  <si>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</si>
  <si>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</si>
  <si>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</si>
  <si>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</si>
  <si>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</si>
  <si>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</si>
  <si>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</si>
  <si>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MUEBLES SANTA FE SPA</t>
  </si>
  <si>
    <t>VENTAS POR MENOR DE MUEBLES</t>
  </si>
  <si>
    <t>RUT: 77.054.606-0</t>
  </si>
  <si>
    <t>ROBLE SEPIA</t>
  </si>
  <si>
    <t>CONTADO</t>
  </si>
  <si>
    <t>LAMINA 152X366</t>
  </si>
  <si>
    <t>CORREO:</t>
  </si>
  <si>
    <t>SANTIAGO</t>
  </si>
  <si>
    <t>SUMA TOTAL MT2</t>
  </si>
  <si>
    <t>+ 20% PERDIDA</t>
  </si>
  <si>
    <t>% PERDIDA</t>
  </si>
  <si>
    <t>A UTILIZAR</t>
  </si>
  <si>
    <t>VALOR EMBALAJE</t>
  </si>
  <si>
    <t>1500 x MTL</t>
  </si>
  <si>
    <t>5 DIAS HABILES</t>
  </si>
  <si>
    <t>BLANCO 2114 MT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</si>
  <si>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</si>
  <si>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</si>
  <si>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NOTA: RESPALDO DE 10 CMS</t>
  </si>
  <si>
    <t>N°11068</t>
  </si>
  <si>
    <t>ING. Y CONST. LAS ACACIAS LTDA.</t>
  </si>
  <si>
    <t>76.023.535-0</t>
  </si>
  <si>
    <t>LUIS ALBERTO ROJAS</t>
  </si>
  <si>
    <t>+56 9 9581 9251</t>
  </si>
  <si>
    <t>SEGUNDA TRANSVERSAL 5914 SAN MIGUEL</t>
  </si>
  <si>
    <t>SI</t>
  </si>
  <si>
    <t>ENCHAPE RECTO 1 CARA</t>
  </si>
  <si>
    <t>IROJAS.FAKAP@GMAIL.COM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</si>
</sst>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2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/>
    </xf>
    <xf numFmtId="3" fontId="21" fillId="18" borderId="26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2" fillId="0" borderId="0" xfId="0" applyFont="1"/>
    <xf numFmtId="167" fontId="21" fillId="0" borderId="0" xfId="2" applyNumberFormat="1" applyFont="1" applyFill="1" applyBorder="1" applyAlignment="1">
      <alignment horizontal="center"/>
    </xf>
    <xf numFmtId="167" fontId="21" fillId="0" borderId="0" xfId="2" applyNumberFormat="1" applyFont="1" applyFill="1" applyBorder="1" applyAlignment="1">
      <alignment horizontal="center" vertical="center"/>
    </xf>
    <xf numFmtId="168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0" fontId="14" fillId="8" borderId="0" xfId="0" applyFont="1" applyFill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8" xfId="0" applyFont="1" applyBorder="1" applyAlignment="1">
      <alignment horizont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0" fontId="20" fillId="20" borderId="40" xfId="0" applyFont="1" applyFill="1" applyBorder="1" applyAlignment="1">
      <alignment horizontal="center" vertical="center"/>
    </xf>
    <xf numFmtId="0" fontId="20" fillId="20" borderId="39" xfId="0" applyFont="1" applyFill="1" applyBorder="1" applyAlignment="1">
      <alignment horizontal="center" vertical="center"/>
    </xf>
    <xf numFmtId="0" fontId="20" fillId="20" borderId="43" xfId="0" applyFont="1" applyFill="1" applyBorder="1" applyAlignment="1">
      <alignment horizontal="center" vertical="center"/>
    </xf>
    <xf numFmtId="0" fontId="20" fillId="20" borderId="36" xfId="0" applyFont="1" applyFill="1" applyBorder="1" applyAlignment="1">
      <alignment horizontal="center" vertical="center"/>
    </xf>
    <xf numFmtId="171" fontId="0" fillId="0" borderId="0" xfId="0" applyNumberFormat="1"/>
    <xf numFmtId="42" fontId="28" fillId="0" borderId="27" xfId="8" applyFont="1" applyFill="1" applyBorder="1"/>
    <xf numFmtId="42" fontId="28" fillId="18" borderId="20" xfId="8" applyFont="1" applyFill="1" applyBorder="1"/>
    <xf numFmtId="42" fontId="28" fillId="0" borderId="29" xfId="8" applyFont="1" applyFill="1" applyBorder="1"/>
    <xf numFmtId="0" fontId="9" fillId="8" borderId="0" xfId="3" applyFill="1" applyBorder="1"/>
    <xf numFmtId="167" fontId="0" fillId="20" borderId="0" xfId="0" applyNumberFormat="1" applyFill="1"/>
    <xf numFmtId="0" fontId="29" fillId="0" borderId="46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5" fillId="0" borderId="0" xfId="0" applyFont="1"/>
    <xf numFmtId="0" fontId="27" fillId="0" borderId="1" xfId="0" applyFont="1" applyBorder="1" applyAlignment="1">
      <alignment horizontal="center"/>
    </xf>
    <xf numFmtId="167" fontId="28" fillId="0" borderId="1" xfId="2" applyNumberFormat="1" applyFont="1" applyFill="1" applyBorder="1" applyAlignment="1">
      <alignment horizontal="center" vertical="center"/>
    </xf>
    <xf numFmtId="167" fontId="28" fillId="0" borderId="1" xfId="0" applyNumberFormat="1" applyFont="1" applyBorder="1" applyAlignment="1">
      <alignment horizontal="center" vertical="center"/>
    </xf>
    <xf numFmtId="0" fontId="29" fillId="0" borderId="0" xfId="0" quotePrefix="1" applyFont="1"/>
    <xf numFmtId="0" fontId="15" fillId="0" borderId="0" xfId="0" applyFont="1"/>
    <xf numFmtId="166" fontId="3" fillId="0" borderId="0" xfId="0" quotePrefix="1" applyNumberFormat="1" applyFont="1"/>
    <xf numFmtId="170" fontId="3" fillId="7" borderId="0" xfId="0" applyNumberFormat="1" applyFont="1" applyFill="1"/>
    <xf numFmtId="170" fontId="0" fillId="7" borderId="0" xfId="0" applyNumberFormat="1" applyFill="1"/>
    <xf numFmtId="0" fontId="0" fillId="7" borderId="0" xfId="0" applyFill="1"/>
    <xf numFmtId="0" fontId="15" fillId="0" borderId="0" xfId="0" applyFont="1" applyAlignment="1">
      <alignment horizontal="center"/>
    </xf>
    <xf numFmtId="0" fontId="26" fillId="0" borderId="1" xfId="0" applyFont="1" applyBorder="1" applyAlignment="1">
      <alignment horizontal="center" vertical="center"/>
    </xf>
    <xf numFmtId="166" fontId="26" fillId="0" borderId="1" xfId="0" applyNumberFormat="1" applyFont="1" applyBorder="1" applyAlignment="1">
      <alignment horizontal="center" vertic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1" fillId="0" borderId="0" xfId="0" applyFont="1" applyBorder="1"/>
    <xf numFmtId="0" fontId="2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21" fillId="0" borderId="0" xfId="0" applyFont="1" applyBorder="1" applyAlignment="1">
      <alignment horizontal="right" indent="15"/>
    </xf>
    <xf numFmtId="0" fontId="21" fillId="0" borderId="0" xfId="0" applyFont="1" applyBorder="1" applyAlignment="1">
      <alignment horizontal="right" indent="9"/>
    </xf>
    <xf numFmtId="0" fontId="21" fillId="0" borderId="0" xfId="0" applyFont="1" applyBorder="1" applyAlignment="1">
      <alignment horizontal="left"/>
    </xf>
    <xf numFmtId="0" fontId="21" fillId="0" borderId="0" xfId="0" applyFont="1" applyBorder="1" applyAlignment="1">
      <alignment horizontal="left" vertical="center"/>
    </xf>
    <xf numFmtId="0" fontId="11" fillId="0" borderId="0" xfId="0" applyFont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379095</xdr:colOff>
      <xdr:row>29</xdr:row>
      <xdr:rowOff>129541</xdr:rowOff>
    </xdr:from>
    <xdr:to>
      <xdr:col>5</xdr:col>
      <xdr:colOff>281940</xdr:colOff>
      <xdr:row>33</xdr:row>
      <xdr:rowOff>152401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79095" y="5974081"/>
          <a:ext cx="4406265" cy="92202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OBSERVACIONES: SUSTRATO MELAMIL 1 CARA BLANCO 18MM</a:t>
          </a:r>
        </a:p>
        <a:p>
          <a:pPr algn="l"/>
          <a:r>
            <a:rPr lang="es-CL" sz="800"/>
            <a:t>ENCHAPE CON TAPACANTO PVC 0,4MM TONO</a:t>
          </a:r>
          <a:r>
            <a:rPr lang="es-CL" sz="800" baseline="0"/>
            <a:t> LO MAS PARECIDO A LA LAMINA</a:t>
          </a:r>
          <a:endParaRPr lang="es-CL" sz="800"/>
        </a:p>
      </xdr:txBody>
    </xdr:sp>
    <xdr:clientData/>
  </xdr:twoCellAnchor>
  <xdr:twoCellAnchor>
    <xdr:from>
      <xdr:col>0</xdr:col>
      <xdr:colOff>403860</xdr:colOff>
      <xdr:row>34</xdr:row>
      <xdr:rowOff>22860</xdr:rowOff>
    </xdr:from>
    <xdr:to>
      <xdr:col>6</xdr:col>
      <xdr:colOff>820433</xdr:colOff>
      <xdr:row>37</xdr:row>
      <xdr:rowOff>22588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F4C552B-19B6-4602-9B00-4CC5216E48AF}"/>
            </a:ext>
          </a:extLst>
        </xdr:cNvPr>
        <xdr:cNvSpPr/>
      </xdr:nvSpPr>
      <xdr:spPr>
        <a:xfrm>
          <a:off x="403860" y="6987540"/>
          <a:ext cx="6383033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 editAs="oneCell">
    <xdr:from>
      <xdr:col>2</xdr:col>
      <xdr:colOff>60960</xdr:colOff>
      <xdr:row>1</xdr:row>
      <xdr:rowOff>45720</xdr:rowOff>
    </xdr:from>
    <xdr:to>
      <xdr:col>2</xdr:col>
      <xdr:colOff>1578226</xdr:colOff>
      <xdr:row>7</xdr:row>
      <xdr:rowOff>58899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D57C4D-1DFF-465C-8963-78FAE9077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920" y="45720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ROJAS.FAKAP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X62"/>
  <sheetViews>
    <sheetView tabSelected="1" topLeftCell="A5" workbookViewId="0">
      <selection activeCell="D12" sqref="D12"/>
    </sheetView>
  </sheetViews>
  <sheetFormatPr baseColWidth="10" defaultRowHeight="14.4" x14ac:dyDescent="0.3"/>
  <cols>
    <col min="1" max="1" width="6" customWidth="1"/>
    <col min="2" max="2" width="11.5546875" customWidth="1"/>
    <col min="3" max="3" width="23.5546875" customWidth="1"/>
    <col min="4" max="4" width="14" customWidth="1"/>
    <col min="5" max="5" width="10.5546875" customWidth="1"/>
    <col min="6" max="6" width="21.33203125" customWidth="1"/>
    <col min="7" max="7" width="14" customWidth="1"/>
    <col min="8" max="9" width="13.44140625" customWidth="1"/>
    <col min="11" max="11" width="9.5546875" style="18" customWidth="1"/>
    <col min="12" max="12" width="8.33203125" customWidth="1"/>
    <col min="13" max="13" width="7.441406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3" spans="2:23" ht="15.6" x14ac:dyDescent="0.3">
      <c r="F3" s="239"/>
      <c r="P3" s="2"/>
      <c r="Q3" s="2"/>
      <c r="R3" s="3"/>
      <c r="S3" s="3"/>
      <c r="T3" s="2"/>
      <c r="U3" s="2"/>
      <c r="V3" s="3"/>
      <c r="W3" s="4"/>
    </row>
    <row r="4" spans="2:23" ht="15.6" x14ac:dyDescent="0.3">
      <c r="F4" s="239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6" t="s">
        <v>143</v>
      </c>
      <c r="P5" s="2"/>
      <c r="Q5" s="2"/>
      <c r="R5" s="3"/>
      <c r="S5" s="3"/>
      <c r="T5" s="2"/>
      <c r="U5" s="2"/>
      <c r="V5" s="3"/>
      <c r="W5" s="4"/>
    </row>
    <row r="6" spans="2:23" x14ac:dyDescent="0.3">
      <c r="F6" s="56" t="s">
        <v>144</v>
      </c>
      <c r="P6" s="2"/>
      <c r="Q6" s="2"/>
      <c r="R6" s="3"/>
      <c r="S6" s="3"/>
      <c r="T6" s="2"/>
      <c r="U6" s="2"/>
      <c r="V6" s="3"/>
      <c r="W6" s="4"/>
    </row>
    <row r="7" spans="2:23" ht="15.6" x14ac:dyDescent="0.3">
      <c r="F7" s="56" t="s">
        <v>14</v>
      </c>
      <c r="N7" s="31" t="s">
        <v>20</v>
      </c>
      <c r="P7" s="2"/>
      <c r="Q7" s="2"/>
      <c r="R7" s="3"/>
      <c r="S7" s="3"/>
      <c r="T7" s="2"/>
      <c r="U7" s="2"/>
      <c r="V7" s="3"/>
    </row>
    <row r="8" spans="2:23" ht="15" thickBot="1" x14ac:dyDescent="0.35">
      <c r="F8" s="56" t="s">
        <v>15</v>
      </c>
      <c r="P8" s="2"/>
      <c r="Q8" s="2"/>
      <c r="R8" s="3"/>
      <c r="S8" s="3"/>
      <c r="T8" s="2"/>
      <c r="U8" s="2"/>
      <c r="V8" s="3"/>
    </row>
    <row r="9" spans="2:23" ht="21.6" thickBot="1" x14ac:dyDescent="0.45">
      <c r="B9" s="280" t="s">
        <v>127</v>
      </c>
      <c r="C9" s="281"/>
      <c r="D9" s="282" t="s">
        <v>161</v>
      </c>
      <c r="F9" s="56" t="s">
        <v>125</v>
      </c>
      <c r="J9" s="50"/>
      <c r="Q9" s="2"/>
      <c r="R9" s="3"/>
      <c r="S9" s="3"/>
      <c r="T9" s="2"/>
      <c r="U9" s="2"/>
      <c r="V9" s="3"/>
    </row>
    <row r="10" spans="2:23" ht="15" thickBot="1" x14ac:dyDescent="0.35">
      <c r="Q10" s="2"/>
      <c r="R10" s="3"/>
      <c r="S10" s="3"/>
      <c r="T10" s="4"/>
      <c r="U10" s="2"/>
      <c r="V10" s="3"/>
    </row>
    <row r="11" spans="2:23" ht="15.6" x14ac:dyDescent="0.3">
      <c r="B11" s="246" t="s">
        <v>2</v>
      </c>
      <c r="C11" s="293" t="s">
        <v>162</v>
      </c>
      <c r="D11" s="247"/>
      <c r="E11" s="247"/>
      <c r="F11" s="248" t="s">
        <v>0</v>
      </c>
      <c r="G11" s="249">
        <v>45520</v>
      </c>
      <c r="H11" s="250"/>
      <c r="I11" s="252"/>
      <c r="J11" s="1"/>
      <c r="Q11" s="2"/>
      <c r="R11" s="3"/>
      <c r="S11" s="3"/>
      <c r="T11" s="4"/>
      <c r="U11" s="2"/>
      <c r="V11" s="3"/>
    </row>
    <row r="12" spans="2:23" ht="15.6" x14ac:dyDescent="0.3">
      <c r="B12" s="240" t="s">
        <v>12</v>
      </c>
      <c r="C12" s="294" t="s">
        <v>163</v>
      </c>
      <c r="D12" s="241"/>
      <c r="E12" s="241"/>
      <c r="F12" s="241" t="s">
        <v>124</v>
      </c>
      <c r="G12" s="264" t="s">
        <v>156</v>
      </c>
      <c r="H12" s="242"/>
      <c r="I12" s="241"/>
      <c r="P12" s="19"/>
      <c r="Q12" s="23" t="s">
        <v>19</v>
      </c>
      <c r="R12" s="19"/>
    </row>
    <row r="13" spans="2:23" x14ac:dyDescent="0.3">
      <c r="B13" s="240" t="s">
        <v>148</v>
      </c>
      <c r="C13" s="291" t="s">
        <v>169</v>
      </c>
      <c r="D13" s="241"/>
      <c r="E13" s="241"/>
      <c r="F13" s="252" t="s">
        <v>130</v>
      </c>
      <c r="G13" s="253" t="s">
        <v>139</v>
      </c>
      <c r="H13" s="242"/>
      <c r="I13" s="241"/>
      <c r="P13" s="19"/>
      <c r="Q13" s="23"/>
      <c r="R13" s="19"/>
    </row>
    <row r="14" spans="2:23" x14ac:dyDescent="0.3">
      <c r="B14" s="251" t="s">
        <v>129</v>
      </c>
      <c r="C14" s="291" t="s">
        <v>164</v>
      </c>
      <c r="D14" s="252"/>
      <c r="E14" s="252"/>
      <c r="F14" s="56" t="s">
        <v>140</v>
      </c>
      <c r="G14" t="s">
        <v>167</v>
      </c>
      <c r="H14" s="254"/>
      <c r="I14" s="252"/>
      <c r="J14" s="27"/>
      <c r="P14" s="20"/>
      <c r="Q14" s="24" t="s">
        <v>18</v>
      </c>
      <c r="R14" s="20"/>
    </row>
    <row r="15" spans="2:23" ht="15.6" x14ac:dyDescent="0.3">
      <c r="B15" s="240" t="s">
        <v>4</v>
      </c>
      <c r="C15" s="299" t="s">
        <v>165</v>
      </c>
      <c r="D15" s="295"/>
      <c r="E15" s="241"/>
      <c r="F15" s="241" t="s">
        <v>138</v>
      </c>
      <c r="G15" s="241" t="s">
        <v>139</v>
      </c>
      <c r="H15" s="242"/>
      <c r="I15" s="241"/>
    </row>
    <row r="16" spans="2:23" x14ac:dyDescent="0.3">
      <c r="B16" s="271" t="s">
        <v>3</v>
      </c>
      <c r="C16" s="252" t="s">
        <v>166</v>
      </c>
      <c r="D16" s="252"/>
      <c r="E16" s="252"/>
      <c r="F16" s="268" t="s">
        <v>132</v>
      </c>
      <c r="G16" s="270" t="s">
        <v>146</v>
      </c>
      <c r="H16" s="254"/>
      <c r="I16" s="252"/>
    </row>
    <row r="17" spans="2:24" ht="15" thickBot="1" x14ac:dyDescent="0.35">
      <c r="B17" s="243" t="s">
        <v>13</v>
      </c>
      <c r="C17" s="244" t="s">
        <v>149</v>
      </c>
      <c r="D17" s="244"/>
      <c r="E17" s="245"/>
      <c r="F17" s="308" t="s">
        <v>134</v>
      </c>
      <c r="G17" s="308"/>
      <c r="H17" s="309"/>
      <c r="I17" s="273"/>
      <c r="S17" s="6"/>
      <c r="T17" s="6"/>
    </row>
    <row r="18" spans="2:24" ht="14.25" customHeight="1" x14ac:dyDescent="0.3">
      <c r="J18" s="8"/>
      <c r="U18" s="6"/>
      <c r="X18" s="6"/>
    </row>
    <row r="19" spans="2:24" ht="15.75" customHeight="1" thickBot="1" x14ac:dyDescent="0.35">
      <c r="C19" t="s">
        <v>160</v>
      </c>
      <c r="J19" s="5"/>
      <c r="U19" s="9"/>
      <c r="W19" s="6"/>
      <c r="X19" s="6"/>
    </row>
    <row r="20" spans="2:24" ht="13.5" customHeight="1" thickBot="1" x14ac:dyDescent="0.35">
      <c r="B20" s="310" t="s">
        <v>128</v>
      </c>
      <c r="C20" s="311"/>
      <c r="D20" s="311"/>
      <c r="E20" s="311"/>
      <c r="F20" s="311"/>
      <c r="G20" s="311"/>
      <c r="H20" s="312"/>
      <c r="I20" s="274"/>
      <c r="J20" s="5"/>
      <c r="K20" s="256"/>
      <c r="L20" s="14">
        <v>0.05</v>
      </c>
      <c r="M20" s="14"/>
      <c r="N20" s="14"/>
      <c r="O20" s="257" t="s">
        <v>6</v>
      </c>
      <c r="P20" s="34" t="s">
        <v>21</v>
      </c>
      <c r="Q20" s="35" t="s">
        <v>137</v>
      </c>
      <c r="R20" s="10" t="s">
        <v>141</v>
      </c>
      <c r="T20" s="9" t="s">
        <v>154</v>
      </c>
      <c r="U20" s="9"/>
      <c r="W20" s="6"/>
      <c r="X20" s="6"/>
    </row>
    <row r="21" spans="2:24" ht="17.399999999999999" x14ac:dyDescent="0.3">
      <c r="B21" s="283" t="s">
        <v>7</v>
      </c>
      <c r="C21" s="284" t="s">
        <v>1</v>
      </c>
      <c r="D21" s="284" t="s">
        <v>10</v>
      </c>
      <c r="E21" s="284" t="s">
        <v>11</v>
      </c>
      <c r="F21" s="286" t="s">
        <v>8</v>
      </c>
      <c r="G21" s="284" t="s">
        <v>5</v>
      </c>
      <c r="H21" s="285" t="s">
        <v>6</v>
      </c>
      <c r="I21" s="275"/>
      <c r="J21" s="45"/>
      <c r="K21" s="279" t="str">
        <f t="shared" ref="K21" si="0">B21</f>
        <v>UNIDAD</v>
      </c>
      <c r="L21" s="278" t="s">
        <v>135</v>
      </c>
      <c r="M21" s="37" t="str">
        <f t="shared" ref="M21" si="1">E21</f>
        <v>ANCHO</v>
      </c>
      <c r="N21" s="269" t="s">
        <v>136</v>
      </c>
      <c r="O21" s="266" t="s">
        <v>17</v>
      </c>
      <c r="P21" s="258">
        <f>N44</f>
        <v>162712.39947983713</v>
      </c>
      <c r="Q21" s="265">
        <v>7500</v>
      </c>
      <c r="R21" s="36"/>
      <c r="S21" s="14" t="s">
        <v>131</v>
      </c>
      <c r="T21" s="9" t="s">
        <v>155</v>
      </c>
      <c r="W21" s="4"/>
    </row>
    <row r="22" spans="2:24" ht="17.399999999999999" x14ac:dyDescent="0.3">
      <c r="B22" s="306">
        <v>4</v>
      </c>
      <c r="C22" s="306" t="s">
        <v>168</v>
      </c>
      <c r="D22" s="307">
        <v>0.93</v>
      </c>
      <c r="E22" s="307">
        <v>0.27500000000000002</v>
      </c>
      <c r="F22" s="296" t="s">
        <v>157</v>
      </c>
      <c r="G22" s="297">
        <v>51351</v>
      </c>
      <c r="H22" s="298">
        <f t="shared" ref="H22" si="2">G22*B22</f>
        <v>205404</v>
      </c>
      <c r="I22" s="275"/>
      <c r="J22" s="45"/>
      <c r="K22" s="292">
        <f>B22</f>
        <v>4</v>
      </c>
      <c r="L22" s="37">
        <f t="shared" ref="L22" si="3">D22+L$20</f>
        <v>0.98000000000000009</v>
      </c>
      <c r="M22" s="37">
        <f>E22+M$20</f>
        <v>0.27500000000000002</v>
      </c>
      <c r="N22" s="269">
        <f t="shared" ref="N22" si="4">L22*M22</f>
        <v>0.26950000000000007</v>
      </c>
      <c r="O22" s="266">
        <f t="shared" ref="O22" si="5">N22*K22</f>
        <v>1.0780000000000003</v>
      </c>
      <c r="P22" s="258">
        <f t="shared" ref="P22" si="6">P$21*N22</f>
        <v>43850.991659816114</v>
      </c>
      <c r="Q22" s="265">
        <f t="shared" ref="Q22" si="7">P22+Q$21</f>
        <v>51350.991659816114</v>
      </c>
      <c r="R22" s="36">
        <f>K22*L22</f>
        <v>3.9200000000000004</v>
      </c>
      <c r="S22" s="14">
        <f>M22*2</f>
        <v>0.55000000000000004</v>
      </c>
      <c r="T22" s="9">
        <f>L32*1500</f>
        <v>6867</v>
      </c>
      <c r="W22" s="4"/>
    </row>
    <row r="23" spans="2:24" ht="17.399999999999999" x14ac:dyDescent="0.3">
      <c r="B23" s="306">
        <v>4</v>
      </c>
      <c r="C23" s="306" t="s">
        <v>168</v>
      </c>
      <c r="D23" s="307">
        <v>0.93</v>
      </c>
      <c r="E23" s="307">
        <v>0.27200000000000002</v>
      </c>
      <c r="F23" s="296" t="s">
        <v>157</v>
      </c>
      <c r="G23" s="297">
        <v>50873</v>
      </c>
      <c r="H23" s="298">
        <f t="shared" ref="H23:H29" si="8">G23*B23</f>
        <v>203492</v>
      </c>
      <c r="I23" s="275"/>
      <c r="J23" s="45"/>
      <c r="K23" s="292">
        <f t="shared" ref="K23:K29" si="9">B23</f>
        <v>4</v>
      </c>
      <c r="L23" s="37">
        <f t="shared" ref="L23:L29" si="10">D23+L$20</f>
        <v>0.98000000000000009</v>
      </c>
      <c r="M23" s="37">
        <f t="shared" ref="M23:M25" si="11">E23+M$20</f>
        <v>0.27200000000000002</v>
      </c>
      <c r="N23" s="269">
        <f t="shared" ref="N23:N29" si="12">L23*M23</f>
        <v>0.26656000000000002</v>
      </c>
      <c r="O23" s="266">
        <f t="shared" ref="O23:O29" si="13">N23*K23</f>
        <v>1.0662400000000001</v>
      </c>
      <c r="P23" s="258">
        <f t="shared" ref="P23:P29" si="14">P$21*N23</f>
        <v>43372.617205345385</v>
      </c>
      <c r="Q23" s="265">
        <f t="shared" ref="Q23:Q29" si="15">P23+Q$21</f>
        <v>50872.617205345385</v>
      </c>
      <c r="R23" s="36"/>
      <c r="S23" s="14"/>
      <c r="T23" s="9"/>
      <c r="W23" s="4"/>
    </row>
    <row r="24" spans="2:24" ht="17.399999999999999" x14ac:dyDescent="0.3">
      <c r="B24" s="306">
        <v>1</v>
      </c>
      <c r="C24" s="306" t="s">
        <v>168</v>
      </c>
      <c r="D24" s="307">
        <v>0.93</v>
      </c>
      <c r="E24" s="307">
        <v>0.42199999999999999</v>
      </c>
      <c r="F24" s="296" t="s">
        <v>157</v>
      </c>
      <c r="G24" s="297">
        <v>74791</v>
      </c>
      <c r="H24" s="298">
        <f t="shared" si="8"/>
        <v>74791</v>
      </c>
      <c r="I24" s="275"/>
      <c r="J24" s="45"/>
      <c r="K24" s="292">
        <f t="shared" si="9"/>
        <v>1</v>
      </c>
      <c r="L24" s="37">
        <f t="shared" si="10"/>
        <v>0.98000000000000009</v>
      </c>
      <c r="M24" s="37">
        <f t="shared" si="11"/>
        <v>0.42199999999999999</v>
      </c>
      <c r="N24" s="269">
        <f t="shared" si="12"/>
        <v>0.41356000000000004</v>
      </c>
      <c r="O24" s="266">
        <f t="shared" si="13"/>
        <v>0.41356000000000004</v>
      </c>
      <c r="P24" s="258">
        <f t="shared" si="14"/>
        <v>67291.339928881454</v>
      </c>
      <c r="Q24" s="265">
        <f t="shared" si="15"/>
        <v>74791.339928881454</v>
      </c>
      <c r="R24" s="36"/>
      <c r="S24" s="14"/>
      <c r="T24" s="9"/>
      <c r="W24" s="4"/>
    </row>
    <row r="25" spans="2:24" ht="17.399999999999999" x14ac:dyDescent="0.3">
      <c r="B25" s="306">
        <v>2</v>
      </c>
      <c r="C25" s="306" t="s">
        <v>168</v>
      </c>
      <c r="D25" s="307">
        <v>0.64800000000000002</v>
      </c>
      <c r="E25" s="307">
        <v>0.30499999999999999</v>
      </c>
      <c r="F25" s="296" t="s">
        <v>157</v>
      </c>
      <c r="G25" s="297">
        <v>42140</v>
      </c>
      <c r="H25" s="298">
        <f t="shared" si="8"/>
        <v>84280</v>
      </c>
      <c r="I25" s="275"/>
      <c r="J25" s="45"/>
      <c r="K25" s="292">
        <f t="shared" si="9"/>
        <v>2</v>
      </c>
      <c r="L25" s="37">
        <f t="shared" si="10"/>
        <v>0.69800000000000006</v>
      </c>
      <c r="M25" s="37">
        <f t="shared" si="11"/>
        <v>0.30499999999999999</v>
      </c>
      <c r="N25" s="269">
        <f t="shared" si="12"/>
        <v>0.21289000000000002</v>
      </c>
      <c r="O25" s="266">
        <f t="shared" si="13"/>
        <v>0.42578000000000005</v>
      </c>
      <c r="P25" s="258">
        <f t="shared" si="14"/>
        <v>34639.842725262533</v>
      </c>
      <c r="Q25" s="265">
        <f t="shared" si="15"/>
        <v>42139.842725262533</v>
      </c>
      <c r="R25" s="36"/>
      <c r="S25" s="14"/>
      <c r="T25" s="9"/>
      <c r="W25" s="4"/>
    </row>
    <row r="26" spans="2:24" ht="17.399999999999999" x14ac:dyDescent="0.3">
      <c r="B26" s="306">
        <v>2</v>
      </c>
      <c r="C26" s="306" t="s">
        <v>168</v>
      </c>
      <c r="D26" s="307">
        <v>0.64800000000000002</v>
      </c>
      <c r="E26" s="307">
        <v>0.29799999999999999</v>
      </c>
      <c r="F26" s="296" t="s">
        <v>157</v>
      </c>
      <c r="G26" s="297">
        <v>41345</v>
      </c>
      <c r="H26" s="298">
        <f t="shared" si="8"/>
        <v>82690</v>
      </c>
      <c r="I26" s="275"/>
      <c r="J26" s="45"/>
      <c r="K26" s="292">
        <f t="shared" si="9"/>
        <v>2</v>
      </c>
      <c r="L26" s="37">
        <f t="shared" si="10"/>
        <v>0.69800000000000006</v>
      </c>
      <c r="M26" s="37">
        <f t="shared" ref="M26:M29" si="16">E26</f>
        <v>0.29799999999999999</v>
      </c>
      <c r="N26" s="269">
        <f t="shared" si="12"/>
        <v>0.20800400000000002</v>
      </c>
      <c r="O26" s="266">
        <f t="shared" si="13"/>
        <v>0.41600800000000004</v>
      </c>
      <c r="P26" s="258">
        <f t="shared" si="14"/>
        <v>33844.829941404045</v>
      </c>
      <c r="Q26" s="265">
        <f t="shared" si="15"/>
        <v>41344.829941404045</v>
      </c>
      <c r="R26" s="36"/>
      <c r="S26" s="14"/>
      <c r="T26" s="9"/>
      <c r="W26" s="4"/>
    </row>
    <row r="27" spans="2:24" ht="17.399999999999999" x14ac:dyDescent="0.3">
      <c r="B27" s="306">
        <v>2</v>
      </c>
      <c r="C27" s="306" t="s">
        <v>168</v>
      </c>
      <c r="D27" s="307">
        <v>0.192</v>
      </c>
      <c r="E27" s="307">
        <v>0.49299999999999999</v>
      </c>
      <c r="F27" s="296" t="s">
        <v>157</v>
      </c>
      <c r="G27" s="297">
        <v>26913</v>
      </c>
      <c r="H27" s="298">
        <f t="shared" si="8"/>
        <v>53826</v>
      </c>
      <c r="I27" s="275"/>
      <c r="J27" s="45"/>
      <c r="K27" s="292">
        <f t="shared" si="9"/>
        <v>2</v>
      </c>
      <c r="L27" s="37">
        <f t="shared" si="10"/>
        <v>0.24199999999999999</v>
      </c>
      <c r="M27" s="37">
        <f t="shared" si="16"/>
        <v>0.49299999999999999</v>
      </c>
      <c r="N27" s="269">
        <f t="shared" si="12"/>
        <v>0.119306</v>
      </c>
      <c r="O27" s="266">
        <f t="shared" si="13"/>
        <v>0.23861199999999999</v>
      </c>
      <c r="P27" s="258">
        <f t="shared" si="14"/>
        <v>19412.565532341447</v>
      </c>
      <c r="Q27" s="265">
        <f t="shared" si="15"/>
        <v>26912.565532341447</v>
      </c>
      <c r="R27" s="36"/>
      <c r="S27" s="14"/>
      <c r="T27" s="9"/>
      <c r="W27" s="4"/>
    </row>
    <row r="28" spans="2:24" ht="17.399999999999999" x14ac:dyDescent="0.3">
      <c r="B28" s="306">
        <v>1</v>
      </c>
      <c r="C28" s="306" t="s">
        <v>168</v>
      </c>
      <c r="D28" s="307">
        <v>0.19800000000000001</v>
      </c>
      <c r="E28" s="307">
        <v>0.49299999999999999</v>
      </c>
      <c r="F28" s="296" t="s">
        <v>157</v>
      </c>
      <c r="G28" s="297">
        <v>27394</v>
      </c>
      <c r="H28" s="298">
        <f t="shared" si="8"/>
        <v>27394</v>
      </c>
      <c r="I28" s="275"/>
      <c r="J28" s="45"/>
      <c r="K28" s="292">
        <f t="shared" si="9"/>
        <v>1</v>
      </c>
      <c r="L28" s="37">
        <f t="shared" si="10"/>
        <v>0.248</v>
      </c>
      <c r="M28" s="37">
        <f t="shared" ref="M28" si="17">E28</f>
        <v>0.49299999999999999</v>
      </c>
      <c r="N28" s="269">
        <f t="shared" ref="N28" si="18">L28*M28</f>
        <v>0.122264</v>
      </c>
      <c r="O28" s="266">
        <f t="shared" ref="O28" si="19">N28*K28</f>
        <v>0.122264</v>
      </c>
      <c r="P28" s="258">
        <f t="shared" ref="P28" si="20">P$21*N28</f>
        <v>19893.868810002805</v>
      </c>
      <c r="Q28" s="265">
        <f t="shared" si="15"/>
        <v>27393.868810002805</v>
      </c>
      <c r="R28" s="36"/>
      <c r="S28" s="14"/>
      <c r="T28" s="9"/>
      <c r="W28" s="4"/>
    </row>
    <row r="29" spans="2:24" ht="17.399999999999999" x14ac:dyDescent="0.3">
      <c r="B29" s="306">
        <v>2</v>
      </c>
      <c r="C29" s="306" t="s">
        <v>168</v>
      </c>
      <c r="D29" s="307">
        <v>0.32400000000000001</v>
      </c>
      <c r="E29" s="307">
        <v>0.70099999999999996</v>
      </c>
      <c r="F29" s="296" t="s">
        <v>157</v>
      </c>
      <c r="G29" s="297">
        <v>50159</v>
      </c>
      <c r="H29" s="298">
        <f t="shared" si="8"/>
        <v>100318</v>
      </c>
      <c r="I29" s="275"/>
      <c r="J29" s="45"/>
      <c r="K29" s="292">
        <f t="shared" si="9"/>
        <v>2</v>
      </c>
      <c r="L29" s="37">
        <f t="shared" si="10"/>
        <v>0.374</v>
      </c>
      <c r="M29" s="37">
        <f t="shared" si="16"/>
        <v>0.70099999999999996</v>
      </c>
      <c r="N29" s="269">
        <f t="shared" si="12"/>
        <v>0.26217399999999996</v>
      </c>
      <c r="O29" s="266">
        <f t="shared" si="13"/>
        <v>0.52434799999999993</v>
      </c>
      <c r="P29" s="258">
        <f t="shared" si="14"/>
        <v>42658.960621226812</v>
      </c>
      <c r="Q29" s="265">
        <f t="shared" si="15"/>
        <v>50158.960621226812</v>
      </c>
      <c r="R29" s="36"/>
      <c r="S29" s="14"/>
      <c r="T29" s="9"/>
      <c r="W29" s="4"/>
    </row>
    <row r="30" spans="2:24" s="226" customFormat="1" ht="18" thickBot="1" x14ac:dyDescent="0.4">
      <c r="B30" s="320"/>
      <c r="C30" s="320"/>
      <c r="D30" s="320"/>
      <c r="E30" s="321"/>
      <c r="F30" s="229"/>
      <c r="I30" s="272"/>
      <c r="J30" s="228"/>
      <c r="L30" s="37"/>
      <c r="M30" s="12"/>
      <c r="N30" s="12"/>
      <c r="O30" s="259">
        <f>SUM(O22:O29)</f>
        <v>4.2848120000000005</v>
      </c>
      <c r="P30" s="300" t="s">
        <v>150</v>
      </c>
      <c r="Q30" s="12"/>
      <c r="R30" s="235"/>
      <c r="S30" s="262"/>
      <c r="V30" s="227"/>
    </row>
    <row r="31" spans="2:24" s="226" customFormat="1" ht="17.399999999999999" x14ac:dyDescent="0.35">
      <c r="B31" s="322"/>
      <c r="C31" s="323"/>
      <c r="D31" s="324"/>
      <c r="E31" s="325"/>
      <c r="G31" s="276" t="s">
        <v>30</v>
      </c>
      <c r="H31" s="288">
        <f>SUM(H22:H29)</f>
        <v>832195</v>
      </c>
      <c r="I31" s="272"/>
      <c r="L31" s="37"/>
      <c r="M31" s="12"/>
      <c r="N31" s="12"/>
      <c r="O31" s="259">
        <f>SUM(O30:O30)</f>
        <v>4.2848120000000005</v>
      </c>
      <c r="P31" s="14"/>
      <c r="Q31" s="12"/>
      <c r="R31" s="237">
        <f>SUM(R22:R30)</f>
        <v>3.9200000000000004</v>
      </c>
      <c r="S31" s="236"/>
    </row>
    <row r="32" spans="2:24" s="226" customFormat="1" ht="17.399999999999999" x14ac:dyDescent="0.35">
      <c r="B32" s="326"/>
      <c r="C32" s="320"/>
      <c r="D32" s="320"/>
      <c r="E32" s="320"/>
      <c r="G32" s="230" t="s">
        <v>31</v>
      </c>
      <c r="H32" s="289">
        <f>H31*19%</f>
        <v>158117.04999999999</v>
      </c>
      <c r="K32" s="256"/>
      <c r="L32" s="37">
        <f>SUM(L22:L27)</f>
        <v>4.5780000000000003</v>
      </c>
      <c r="M32" s="12"/>
      <c r="N32" s="12"/>
      <c r="O32" s="37">
        <f>O31*20%</f>
        <v>0.85696240000000012</v>
      </c>
      <c r="P32" s="14" t="s">
        <v>152</v>
      </c>
      <c r="Q32" s="12"/>
      <c r="R32" s="236"/>
      <c r="S32" s="236"/>
      <c r="W32" s="227"/>
    </row>
    <row r="33" spans="2:23" s="226" customFormat="1" ht="18" thickBot="1" x14ac:dyDescent="0.4">
      <c r="B33" s="320"/>
      <c r="C33" s="320"/>
      <c r="D33" s="320"/>
      <c r="E33" s="320"/>
      <c r="G33" s="231" t="s">
        <v>6</v>
      </c>
      <c r="H33" s="290">
        <f>H31+H32</f>
        <v>990312.05</v>
      </c>
      <c r="K33" s="256"/>
      <c r="L33" s="14"/>
      <c r="M33" s="12"/>
      <c r="N33" s="12"/>
      <c r="O33" s="44">
        <f>O31+O32</f>
        <v>5.141774400000001</v>
      </c>
      <c r="P33" s="301" t="s">
        <v>151</v>
      </c>
      <c r="Q33" s="40"/>
      <c r="R33" s="237"/>
      <c r="S33" s="236"/>
      <c r="W33" s="227"/>
    </row>
    <row r="34" spans="2:23" s="226" customFormat="1" ht="17.399999999999999" x14ac:dyDescent="0.35">
      <c r="B34" s="327"/>
      <c r="C34" s="320"/>
      <c r="D34" s="320"/>
      <c r="E34" s="320"/>
      <c r="K34" s="256"/>
      <c r="L34" s="14"/>
      <c r="M34" s="12"/>
      <c r="N34" s="12"/>
      <c r="P34" s="14"/>
      <c r="Q34" s="14"/>
      <c r="R34" s="238"/>
      <c r="S34" s="263"/>
    </row>
    <row r="35" spans="2:23" s="226" customFormat="1" ht="17.399999999999999" x14ac:dyDescent="0.35">
      <c r="E35" s="232"/>
      <c r="G35" s="233"/>
      <c r="H35" s="267"/>
      <c r="I35" s="267"/>
      <c r="K35" s="256"/>
      <c r="L35" s="305" t="s">
        <v>153</v>
      </c>
      <c r="M35" s="305" t="s">
        <v>116</v>
      </c>
      <c r="N35" s="305" t="s">
        <v>6</v>
      </c>
      <c r="O35" s="14"/>
      <c r="P35" s="14"/>
      <c r="Q35" s="14"/>
      <c r="R35" s="237"/>
      <c r="S35" s="236"/>
    </row>
    <row r="36" spans="2:23" s="226" customFormat="1" ht="17.399999999999999" x14ac:dyDescent="0.35">
      <c r="G36" s="234"/>
      <c r="K36" s="256"/>
      <c r="L36" s="37">
        <f>O33</f>
        <v>5.141774400000001</v>
      </c>
      <c r="M36" s="12">
        <v>3500</v>
      </c>
      <c r="N36" s="12">
        <f>L36*M36</f>
        <v>17996.210400000004</v>
      </c>
      <c r="O36" s="14" t="s">
        <v>22</v>
      </c>
      <c r="P36" s="14" t="s">
        <v>23</v>
      </c>
      <c r="Q36" s="14"/>
      <c r="R36" s="237"/>
      <c r="S36" s="236"/>
    </row>
    <row r="37" spans="2:23" s="226" customFormat="1" ht="17.399999999999999" x14ac:dyDescent="0.35">
      <c r="K37" s="256"/>
      <c r="L37" s="255">
        <v>2</v>
      </c>
      <c r="M37" s="12">
        <v>25000</v>
      </c>
      <c r="N37" s="12">
        <f t="shared" ref="N37:N41" si="21">L37*M37</f>
        <v>50000</v>
      </c>
      <c r="O37" s="37" t="s">
        <v>32</v>
      </c>
      <c r="P37" s="40"/>
      <c r="Q37" s="14"/>
      <c r="R37" s="236"/>
      <c r="S37" s="236"/>
    </row>
    <row r="38" spans="2:23" s="226" customFormat="1" ht="17.399999999999999" x14ac:dyDescent="0.35">
      <c r="K38" s="256"/>
      <c r="L38" s="14"/>
      <c r="M38" s="12">
        <v>51210</v>
      </c>
      <c r="N38" s="12">
        <f t="shared" si="21"/>
        <v>0</v>
      </c>
      <c r="O38" s="37" t="s">
        <v>147</v>
      </c>
      <c r="P38" s="40"/>
      <c r="R38" s="236"/>
      <c r="S38" s="236">
        <v>1.83</v>
      </c>
    </row>
    <row r="39" spans="2:23" ht="14.4" customHeight="1" x14ac:dyDescent="0.35">
      <c r="B39" s="22" t="s">
        <v>158</v>
      </c>
      <c r="C39" s="226"/>
      <c r="D39" s="226"/>
      <c r="E39" s="226"/>
      <c r="F39" s="226"/>
      <c r="K39" s="256"/>
      <c r="L39" s="14">
        <v>2</v>
      </c>
      <c r="M39" s="14">
        <v>132000</v>
      </c>
      <c r="N39" s="12">
        <f t="shared" si="21"/>
        <v>264000</v>
      </c>
      <c r="O39" s="14" t="s">
        <v>133</v>
      </c>
      <c r="P39" s="17"/>
      <c r="Q39" s="226"/>
      <c r="S39">
        <v>2.5</v>
      </c>
    </row>
    <row r="40" spans="2:23" ht="17.399999999999999" x14ac:dyDescent="0.35">
      <c r="B40" s="22" t="s">
        <v>159</v>
      </c>
      <c r="K40" s="256"/>
      <c r="L40" s="255"/>
      <c r="M40" s="12">
        <v>500</v>
      </c>
      <c r="N40" s="12">
        <f t="shared" si="21"/>
        <v>0</v>
      </c>
      <c r="O40" s="14" t="s">
        <v>33</v>
      </c>
      <c r="P40" s="14"/>
      <c r="Q40" s="226">
        <v>1.52</v>
      </c>
      <c r="R40">
        <v>3.06</v>
      </c>
      <c r="S40">
        <f>S38*S39</f>
        <v>4.5750000000000002</v>
      </c>
    </row>
    <row r="41" spans="2:23" x14ac:dyDescent="0.3">
      <c r="B41" s="27" t="s">
        <v>126</v>
      </c>
      <c r="F41" s="225" t="s">
        <v>16</v>
      </c>
      <c r="G41" s="21"/>
      <c r="K41" s="12"/>
      <c r="L41" s="277"/>
      <c r="M41" s="12">
        <v>1500</v>
      </c>
      <c r="N41" s="12">
        <f t="shared" si="21"/>
        <v>0</v>
      </c>
      <c r="O41" s="14" t="s">
        <v>24</v>
      </c>
      <c r="P41" s="14"/>
      <c r="Q41">
        <v>2.44</v>
      </c>
      <c r="R41">
        <v>1.23</v>
      </c>
      <c r="S41" s="287">
        <f>O33/S40</f>
        <v>1.1238851147540985</v>
      </c>
    </row>
    <row r="42" spans="2:23" x14ac:dyDescent="0.3">
      <c r="G42" s="21"/>
      <c r="K42" s="12"/>
      <c r="L42" s="14"/>
      <c r="M42" s="12"/>
      <c r="N42" s="12">
        <f>SUM(N36:N41)</f>
        <v>331996.21039999998</v>
      </c>
      <c r="O42" s="37" t="s">
        <v>25</v>
      </c>
      <c r="P42" s="14"/>
      <c r="Q42">
        <f>Q40*Q41</f>
        <v>3.7088000000000001</v>
      </c>
      <c r="R42">
        <f>R40*R41</f>
        <v>3.7637999999999998</v>
      </c>
    </row>
    <row r="43" spans="2:23" ht="15" customHeight="1" x14ac:dyDescent="0.3">
      <c r="K43" s="12"/>
      <c r="L43" s="260" t="s">
        <v>34</v>
      </c>
      <c r="M43" s="12"/>
      <c r="N43" s="261">
        <f>N42*2.1</f>
        <v>697192.04183999996</v>
      </c>
      <c r="O43" s="14" t="s">
        <v>27</v>
      </c>
      <c r="P43" s="14"/>
      <c r="Q43" s="302">
        <f>O33/Q42</f>
        <v>1.3863714408973256</v>
      </c>
      <c r="R43" s="303">
        <f>R42/O33</f>
        <v>0.73200411126555831</v>
      </c>
      <c r="S43" s="304" t="s">
        <v>153</v>
      </c>
    </row>
    <row r="44" spans="2:23" x14ac:dyDescent="0.3">
      <c r="K44" s="256"/>
      <c r="L44" s="14"/>
      <c r="M44" s="12"/>
      <c r="N44" s="12">
        <f>N43/O31</f>
        <v>162712.39947983713</v>
      </c>
      <c r="O44" s="43" t="s">
        <v>26</v>
      </c>
      <c r="P44" s="14"/>
      <c r="Q44" s="14"/>
    </row>
    <row r="45" spans="2:23" x14ac:dyDescent="0.3">
      <c r="K45" s="256"/>
      <c r="L45" s="13"/>
      <c r="M45" s="14"/>
      <c r="N45" s="17">
        <f>N43/N42</f>
        <v>2.1</v>
      </c>
      <c r="O45" s="15"/>
    </row>
    <row r="46" spans="2:23" x14ac:dyDescent="0.3">
      <c r="K46" s="256"/>
    </row>
    <row r="47" spans="2:23" x14ac:dyDescent="0.3">
      <c r="N47">
        <v>29000</v>
      </c>
      <c r="O47" t="s">
        <v>145</v>
      </c>
    </row>
    <row r="48" spans="2:23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9" spans="14:19" x14ac:dyDescent="0.3">
      <c r="N59" s="41"/>
    </row>
    <row r="60" spans="14:19" x14ac:dyDescent="0.3">
      <c r="N60" s="41"/>
    </row>
    <row r="61" spans="14:19" x14ac:dyDescent="0.3">
      <c r="N61" s="6"/>
    </row>
    <row r="62" spans="14:19" x14ac:dyDescent="0.3">
      <c r="N62" s="6"/>
    </row>
  </sheetData>
  <mergeCells count="2">
    <mergeCell ref="F17:H17"/>
    <mergeCell ref="B20:H20"/>
  </mergeCells>
  <hyperlinks>
    <hyperlink ref="F41" r:id="rId1" xr:uid="{3D3AD740-2140-4B79-A9D7-AD8C5C07E0B0}"/>
    <hyperlink ref="C13" r:id="rId2" xr:uid="{D5274D27-063A-4EDC-8727-21D3E8519E6F}"/>
  </hyperlinks>
  <pageMargins left="0.23622047244094491" right="0.23622047244094491" top="0.74803149606299213" bottom="0.74803149606299213" header="0.31496062992125984" footer="0.31496062992125984"/>
  <pageSetup scale="98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4" t="s">
        <v>106</v>
      </c>
      <c r="C2" s="46"/>
      <c r="D2" s="46"/>
      <c r="E2" s="143"/>
      <c r="F2" s="6"/>
    </row>
    <row r="3" spans="2:31" ht="18" x14ac:dyDescent="0.35">
      <c r="E3" s="142"/>
      <c r="F3" s="141"/>
    </row>
    <row r="5" spans="2:31" ht="15.6" x14ac:dyDescent="0.3">
      <c r="B5" s="137" t="s">
        <v>0</v>
      </c>
      <c r="C5" s="140">
        <f>'2229'!G11</f>
        <v>45520</v>
      </c>
    </row>
    <row r="6" spans="2:31" ht="16.2" thickBot="1" x14ac:dyDescent="0.35">
      <c r="B6" s="137" t="s">
        <v>2</v>
      </c>
      <c r="C6" s="136" t="str">
        <f>'2229'!C11</f>
        <v>ING. Y CONST. LAS ACACIAS LTDA.</v>
      </c>
      <c r="D6" s="135"/>
      <c r="E6" s="135"/>
      <c r="F6" s="135"/>
      <c r="N6" s="72" t="s">
        <v>105</v>
      </c>
      <c r="O6" s="72"/>
      <c r="P6" s="139" t="s">
        <v>104</v>
      </c>
      <c r="Q6" s="139"/>
    </row>
    <row r="7" spans="2:31" ht="16.2" thickBot="1" x14ac:dyDescent="0.35">
      <c r="B7" s="137" t="s">
        <v>3</v>
      </c>
      <c r="C7" s="136" t="str">
        <f>'2229'!C14</f>
        <v>LUIS ALBERTO ROJAS</v>
      </c>
      <c r="D7" s="135"/>
      <c r="E7" s="135"/>
      <c r="F7" s="135"/>
      <c r="H7" s="314" t="s">
        <v>99</v>
      </c>
      <c r="I7" s="315"/>
      <c r="J7" s="315"/>
      <c r="K7" s="316"/>
      <c r="N7" s="72"/>
      <c r="O7" s="313" t="s">
        <v>103</v>
      </c>
      <c r="P7" s="138" t="s">
        <v>102</v>
      </c>
      <c r="Q7" s="138"/>
    </row>
    <row r="8" spans="2:31" ht="16.2" thickBot="1" x14ac:dyDescent="0.35">
      <c r="B8" s="137" t="s">
        <v>101</v>
      </c>
      <c r="C8" s="136" t="str">
        <f>'2229'!D9</f>
        <v>N°11068</v>
      </c>
      <c r="D8" s="135"/>
      <c r="E8" s="135"/>
      <c r="F8" s="135"/>
      <c r="H8" s="179" t="s">
        <v>118</v>
      </c>
      <c r="I8" s="151" t="s">
        <v>117</v>
      </c>
      <c r="J8" s="224" t="s">
        <v>96</v>
      </c>
      <c r="K8" s="132" t="s">
        <v>6</v>
      </c>
      <c r="L8" s="131" t="s">
        <v>6</v>
      </c>
      <c r="N8" s="72"/>
      <c r="O8" s="313"/>
      <c r="P8" s="72" t="s">
        <v>100</v>
      </c>
      <c r="Q8" s="72"/>
      <c r="X8">
        <f>SUM(Q11:Q16)</f>
        <v>6</v>
      </c>
    </row>
    <row r="9" spans="2:31" ht="15" thickBot="1" x14ac:dyDescent="0.35">
      <c r="H9" s="194" t="s">
        <v>97</v>
      </c>
      <c r="I9" s="195" t="s">
        <v>116</v>
      </c>
      <c r="J9" s="180" t="s">
        <v>93</v>
      </c>
      <c r="K9" s="153"/>
      <c r="L9" s="99">
        <f>SUM(K10:K23)</f>
        <v>2550</v>
      </c>
      <c r="S9" s="26" t="s">
        <v>9</v>
      </c>
      <c r="T9" s="26"/>
      <c r="W9" s="8"/>
      <c r="X9" s="173">
        <f>(E15-D11)/X8</f>
        <v>-111795.83384012077</v>
      </c>
    </row>
    <row r="10" spans="2:31" ht="16.2" thickBot="1" x14ac:dyDescent="0.35">
      <c r="D10" s="215" t="s">
        <v>30</v>
      </c>
      <c r="E10" s="216" t="s">
        <v>52</v>
      </c>
      <c r="F10" s="217" t="s">
        <v>6</v>
      </c>
      <c r="H10" s="187">
        <v>3</v>
      </c>
      <c r="I10" s="201">
        <v>350</v>
      </c>
      <c r="J10" s="198" t="s">
        <v>33</v>
      </c>
      <c r="K10" s="154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3"/>
      <c r="AB10" s="6"/>
      <c r="AC10" s="14"/>
      <c r="AD10" s="223"/>
      <c r="AE10" s="10"/>
    </row>
    <row r="11" spans="2:31" ht="16.2" thickBot="1" x14ac:dyDescent="0.35">
      <c r="C11" s="208" t="s">
        <v>94</v>
      </c>
      <c r="D11" s="130">
        <f>'2229'!H31</f>
        <v>832195</v>
      </c>
      <c r="E11" s="129">
        <f>D11*0.19</f>
        <v>158117.04999999999</v>
      </c>
      <c r="F11" s="128">
        <f>E11+D11</f>
        <v>990312.05</v>
      </c>
      <c r="H11" s="188">
        <v>3</v>
      </c>
      <c r="I11" s="171">
        <v>500</v>
      </c>
      <c r="J11" s="145" t="s">
        <v>24</v>
      </c>
      <c r="K11" s="155">
        <f t="shared" si="0"/>
        <v>1500</v>
      </c>
      <c r="Q11" s="7">
        <v>1</v>
      </c>
      <c r="R11" s="7" t="s">
        <v>36</v>
      </c>
      <c r="S11" s="49">
        <v>2.8</v>
      </c>
      <c r="T11" s="49">
        <v>0.62</v>
      </c>
      <c r="U11" s="7" t="s">
        <v>39</v>
      </c>
      <c r="V11" s="52">
        <v>105990</v>
      </c>
      <c r="W11" s="47">
        <f t="shared" ref="W11:W18" si="1">V11*Q11</f>
        <v>105990</v>
      </c>
      <c r="X11" s="173">
        <f t="shared" ref="X11:X16" si="2">V11+$X$9</f>
        <v>-5805.8338401207729</v>
      </c>
      <c r="Y11" s="172">
        <v>108990</v>
      </c>
      <c r="AA11" s="6"/>
      <c r="AB11" s="6"/>
      <c r="AC11" s="222"/>
      <c r="AD11" s="51"/>
      <c r="AE11" s="219"/>
    </row>
    <row r="12" spans="2:31" ht="16.2" thickBot="1" x14ac:dyDescent="0.35">
      <c r="C12" s="134" t="s">
        <v>98</v>
      </c>
      <c r="D12" s="133">
        <f>SUM(M43:M45)</f>
        <v>97830.301187439618</v>
      </c>
      <c r="F12" s="58"/>
      <c r="H12" s="188">
        <v>0</v>
      </c>
      <c r="I12" s="171">
        <v>7500</v>
      </c>
      <c r="J12" s="147" t="s">
        <v>112</v>
      </c>
      <c r="K12" s="155">
        <f t="shared" si="0"/>
        <v>0</v>
      </c>
      <c r="L12" s="58"/>
      <c r="Q12" s="7">
        <v>1</v>
      </c>
      <c r="R12" s="7" t="s">
        <v>36</v>
      </c>
      <c r="S12" s="49">
        <v>2.2999999999999998</v>
      </c>
      <c r="T12" s="49">
        <v>0.62</v>
      </c>
      <c r="U12" s="7" t="s">
        <v>39</v>
      </c>
      <c r="V12" s="52">
        <v>87990</v>
      </c>
      <c r="W12" s="47">
        <f t="shared" si="1"/>
        <v>87990</v>
      </c>
      <c r="X12" s="173">
        <f t="shared" si="2"/>
        <v>-23805.833840120773</v>
      </c>
      <c r="Y12" s="172">
        <v>89990</v>
      </c>
      <c r="Z12" s="2"/>
      <c r="AA12" s="220"/>
      <c r="AB12" s="221"/>
      <c r="AC12" s="222"/>
      <c r="AD12" s="51"/>
      <c r="AE12" s="219"/>
    </row>
    <row r="13" spans="2:31" ht="16.2" thickBot="1" x14ac:dyDescent="0.35">
      <c r="C13" s="209" t="s">
        <v>92</v>
      </c>
      <c r="D13" s="214">
        <f>D11-D12</f>
        <v>734364.69881256041</v>
      </c>
      <c r="E13" s="218">
        <f>(D11/D12)-1</f>
        <v>7.5065157716885889</v>
      </c>
      <c r="H13" s="188">
        <v>0</v>
      </c>
      <c r="I13" s="171">
        <v>50</v>
      </c>
      <c r="J13" s="147" t="s">
        <v>113</v>
      </c>
      <c r="K13" s="155">
        <f t="shared" si="0"/>
        <v>0</v>
      </c>
      <c r="L13" s="58"/>
      <c r="Q13" s="7">
        <v>1</v>
      </c>
      <c r="R13" s="7" t="s">
        <v>36</v>
      </c>
      <c r="S13" s="49">
        <v>2.0299999999999998</v>
      </c>
      <c r="T13" s="49">
        <v>0.62</v>
      </c>
      <c r="U13" s="7" t="s">
        <v>39</v>
      </c>
      <c r="V13" s="52">
        <v>78990</v>
      </c>
      <c r="W13" s="47">
        <f t="shared" si="1"/>
        <v>78990</v>
      </c>
      <c r="X13" s="173">
        <f t="shared" si="2"/>
        <v>-32805.833840120773</v>
      </c>
      <c r="Y13" s="172">
        <v>81990</v>
      </c>
      <c r="Z13" s="2"/>
      <c r="AA13" s="220"/>
      <c r="AB13" s="221"/>
      <c r="AC13" s="222"/>
      <c r="AD13" s="51"/>
      <c r="AE13" s="219"/>
    </row>
    <row r="14" spans="2:31" ht="15" thickBot="1" x14ac:dyDescent="0.35">
      <c r="D14" s="143" t="s">
        <v>123</v>
      </c>
      <c r="E14" s="176" t="s">
        <v>30</v>
      </c>
      <c r="F14" s="175" t="s">
        <v>111</v>
      </c>
      <c r="H14" s="188">
        <v>0</v>
      </c>
      <c r="I14" s="171">
        <v>50</v>
      </c>
      <c r="J14" s="147" t="s">
        <v>114</v>
      </c>
      <c r="K14" s="155">
        <f t="shared" si="0"/>
        <v>0</v>
      </c>
      <c r="L14" s="58"/>
      <c r="P14" s="123"/>
      <c r="Q14" s="7">
        <v>1</v>
      </c>
      <c r="R14" s="7" t="s">
        <v>36</v>
      </c>
      <c r="S14" s="49">
        <v>1.08</v>
      </c>
      <c r="T14" s="49">
        <v>0.62</v>
      </c>
      <c r="U14" s="7" t="s">
        <v>39</v>
      </c>
      <c r="V14" s="52">
        <v>39990</v>
      </c>
      <c r="W14" s="47">
        <f t="shared" si="1"/>
        <v>39990</v>
      </c>
      <c r="X14" s="173">
        <f t="shared" si="2"/>
        <v>-71805.833840120773</v>
      </c>
      <c r="Y14" s="172">
        <v>39990</v>
      </c>
      <c r="Z14" s="2"/>
      <c r="AA14" s="220"/>
      <c r="AB14" s="221"/>
      <c r="AC14" s="222"/>
      <c r="AD14" s="51"/>
      <c r="AE14" s="219"/>
    </row>
    <row r="15" spans="2:31" ht="15" thickBot="1" x14ac:dyDescent="0.35">
      <c r="C15" s="210" t="s">
        <v>122</v>
      </c>
      <c r="D15" s="211">
        <v>0.65</v>
      </c>
      <c r="E15" s="212">
        <f>(100%+D15)*D12</f>
        <v>161419.99695927536</v>
      </c>
      <c r="F15" s="213">
        <f>E15-D12</f>
        <v>63589.695771835744</v>
      </c>
      <c r="H15" s="188">
        <v>0</v>
      </c>
      <c r="I15" s="171">
        <v>10</v>
      </c>
      <c r="J15" s="147" t="s">
        <v>115</v>
      </c>
      <c r="K15" s="155">
        <f t="shared" si="0"/>
        <v>0</v>
      </c>
      <c r="L15" s="58"/>
      <c r="Q15" s="7">
        <v>1</v>
      </c>
      <c r="R15" s="7" t="s">
        <v>36</v>
      </c>
      <c r="S15" s="49">
        <v>1.08</v>
      </c>
      <c r="T15" s="49">
        <v>0.62</v>
      </c>
      <c r="U15" s="7" t="s">
        <v>39</v>
      </c>
      <c r="V15" s="52">
        <v>39990</v>
      </c>
      <c r="W15" s="47">
        <f t="shared" si="1"/>
        <v>39990</v>
      </c>
      <c r="X15" s="173">
        <f t="shared" si="2"/>
        <v>-71805.833840120773</v>
      </c>
      <c r="Y15" s="172">
        <v>39990</v>
      </c>
      <c r="Z15" s="98"/>
      <c r="AA15" s="98"/>
      <c r="AB15" s="121"/>
      <c r="AD15" s="38"/>
      <c r="AE15" s="39"/>
    </row>
    <row r="16" spans="2:31" ht="15" thickBot="1" x14ac:dyDescent="0.35">
      <c r="H16" s="189">
        <v>1</v>
      </c>
      <c r="I16" s="199"/>
      <c r="J16" s="145" t="s">
        <v>91</v>
      </c>
      <c r="K16" s="155">
        <f t="shared" si="0"/>
        <v>0</v>
      </c>
      <c r="L16" s="58"/>
      <c r="Q16" s="7">
        <v>1</v>
      </c>
      <c r="R16" s="7" t="s">
        <v>36</v>
      </c>
      <c r="S16" s="49">
        <v>2.06</v>
      </c>
      <c r="T16" s="49">
        <v>0.62</v>
      </c>
      <c r="U16" s="7" t="s">
        <v>39</v>
      </c>
      <c r="V16" s="52">
        <v>79990</v>
      </c>
      <c r="W16" s="47">
        <f t="shared" si="1"/>
        <v>79990</v>
      </c>
      <c r="X16" s="173">
        <f t="shared" si="2"/>
        <v>-31805.833840120773</v>
      </c>
      <c r="Y16" s="172">
        <v>83990</v>
      </c>
      <c r="Z16" s="98"/>
      <c r="AA16" s="98"/>
      <c r="AB16" s="37"/>
      <c r="AC16" s="37"/>
      <c r="AD16" s="40"/>
      <c r="AE16" s="40"/>
    </row>
    <row r="17" spans="1:31" ht="15" thickBot="1" x14ac:dyDescent="0.35">
      <c r="B17" s="127" t="s">
        <v>89</v>
      </c>
      <c r="C17" s="126" t="s">
        <v>88</v>
      </c>
      <c r="D17" s="126" t="s">
        <v>30</v>
      </c>
      <c r="E17" s="125" t="s">
        <v>52</v>
      </c>
      <c r="F17" s="124" t="s">
        <v>6</v>
      </c>
      <c r="H17" s="190">
        <v>1</v>
      </c>
      <c r="I17" s="199"/>
      <c r="J17" s="185" t="s">
        <v>90</v>
      </c>
      <c r="K17" s="155">
        <f t="shared" si="0"/>
        <v>0</v>
      </c>
      <c r="L17" s="58"/>
      <c r="Q17" s="7">
        <v>6</v>
      </c>
      <c r="R17" s="7" t="s">
        <v>37</v>
      </c>
      <c r="S17" s="49"/>
      <c r="T17" s="49"/>
      <c r="U17" s="7"/>
      <c r="V17" s="52">
        <v>5000</v>
      </c>
      <c r="W17" s="47">
        <f t="shared" si="1"/>
        <v>30000</v>
      </c>
      <c r="X17" s="103"/>
      <c r="Y17" s="14"/>
      <c r="Z17" s="98"/>
      <c r="AA17" s="98"/>
      <c r="AB17" s="44"/>
    </row>
    <row r="18" spans="1:31" x14ac:dyDescent="0.3">
      <c r="C18" s="122" t="s">
        <v>86</v>
      </c>
      <c r="D18" s="119">
        <f>'2229'!N38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87</v>
      </c>
      <c r="K18" s="155">
        <f t="shared" si="0"/>
        <v>0</v>
      </c>
      <c r="L18" s="58"/>
      <c r="Q18" s="7">
        <v>1</v>
      </c>
      <c r="R18" s="53" t="s">
        <v>38</v>
      </c>
      <c r="S18" s="49"/>
      <c r="T18" s="49"/>
      <c r="U18" s="7"/>
      <c r="V18" s="47">
        <v>10000</v>
      </c>
      <c r="W18" s="47">
        <f t="shared" si="1"/>
        <v>10000</v>
      </c>
      <c r="X18" s="103"/>
    </row>
    <row r="19" spans="1:31" x14ac:dyDescent="0.3">
      <c r="C19" s="76" t="s">
        <v>32</v>
      </c>
      <c r="D19" s="119">
        <f>'2229'!N37</f>
        <v>50000</v>
      </c>
      <c r="E19" s="120">
        <f>D19*0.19</f>
        <v>9500</v>
      </c>
      <c r="F19" s="117">
        <f>SUM(D19:E19)</f>
        <v>59500</v>
      </c>
      <c r="H19" s="189">
        <v>1</v>
      </c>
      <c r="I19" s="199"/>
      <c r="J19" s="181" t="s">
        <v>85</v>
      </c>
      <c r="K19" s="155">
        <f t="shared" si="0"/>
        <v>0</v>
      </c>
      <c r="L19" s="58"/>
      <c r="Q19" s="16"/>
      <c r="T19" s="5"/>
      <c r="U19" s="6"/>
      <c r="V19" s="28" t="s">
        <v>30</v>
      </c>
      <c r="W19" s="32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22</v>
      </c>
      <c r="D20" s="119">
        <f>'2229'!N36</f>
        <v>17996.210400000004</v>
      </c>
      <c r="E20" s="118">
        <f>D20*0.19</f>
        <v>3419.2799760000007</v>
      </c>
      <c r="F20" s="117">
        <f>SUM(D20:E20)</f>
        <v>21415.490376000005</v>
      </c>
      <c r="H20" s="189">
        <v>1</v>
      </c>
      <c r="I20" s="199"/>
      <c r="J20" s="181" t="s">
        <v>84</v>
      </c>
      <c r="K20" s="155">
        <f t="shared" si="0"/>
        <v>0</v>
      </c>
      <c r="V20" s="29" t="s">
        <v>31</v>
      </c>
      <c r="W20" s="33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67996.210400000011</v>
      </c>
      <c r="E21" s="113">
        <f>SUM(E18:E20)</f>
        <v>12919.279976000002</v>
      </c>
      <c r="F21" s="112">
        <f>SUM(F18:F20)</f>
        <v>80915.490376000002</v>
      </c>
      <c r="H21" s="189">
        <v>1</v>
      </c>
      <c r="I21" s="199"/>
      <c r="J21" s="181" t="s">
        <v>83</v>
      </c>
      <c r="K21" s="155">
        <f t="shared" si="0"/>
        <v>0</v>
      </c>
      <c r="M21" s="150">
        <f>B32/9</f>
        <v>2318.840579710145</v>
      </c>
      <c r="Q21" s="48" t="s">
        <v>40</v>
      </c>
      <c r="R21" s="48"/>
      <c r="S21" s="48"/>
      <c r="V21" s="30" t="s">
        <v>6</v>
      </c>
      <c r="W21" s="33">
        <f>W19+W20</f>
        <v>562798.6</v>
      </c>
      <c r="X21" s="103"/>
      <c r="Y21" s="174">
        <f>SUM(Y19:Y20)</f>
        <v>577078.6</v>
      </c>
      <c r="Z21" s="98"/>
      <c r="AA21" s="98"/>
      <c r="AB21" s="37"/>
      <c r="AC21" s="4"/>
      <c r="AE21" s="4"/>
    </row>
    <row r="22" spans="1:31" ht="15" thickBot="1" x14ac:dyDescent="0.35">
      <c r="A22" s="77">
        <f>450000*1.2</f>
        <v>540000</v>
      </c>
      <c r="B22" s="111" t="s">
        <v>81</v>
      </c>
      <c r="C22" s="110" t="s">
        <v>80</v>
      </c>
      <c r="D22" s="109" t="s">
        <v>79</v>
      </c>
      <c r="E22" s="108" t="s">
        <v>78</v>
      </c>
      <c r="F22" s="107" t="s">
        <v>6</v>
      </c>
      <c r="H22" s="189">
        <v>1</v>
      </c>
      <c r="I22" s="199"/>
      <c r="J22" s="145" t="s">
        <v>82</v>
      </c>
      <c r="K22" s="155">
        <f t="shared" si="0"/>
        <v>0</v>
      </c>
      <c r="M22" s="102"/>
      <c r="N22" s="55"/>
      <c r="Q22" s="48" t="s">
        <v>35</v>
      </c>
      <c r="R22" s="48"/>
      <c r="S22" s="48"/>
      <c r="T22" s="48"/>
      <c r="X22" s="93"/>
      <c r="Y22" s="14"/>
      <c r="Z22" s="98"/>
      <c r="AA22" s="98"/>
      <c r="AB22" s="37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28</v>
      </c>
      <c r="D23" s="106">
        <f t="shared" ref="D23:D29" si="3">B23/9</f>
        <v>2608.695652173913</v>
      </c>
      <c r="E23" s="105">
        <v>0.5</v>
      </c>
      <c r="F23" s="104">
        <f t="shared" ref="F23:F32" si="4">D23*E23</f>
        <v>1304.3478260869565</v>
      </c>
      <c r="H23" s="191">
        <v>1</v>
      </c>
      <c r="I23" s="200"/>
      <c r="J23" s="182" t="s">
        <v>77</v>
      </c>
      <c r="K23" s="155">
        <f t="shared" si="0"/>
        <v>0</v>
      </c>
      <c r="M23" s="102"/>
      <c r="N23" s="55"/>
      <c r="Q23" s="48" t="s">
        <v>29</v>
      </c>
      <c r="R23" s="48"/>
      <c r="X23" s="101"/>
      <c r="Y23" s="25"/>
      <c r="Z23" s="98"/>
      <c r="AA23" s="98"/>
      <c r="AB23" s="14"/>
      <c r="AC23" s="11"/>
      <c r="AD23" s="41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75</v>
      </c>
      <c r="D24" s="97">
        <f t="shared" si="3"/>
        <v>2608.695652173913</v>
      </c>
      <c r="E24" s="96">
        <v>0.5</v>
      </c>
      <c r="F24" s="95">
        <f t="shared" si="4"/>
        <v>1304.3478260869565</v>
      </c>
      <c r="H24" s="148" t="s">
        <v>118</v>
      </c>
      <c r="I24" s="152" t="s">
        <v>116</v>
      </c>
      <c r="J24" s="178" t="s">
        <v>76</v>
      </c>
      <c r="K24" s="149" t="s">
        <v>95</v>
      </c>
      <c r="L24" s="99">
        <f>SUM(K25:K35)</f>
        <v>0</v>
      </c>
      <c r="X24" s="98"/>
      <c r="Y24" s="98"/>
      <c r="Z24" s="98"/>
      <c r="AA24" s="98"/>
      <c r="AB24" s="14"/>
      <c r="AD24" s="41"/>
    </row>
    <row r="25" spans="1:31" x14ac:dyDescent="0.3">
      <c r="A25" s="77">
        <v>450000</v>
      </c>
      <c r="B25" s="100">
        <f>A23/23</f>
        <v>41739.130434782608</v>
      </c>
      <c r="C25" s="76" t="s">
        <v>74</v>
      </c>
      <c r="D25" s="97">
        <f t="shared" si="3"/>
        <v>4637.68115942029</v>
      </c>
      <c r="E25" s="96"/>
      <c r="F25" s="95">
        <f t="shared" si="4"/>
        <v>0</v>
      </c>
      <c r="H25" s="206">
        <v>0</v>
      </c>
      <c r="I25" s="201">
        <f>((480000/23)/9)</f>
        <v>2318.840579710145</v>
      </c>
      <c r="J25" s="184" t="s">
        <v>109</v>
      </c>
      <c r="K25" s="146">
        <f t="shared" ref="K25:K35" si="5">H25*I25</f>
        <v>0</v>
      </c>
      <c r="X25" s="98"/>
      <c r="Z25" s="98"/>
      <c r="AA25" s="98"/>
      <c r="AB25" s="37"/>
      <c r="AD25" s="41"/>
    </row>
    <row r="26" spans="1:31" x14ac:dyDescent="0.3">
      <c r="A26" s="77"/>
      <c r="B26" s="100">
        <f>A24/23</f>
        <v>19565.217391304348</v>
      </c>
      <c r="C26" s="76" t="s">
        <v>72</v>
      </c>
      <c r="D26" s="97">
        <f t="shared" si="3"/>
        <v>2173.913043478261</v>
      </c>
      <c r="E26" s="96">
        <v>0.5</v>
      </c>
      <c r="F26" s="95">
        <f t="shared" si="4"/>
        <v>1086.9565217391305</v>
      </c>
      <c r="H26" s="189">
        <v>0</v>
      </c>
      <c r="I26" s="171"/>
      <c r="J26" s="181" t="s">
        <v>73</v>
      </c>
      <c r="K26" s="94">
        <f t="shared" si="5"/>
        <v>0</v>
      </c>
      <c r="L26" s="58"/>
      <c r="X26" s="93"/>
      <c r="Z26" s="98"/>
      <c r="AA26" s="98"/>
      <c r="AB26" s="14"/>
      <c r="AD26" s="42"/>
    </row>
    <row r="27" spans="1:31" x14ac:dyDescent="0.3">
      <c r="A27" s="77">
        <v>350000</v>
      </c>
      <c r="B27" s="100">
        <f>A25/23</f>
        <v>19565.217391304348</v>
      </c>
      <c r="C27" s="76" t="s">
        <v>71</v>
      </c>
      <c r="D27" s="97">
        <f t="shared" si="3"/>
        <v>2173.913043478261</v>
      </c>
      <c r="E27" s="96">
        <v>0.5</v>
      </c>
      <c r="F27" s="95">
        <f t="shared" si="4"/>
        <v>1086.9565217391305</v>
      </c>
      <c r="H27" s="189">
        <v>0</v>
      </c>
      <c r="I27" s="171"/>
      <c r="J27" s="181" t="s">
        <v>70</v>
      </c>
      <c r="K27" s="94">
        <f t="shared" si="5"/>
        <v>0</v>
      </c>
      <c r="L27" s="58"/>
      <c r="X27" s="93"/>
      <c r="Z27" s="98"/>
      <c r="AA27" s="98"/>
      <c r="AB27" s="43"/>
    </row>
    <row r="28" spans="1:31" x14ac:dyDescent="0.3">
      <c r="A28" s="77">
        <v>500000</v>
      </c>
      <c r="B28" s="100">
        <f>A27/23</f>
        <v>15217.391304347826</v>
      </c>
      <c r="C28" s="76" t="s">
        <v>69</v>
      </c>
      <c r="D28" s="97">
        <f t="shared" si="3"/>
        <v>1690.8212560386473</v>
      </c>
      <c r="E28" s="96">
        <v>0.7</v>
      </c>
      <c r="F28" s="95">
        <f t="shared" si="4"/>
        <v>1183.5748792270531</v>
      </c>
      <c r="H28" s="189">
        <v>0</v>
      </c>
      <c r="I28" s="171"/>
      <c r="J28" s="181" t="s">
        <v>107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68</v>
      </c>
      <c r="D29" s="97">
        <f t="shared" si="3"/>
        <v>2415.4589371980674</v>
      </c>
      <c r="E29" s="96">
        <v>0.7</v>
      </c>
      <c r="F29" s="95">
        <f t="shared" si="4"/>
        <v>1690.8212560386471</v>
      </c>
      <c r="H29" s="188">
        <v>0</v>
      </c>
      <c r="I29" s="171">
        <f>((550000*1.2)/23)/9</f>
        <v>3188.4057971014495</v>
      </c>
      <c r="J29" s="147" t="s">
        <v>119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24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120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66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121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65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42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3.9000000000000004</v>
      </c>
      <c r="F33" s="82">
        <f>SUM(F23:F32)</f>
        <v>8816.4251207729467</v>
      </c>
      <c r="H33" s="192">
        <v>0</v>
      </c>
      <c r="I33" s="171"/>
      <c r="J33" s="183" t="s">
        <v>41</v>
      </c>
      <c r="K33" s="94">
        <f t="shared" si="5"/>
        <v>0</v>
      </c>
    </row>
    <row r="34" spans="2:16" ht="15" thickBot="1" x14ac:dyDescent="0.35">
      <c r="B34" s="80" t="s">
        <v>64</v>
      </c>
      <c r="C34" s="79" t="s">
        <v>63</v>
      </c>
      <c r="D34" s="78">
        <f>L9</f>
        <v>2550</v>
      </c>
      <c r="H34" s="189">
        <v>1</v>
      </c>
      <c r="I34" s="171"/>
      <c r="J34" s="145" t="s">
        <v>108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62</v>
      </c>
      <c r="D35" s="75">
        <f>L24</f>
        <v>0</v>
      </c>
      <c r="H35" s="191">
        <v>6</v>
      </c>
      <c r="I35" s="203"/>
      <c r="J35" s="177" t="s">
        <v>110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60</v>
      </c>
      <c r="D36" s="75">
        <f>L36</f>
        <v>18467.665666666668</v>
      </c>
      <c r="E36" s="55"/>
      <c r="H36" s="148" t="s">
        <v>97</v>
      </c>
      <c r="I36" s="152" t="s">
        <v>116</v>
      </c>
      <c r="J36" s="186" t="s">
        <v>67</v>
      </c>
      <c r="K36" s="149" t="s">
        <v>95</v>
      </c>
      <c r="L36" s="205">
        <f>SUM(K37:K39)</f>
        <v>18467.665666666668</v>
      </c>
      <c r="N36" s="62"/>
    </row>
    <row r="37" spans="2:16" ht="15" thickBot="1" x14ac:dyDescent="0.35">
      <c r="B37" s="72"/>
      <c r="C37" s="71" t="s">
        <v>43</v>
      </c>
      <c r="D37" s="70"/>
      <c r="H37" s="196">
        <f>$E$33</f>
        <v>3.9000000000000004</v>
      </c>
      <c r="I37" s="201">
        <f>32609.69/9</f>
        <v>3623.2988888888885</v>
      </c>
      <c r="J37" s="184" t="s">
        <v>46</v>
      </c>
      <c r="K37" s="146">
        <f>I37*H37</f>
        <v>14130.865666666667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21017.665666666668</v>
      </c>
      <c r="H38" s="193">
        <f>$E$33</f>
        <v>3.9000000000000004</v>
      </c>
      <c r="I38" s="171">
        <v>967</v>
      </c>
      <c r="J38" s="181" t="s">
        <v>44</v>
      </c>
      <c r="K38" s="86">
        <f>I38*H38</f>
        <v>3771.3</v>
      </c>
    </row>
    <row r="39" spans="2:16" ht="15" thickBot="1" x14ac:dyDescent="0.35">
      <c r="H39" s="197">
        <f>$E$33</f>
        <v>3.9000000000000004</v>
      </c>
      <c r="I39" s="203">
        <v>145</v>
      </c>
      <c r="J39" s="182" t="s">
        <v>45</v>
      </c>
      <c r="K39" s="81">
        <f>I39*H39</f>
        <v>565.5</v>
      </c>
    </row>
    <row r="40" spans="2:16" ht="15" thickBot="1" x14ac:dyDescent="0.35">
      <c r="B40" s="65" t="s">
        <v>53</v>
      </c>
      <c r="C40" s="64" t="s">
        <v>52</v>
      </c>
      <c r="D40" s="63">
        <f>E11-E21</f>
        <v>145197.770024</v>
      </c>
    </row>
    <row r="41" spans="2:16" ht="15" thickBot="1" x14ac:dyDescent="0.35">
      <c r="H41" s="317" t="s">
        <v>61</v>
      </c>
      <c r="I41" s="318"/>
      <c r="J41" s="318"/>
      <c r="K41" s="318"/>
      <c r="L41" s="318"/>
      <c r="M41" s="319"/>
    </row>
    <row r="42" spans="2:16" ht="15" thickBot="1" x14ac:dyDescent="0.35">
      <c r="B42" s="72" t="s">
        <v>47</v>
      </c>
      <c r="C42" s="72"/>
      <c r="D42" s="204">
        <f>E33</f>
        <v>3.9000000000000004</v>
      </c>
      <c r="H42" s="74" t="s">
        <v>59</v>
      </c>
      <c r="I42" s="156" t="s">
        <v>58</v>
      </c>
      <c r="J42" s="157"/>
      <c r="K42" s="157"/>
      <c r="L42" s="158"/>
      <c r="M42" s="73">
        <f>D11</f>
        <v>832195</v>
      </c>
    </row>
    <row r="43" spans="2:16" ht="15" thickBot="1" x14ac:dyDescent="0.35">
      <c r="D43" s="54"/>
      <c r="H43" s="69" t="s">
        <v>57</v>
      </c>
      <c r="I43" s="159" t="s">
        <v>56</v>
      </c>
      <c r="J43" s="160"/>
      <c r="K43" s="160"/>
      <c r="L43" s="161"/>
      <c r="M43" s="61">
        <f>D21</f>
        <v>67996.210400000011</v>
      </c>
    </row>
    <row r="44" spans="2:16" x14ac:dyDescent="0.3">
      <c r="D44" s="54"/>
      <c r="I44" s="162" t="s">
        <v>55</v>
      </c>
      <c r="J44" s="163"/>
      <c r="K44" s="163"/>
      <c r="L44" s="164"/>
      <c r="M44" s="66">
        <f>F33</f>
        <v>8816.4251207729467</v>
      </c>
    </row>
    <row r="45" spans="2:16" ht="15" thickBot="1" x14ac:dyDescent="0.35">
      <c r="D45" s="57"/>
      <c r="I45" s="165" t="s">
        <v>54</v>
      </c>
      <c r="J45" s="166"/>
      <c r="K45" s="166"/>
      <c r="L45" s="167"/>
      <c r="M45" s="60">
        <f>D38</f>
        <v>21017.665666666668</v>
      </c>
    </row>
    <row r="46" spans="2:16" ht="15" thickBot="1" x14ac:dyDescent="0.35">
      <c r="D46" s="57"/>
      <c r="I46" s="168" t="s">
        <v>51</v>
      </c>
      <c r="J46" s="169"/>
      <c r="K46" s="169"/>
      <c r="L46" s="170"/>
      <c r="M46" s="59">
        <f>M42-(SUM(M43:M45))</f>
        <v>734364.69881256041</v>
      </c>
    </row>
    <row r="47" spans="2:16" x14ac:dyDescent="0.3">
      <c r="I47" s="159" t="s">
        <v>50</v>
      </c>
      <c r="J47" s="160"/>
      <c r="K47" s="160"/>
      <c r="L47" s="161"/>
      <c r="M47" s="61"/>
    </row>
    <row r="48" spans="2:16" ht="15" thickBot="1" x14ac:dyDescent="0.35">
      <c r="D48" s="57"/>
      <c r="I48" s="165" t="s">
        <v>49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48</v>
      </c>
      <c r="J49" s="169"/>
      <c r="K49" s="169"/>
      <c r="L49" s="170"/>
      <c r="M49" s="59">
        <f>M46-SUM(M47:M48)</f>
        <v>734364.69881256041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2021-08-03T20:27:18Z</cp:lastPrinted>
  <dcterms:created xsi:type="dcterms:W3CDTF">2013-03-18T13:35:42Z</dcterms:created>
  <dcterms:modified xsi:type="dcterms:W3CDTF">2024-08-16T21:42:27Z</dcterms:modified>
</cp:coreProperties>
</file>