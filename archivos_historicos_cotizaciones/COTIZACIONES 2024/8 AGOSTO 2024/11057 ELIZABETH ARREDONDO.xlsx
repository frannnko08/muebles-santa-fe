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F686FA4F-5678-4C78-A4F4-700700D45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/>
  <c r="L25" i="1" s="1"/>
  <c r="M21" i="1"/>
  <c r="R21" i="1" l="1"/>
  <c r="R27" i="1" s="1"/>
  <c r="N21" i="1"/>
  <c r="O21" i="1" s="1"/>
  <c r="O26" i="1" l="1"/>
  <c r="J39" i="1"/>
  <c r="N32" i="1" l="1"/>
  <c r="O27" i="1" l="1"/>
  <c r="O28" i="1" s="1"/>
  <c r="O29" i="1" s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H23" i="1" s="1"/>
  <c r="K15" i="1" l="1"/>
  <c r="H24" i="1" l="1"/>
  <c r="H2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<sst xmlns="http://schemas.openxmlformats.org/spreadsheetml/2006/main" count="218" uniqueCount="163">
  <si>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</si>
  <si>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</si>
  <si>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</si>
  <si>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</si>
  <si>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</si>
  <si>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</si>
  <si>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</si>
  <si>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</si>
  <si>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</si>
  <si>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</si>
  <si>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</si>
  <si>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</si>
  <si>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</si>
  <si>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</si>
  <si>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</si>
  <si>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</si>
  <si>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</si>
  <si>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</si>
  <si>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</si>
  <si>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</si>
  <si>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</si>
  <si>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</si>
  <si>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</si>
  <si>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</si>
  <si>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</si>
  <si>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</si>
  <si>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</si>
  <si>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</si>
  <si>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</si>
  <si>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</si>
  <si>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</si>
  <si>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</si>
  <si>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</si>
  <si>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</si>
  <si>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</si>
  <si>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</si>
  <si>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</si>
  <si>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</si>
  <si>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</si>
  <si>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</si>
  <si>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</si>
  <si>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</si>
  <si>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</si>
  <si>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</si>
  <si>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</si>
  <si>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</si>
  <si>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</si>
  <si>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</si>
  <si>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</si>
  <si>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</si>
  <si>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</si>
  <si>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</si>
  <si>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</si>
  <si>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</si>
  <si>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</si>
  <si>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</si>
  <si>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</si>
  <si>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</si>
  <si>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</si>
  <si>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</si>
  <si>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</si>
  <si>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</si>
  <si>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</si>
  <si>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</si>
  <si>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</si>
  <si>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</si>
  <si>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</si>
  <si>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</si>
  <si>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</si>
  <si>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</si>
  <si>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</si>
  <si>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</si>
  <si>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</si>
  <si>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</si>
  <si>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</si>
  <si>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</si>
  <si>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</si>
  <si>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</si>
  <si>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</si>
  <si>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</si>
  <si>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</si>
  <si>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</si>
  <si>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</si>
  <si>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</si>
  <si>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</si>
  <si>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</si>
  <si>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</si>
  <si>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</si>
  <si>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</si>
  <si>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</si>
  <si>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</si>
  <si>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</si>
  <si>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</si>
  <si>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</si>
  <si>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</si>
  <si>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</si>
  <si>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</si>
  <si>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</si>
  <si>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</si>
  <si>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</si>
  <si>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</si>
  <si>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</si>
  <si>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</si>
  <si>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</si>
  <si>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</si>
  <si>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</si>
  <si>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</si>
  <si>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</si>
  <si>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</si>
  <si>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</si>
  <si>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</si>
  <si>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</si>
  <si>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</si>
  <si>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</si>
  <si>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</si>
  <si>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</si>
  <si>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</si>
  <si>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</si>
  <si>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</si>
  <si>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</si>
  <si>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</si>
  <si>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</si>
  <si>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</si>
  <si>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</si>
  <si>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</si>
  <si>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</si>
  <si>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</si>
  <si>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</si>
  <si>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</si>
  <si>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</si>
  <si>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</si>
  <si>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</si>
  <si>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</si>
  <si>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</si>
  <si>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</si>
  <si>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</si>
  <si>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</si>
  <si>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</si>
  <si>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</si>
  <si>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</si>
  <si>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</si>
  <si>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</si>
  <si>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</si>
  <si>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</si>
  <si>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</si>
  <si>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</si>
  <si>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</si>
  <si>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</si>
  <si>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</si>
  <si>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</si>
  <si>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</si>
  <si>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</si>
  <si>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</si>
  <si>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</si>
  <si>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</si>
  <si>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</si>
  <si>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</si>
  <si>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</si>
  <si>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>5 DIAS HABILES</t>
  </si>
  <si>
    <t>ELIZABETH ARREDONDO</t>
  </si>
  <si>
    <t>+569 90838879</t>
  </si>
  <si>
    <t>CUB C/R 90° R6</t>
  </si>
  <si>
    <t>NOCE NATURALE 1534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</si>
</sst>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5249</xdr:rowOff>
    </xdr:from>
    <xdr:to>
      <xdr:col>8</xdr:col>
      <xdr:colOff>7776</xdr:colOff>
      <xdr:row>29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26</xdr:row>
      <xdr:rowOff>9525</xdr:rowOff>
    </xdr:from>
    <xdr:to>
      <xdr:col>5</xdr:col>
      <xdr:colOff>1679511</xdr:colOff>
      <xdr:row>29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21</xdr:row>
      <xdr:rowOff>225489</xdr:rowOff>
    </xdr:from>
    <xdr:to>
      <xdr:col>5</xdr:col>
      <xdr:colOff>1656183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OBSERVACIONES:CUBIERTA SE ENTREGA CON SOBRE MEDIDA EN EL</a:t>
          </a:r>
          <a:r>
            <a:rPr lang="es-CL" sz="1200" b="1" baseline="0"/>
            <a:t> LARGO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3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>
        <v>11057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45509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158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160</v>
      </c>
      <c r="D15" s="294"/>
      <c r="E15" s="247"/>
      <c r="F15" s="247" t="s">
        <v>136</v>
      </c>
      <c r="G15" s="295" t="s">
        <v>137</v>
      </c>
      <c r="H15" s="248"/>
      <c r="K15" s="18">
        <f>H23/L13</f>
        <v>5041.9041843541545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157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107730.44379656625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18">
        <v>1</v>
      </c>
      <c r="C21" s="324" t="s">
        <v>161</v>
      </c>
      <c r="D21" s="320">
        <v>2.4</v>
      </c>
      <c r="E21" s="320">
        <v>0.63</v>
      </c>
      <c r="F21" s="319" t="s">
        <v>162</v>
      </c>
      <c r="G21" s="321">
        <v>166282</v>
      </c>
      <c r="H21" s="322">
        <f t="shared" ref="H21" si="1">G21*B21</f>
        <v>166282</v>
      </c>
      <c r="I21" s="265"/>
      <c r="J21" s="47"/>
      <c r="K21" s="47">
        <f t="shared" ref="K21" si="2">B21</f>
        <v>1</v>
      </c>
      <c r="L21" s="39">
        <f t="shared" ref="L21" si="3">D21+L$19</f>
        <v>2.4499999999999997</v>
      </c>
      <c r="M21" s="39">
        <f t="shared" ref="M21" si="4">E21+M$19</f>
        <v>0.63</v>
      </c>
      <c r="N21" s="261">
        <f t="shared" ref="N21" si="5">L21*M21</f>
        <v>1.5434999999999999</v>
      </c>
      <c r="O21" s="259">
        <f t="shared" ref="O21" si="6">N21*K21</f>
        <v>1.5434999999999999</v>
      </c>
      <c r="P21" s="252">
        <f t="shared" ref="P21" si="7">P$20*N21</f>
        <v>166281.94</v>
      </c>
      <c r="Q21" s="258">
        <f t="shared" ref="Q21" si="8">P21+Q$20</f>
        <v>169281.94</v>
      </c>
      <c r="R21" s="307">
        <f t="shared" ref="R21" si="9">K21*L21</f>
        <v>2.4499999999999997</v>
      </c>
      <c r="S21" s="14"/>
      <c r="T21" s="9"/>
      <c r="W21" s="4"/>
    </row>
    <row r="22" spans="1:24" ht="18" thickBot="1" x14ac:dyDescent="0.35">
      <c r="B22" s="285"/>
      <c r="C22" s="285"/>
      <c r="D22" s="286"/>
      <c r="E22" s="286"/>
      <c r="F22" s="285"/>
      <c r="G22" s="323"/>
      <c r="H22" s="323"/>
      <c r="I22" s="232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308" t="s">
        <v>30</v>
      </c>
      <c r="H23" s="309">
        <f>SUM(H21:H22)</f>
        <v>166282</v>
      </c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79"/>
      <c r="C24" s="282"/>
      <c r="D24" s="283"/>
      <c r="E24" s="283"/>
      <c r="F24" s="284"/>
      <c r="G24" s="306" t="s">
        <v>53</v>
      </c>
      <c r="H24" s="303">
        <f>H23*0.19</f>
        <v>31593.58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8" thickBot="1" x14ac:dyDescent="0.35">
      <c r="B25" s="275"/>
      <c r="C25" s="281"/>
      <c r="D25" s="272"/>
      <c r="E25" s="272"/>
      <c r="F25" s="273"/>
      <c r="G25" s="280" t="s">
        <v>6</v>
      </c>
      <c r="H25" s="304">
        <f>H23+H24</f>
        <v>197875.58000000002</v>
      </c>
      <c r="I25" s="265"/>
      <c r="J25" s="47"/>
      <c r="K25" s="47"/>
      <c r="L25" s="39">
        <f>SUM(L21:L21)*2</f>
        <v>4.8999999999999995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5"/>
      <c r="C26" s="271"/>
      <c r="D26" s="272"/>
      <c r="E26" s="272"/>
      <c r="F26" s="273"/>
      <c r="I26" s="265"/>
      <c r="J26" s="47"/>
      <c r="K26" s="47"/>
      <c r="L26" s="39"/>
      <c r="M26" s="12"/>
      <c r="N26" s="12"/>
      <c r="O26" s="253">
        <f>SUM(O21:O22)</f>
        <v>1.5434999999999999</v>
      </c>
      <c r="P26" s="14"/>
      <c r="Q26" s="12"/>
      <c r="R26" s="238"/>
      <c r="S26" s="14"/>
      <c r="T26" s="9"/>
      <c r="W26" s="4"/>
    </row>
    <row r="27" spans="1:24" ht="17.399999999999999" x14ac:dyDescent="0.35">
      <c r="B27" s="269"/>
      <c r="C27" s="230"/>
      <c r="D27" s="230"/>
      <c r="E27" s="232"/>
      <c r="F27" s="233"/>
      <c r="G27" s="230"/>
      <c r="H27" s="274"/>
      <c r="I27" s="265"/>
      <c r="J27" s="47"/>
      <c r="K27" s="47"/>
      <c r="L27" s="39"/>
      <c r="M27" s="12"/>
      <c r="N27" s="12"/>
      <c r="O27" s="253">
        <f>O26</f>
        <v>1.5434999999999999</v>
      </c>
      <c r="P27" s="14"/>
      <c r="Q27" s="12"/>
      <c r="R27" s="238">
        <f>SUM(R21:R26)</f>
        <v>2.4499999999999997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I28" s="265"/>
      <c r="J28" s="47"/>
      <c r="K28" s="47"/>
      <c r="L28" s="14"/>
      <c r="M28" s="12"/>
      <c r="N28" s="12"/>
      <c r="O28" s="39">
        <f>O27*0.2</f>
        <v>0.30869999999999997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312"/>
      <c r="K29" s="47"/>
      <c r="L29" s="14"/>
      <c r="M29" s="12"/>
      <c r="N29" s="12"/>
      <c r="O29" s="46">
        <f>O27+O28</f>
        <v>1.8521999999999998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312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A31" s="230"/>
      <c r="B31" s="24" t="s">
        <v>155</v>
      </c>
      <c r="C31" s="230"/>
      <c r="D31" s="230"/>
      <c r="E31" s="230"/>
      <c r="F31" s="230"/>
      <c r="G31" s="230"/>
      <c r="H31" s="230"/>
      <c r="I31" s="265"/>
      <c r="J31" s="47"/>
      <c r="K31" s="47"/>
      <c r="L31" s="39">
        <f>O29</f>
        <v>1.8521999999999998</v>
      </c>
      <c r="M31" s="12">
        <v>3500</v>
      </c>
      <c r="N31" s="12">
        <f t="shared" ref="N31:N36" si="10">L31*M31</f>
        <v>6482.7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4" t="s">
        <v>156</v>
      </c>
      <c r="G32" s="230"/>
      <c r="H32" s="230"/>
      <c r="I32" s="265"/>
      <c r="J32" s="47"/>
      <c r="K32" s="47"/>
      <c r="L32" s="249">
        <v>0.5</v>
      </c>
      <c r="M32" s="12">
        <v>25000</v>
      </c>
      <c r="N32" s="12">
        <f t="shared" si="10"/>
        <v>12500</v>
      </c>
      <c r="O32" s="39" t="s">
        <v>152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2"/>
      <c r="J33" s="47"/>
      <c r="K33" s="250"/>
      <c r="L33" s="14"/>
      <c r="M33" s="250">
        <v>23500</v>
      </c>
      <c r="N33" s="12">
        <f t="shared" si="10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I34" s="262"/>
      <c r="J34" s="311"/>
      <c r="K34" s="250"/>
      <c r="L34" s="14">
        <v>1</v>
      </c>
      <c r="M34" s="250">
        <v>56600</v>
      </c>
      <c r="N34" s="12">
        <f t="shared" si="10"/>
        <v>56600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I35" s="262"/>
      <c r="J35" s="311"/>
      <c r="K35" s="250"/>
      <c r="L35" s="249"/>
      <c r="M35" s="250">
        <v>800</v>
      </c>
      <c r="N35" s="12">
        <f t="shared" si="10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/>
      <c r="M36" s="12">
        <v>1500</v>
      </c>
      <c r="N36" s="12">
        <f t="shared" si="10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75582.7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58690</v>
      </c>
      <c r="K38" s="250"/>
      <c r="L38" s="254" t="s">
        <v>35</v>
      </c>
      <c r="M38" s="12"/>
      <c r="N38" s="255">
        <f>N37*2.2</f>
        <v>166281.94</v>
      </c>
      <c r="O38" s="14" t="s">
        <v>142</v>
      </c>
      <c r="P38" s="14"/>
      <c r="Q38" s="46">
        <f>O29/Q37</f>
        <v>0.49940681622088001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49319.327731092439</v>
      </c>
      <c r="K39" s="250"/>
      <c r="L39" s="14"/>
      <c r="M39" s="12"/>
      <c r="N39" s="12">
        <f>N38/O27</f>
        <v>107730.44379656625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0.40485245901639338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45509</v>
      </c>
    </row>
    <row r="6" spans="2:31" ht="16.2" thickBot="1" x14ac:dyDescent="0.35">
      <c r="B6" s="140" t="s">
        <v>2</v>
      </c>
      <c r="C6" s="139" t="str">
        <f>'2229'!C10</f>
        <v>ELIZABETH ARREDONDO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11057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-14289.049200120773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166282</v>
      </c>
      <c r="E11" s="132">
        <f>D11*0.19</f>
        <v>31593.58</v>
      </c>
      <c r="F11" s="131">
        <f>E11+D11</f>
        <v>197875.58000000002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91700.950799879225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48816.790787439619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73700.950799879225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117465.20921256038</v>
      </c>
      <c r="E13" s="221">
        <f>(D11/D12)-1</f>
        <v>2.4062460337475473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64700.950799879225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25700.950799879225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80547.704799275365</v>
      </c>
      <c r="F15" s="216">
        <f>E15-D12</f>
        <v>31730.914011835746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25700.950799879225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65700.950799879225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6482.7</v>
      </c>
      <c r="E20" s="121">
        <f>D20*0.19</f>
        <v>1231.713</v>
      </c>
      <c r="F20" s="120">
        <f>SUM(D20:E20)</f>
        <v>7714.4129999999996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18982.7</v>
      </c>
      <c r="E21" s="116">
        <f>SUM(E18:E20)</f>
        <v>3606.7129999999997</v>
      </c>
      <c r="F21" s="115">
        <f>SUM(F18:F20)</f>
        <v>22589.413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27986.867000000002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166282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18982.7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117465.20921256038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117465.20921256038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2024-07-02T20:57:46Z</cp:lastPrinted>
  <dcterms:created xsi:type="dcterms:W3CDTF">2013-03-18T13:35:42Z</dcterms:created>
  <dcterms:modified xsi:type="dcterms:W3CDTF">2024-08-05T19:48:19Z</dcterms:modified>
</cp:coreProperties>
</file>