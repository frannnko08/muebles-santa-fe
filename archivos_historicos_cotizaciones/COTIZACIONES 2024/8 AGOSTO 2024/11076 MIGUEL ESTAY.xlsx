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AB0D5C6A-A9B4-4541-8507-22BA09E64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44" i="1"/>
  <c r="J41" i="1" l="1"/>
  <c r="L21" i="1"/>
  <c r="L26" i="1" s="1"/>
  <c r="M21" i="1"/>
  <c r="S21" i="1" l="1"/>
  <c r="S26" i="1" s="1"/>
  <c r="S27" i="1" s="1"/>
  <c r="S28" i="1" s="1"/>
  <c r="R21" i="1"/>
  <c r="R28" i="1" s="1"/>
  <c r="N21" i="1"/>
  <c r="O21" i="1" s="1"/>
  <c r="O27" i="1" s="1"/>
  <c r="U34" i="1"/>
  <c r="U35" i="1" s="1"/>
  <c r="N33" i="1" l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N38" i="1" s="1"/>
  <c r="N39" i="1" s="1"/>
  <c r="Q39" i="1"/>
  <c r="D20" i="3" l="1"/>
  <c r="E20" i="3" s="1"/>
  <c r="E21" i="3" s="1"/>
  <c r="N40" i="1" l="1"/>
  <c r="D21" i="3"/>
  <c r="M43" i="3" s="1"/>
  <c r="D12" i="3" s="1"/>
  <c r="F20" i="3"/>
  <c r="F21" i="3" s="1"/>
  <c r="N41" i="1" l="1"/>
  <c r="P20" i="1"/>
  <c r="E15" i="3"/>
  <c r="P21" i="1" l="1"/>
  <c r="F15" i="3"/>
  <c r="Q21" i="1" l="1"/>
  <c r="H21" i="1" l="1"/>
  <c r="H26" i="1" l="1"/>
  <c r="H28" i="1" s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<sst xmlns="http://schemas.openxmlformats.org/spreadsheetml/2006/main" count="231" uniqueCount="175">
  <si>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</si>
  <si>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</si>
  <si>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</si>
  <si>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</si>
  <si>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</si>
  <si>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</si>
  <si>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</si>
  <si>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</si>
  <si>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</si>
  <si>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</si>
  <si>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</si>
  <si>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</si>
  <si>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</si>
  <si>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</si>
  <si>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</si>
  <si>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</si>
  <si>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</si>
  <si>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</si>
  <si>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</si>
  <si>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</si>
  <si>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</si>
  <si>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</si>
  <si>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</si>
  <si>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</si>
  <si>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</si>
  <si>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</si>
  <si>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</si>
  <si>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</si>
  <si>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</si>
  <si>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</si>
  <si>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</si>
  <si>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</si>
  <si>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</si>
  <si>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</si>
  <si>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</si>
  <si>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</si>
  <si>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</si>
  <si>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</si>
  <si>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</si>
  <si>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</si>
  <si>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</si>
  <si>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</si>
  <si>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</si>
  <si>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</si>
  <si>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</si>
  <si>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</si>
  <si>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</si>
  <si>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</si>
  <si>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</si>
  <si>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</si>
  <si>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</si>
  <si>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</si>
  <si>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</si>
  <si>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</si>
  <si>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</si>
  <si>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</si>
  <si>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</si>
  <si>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</si>
  <si>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</si>
  <si>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</si>
  <si>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</si>
  <si>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</si>
  <si>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</si>
  <si>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</si>
  <si>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</si>
  <si>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</si>
  <si>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</si>
  <si>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</si>
  <si>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</si>
  <si>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</si>
  <si>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</si>
  <si>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</si>
  <si>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</si>
  <si>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</si>
  <si>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</si>
  <si>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</si>
  <si>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</si>
  <si>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</si>
  <si>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</si>
  <si>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</si>
  <si>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</si>
  <si>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</si>
  <si>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</si>
  <si>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</si>
  <si>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</si>
  <si>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</si>
  <si>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</si>
  <si>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</si>
  <si>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</si>
  <si>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</si>
  <si>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</si>
  <si>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</si>
  <si>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</si>
  <si>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</si>
  <si>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</si>
  <si>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</si>
  <si>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</si>
  <si>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</si>
  <si>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</si>
  <si>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</si>
  <si>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</si>
  <si>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</si>
  <si>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</si>
  <si>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</si>
  <si>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</si>
  <si>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</si>
  <si>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</si>
  <si>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</si>
  <si>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</si>
  <si>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</si>
  <si>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</si>
  <si>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</si>
  <si>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</si>
  <si>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</si>
  <si>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</si>
  <si>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</si>
  <si>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</si>
  <si>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</si>
  <si>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</si>
  <si>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</si>
  <si>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</si>
  <si>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</si>
  <si>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</si>
  <si>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</si>
  <si>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</si>
  <si>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</si>
  <si>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</si>
  <si>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</si>
  <si>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</si>
  <si>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</si>
  <si>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</si>
  <si>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</si>
  <si>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</si>
  <si>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</si>
  <si>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</si>
  <si>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</si>
  <si>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</si>
  <si>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</si>
  <si>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</si>
  <si>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</si>
  <si>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</si>
  <si>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</si>
  <si>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</si>
  <si>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</si>
  <si>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</si>
  <si>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</si>
  <si>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</si>
  <si>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</si>
  <si>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</si>
  <si>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</si>
  <si>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</si>
  <si>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</si>
  <si>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</si>
  <si>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</si>
  <si>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</si>
  <si>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</si>
  <si>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</si>
  <si>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</si>
  <si>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</si>
  <si>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</si>
  <si>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</si>
  <si>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</si>
  <si>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</si>
  <si>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</si>
  <si>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</si>
  <si>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</si>
  <si>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</si>
  <si>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</si>
  <si>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7  DIAS HABILES</t>
  </si>
  <si>
    <t>+569 84514974</t>
  </si>
  <si>
    <t>BLANCO 2114 MT</t>
  </si>
  <si>
    <t>CUB S/R R8</t>
  </si>
  <si>
    <t>FALDON 8CMS</t>
  </si>
  <si>
    <t xml:space="preserve">MIGUEL ESTAY </t>
  </si>
  <si>
    <t>N° 11076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</si>
</sst>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25</xdr:row>
      <xdr:rowOff>9525</xdr:rowOff>
    </xdr:from>
    <xdr:to>
      <xdr:col>5</xdr:col>
      <xdr:colOff>1594096</xdr:colOff>
      <xdr:row>28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baseline="0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4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36.77734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174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173</v>
      </c>
      <c r="D10" s="243"/>
      <c r="E10" s="243"/>
      <c r="F10" s="244" t="s">
        <v>0</v>
      </c>
      <c r="G10" s="277">
        <v>45530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169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>
        <v>0.08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72072.550860719872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171</v>
      </c>
      <c r="D21" s="326">
        <v>1.75</v>
      </c>
      <c r="E21" s="326">
        <v>0.63</v>
      </c>
      <c r="F21" s="325" t="s">
        <v>170</v>
      </c>
      <c r="G21" s="327">
        <v>90000</v>
      </c>
      <c r="H21" s="327">
        <f>G21*B21</f>
        <v>90000</v>
      </c>
      <c r="I21" s="265"/>
      <c r="J21" s="47"/>
      <c r="K21" s="47">
        <f>B21</f>
        <v>1</v>
      </c>
      <c r="L21" s="39">
        <f>D21+L$19</f>
        <v>1.8</v>
      </c>
      <c r="M21" s="39">
        <f>E21+M$19</f>
        <v>0.71</v>
      </c>
      <c r="N21" s="261">
        <f>L21*M21</f>
        <v>1.278</v>
      </c>
      <c r="O21" s="259">
        <f>N21*K21</f>
        <v>1.278</v>
      </c>
      <c r="P21" s="252">
        <f>P$20*N21</f>
        <v>92108.72</v>
      </c>
      <c r="Q21" s="328">
        <f>P21+Q$20</f>
        <v>95108.72</v>
      </c>
      <c r="R21" s="298">
        <f>L21*K21*2</f>
        <v>3.6</v>
      </c>
      <c r="S21" s="46">
        <f>M21*2*K21</f>
        <v>1.42</v>
      </c>
      <c r="T21" s="9"/>
      <c r="W21" s="4"/>
    </row>
    <row r="22" spans="2:24" ht="17.399999999999999" x14ac:dyDescent="0.3">
      <c r="B22" s="286"/>
      <c r="C22" s="286" t="s">
        <v>172</v>
      </c>
      <c r="D22" s="287"/>
      <c r="E22" s="287"/>
      <c r="F22" s="286"/>
      <c r="G22" s="330"/>
      <c r="H22" s="330"/>
      <c r="I22" s="265"/>
      <c r="J22" s="47"/>
      <c r="K22" s="47"/>
      <c r="L22" s="39"/>
      <c r="M22" s="39"/>
      <c r="N22" s="261"/>
      <c r="O22" s="259"/>
      <c r="P22" s="252"/>
      <c r="Q22" s="328"/>
      <c r="R22" s="298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0"/>
      <c r="H23" s="330"/>
      <c r="I23" s="265"/>
      <c r="J23" s="47"/>
      <c r="K23" s="47"/>
      <c r="L23" s="39"/>
      <c r="M23" s="39"/>
      <c r="N23" s="261"/>
      <c r="O23" s="259"/>
      <c r="P23" s="252"/>
      <c r="Q23" s="328"/>
      <c r="R23" s="298"/>
      <c r="S23" s="46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30"/>
      <c r="H24" s="330"/>
      <c r="I24" s="265"/>
      <c r="J24" s="47"/>
      <c r="K24" s="47"/>
      <c r="L24" s="39"/>
      <c r="M24" s="39"/>
      <c r="N24" s="261"/>
      <c r="O24" s="259"/>
      <c r="P24" s="252"/>
      <c r="Q24" s="328"/>
      <c r="R24" s="298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29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299" t="s">
        <v>29</v>
      </c>
      <c r="H26" s="300">
        <f>SUM(H21:H25)</f>
        <v>90000</v>
      </c>
      <c r="I26" s="265"/>
      <c r="J26" s="47"/>
      <c r="K26" s="47"/>
      <c r="L26" s="39">
        <f>SUM(L21:L25)</f>
        <v>1.8</v>
      </c>
      <c r="M26" s="39"/>
      <c r="N26" s="261"/>
      <c r="O26" s="259"/>
      <c r="P26" s="252"/>
      <c r="Q26" s="258"/>
      <c r="R26" s="298"/>
      <c r="S26" s="46">
        <f>SUM(S21:S25)</f>
        <v>1.42</v>
      </c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7" t="s">
        <v>52</v>
      </c>
      <c r="H27" s="295"/>
      <c r="I27" s="265"/>
      <c r="J27" s="47"/>
      <c r="K27" s="47"/>
      <c r="L27" s="39"/>
      <c r="M27" s="12"/>
      <c r="N27" s="12"/>
      <c r="O27" s="253">
        <f>SUM(O21:O21)</f>
        <v>1.278</v>
      </c>
      <c r="P27" s="14"/>
      <c r="Q27" s="12"/>
      <c r="R27" s="239"/>
      <c r="S27" s="46">
        <f>S26*20%</f>
        <v>0.28399999999999997</v>
      </c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6">
        <f>H26+H27</f>
        <v>90000</v>
      </c>
      <c r="I28" s="265"/>
      <c r="J28" s="47"/>
      <c r="K28" s="47"/>
      <c r="L28" s="39"/>
      <c r="M28" s="12"/>
      <c r="N28" s="12"/>
      <c r="O28" s="253">
        <f>O27</f>
        <v>1.278</v>
      </c>
      <c r="P28" s="14"/>
      <c r="Q28" s="12"/>
      <c r="R28" s="239">
        <f>SUM(R21:R27)</f>
        <v>3.6</v>
      </c>
      <c r="S28" s="46">
        <f>S26+S27</f>
        <v>1.704</v>
      </c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0.25559999999999999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1.5336000000000001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05" t="s">
        <v>22</v>
      </c>
      <c r="U31" s="302" t="s">
        <v>153</v>
      </c>
      <c r="V31" s="306">
        <v>44971</v>
      </c>
      <c r="W31" s="30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1.5336000000000001</v>
      </c>
      <c r="M32" s="12">
        <v>3500</v>
      </c>
      <c r="N32" s="12">
        <f t="shared" ref="N32:N37" si="1">L32*M32</f>
        <v>5367.6</v>
      </c>
      <c r="O32" s="14" t="s">
        <v>22</v>
      </c>
      <c r="P32" s="14"/>
      <c r="Q32" s="14"/>
      <c r="R32" s="241"/>
      <c r="S32" s="14"/>
      <c r="T32" s="305" t="s">
        <v>154</v>
      </c>
      <c r="U32" s="302">
        <v>3625</v>
      </c>
      <c r="V32" s="59" t="s">
        <v>155</v>
      </c>
      <c r="W32" s="30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0.5</v>
      </c>
      <c r="M33" s="12">
        <v>25000</v>
      </c>
      <c r="N33" s="12">
        <f t="shared" si="1"/>
        <v>12500</v>
      </c>
      <c r="O33" s="39" t="s">
        <v>32</v>
      </c>
      <c r="P33" s="42"/>
      <c r="Q33" s="14"/>
      <c r="R33" s="240"/>
      <c r="S33" s="14"/>
      <c r="T33" s="305"/>
      <c r="U33" s="59">
        <v>906.25</v>
      </c>
      <c r="V33" s="59" t="s">
        <v>156</v>
      </c>
      <c r="W33" s="307"/>
    </row>
    <row r="34" spans="2:23" s="230" customFormat="1" ht="17.399999999999999" x14ac:dyDescent="0.35">
      <c r="I34" s="262"/>
      <c r="J34" s="232"/>
      <c r="K34" s="250"/>
      <c r="L34" s="14"/>
      <c r="M34" s="250">
        <v>25000</v>
      </c>
      <c r="N34" s="12">
        <f t="shared" si="1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7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>
        <v>1</v>
      </c>
      <c r="M35" s="250">
        <v>24000</v>
      </c>
      <c r="N35" s="12">
        <f t="shared" si="1"/>
        <v>24000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07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4"/>
      <c r="K37" s="250"/>
      <c r="L37" s="266"/>
      <c r="M37" s="12">
        <v>1500</v>
      </c>
      <c r="N37" s="12">
        <f t="shared" si="1"/>
        <v>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41867.599999999999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92108.72</v>
      </c>
      <c r="O39" s="14" t="s">
        <v>141</v>
      </c>
      <c r="P39" s="14"/>
      <c r="Q39" s="40">
        <f>O30/Q38</f>
        <v>0.41350301984469373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57660</v>
      </c>
      <c r="K40" s="250"/>
      <c r="L40" s="14"/>
      <c r="M40" s="12"/>
      <c r="N40" s="12">
        <f>N39/O28</f>
        <v>72072.550860719872</v>
      </c>
      <c r="O40" s="45" t="s">
        <v>25</v>
      </c>
      <c r="P40" s="14"/>
      <c r="Q40" s="14"/>
      <c r="R40"/>
      <c r="S40" s="238"/>
      <c r="T40" s="59" t="s">
        <v>159</v>
      </c>
      <c r="U40" s="302">
        <v>43650</v>
      </c>
    </row>
    <row r="41" spans="2:23" s="230" customFormat="1" ht="17.399999999999999" x14ac:dyDescent="0.35">
      <c r="G41"/>
      <c r="H41" s="230" t="s">
        <v>165</v>
      </c>
      <c r="J41" s="230">
        <f>J40/1.19</f>
        <v>48453.781512605041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161</v>
      </c>
      <c r="U41" s="303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0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230">
        <v>110000</v>
      </c>
      <c r="K43" s="12"/>
      <c r="S43" s="238"/>
      <c r="T43" s="59" t="s">
        <v>157</v>
      </c>
      <c r="U43" s="59">
        <v>474.45</v>
      </c>
    </row>
    <row r="44" spans="2:23" ht="14.4" customHeight="1" x14ac:dyDescent="0.3">
      <c r="J44">
        <f>J43/9</f>
        <v>12222.222222222223</v>
      </c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45530</v>
      </c>
    </row>
    <row r="6" spans="2:31" ht="16.2" thickBot="1" x14ac:dyDescent="0.35">
      <c r="B6" s="140" t="s">
        <v>2</v>
      </c>
      <c r="C6" s="139" t="str">
        <f>'2229'!C10</f>
        <v xml:space="preserve">MIGUEL ESTAY 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11076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-1882.0350334541072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90000</v>
      </c>
      <c r="E11" s="132">
        <f>D11*0.19</f>
        <v>17100</v>
      </c>
      <c r="F11" s="131">
        <f>E11+D11</f>
        <v>107100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104107.9649665459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47701.690787439613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86107.9649665459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42298.309212560387</v>
      </c>
      <c r="E13" s="221">
        <f>(D11/D12)-1</f>
        <v>0.88672557543176245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77107.9649665459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38107.964966545893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78707.789799275357</v>
      </c>
      <c r="F15" s="216">
        <f>E15-D12</f>
        <v>31006.099011835744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38107.964966545893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78107.9649665459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5367.6</v>
      </c>
      <c r="E20" s="121">
        <f>D20*0.19</f>
        <v>1019.8440000000001</v>
      </c>
      <c r="F20" s="120">
        <f>SUM(D20:E20)</f>
        <v>6387.4440000000004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17867.599999999999</v>
      </c>
      <c r="E21" s="116">
        <f>SUM(E18:E20)</f>
        <v>3394.8440000000001</v>
      </c>
      <c r="F21" s="115">
        <f>SUM(F18:F20)</f>
        <v>21262.444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13705.155999999999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90000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17867.599999999999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42298.309212560387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42298.309212560387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2024-06-13T20:03:18Z</cp:lastPrinted>
  <dcterms:created xsi:type="dcterms:W3CDTF">2013-03-18T13:35:42Z</dcterms:created>
  <dcterms:modified xsi:type="dcterms:W3CDTF">2024-08-26T14:54:34Z</dcterms:modified>
</cp:coreProperties>
</file>