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953751A2-F28C-480C-9751-D34F2138EB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K22" i="1"/>
  <c r="L22" i="1"/>
  <c r="M22" i="1"/>
  <c r="N22" i="1" s="1"/>
  <c r="O22" i="1" s="1"/>
  <c r="R22" i="1"/>
  <c r="H25" i="1"/>
  <c r="K23" i="1"/>
  <c r="L23" i="1"/>
  <c r="R23" i="1" s="1"/>
  <c r="M23" i="1"/>
  <c r="H24" i="1"/>
  <c r="H23" i="1"/>
  <c r="K21" i="1"/>
  <c r="K10" i="1"/>
  <c r="N23" i="1" l="1"/>
  <c r="O23" i="1" s="1"/>
  <c r="J42" i="1"/>
  <c r="L21" i="1" l="1"/>
  <c r="L28" i="1" s="1"/>
  <c r="L29" i="1" s="1"/>
  <c r="M21" i="1"/>
  <c r="N21" i="1" l="1"/>
  <c r="O21" i="1" s="1"/>
  <c r="O29" i="1" s="1"/>
  <c r="R21" i="1"/>
  <c r="N35" i="1"/>
  <c r="O30" i="1" l="1"/>
  <c r="S47" i="1"/>
  <c r="O31" i="1" l="1"/>
  <c r="M20" i="1"/>
  <c r="K20" i="1"/>
  <c r="N36" i="1" l="1"/>
  <c r="Q40" i="1"/>
  <c r="Q41" i="1" s="1"/>
  <c r="N37" i="1" l="1"/>
  <c r="S40" i="1" l="1"/>
  <c r="S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O32" i="1" l="1"/>
  <c r="L34" i="1" s="1"/>
  <c r="N34" i="1" l="1"/>
  <c r="S48" i="1"/>
  <c r="N40" i="1" l="1"/>
  <c r="N41" i="1" s="1"/>
  <c r="D20" i="3"/>
  <c r="E20" i="3" s="1"/>
  <c r="E21" i="3" s="1"/>
  <c r="N43" i="1" l="1"/>
  <c r="D21" i="3"/>
  <c r="M43" i="3" s="1"/>
  <c r="D12" i="3" s="1"/>
  <c r="F20" i="3"/>
  <c r="F21" i="3" s="1"/>
  <c r="N42" i="1" l="1"/>
  <c r="P20" i="1" s="1"/>
  <c r="E15" i="3"/>
  <c r="P23" i="1" l="1"/>
  <c r="Q23" i="1" s="1"/>
  <c r="P22" i="1"/>
  <c r="Q22" i="1" s="1"/>
  <c r="P21" i="1"/>
  <c r="F15" i="3"/>
  <c r="Q21" i="1" l="1"/>
  <c r="H21" i="1" s="1"/>
  <c r="H28" i="1" s="1"/>
  <c r="R30" i="1"/>
  <c r="H29" i="1" l="1"/>
  <c r="H30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<sst xmlns="http://schemas.openxmlformats.org/spreadsheetml/2006/main" count="225" uniqueCount="166">
  <si>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</si>
  <si>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</si>
  <si>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</si>
  <si>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</si>
  <si>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</si>
  <si>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</si>
  <si>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</si>
  <si>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</si>
  <si>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</si>
  <si>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</si>
  <si>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</si>
  <si>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</si>
  <si>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</si>
  <si>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</si>
  <si>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</si>
  <si>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</si>
  <si>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</si>
  <si>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</si>
  <si>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</si>
  <si>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</si>
  <si>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</si>
  <si>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</si>
  <si>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</si>
  <si>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</si>
  <si>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</si>
  <si>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</si>
  <si>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</si>
  <si>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</si>
  <si>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</si>
  <si>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</si>
  <si>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</si>
  <si>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</si>
  <si>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</si>
  <si>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</si>
  <si>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</si>
  <si>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</si>
  <si>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</si>
  <si>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</si>
  <si>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</si>
  <si>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</si>
  <si>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</si>
  <si>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</si>
  <si>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</si>
  <si>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</si>
  <si>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</si>
  <si>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</si>
  <si>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</si>
  <si>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</si>
  <si>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</si>
  <si>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</si>
  <si>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</si>
  <si>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</si>
  <si>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</si>
  <si>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</si>
  <si>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</si>
  <si>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</si>
  <si>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</si>
  <si>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</si>
  <si>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</si>
  <si>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</si>
  <si>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</si>
  <si>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</si>
  <si>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</si>
  <si>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</si>
  <si>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</si>
  <si>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</si>
  <si>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</si>
  <si>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</si>
  <si>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</si>
  <si>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</si>
  <si>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</si>
  <si>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</si>
  <si>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</si>
  <si>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</si>
  <si>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</si>
  <si>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</si>
  <si>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</si>
  <si>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</si>
  <si>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</si>
  <si>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</si>
  <si>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</si>
  <si>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</si>
  <si>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</si>
  <si>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</si>
  <si>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</si>
  <si>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</si>
  <si>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</si>
  <si>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</si>
  <si>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</si>
  <si>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</si>
  <si>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</si>
  <si>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</si>
  <si>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</si>
  <si>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</si>
  <si>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</si>
  <si>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</si>
  <si>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</si>
  <si>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</si>
  <si>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</si>
  <si>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</si>
  <si>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</si>
  <si>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</si>
  <si>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</si>
  <si>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</si>
  <si>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</si>
  <si>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</si>
  <si>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</si>
  <si>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</si>
  <si>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</si>
  <si>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</si>
  <si>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</si>
  <si>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</si>
  <si>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</si>
  <si>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</si>
  <si>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</si>
  <si>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</si>
  <si>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</si>
  <si>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</si>
  <si>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</si>
  <si>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</si>
  <si>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</si>
  <si>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</si>
  <si>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</si>
  <si>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</si>
  <si>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</si>
  <si>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</si>
  <si>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</si>
  <si>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</si>
  <si>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</si>
  <si>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</si>
  <si>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</si>
  <si>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</si>
  <si>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</si>
  <si>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</si>
  <si>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</si>
  <si>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</si>
  <si>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</si>
  <si>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</si>
  <si>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</si>
  <si>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</si>
  <si>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</si>
  <si>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</si>
  <si>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</si>
  <si>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</si>
  <si>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</si>
  <si>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</si>
  <si>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</si>
  <si>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</si>
  <si>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</si>
  <si>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</si>
  <si>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</si>
  <si>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</si>
  <si>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</si>
  <si>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ABONO 50%, SALDO C/E</t>
  </si>
  <si>
    <t>AGLOMERADO 24MM</t>
  </si>
  <si>
    <t>LAMINA 153 X 244</t>
  </si>
  <si>
    <t>LAMINA 122 X 305</t>
  </si>
  <si>
    <t>N° 11061</t>
  </si>
  <si>
    <t>CONSTRUCTORA SEVIAL</t>
  </si>
  <si>
    <t>SHEILA</t>
  </si>
  <si>
    <t>+569 9893 7145</t>
  </si>
  <si>
    <t>2 DIAS HABILES</t>
  </si>
  <si>
    <t>SI</t>
  </si>
  <si>
    <t>ROJO OPACO</t>
  </si>
  <si>
    <t>DESPACHO MAS INSTALACION</t>
  </si>
  <si>
    <t>RECTIFICACION DE MEDIDAS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</si>
</sst>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32</xdr:row>
      <xdr:rowOff>28575</xdr:rowOff>
    </xdr:from>
    <xdr:to>
      <xdr:col>8</xdr:col>
      <xdr:colOff>100890</xdr:colOff>
      <xdr:row>35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26</xdr:row>
      <xdr:rowOff>169545</xdr:rowOff>
    </xdr:from>
    <xdr:to>
      <xdr:col>5</xdr:col>
      <xdr:colOff>1764030</xdr:colOff>
      <xdr:row>30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SON PARA INSTALACION</a:t>
          </a:r>
        </a:p>
        <a:p>
          <a:pPr algn="l"/>
          <a:r>
            <a:rPr lang="es-CL" sz="1200" b="1"/>
            <a:t>SUSTRATO:</a:t>
          </a:r>
          <a:r>
            <a:rPr lang="es-CL" sz="1200" b="1" baseline="0"/>
            <a:t>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6" zoomScale="98" zoomScaleNormal="98" workbookViewId="0">
      <selection activeCell="A24" sqref="A24"/>
    </sheetView>
  </sheetViews>
  <sheetFormatPr baseColWidth="10" defaultRowHeight="14.4" x14ac:dyDescent="0.3"/>
  <cols>
    <col min="1" max="1" width="6" customWidth="1"/>
    <col min="2" max="2" width="10.5546875" customWidth="1"/>
    <col min="3" max="3" width="42.4414062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141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138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142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19" t="s">
        <v>157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158</v>
      </c>
      <c r="D10" s="243"/>
      <c r="E10" s="243"/>
      <c r="F10" s="244" t="s">
        <v>0</v>
      </c>
      <c r="G10" s="277">
        <v>45513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161</v>
      </c>
      <c r="H11" s="290"/>
      <c r="P11" s="19"/>
      <c r="Q11" s="25" t="s">
        <v>19</v>
      </c>
      <c r="R11" s="19"/>
    </row>
    <row r="12" spans="2:23" ht="16.8" x14ac:dyDescent="0.4">
      <c r="B12" s="246" t="s">
        <v>144</v>
      </c>
      <c r="C12" s="311"/>
      <c r="D12" s="247"/>
      <c r="E12" s="247"/>
      <c r="F12" s="247" t="s">
        <v>128</v>
      </c>
      <c r="G12" s="278" t="s">
        <v>162</v>
      </c>
      <c r="H12" s="248"/>
      <c r="P12" s="19"/>
      <c r="Q12" s="25"/>
      <c r="R12" s="19"/>
    </row>
    <row r="13" spans="2:23" x14ac:dyDescent="0.3">
      <c r="B13" s="246" t="s">
        <v>145</v>
      </c>
      <c r="C13" t="s">
        <v>159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139</v>
      </c>
      <c r="C14" s="306"/>
      <c r="F14" s="29" t="s">
        <v>136</v>
      </c>
      <c r="G14" s="291" t="s">
        <v>162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2" t="s">
        <v>160</v>
      </c>
      <c r="D15" s="295"/>
      <c r="E15" s="247"/>
      <c r="F15" s="247" t="s">
        <v>135</v>
      </c>
      <c r="G15" s="296" t="s">
        <v>162</v>
      </c>
      <c r="H15" s="248"/>
    </row>
    <row r="16" spans="2:23" ht="16.8" x14ac:dyDescent="0.4">
      <c r="B16" s="292" t="s">
        <v>3</v>
      </c>
      <c r="C16" s="311"/>
      <c r="F16" s="293" t="s">
        <v>130</v>
      </c>
      <c r="G16" s="294" t="s">
        <v>153</v>
      </c>
      <c r="H16" s="290"/>
    </row>
    <row r="17" spans="2:24" ht="15" thickBot="1" x14ac:dyDescent="0.35">
      <c r="B17" s="297" t="s">
        <v>13</v>
      </c>
      <c r="C17" s="298" t="s">
        <v>151</v>
      </c>
      <c r="D17" s="299"/>
      <c r="E17" s="300"/>
      <c r="F17" s="329" t="s">
        <v>152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146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0.02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137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15" t="s">
        <v>1</v>
      </c>
      <c r="D20" s="323" t="s">
        <v>10</v>
      </c>
      <c r="E20" s="323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N42</f>
        <v>72467.292255511595</v>
      </c>
      <c r="Q20" s="258">
        <v>10000</v>
      </c>
      <c r="R20" s="38"/>
      <c r="S20" s="14" t="s">
        <v>129</v>
      </c>
      <c r="T20" s="9"/>
      <c r="W20" s="4"/>
    </row>
    <row r="21" spans="2:24" ht="17.399999999999999" x14ac:dyDescent="0.3">
      <c r="B21" s="321">
        <v>1</v>
      </c>
      <c r="C21" s="312" t="s">
        <v>36</v>
      </c>
      <c r="D21" s="324">
        <v>3.27</v>
      </c>
      <c r="E21" s="324">
        <v>0.5</v>
      </c>
      <c r="F21" s="312" t="s">
        <v>163</v>
      </c>
      <c r="G21" s="313">
        <v>129209</v>
      </c>
      <c r="H21" s="314">
        <f t="shared" ref="H21:H22" si="1">G21*B21</f>
        <v>129209</v>
      </c>
      <c r="I21" s="265"/>
      <c r="J21" s="47"/>
      <c r="K21" s="326">
        <f>B21</f>
        <v>1</v>
      </c>
      <c r="L21" s="327">
        <f t="shared" ref="L21:M21" si="2">D21+L$19</f>
        <v>3.29</v>
      </c>
      <c r="M21" s="327">
        <f t="shared" si="2"/>
        <v>0.5</v>
      </c>
      <c r="N21" s="261">
        <f>L21*M21</f>
        <v>1.645</v>
      </c>
      <c r="O21" s="259">
        <f>N21*K21</f>
        <v>1.645</v>
      </c>
      <c r="P21" s="252">
        <f>P$20*N21</f>
        <v>119208.69576031658</v>
      </c>
      <c r="Q21" s="258">
        <f>P21+Q$20</f>
        <v>129208.69576031658</v>
      </c>
      <c r="R21" s="308">
        <f>K21*L21</f>
        <v>3.29</v>
      </c>
      <c r="S21" s="14"/>
      <c r="T21" s="9"/>
      <c r="W21" s="4"/>
    </row>
    <row r="22" spans="2:24" ht="17.399999999999999" x14ac:dyDescent="0.3">
      <c r="B22" s="321">
        <v>1</v>
      </c>
      <c r="C22" s="312" t="s">
        <v>36</v>
      </c>
      <c r="D22" s="324">
        <v>2.71</v>
      </c>
      <c r="E22" s="324">
        <v>0.5</v>
      </c>
      <c r="F22" s="312" t="s">
        <v>163</v>
      </c>
      <c r="G22" s="313">
        <v>108918</v>
      </c>
      <c r="H22" s="314">
        <f t="shared" si="1"/>
        <v>108918</v>
      </c>
      <c r="I22" s="265"/>
      <c r="J22" s="47"/>
      <c r="K22" s="326">
        <f>B22</f>
        <v>1</v>
      </c>
      <c r="L22" s="327">
        <f t="shared" ref="L22" si="3">D22+L$19</f>
        <v>2.73</v>
      </c>
      <c r="M22" s="327">
        <f t="shared" ref="M22" si="4">E22+M$19</f>
        <v>0.5</v>
      </c>
      <c r="N22" s="261">
        <f>L22*M22</f>
        <v>1.365</v>
      </c>
      <c r="O22" s="259">
        <f>N22*K22</f>
        <v>1.365</v>
      </c>
      <c r="P22" s="252">
        <f>P$20*N22</f>
        <v>98917.853928773329</v>
      </c>
      <c r="Q22" s="258">
        <f>P22+Q$20</f>
        <v>108917.85392877333</v>
      </c>
      <c r="R22" s="308">
        <f>K22*L22</f>
        <v>2.73</v>
      </c>
      <c r="S22" s="14"/>
      <c r="T22" s="9"/>
      <c r="W22" s="4"/>
    </row>
    <row r="23" spans="2:24" ht="17.399999999999999" x14ac:dyDescent="0.3">
      <c r="B23" s="321">
        <v>1</v>
      </c>
      <c r="C23" s="312" t="s">
        <v>36</v>
      </c>
      <c r="D23" s="324">
        <v>2.8050000000000002</v>
      </c>
      <c r="E23" s="324">
        <v>0.5</v>
      </c>
      <c r="F23" s="312" t="s">
        <v>163</v>
      </c>
      <c r="G23" s="313">
        <v>112360</v>
      </c>
      <c r="H23" s="314">
        <f t="shared" ref="H23" si="5">G23*B23</f>
        <v>112360</v>
      </c>
      <c r="I23" s="265"/>
      <c r="J23" s="47"/>
      <c r="K23" s="326">
        <f>B23</f>
        <v>1</v>
      </c>
      <c r="L23" s="327">
        <f t="shared" ref="L23" si="6">D23+L$19</f>
        <v>2.8250000000000002</v>
      </c>
      <c r="M23" s="327">
        <f t="shared" ref="M23" si="7">E23+M$19</f>
        <v>0.5</v>
      </c>
      <c r="N23" s="261">
        <f>L23*M23</f>
        <v>1.4125000000000001</v>
      </c>
      <c r="O23" s="259">
        <f>N23*K23</f>
        <v>1.4125000000000001</v>
      </c>
      <c r="P23" s="252">
        <f>P$20*N23</f>
        <v>102360.05031091014</v>
      </c>
      <c r="Q23" s="258">
        <f>P23+Q$20</f>
        <v>112360.05031091014</v>
      </c>
      <c r="R23" s="308">
        <f>K23*L23</f>
        <v>2.8250000000000002</v>
      </c>
      <c r="S23" s="14"/>
      <c r="T23" s="9"/>
      <c r="W23" s="4"/>
    </row>
    <row r="24" spans="2:24" ht="17.399999999999999" x14ac:dyDescent="0.3">
      <c r="B24" s="321">
        <v>1</v>
      </c>
      <c r="C24" s="312" t="s">
        <v>164</v>
      </c>
      <c r="D24" s="324"/>
      <c r="E24" s="324"/>
      <c r="F24" s="312"/>
      <c r="G24" s="313">
        <v>350000</v>
      </c>
      <c r="H24" s="314">
        <f t="shared" ref="H24:H25" si="8">G24*B24</f>
        <v>350000</v>
      </c>
      <c r="I24" s="265"/>
      <c r="J24" s="47"/>
      <c r="K24" s="326"/>
      <c r="L24" s="327"/>
      <c r="M24" s="327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321">
        <v>1</v>
      </c>
      <c r="C25" s="321" t="s">
        <v>165</v>
      </c>
      <c r="D25" s="324"/>
      <c r="E25" s="324"/>
      <c r="F25" s="321"/>
      <c r="G25" s="328">
        <v>35000</v>
      </c>
      <c r="H25" s="328">
        <f t="shared" si="8"/>
        <v>35000</v>
      </c>
      <c r="I25" s="265"/>
      <c r="J25" s="47"/>
      <c r="K25" s="326"/>
      <c r="L25" s="327"/>
      <c r="M25" s="327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25"/>
      <c r="H26" s="325"/>
      <c r="I26" s="265"/>
      <c r="J26" s="47"/>
      <c r="K26" s="47"/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2"/>
      <c r="I27" s="232"/>
      <c r="J27" s="47"/>
      <c r="K27" s="47"/>
      <c r="L27" s="39"/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09" t="s">
        <v>30</v>
      </c>
      <c r="H28" s="310">
        <f>SUM(H21:H27)</f>
        <v>735487</v>
      </c>
      <c r="I28" s="265"/>
      <c r="J28" s="47"/>
      <c r="K28" s="47"/>
      <c r="L28" s="39">
        <f>SUM(L21:L27)</f>
        <v>8.8449999999999989</v>
      </c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307" t="s">
        <v>52</v>
      </c>
      <c r="H29" s="304">
        <f>H28*19%</f>
        <v>139742.53</v>
      </c>
      <c r="I29" s="265"/>
      <c r="J29" s="47"/>
      <c r="K29" s="47"/>
      <c r="L29" s="39">
        <f>L28+L21</f>
        <v>12.134999999999998</v>
      </c>
      <c r="M29" s="12"/>
      <c r="N29" s="12"/>
      <c r="O29" s="253">
        <f>SUM(O21:O23)</f>
        <v>4.4224999999999994</v>
      </c>
      <c r="P29" s="14"/>
      <c r="Q29" s="12"/>
      <c r="R29" s="238"/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305">
        <f>H28+H29</f>
        <v>875229.53</v>
      </c>
      <c r="I30" s="265"/>
      <c r="J30" s="47"/>
      <c r="K30" s="47"/>
      <c r="L30" s="39"/>
      <c r="M30" s="12"/>
      <c r="N30" s="12"/>
      <c r="O30" s="253">
        <f>O29</f>
        <v>4.4224999999999994</v>
      </c>
      <c r="P30" s="14"/>
      <c r="Q30" s="12"/>
      <c r="R30" s="238">
        <f>SUM(R21:R29)</f>
        <v>8.8449999999999989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0.88449999999999995</v>
      </c>
      <c r="P31" s="39" t="s">
        <v>131</v>
      </c>
      <c r="Q31" s="42"/>
      <c r="R31" s="239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318"/>
      <c r="K32" s="47"/>
      <c r="L32" s="14"/>
      <c r="M32" s="12"/>
      <c r="N32" s="12"/>
      <c r="O32" s="46">
        <f>O30+O31</f>
        <v>5.3069999999999995</v>
      </c>
      <c r="P32" s="14"/>
      <c r="Q32" s="14"/>
      <c r="R32" s="237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2"/>
      <c r="F33" s="233"/>
      <c r="G33" s="230"/>
      <c r="H33" s="275"/>
      <c r="I33" s="265"/>
      <c r="J33" s="318"/>
      <c r="K33" s="47"/>
      <c r="L33" s="14"/>
      <c r="M33" s="14"/>
      <c r="N33" s="14"/>
      <c r="O33" s="14"/>
      <c r="P33" s="14"/>
      <c r="Q33" s="14"/>
      <c r="R33" s="237"/>
      <c r="S33" s="14"/>
      <c r="T33" s="9"/>
      <c r="W33" s="4"/>
    </row>
    <row r="34" spans="2:23" ht="17.399999999999999" x14ac:dyDescent="0.35">
      <c r="B34" s="234"/>
      <c r="C34" s="235"/>
      <c r="D34" s="236"/>
      <c r="E34" s="234"/>
      <c r="F34" s="230"/>
      <c r="G34" s="230"/>
      <c r="I34" s="265"/>
      <c r="J34" s="47"/>
      <c r="K34" s="47"/>
      <c r="L34" s="39">
        <f>O32</f>
        <v>5.3069999999999995</v>
      </c>
      <c r="M34" s="12">
        <v>3500</v>
      </c>
      <c r="N34" s="12">
        <f t="shared" ref="N34:N39" si="9">L34*M34</f>
        <v>18574.5</v>
      </c>
      <c r="O34" s="14" t="s">
        <v>22</v>
      </c>
      <c r="P34" s="14" t="s">
        <v>23</v>
      </c>
      <c r="Q34" s="14"/>
      <c r="R34" s="240"/>
      <c r="S34" s="14"/>
      <c r="T34" s="9"/>
      <c r="W34" s="4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1.5</v>
      </c>
      <c r="M35" s="12">
        <v>25000</v>
      </c>
      <c r="N35" s="12">
        <f t="shared" si="9"/>
        <v>37500</v>
      </c>
      <c r="O35" s="39" t="s">
        <v>154</v>
      </c>
      <c r="P35" s="42"/>
      <c r="Q35" s="14"/>
      <c r="R35" s="239"/>
      <c r="S35" s="14"/>
      <c r="T35" s="9"/>
      <c r="W35" s="4"/>
    </row>
    <row r="36" spans="2:23" s="230" customFormat="1" ht="17.399999999999999" x14ac:dyDescent="0.35">
      <c r="I36" s="262"/>
      <c r="J36" s="47"/>
      <c r="K36" s="250"/>
      <c r="L36" s="14"/>
      <c r="M36" s="250">
        <v>17100</v>
      </c>
      <c r="N36" s="12">
        <f t="shared" si="9"/>
        <v>0</v>
      </c>
      <c r="O36" s="39" t="s">
        <v>155</v>
      </c>
      <c r="P36" s="42"/>
      <c r="R36" s="239"/>
      <c r="S36" s="256"/>
      <c r="V36" s="231"/>
    </row>
    <row r="37" spans="2:23" s="230" customFormat="1" ht="17.399999999999999" x14ac:dyDescent="0.35">
      <c r="B37" s="24" t="s">
        <v>150</v>
      </c>
      <c r="I37" s="262"/>
      <c r="J37" s="317"/>
      <c r="K37" s="250"/>
      <c r="L37" s="14">
        <v>2</v>
      </c>
      <c r="M37" s="250">
        <v>35000</v>
      </c>
      <c r="N37" s="12">
        <f t="shared" si="9"/>
        <v>70000</v>
      </c>
      <c r="O37" s="14" t="s">
        <v>156</v>
      </c>
      <c r="P37" s="17"/>
      <c r="R37" s="237"/>
      <c r="S37" s="256"/>
      <c r="V37" s="231"/>
    </row>
    <row r="38" spans="2:23" s="230" customFormat="1" ht="17.399999999999999" x14ac:dyDescent="0.35">
      <c r="B38" s="24" t="s">
        <v>143</v>
      </c>
      <c r="C38"/>
      <c r="D38"/>
      <c r="E38"/>
      <c r="F38"/>
      <c r="I38" s="262"/>
      <c r="J38" s="317"/>
      <c r="K38" s="250"/>
      <c r="L38" s="249"/>
      <c r="M38" s="250">
        <v>800</v>
      </c>
      <c r="N38" s="12">
        <f t="shared" si="9"/>
        <v>0</v>
      </c>
      <c r="O38" s="14" t="s">
        <v>33</v>
      </c>
      <c r="P38" s="14"/>
      <c r="Q38" s="230">
        <v>1.52</v>
      </c>
      <c r="R38" s="237"/>
      <c r="S38" s="237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303"/>
      <c r="J39" s="47"/>
      <c r="K39" s="250"/>
      <c r="L39" s="266">
        <v>8.8450000000000006</v>
      </c>
      <c r="M39" s="12">
        <v>1500</v>
      </c>
      <c r="N39" s="12">
        <f t="shared" si="9"/>
        <v>13267.500000000002</v>
      </c>
      <c r="O39" s="14" t="s">
        <v>24</v>
      </c>
      <c r="P39" s="14"/>
      <c r="Q39">
        <v>2.44</v>
      </c>
      <c r="R39"/>
      <c r="S39" s="237">
        <v>1500</v>
      </c>
      <c r="W39" s="231"/>
    </row>
    <row r="40" spans="2:23" s="230" customFormat="1" ht="17.399999999999999" x14ac:dyDescent="0.35">
      <c r="J40" s="47"/>
      <c r="K40" s="250"/>
      <c r="L40" s="14"/>
      <c r="M40" s="12"/>
      <c r="N40" s="12">
        <f>SUM(N34:N39)</f>
        <v>139342</v>
      </c>
      <c r="O40" s="39" t="s">
        <v>25</v>
      </c>
      <c r="P40" s="14"/>
      <c r="Q40">
        <f>Q38*Q39</f>
        <v>3.7088000000000001</v>
      </c>
      <c r="R40"/>
      <c r="S40" s="237">
        <f>R32*S39</f>
        <v>60000</v>
      </c>
      <c r="W40" s="231"/>
    </row>
    <row r="41" spans="2:23" s="230" customFormat="1" ht="17.399999999999999" x14ac:dyDescent="0.35">
      <c r="J41" s="47">
        <v>74160</v>
      </c>
      <c r="K41" s="250"/>
      <c r="L41" s="254" t="s">
        <v>34</v>
      </c>
      <c r="M41" s="12"/>
      <c r="N41" s="255">
        <f>N40*2.3</f>
        <v>320486.59999999998</v>
      </c>
      <c r="O41" s="14" t="s">
        <v>140</v>
      </c>
      <c r="P41" s="14"/>
      <c r="Q41" s="46">
        <f>O30/Q40</f>
        <v>1.1924342105263157</v>
      </c>
      <c r="R41"/>
      <c r="S41" s="257" t="e">
        <f>S40/#REF!</f>
        <v>#REF!</v>
      </c>
    </row>
    <row r="42" spans="2:23" s="230" customFormat="1" ht="17.399999999999999" x14ac:dyDescent="0.35">
      <c r="G42"/>
      <c r="H42" s="260"/>
      <c r="I42" s="260"/>
      <c r="J42" s="47">
        <f>J41/1.19</f>
        <v>62319.327731092439</v>
      </c>
      <c r="K42" s="250"/>
      <c r="L42" s="14"/>
      <c r="M42" s="12"/>
      <c r="N42" s="12">
        <f>N41/O30</f>
        <v>72467.292255511595</v>
      </c>
      <c r="O42" s="45" t="s">
        <v>26</v>
      </c>
      <c r="P42" s="14"/>
      <c r="Q42" s="14"/>
      <c r="R42"/>
      <c r="S42" s="237"/>
    </row>
    <row r="43" spans="2:23" s="230" customFormat="1" ht="17.399999999999999" x14ac:dyDescent="0.35">
      <c r="G43"/>
      <c r="J43" s="47"/>
      <c r="K43" s="250"/>
      <c r="L43" s="13"/>
      <c r="M43" s="14"/>
      <c r="N43" s="17">
        <f>N41/N40</f>
        <v>2.2999999999999998</v>
      </c>
      <c r="O43" s="15"/>
      <c r="P43"/>
      <c r="Q43"/>
      <c r="R43"/>
      <c r="S43" s="237"/>
    </row>
    <row r="44" spans="2:23" s="230" customFormat="1" ht="17.399999999999999" x14ac:dyDescent="0.35">
      <c r="G44" s="23"/>
      <c r="J44" s="47"/>
      <c r="K44" s="12"/>
      <c r="S44" s="237"/>
    </row>
    <row r="45" spans="2:23" s="230" customFormat="1" ht="17.399999999999999" x14ac:dyDescent="0.35">
      <c r="B45"/>
      <c r="C45" s="228"/>
      <c r="D45" s="22"/>
      <c r="E45" s="22"/>
      <c r="F45" s="21"/>
      <c r="G45" s="23"/>
      <c r="J45" s="47"/>
      <c r="K45" s="12"/>
      <c r="S45" s="237">
        <v>1.83</v>
      </c>
    </row>
    <row r="46" spans="2:23" ht="14.4" customHeight="1" x14ac:dyDescent="0.3">
      <c r="J46" s="47"/>
      <c r="K46" s="12"/>
      <c r="S46">
        <v>2.5</v>
      </c>
    </row>
    <row r="47" spans="2:23" x14ac:dyDescent="0.3">
      <c r="J47" s="47"/>
      <c r="K47" s="250"/>
      <c r="S47">
        <f>S45*S46</f>
        <v>4.5750000000000002</v>
      </c>
    </row>
    <row r="48" spans="2:23" x14ac:dyDescent="0.3">
      <c r="K48" s="250"/>
      <c r="S48" s="270">
        <f>O32/S47</f>
        <v>1.1599999999999999</v>
      </c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147</v>
      </c>
    </row>
    <row r="78" spans="3:14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45513</v>
      </c>
    </row>
    <row r="6" spans="2:31" ht="16.2" thickBot="1" x14ac:dyDescent="0.35">
      <c r="B6" s="140" t="s">
        <v>2</v>
      </c>
      <c r="C6" s="139" t="str">
        <f>'2229'!C10</f>
        <v>CONSTRUCTORA SEVIAL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11061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-98956.30420012078</v>
      </c>
    </row>
    <row r="10" spans="2:31" ht="16.2" thickBot="1" x14ac:dyDescent="0.35">
      <c r="D10" s="218" t="s">
        <v>30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'2229'!H28</f>
        <v>735487</v>
      </c>
      <c r="E11" s="132">
        <f>D11*0.19</f>
        <v>139742.53</v>
      </c>
      <c r="F11" s="131">
        <f>E11+D11</f>
        <v>875229.53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7033.6957998792204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85908.590787439607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-10966.30420012078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649578.40921256039</v>
      </c>
      <c r="E13" s="221">
        <f>(D11/D12)-1</f>
        <v>7.5612741782691764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-19966.30420012078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30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-58966.30420012078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141749.17479927535</v>
      </c>
      <c r="F15" s="216">
        <f>E15-D12</f>
        <v>55840.584011835745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-58966.30420012078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-18966.30420012078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30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'2229'!N35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18574.5</v>
      </c>
      <c r="E20" s="121">
        <f>D20*0.19</f>
        <v>3529.1550000000002</v>
      </c>
      <c r="F20" s="120">
        <f>SUM(D20:E20)</f>
        <v>22103.654999999999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56074.5</v>
      </c>
      <c r="E21" s="116">
        <f>SUM(E18:E20)</f>
        <v>10654.155000000001</v>
      </c>
      <c r="F21" s="115">
        <f>SUM(F18:F20)</f>
        <v>66728.654999999999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129088.375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735487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56074.5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649578.40921256039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649578.40921256039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2024-08-09T18:10:17Z</cp:lastPrinted>
  <dcterms:created xsi:type="dcterms:W3CDTF">2013-03-18T13:35:42Z</dcterms:created>
  <dcterms:modified xsi:type="dcterms:W3CDTF">2024-08-09T21:57:37Z</dcterms:modified>
</cp:coreProperties>
</file>