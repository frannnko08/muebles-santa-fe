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78A4BC42-25EB-4848-86DC-9405829E5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N41" i="1"/>
  <c r="L34" i="1"/>
  <c r="K23" i="1"/>
  <c r="K22" i="1"/>
  <c r="R22" i="1" s="1"/>
  <c r="K21" i="1"/>
  <c r="L24" i="1"/>
  <c r="M24" i="1"/>
  <c r="N24" i="1"/>
  <c r="O24" i="1" s="1"/>
  <c r="R24" i="1"/>
  <c r="H24" i="1"/>
  <c r="N35" i="1"/>
  <c r="J36" i="1"/>
  <c r="L22" i="1"/>
  <c r="M22" i="1"/>
  <c r="N22" i="1"/>
  <c r="L23" i="1"/>
  <c r="M23" i="1"/>
  <c r="N23" i="1"/>
  <c r="O23" i="1" s="1"/>
  <c r="R23" i="1"/>
  <c r="H22" i="1"/>
  <c r="H23" i="1"/>
  <c r="L21" i="1"/>
  <c r="L28" i="1" s="1"/>
  <c r="M21" i="1"/>
  <c r="O22" i="1" l="1"/>
  <c r="R21" i="1"/>
  <c r="R30" i="1" s="1"/>
  <c r="N21" i="1"/>
  <c r="O21" i="1" s="1"/>
  <c r="O29" i="1" s="1"/>
  <c r="J42" i="1" l="1"/>
  <c r="O30" i="1" l="1"/>
  <c r="O31" i="1" s="1"/>
  <c r="O32" i="1" s="1"/>
  <c r="S47" i="1"/>
  <c r="M20" i="1" l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N40" i="1" s="1"/>
  <c r="S48" i="1"/>
  <c r="D20" i="3" l="1"/>
  <c r="E20" i="3" s="1"/>
  <c r="E21" i="3" s="1"/>
  <c r="N43" i="1" l="1"/>
  <c r="D21" i="3"/>
  <c r="M43" i="3" s="1"/>
  <c r="D12" i="3" s="1"/>
  <c r="F20" i="3"/>
  <c r="F21" i="3" s="1"/>
  <c r="N42" i="1" l="1"/>
  <c r="P20" i="1" s="1"/>
  <c r="P24" i="1" s="1"/>
  <c r="Q24" i="1" s="1"/>
  <c r="E15" i="3"/>
  <c r="P23" i="1" l="1"/>
  <c r="Q23" i="1" s="1"/>
  <c r="P22" i="1"/>
  <c r="Q22" i="1" s="1"/>
  <c r="P21" i="1"/>
  <c r="F15" i="3"/>
  <c r="Q21" i="1" l="1"/>
  <c r="H21" i="1" s="1"/>
  <c r="K15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<sst xmlns="http://schemas.openxmlformats.org/spreadsheetml/2006/main" count="230" uniqueCount="171">
  <si>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</si>
  <si>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</si>
  <si>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</si>
  <si>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</si>
  <si>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</si>
  <si>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</si>
  <si>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</si>
  <si>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</si>
  <si>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</si>
  <si>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</si>
  <si>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</si>
  <si>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</si>
  <si>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</si>
  <si>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</si>
  <si>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</si>
  <si>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</si>
  <si>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</si>
  <si>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</si>
  <si>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</si>
  <si>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</si>
  <si>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</si>
  <si>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</si>
  <si>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</si>
  <si>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</si>
  <si>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</si>
  <si>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</si>
  <si>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</si>
  <si>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</si>
  <si>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</si>
  <si>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</si>
  <si>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</si>
  <si>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</si>
  <si>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</si>
  <si>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</si>
  <si>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</si>
  <si>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</si>
  <si>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</si>
  <si>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</si>
  <si>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</si>
  <si>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</si>
  <si>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</si>
  <si>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</si>
  <si>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</si>
  <si>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</si>
  <si>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</si>
  <si>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</si>
  <si>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</si>
  <si>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</si>
  <si>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</si>
  <si>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</si>
  <si>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</si>
  <si>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</si>
  <si>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</si>
  <si>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</si>
  <si>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</si>
  <si>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</si>
  <si>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</si>
  <si>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</si>
  <si>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</si>
  <si>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</si>
  <si>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</si>
  <si>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</si>
  <si>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</si>
  <si>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</si>
  <si>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</si>
  <si>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</si>
  <si>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</si>
  <si>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</si>
  <si>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</si>
  <si>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</si>
  <si>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</si>
  <si>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</si>
  <si>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</si>
  <si>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</si>
  <si>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</si>
  <si>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</si>
  <si>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</si>
  <si>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</si>
  <si>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</si>
  <si>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</si>
  <si>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</si>
  <si>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</si>
  <si>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</si>
  <si>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</si>
  <si>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</si>
  <si>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</si>
  <si>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</si>
  <si>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</si>
  <si>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</si>
  <si>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</si>
  <si>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</si>
  <si>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</si>
  <si>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</si>
  <si>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</si>
  <si>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</si>
  <si>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</si>
  <si>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</si>
  <si>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</si>
  <si>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</si>
  <si>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</si>
  <si>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</si>
  <si>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</si>
  <si>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</si>
  <si>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</si>
  <si>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</si>
  <si>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</si>
  <si>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</si>
  <si>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</si>
  <si>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</si>
  <si>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</si>
  <si>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</si>
  <si>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</si>
  <si>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</si>
  <si>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</si>
  <si>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</si>
  <si>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</si>
  <si>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</si>
  <si>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</si>
  <si>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</si>
  <si>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</si>
  <si>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</si>
  <si>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</si>
  <si>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</si>
  <si>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</si>
  <si>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</si>
  <si>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</si>
  <si>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</si>
  <si>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</si>
  <si>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</si>
  <si>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</si>
  <si>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</si>
  <si>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</si>
  <si>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</si>
  <si>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</si>
  <si>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</si>
  <si>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</si>
  <si>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</si>
  <si>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</si>
  <si>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</si>
  <si>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</si>
  <si>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</si>
  <si>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</si>
  <si>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</si>
  <si>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</si>
  <si>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</si>
  <si>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</si>
  <si>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</si>
  <si>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</si>
  <si>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</si>
  <si>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</si>
  <si>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</si>
  <si>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</si>
  <si>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</si>
  <si>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</si>
  <si>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</si>
  <si>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</si>
  <si>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</si>
  <si>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</si>
  <si>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MUEBLES ASENJO</t>
  </si>
  <si>
    <t>LORENA QUEZADA</t>
  </si>
  <si>
    <t>N° 11103</t>
  </si>
  <si>
    <t>5 DIAS HABILES</t>
  </si>
  <si>
    <t>CUB PT 2 LADOS</t>
  </si>
  <si>
    <t>HAYA 1750 MT</t>
  </si>
  <si>
    <t>CUB PT 1 LADO</t>
  </si>
  <si>
    <t>MDF30MM</t>
  </si>
  <si>
    <t>CUB PT 1 LADO MDF 25MM</t>
  </si>
  <si>
    <t>5 MDF 30</t>
  </si>
  <si>
    <t>1 MDF 25</t>
  </si>
  <si>
    <t>9 LAMINAS</t>
  </si>
  <si>
    <t>descto.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</si>
</sst>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5249</xdr:rowOff>
    </xdr:from>
    <xdr:to>
      <xdr:col>8</xdr:col>
      <xdr:colOff>7776</xdr:colOff>
      <xdr:row>32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29</xdr:row>
      <xdr:rowOff>9525</xdr:rowOff>
    </xdr:from>
    <xdr:to>
      <xdr:col>5</xdr:col>
      <xdr:colOff>1679511</xdr:colOff>
      <xdr:row>32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24</xdr:row>
      <xdr:rowOff>225489</xdr:rowOff>
    </xdr:from>
    <xdr:to>
      <xdr:col>5</xdr:col>
      <xdr:colOff>1656183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SUSTRATO: MDF 30MM, CLIENTE</a:t>
          </a:r>
          <a:r>
            <a:rPr lang="es-CL" sz="1200" b="1" baseline="0"/>
            <a:t> APORTA LAMINA Y SUSTRATO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topLeftCell="B20" zoomScale="98" zoomScaleNormal="98" workbookViewId="0">
      <selection activeCell="G39" sqref="G39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1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45562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8"/>
      <c r="F11" t="s">
        <v>125</v>
      </c>
      <c r="G11" s="288" t="s">
        <v>161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0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2" t="s">
        <v>157</v>
      </c>
      <c r="D15" s="294"/>
      <c r="E15" s="247"/>
      <c r="F15" s="247" t="s">
        <v>136</v>
      </c>
      <c r="G15" s="295" t="s">
        <v>137</v>
      </c>
      <c r="H15" s="248"/>
      <c r="K15" s="18">
        <f>H26/L13</f>
        <v>19708.914493632506</v>
      </c>
    </row>
    <row r="16" spans="2:23" ht="16.8" x14ac:dyDescent="0.4">
      <c r="B16" s="291" t="s">
        <v>3</v>
      </c>
      <c r="C16" s="308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152</v>
      </c>
      <c r="D17" s="298"/>
      <c r="E17" s="299"/>
      <c r="F17" s="322" t="s">
        <v>153</v>
      </c>
      <c r="G17" s="322"/>
      <c r="H17" s="32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4" t="s">
        <v>148</v>
      </c>
      <c r="C19" s="325"/>
      <c r="D19" s="325"/>
      <c r="E19" s="325"/>
      <c r="F19" s="325"/>
      <c r="G19" s="325"/>
      <c r="H19" s="326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3" t="s">
        <v>7</v>
      </c>
      <c r="C20" s="314" t="s">
        <v>1</v>
      </c>
      <c r="D20" s="314" t="s">
        <v>10</v>
      </c>
      <c r="E20" s="314" t="s">
        <v>11</v>
      </c>
      <c r="F20" s="314" t="s">
        <v>8</v>
      </c>
      <c r="G20" s="314" t="s">
        <v>5</v>
      </c>
      <c r="H20" s="315" t="s">
        <v>6</v>
      </c>
      <c r="I20" s="265"/>
      <c r="J20" s="47"/>
      <c r="K20" s="268" t="str">
        <f t="shared" ref="K20:K23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42287.429401323214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6">
        <v>9</v>
      </c>
      <c r="C21" s="321" t="s">
        <v>162</v>
      </c>
      <c r="D21" s="318">
        <v>1.6</v>
      </c>
      <c r="E21" s="318">
        <v>0.7</v>
      </c>
      <c r="F21" s="317" t="s">
        <v>163</v>
      </c>
      <c r="G21" s="319">
        <v>57709</v>
      </c>
      <c r="H21" s="320">
        <f t="shared" ref="H21" si="1">G21*B21</f>
        <v>519381</v>
      </c>
      <c r="I21" s="265"/>
      <c r="J21" s="47"/>
      <c r="K21" s="47">
        <f t="shared" si="0"/>
        <v>9</v>
      </c>
      <c r="L21" s="39">
        <f t="shared" ref="L21" si="2">D21+L$19</f>
        <v>1.6500000000000001</v>
      </c>
      <c r="M21" s="39">
        <f t="shared" ref="M21" si="3">E21+M$19</f>
        <v>0.75</v>
      </c>
      <c r="N21" s="261">
        <f t="shared" ref="N21" si="4">L21*M21</f>
        <v>1.2375</v>
      </c>
      <c r="O21" s="259">
        <f t="shared" ref="O21" si="5">N21*K21</f>
        <v>11.137500000000001</v>
      </c>
      <c r="P21" s="252">
        <f t="shared" ref="P21" si="6">P$20*N21</f>
        <v>52330.693884137479</v>
      </c>
      <c r="Q21" s="258">
        <f t="shared" ref="Q21" si="7">P21+Q$20</f>
        <v>55330.693884137479</v>
      </c>
      <c r="R21" s="307">
        <f t="shared" ref="R21" si="8">K21*L21</f>
        <v>14.850000000000001</v>
      </c>
      <c r="S21" s="14"/>
      <c r="T21" s="9"/>
      <c r="W21" s="4"/>
    </row>
    <row r="22" spans="2:24" ht="18" thickBot="1" x14ac:dyDescent="0.35">
      <c r="B22" s="316">
        <v>4</v>
      </c>
      <c r="C22" s="321" t="s">
        <v>162</v>
      </c>
      <c r="D22" s="318">
        <v>1.2</v>
      </c>
      <c r="E22" s="318">
        <v>0.7</v>
      </c>
      <c r="F22" s="317" t="s">
        <v>163</v>
      </c>
      <c r="G22" s="319">
        <v>44446</v>
      </c>
      <c r="H22" s="320">
        <f t="shared" ref="H22:H23" si="9">G22*B22</f>
        <v>177784</v>
      </c>
      <c r="I22" s="265"/>
      <c r="J22" s="47"/>
      <c r="K22" s="47">
        <f t="shared" si="0"/>
        <v>4</v>
      </c>
      <c r="L22" s="39">
        <f t="shared" ref="L22:L23" si="10">D22+L$19</f>
        <v>1.25</v>
      </c>
      <c r="M22" s="39">
        <f t="shared" ref="M22:M23" si="11">E22+M$19</f>
        <v>0.75</v>
      </c>
      <c r="N22" s="261">
        <f t="shared" ref="N22:N23" si="12">L22*M22</f>
        <v>0.9375</v>
      </c>
      <c r="O22" s="259">
        <f t="shared" ref="O22:O23" si="13">N22*K22</f>
        <v>3.75</v>
      </c>
      <c r="P22" s="252">
        <f t="shared" ref="P22:P23" si="14">P$20*N22</f>
        <v>39644.465063740514</v>
      </c>
      <c r="Q22" s="258">
        <f t="shared" ref="Q22:Q23" si="15">P22+Q$20</f>
        <v>42644.465063740514</v>
      </c>
      <c r="R22" s="307">
        <f t="shared" ref="R22:R23" si="16">K22*L22</f>
        <v>5</v>
      </c>
      <c r="S22" s="14"/>
      <c r="T22" s="9"/>
      <c r="W22" s="4"/>
    </row>
    <row r="23" spans="2:24" ht="18" thickBot="1" x14ac:dyDescent="0.35">
      <c r="B23" s="316">
        <v>2</v>
      </c>
      <c r="C23" s="321" t="s">
        <v>164</v>
      </c>
      <c r="D23" s="318">
        <v>0.5</v>
      </c>
      <c r="E23" s="318">
        <v>0.5</v>
      </c>
      <c r="F23" s="317" t="s">
        <v>163</v>
      </c>
      <c r="G23" s="319">
        <v>16373</v>
      </c>
      <c r="H23" s="320">
        <f t="shared" si="9"/>
        <v>32746</v>
      </c>
      <c r="I23" s="265"/>
      <c r="J23" s="47"/>
      <c r="K23" s="47">
        <f t="shared" si="0"/>
        <v>2</v>
      </c>
      <c r="L23" s="39">
        <f t="shared" si="10"/>
        <v>0.55000000000000004</v>
      </c>
      <c r="M23" s="39">
        <f t="shared" si="11"/>
        <v>0.55000000000000004</v>
      </c>
      <c r="N23" s="261">
        <f t="shared" si="12"/>
        <v>0.30250000000000005</v>
      </c>
      <c r="O23" s="259">
        <f t="shared" si="13"/>
        <v>0.60500000000000009</v>
      </c>
      <c r="P23" s="252">
        <f t="shared" si="14"/>
        <v>12791.947393900275</v>
      </c>
      <c r="Q23" s="258">
        <f t="shared" si="15"/>
        <v>15791.947393900275</v>
      </c>
      <c r="R23" s="307">
        <f t="shared" si="16"/>
        <v>1.1000000000000001</v>
      </c>
      <c r="S23" s="14"/>
      <c r="T23" s="9"/>
      <c r="W23" s="4"/>
    </row>
    <row r="24" spans="2:24" ht="17.399999999999999" x14ac:dyDescent="0.3">
      <c r="B24" s="316">
        <v>4</v>
      </c>
      <c r="C24" s="321" t="s">
        <v>166</v>
      </c>
      <c r="D24" s="318">
        <v>0.6</v>
      </c>
      <c r="E24" s="318">
        <v>0.35</v>
      </c>
      <c r="F24" s="317" t="s">
        <v>163</v>
      </c>
      <c r="G24" s="319">
        <v>14494</v>
      </c>
      <c r="H24" s="320">
        <f t="shared" ref="H24" si="17">G24*B24</f>
        <v>57976</v>
      </c>
      <c r="I24" s="265"/>
      <c r="J24" s="47"/>
      <c r="K24" s="47"/>
      <c r="L24" s="39">
        <f t="shared" ref="L24" si="18">D24+L$19</f>
        <v>0.65</v>
      </c>
      <c r="M24" s="39">
        <f t="shared" ref="M24" si="19">E24+M$19</f>
        <v>0.39999999999999997</v>
      </c>
      <c r="N24" s="261">
        <f t="shared" ref="N24" si="20">L24*M24</f>
        <v>0.26</v>
      </c>
      <c r="O24" s="259">
        <f t="shared" ref="O24" si="21">N24*K24</f>
        <v>0</v>
      </c>
      <c r="P24" s="252">
        <f t="shared" ref="P24" si="22">P$20*N24</f>
        <v>10994.731644344036</v>
      </c>
      <c r="Q24" s="258">
        <f t="shared" ref="Q24" si="23">P24+Q$20</f>
        <v>13994.731644344036</v>
      </c>
      <c r="R24" s="307">
        <f t="shared" ref="R24" si="24">K24*L24</f>
        <v>0</v>
      </c>
      <c r="S24" s="14"/>
      <c r="T24" s="9"/>
      <c r="W24" s="4"/>
    </row>
    <row r="25" spans="2:24" ht="17.399999999999999" x14ac:dyDescent="0.3">
      <c r="B25" s="285"/>
      <c r="C25" s="285"/>
      <c r="D25" s="286"/>
      <c r="E25" s="286"/>
      <c r="F25" s="285"/>
      <c r="G25" s="336" t="s">
        <v>170</v>
      </c>
      <c r="H25" s="336">
        <v>-137887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34" t="s">
        <v>30</v>
      </c>
      <c r="H26" s="335">
        <f>SUM(H21:H25)</f>
        <v>650000</v>
      </c>
      <c r="I26" s="232">
        <v>650000</v>
      </c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306" t="s">
        <v>53</v>
      </c>
      <c r="H27" s="303">
        <f>H26*19%</f>
        <v>123500</v>
      </c>
      <c r="I27" s="232"/>
      <c r="J27" s="47"/>
      <c r="K27" s="47"/>
      <c r="L27" s="39"/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8" thickBot="1" x14ac:dyDescent="0.35">
      <c r="B28" s="275"/>
      <c r="C28" s="281"/>
      <c r="D28" s="272"/>
      <c r="E28" s="272"/>
      <c r="F28" s="273"/>
      <c r="G28" s="280" t="s">
        <v>6</v>
      </c>
      <c r="H28" s="304">
        <f>H26+H27</f>
        <v>773500</v>
      </c>
      <c r="I28" s="265"/>
      <c r="J28" s="47"/>
      <c r="K28" s="47"/>
      <c r="L28" s="39">
        <f>SUM(L21:L21)*2</f>
        <v>3.3000000000000003</v>
      </c>
      <c r="M28" s="39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275"/>
      <c r="C29" s="271"/>
      <c r="D29" s="272"/>
      <c r="E29" s="272"/>
      <c r="F29" s="273"/>
      <c r="I29" s="265"/>
      <c r="J29" s="47"/>
      <c r="K29" s="47"/>
      <c r="L29" s="39"/>
      <c r="M29" s="12"/>
      <c r="N29" s="12"/>
      <c r="O29" s="253">
        <f>SUM(O21:O25)</f>
        <v>15.492500000000001</v>
      </c>
      <c r="P29" s="14"/>
      <c r="Q29" s="12"/>
      <c r="R29" s="238"/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4"/>
      <c r="I30" s="265"/>
      <c r="J30" s="47"/>
      <c r="K30" s="47"/>
      <c r="L30" s="39"/>
      <c r="M30" s="12"/>
      <c r="N30" s="12"/>
      <c r="O30" s="253">
        <f>O29</f>
        <v>15.492500000000001</v>
      </c>
      <c r="P30" s="14"/>
      <c r="Q30" s="12"/>
      <c r="R30" s="238">
        <f>SUM(R21:R29)</f>
        <v>20.950000000000003</v>
      </c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14"/>
      <c r="M31" s="12"/>
      <c r="N31" s="12"/>
      <c r="O31" s="39">
        <f>O30*0.2</f>
        <v>3.0985000000000005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310"/>
      <c r="K32" s="47"/>
      <c r="L32" s="14"/>
      <c r="M32" s="12"/>
      <c r="N32" s="12"/>
      <c r="O32" s="46">
        <f>O30+O31</f>
        <v>18.591000000000001</v>
      </c>
      <c r="P32" s="14"/>
      <c r="Q32" s="14"/>
      <c r="R32" s="237">
        <v>40</v>
      </c>
      <c r="S32" s="14"/>
      <c r="T32" s="9"/>
      <c r="W32" s="4"/>
    </row>
    <row r="33" spans="1:23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310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1:23" ht="17.399999999999999" x14ac:dyDescent="0.35">
      <c r="A34" s="230"/>
      <c r="B34" s="24" t="s">
        <v>154</v>
      </c>
      <c r="C34" s="230"/>
      <c r="D34" s="230"/>
      <c r="E34" s="230"/>
      <c r="F34" s="230"/>
      <c r="G34" s="230"/>
      <c r="H34" s="230"/>
      <c r="I34" s="265"/>
      <c r="J34" s="47">
        <v>123</v>
      </c>
      <c r="K34" s="47"/>
      <c r="L34" s="39">
        <f>O32</f>
        <v>18.591000000000001</v>
      </c>
      <c r="M34" s="12">
        <v>2000</v>
      </c>
      <c r="N34" s="12">
        <f t="shared" ref="N34:N39" si="25">L34*M34</f>
        <v>37182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1:23" ht="17.399999999999999" x14ac:dyDescent="0.35">
      <c r="A35" s="230"/>
      <c r="B35" s="24" t="s">
        <v>155</v>
      </c>
      <c r="G35" s="230"/>
      <c r="H35" s="230" t="s">
        <v>167</v>
      </c>
      <c r="I35" s="265"/>
      <c r="J35" s="47">
        <v>76</v>
      </c>
      <c r="K35" s="47"/>
      <c r="L35" s="249">
        <v>5</v>
      </c>
      <c r="M35" s="12">
        <v>45100</v>
      </c>
      <c r="N35" s="12">
        <f t="shared" si="25"/>
        <v>225500</v>
      </c>
      <c r="O35" s="39" t="s">
        <v>165</v>
      </c>
      <c r="P35" s="42"/>
      <c r="Q35" s="14"/>
      <c r="R35" s="239"/>
      <c r="S35" s="14"/>
      <c r="T35" s="9"/>
      <c r="W35" s="4"/>
    </row>
    <row r="36" spans="1:23" s="230" customFormat="1" ht="17.399999999999999" x14ac:dyDescent="0.35">
      <c r="B36" s="29" t="s">
        <v>127</v>
      </c>
      <c r="C36"/>
      <c r="D36"/>
      <c r="E36"/>
      <c r="F36" s="229" t="s">
        <v>16</v>
      </c>
      <c r="H36" s="230" t="s">
        <v>168</v>
      </c>
      <c r="I36" s="262"/>
      <c r="J36" s="47">
        <f>J34-J35</f>
        <v>47</v>
      </c>
      <c r="K36" s="250"/>
      <c r="L36" s="14">
        <v>1</v>
      </c>
      <c r="M36" s="250">
        <v>35108</v>
      </c>
      <c r="N36" s="12">
        <f t="shared" si="25"/>
        <v>35108</v>
      </c>
      <c r="O36" s="39" t="s">
        <v>32</v>
      </c>
      <c r="P36" s="42"/>
      <c r="R36" s="239"/>
      <c r="S36" s="256"/>
      <c r="V36" s="231"/>
    </row>
    <row r="37" spans="1:23" s="230" customFormat="1" ht="17.399999999999999" x14ac:dyDescent="0.35">
      <c r="H37" s="230" t="s">
        <v>169</v>
      </c>
      <c r="I37" s="262"/>
      <c r="J37" s="309"/>
      <c r="K37" s="250"/>
      <c r="L37" s="14"/>
      <c r="M37" s="250">
        <v>34303</v>
      </c>
      <c r="N37" s="12">
        <f t="shared" si="25"/>
        <v>0</v>
      </c>
      <c r="O37" s="14" t="s">
        <v>143</v>
      </c>
      <c r="P37" s="17"/>
      <c r="R37" s="237"/>
      <c r="S37" s="256"/>
      <c r="V37" s="231"/>
    </row>
    <row r="38" spans="1:23" s="230" customFormat="1" ht="17.399999999999999" x14ac:dyDescent="0.35">
      <c r="I38" s="262"/>
      <c r="J38" s="309"/>
      <c r="K38" s="250"/>
      <c r="L38" s="249"/>
      <c r="M38" s="250">
        <v>800</v>
      </c>
      <c r="N38" s="12">
        <f t="shared" si="25"/>
        <v>0</v>
      </c>
      <c r="O38" s="14" t="s">
        <v>34</v>
      </c>
      <c r="P38" s="14"/>
      <c r="Q38" s="230">
        <v>1.52</v>
      </c>
      <c r="R38" s="237"/>
      <c r="S38" s="237"/>
    </row>
    <row r="39" spans="1:23" s="230" customFormat="1" ht="17.399999999999999" x14ac:dyDescent="0.35">
      <c r="I39" s="302"/>
      <c r="J39" s="47"/>
      <c r="K39" s="250"/>
      <c r="L39" s="266"/>
      <c r="M39" s="12">
        <v>500</v>
      </c>
      <c r="N39" s="12">
        <f t="shared" si="25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1:23" s="230" customFormat="1" ht="17.399999999999999" x14ac:dyDescent="0.35">
      <c r="I40" s="265"/>
      <c r="J40" s="47"/>
      <c r="K40" s="250"/>
      <c r="L40" s="14"/>
      <c r="M40" s="12"/>
      <c r="N40" s="12">
        <f>SUM(N34:N39)</f>
        <v>297790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1:23" s="230" customFormat="1" ht="17.399999999999999" x14ac:dyDescent="0.35">
      <c r="J41" s="47">
        <v>40820</v>
      </c>
      <c r="K41" s="250"/>
      <c r="L41" s="254" t="s">
        <v>35</v>
      </c>
      <c r="M41" s="12"/>
      <c r="N41" s="255">
        <f>N40*2.2</f>
        <v>655138</v>
      </c>
      <c r="O41" s="14" t="s">
        <v>142</v>
      </c>
      <c r="P41" s="14"/>
      <c r="Q41" s="46">
        <f>O32/Q40</f>
        <v>5.0126725625539263</v>
      </c>
      <c r="R41"/>
      <c r="S41" s="257" t="e">
        <f>S40/#REF!</f>
        <v>#REF!</v>
      </c>
    </row>
    <row r="42" spans="1:23" s="230" customFormat="1" ht="17.399999999999999" x14ac:dyDescent="0.35">
      <c r="G42"/>
      <c r="H42" s="260"/>
      <c r="I42" s="260"/>
      <c r="J42" s="47">
        <f>J41/1.19</f>
        <v>34302.521008403361</v>
      </c>
      <c r="K42" s="250"/>
      <c r="L42" s="14"/>
      <c r="M42" s="12"/>
      <c r="N42" s="12">
        <f>N41/O30</f>
        <v>42287.429401323214</v>
      </c>
      <c r="O42" s="45" t="s">
        <v>26</v>
      </c>
      <c r="P42" s="14"/>
      <c r="Q42" s="14"/>
      <c r="R42"/>
      <c r="S42" s="237"/>
    </row>
    <row r="43" spans="1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1:23" s="230" customFormat="1" ht="17.399999999999999" x14ac:dyDescent="0.35">
      <c r="G44" s="23"/>
      <c r="J44" s="47"/>
      <c r="K44" s="12"/>
      <c r="S44" s="237"/>
    </row>
    <row r="45" spans="1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1:23" ht="14.4" customHeight="1" x14ac:dyDescent="0.3">
      <c r="J46" s="47"/>
      <c r="K46" s="12"/>
      <c r="S46">
        <v>2.5</v>
      </c>
    </row>
    <row r="47" spans="1:23" x14ac:dyDescent="0.3">
      <c r="J47" s="47"/>
      <c r="K47" s="250"/>
      <c r="S47">
        <f>S45*S46</f>
        <v>4.5750000000000002</v>
      </c>
    </row>
    <row r="48" spans="1:23" x14ac:dyDescent="0.3">
      <c r="K48" s="250"/>
      <c r="S48" s="270">
        <f>O32/S47</f>
        <v>4.0636065573770495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8" t="s">
        <v>100</v>
      </c>
      <c r="I7" s="329"/>
      <c r="J7" s="329"/>
      <c r="K7" s="330"/>
      <c r="N7" s="75"/>
      <c r="O7" s="327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7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-18236.70836678745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650000</v>
      </c>
      <c r="E11" s="132">
        <f>D11*0.19</f>
        <v>123500</v>
      </c>
      <c r="F11" s="131">
        <f>E11+D11</f>
        <v>773500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87753.291633212546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327624.09078743961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69753.291633212546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322375.90921256039</v>
      </c>
      <c r="E13" s="221">
        <f>(D11/D12)-1</f>
        <v>0.98398108770858306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60753.291633212546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21753.29163321255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540579.74979927531</v>
      </c>
      <c r="F15" s="216">
        <f>E15-D12</f>
        <v>212955.6590118357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21753.29163321255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61753.291633212546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35108</v>
      </c>
      <c r="E18" s="123">
        <f>D18*0.19</f>
        <v>6670.52</v>
      </c>
      <c r="F18" s="120">
        <f>SUM(D18:E18)</f>
        <v>41778.520000000004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225500</v>
      </c>
      <c r="E19" s="123">
        <f>D19*0.19</f>
        <v>42845</v>
      </c>
      <c r="F19" s="120">
        <f>SUM(D19:E19)</f>
        <v>268345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37182</v>
      </c>
      <c r="E20" s="121">
        <f>D20*0.19</f>
        <v>7064.58</v>
      </c>
      <c r="F20" s="120">
        <f>SUM(D20:E20)</f>
        <v>44246.58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297790</v>
      </c>
      <c r="E21" s="116">
        <f>SUM(E18:E20)</f>
        <v>56580.100000000006</v>
      </c>
      <c r="F21" s="115">
        <f>SUM(F18:F20)</f>
        <v>354370.10000000003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66919.899999999994</v>
      </c>
    </row>
    <row r="41" spans="2:16" ht="15" thickBot="1" x14ac:dyDescent="0.35">
      <c r="H41" s="331" t="s">
        <v>62</v>
      </c>
      <c r="I41" s="332"/>
      <c r="J41" s="332"/>
      <c r="K41" s="332"/>
      <c r="L41" s="332"/>
      <c r="M41" s="333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650000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297790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322375.90921256039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322375.90921256039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2024-09-27T18:52:53Z</cp:lastPrinted>
  <dcterms:created xsi:type="dcterms:W3CDTF">2013-03-18T13:35:42Z</dcterms:created>
  <dcterms:modified xsi:type="dcterms:W3CDTF">2024-09-30T12:59:54Z</dcterms:modified>
</cp:coreProperties>
</file>