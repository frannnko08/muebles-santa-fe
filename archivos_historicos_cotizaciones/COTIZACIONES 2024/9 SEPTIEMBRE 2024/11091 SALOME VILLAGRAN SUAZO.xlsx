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3733B667-B67A-4071-99DA-790BAAE848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5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<sst xmlns="http://schemas.openxmlformats.org/spreadsheetml/2006/main" count="220" uniqueCount="166">
  <si>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</si>
  <si>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</si>
  <si>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</si>
  <si>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</si>
  <si>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</si>
  <si>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</si>
  <si>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</si>
  <si>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</si>
  <si>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</si>
  <si>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</si>
  <si>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</si>
  <si>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</si>
  <si>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</si>
  <si>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</si>
  <si>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</si>
  <si>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</si>
  <si>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</si>
  <si>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</si>
  <si>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</si>
  <si>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</si>
  <si>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</si>
  <si>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</si>
  <si>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</si>
  <si>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</si>
  <si>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</si>
  <si>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</si>
  <si>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</si>
  <si>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</si>
  <si>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</si>
  <si>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</si>
  <si>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</si>
  <si>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</si>
  <si>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</si>
  <si>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</si>
  <si>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</si>
  <si>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</si>
  <si>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</si>
  <si>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</si>
  <si>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</si>
  <si>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</si>
  <si>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</si>
  <si>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</si>
  <si>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</si>
  <si>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</si>
  <si>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</si>
  <si>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</si>
  <si>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</si>
  <si>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</si>
  <si>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</si>
  <si>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</si>
  <si>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</si>
  <si>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</si>
  <si>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</si>
  <si>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</si>
  <si>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</si>
  <si>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</si>
  <si>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</si>
  <si>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</si>
  <si>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</si>
  <si>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</si>
  <si>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</si>
  <si>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</si>
  <si>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</si>
  <si>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</si>
  <si>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</si>
  <si>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</si>
  <si>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</si>
  <si>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</si>
  <si>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</si>
  <si>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</si>
  <si>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</si>
  <si>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</si>
  <si>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</si>
  <si>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</si>
  <si>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</si>
  <si>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</si>
  <si>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</si>
  <si>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</si>
  <si>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</si>
  <si>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</si>
  <si>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</si>
  <si>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</si>
  <si>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</si>
  <si>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</si>
  <si>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</si>
  <si>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</si>
  <si>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</si>
  <si>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</si>
  <si>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</si>
  <si>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</si>
  <si>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</si>
  <si>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</si>
  <si>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</si>
  <si>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</si>
  <si>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</si>
  <si>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</si>
  <si>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</si>
  <si>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</si>
  <si>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</si>
  <si>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</si>
  <si>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</si>
  <si>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</si>
  <si>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</si>
  <si>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</si>
  <si>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</si>
  <si>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</si>
  <si>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</si>
  <si>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</si>
  <si>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</si>
  <si>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</si>
  <si>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</si>
  <si>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</si>
  <si>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</si>
  <si>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</si>
  <si>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</si>
  <si>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</si>
  <si>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</si>
  <si>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</si>
  <si>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</si>
  <si>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</si>
  <si>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</si>
  <si>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</si>
  <si>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</si>
  <si>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</si>
  <si>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</si>
  <si>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</si>
  <si>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</si>
  <si>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</si>
  <si>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</si>
  <si>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</si>
  <si>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</si>
  <si>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</si>
  <si>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</si>
  <si>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</si>
  <si>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</si>
  <si>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</si>
  <si>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</si>
  <si>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</si>
  <si>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</si>
  <si>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</si>
  <si>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</si>
  <si>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</si>
  <si>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</si>
  <si>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</si>
  <si>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</si>
  <si>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</si>
  <si>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</si>
  <si>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</si>
  <si>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</si>
  <si>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</si>
  <si>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</si>
  <si>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</si>
  <si>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</si>
  <si>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</si>
  <si>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</si>
  <si>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</si>
  <si>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</si>
  <si>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</si>
  <si>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</si>
  <si>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+569 9844 0365</t>
  </si>
  <si>
    <t>SALOME VILLAGRAN SUAZO</t>
  </si>
  <si>
    <t>N° 11091</t>
  </si>
  <si>
    <t>PR8</t>
  </si>
  <si>
    <t>HUMO 2108 MT</t>
  </si>
  <si>
    <t>5 DIAS HABILES</t>
  </si>
  <si>
    <t>TROZO DE LAMINA, VA DE REGALO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</si>
</sst>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ENCHAPAN</a:t>
          </a:r>
          <a:r>
            <a:rPr lang="es-CL" sz="1200" b="1" baseline="0"/>
            <a:t> CON TAPACANTO PVC 0,4MM LOS MAS PARECIDO A COLOR DE LA LAMINA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C24" sqref="C24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45541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6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61528.469373896522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8</v>
      </c>
      <c r="C21" s="323" t="s">
        <v>162</v>
      </c>
      <c r="D21" s="324">
        <v>0.69</v>
      </c>
      <c r="E21" s="324">
        <v>0.39800000000000002</v>
      </c>
      <c r="F21" s="327" t="s">
        <v>163</v>
      </c>
      <c r="G21" s="325">
        <v>21121</v>
      </c>
      <c r="H21" s="326">
        <f t="shared" ref="H21" si="1">G21*B21</f>
        <v>168968</v>
      </c>
      <c r="I21" s="265"/>
      <c r="J21" s="47"/>
      <c r="K21" s="317">
        <f>B21</f>
        <v>8</v>
      </c>
      <c r="L21" s="318">
        <f t="shared" ref="L21:M21" si="2">D21+L$19</f>
        <v>0.74</v>
      </c>
      <c r="M21" s="318">
        <f t="shared" si="2"/>
        <v>0.39800000000000002</v>
      </c>
      <c r="N21" s="261">
        <f>L21*M21</f>
        <v>0.29452</v>
      </c>
      <c r="O21" s="259">
        <f>N21*K21</f>
        <v>2.35616</v>
      </c>
      <c r="P21" s="252">
        <f>P$20*N21</f>
        <v>18121.364800000003</v>
      </c>
      <c r="Q21" s="258">
        <f>P21+Q$20</f>
        <v>21121.364800000003</v>
      </c>
      <c r="R21" s="308">
        <f>K21*L21</f>
        <v>5.92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2"/>
      <c r="H22" s="312"/>
      <c r="I22" s="265"/>
      <c r="J22" s="47"/>
      <c r="K22" s="317">
        <f t="shared" ref="K22" si="3">B22</f>
        <v>0</v>
      </c>
      <c r="L22" s="318"/>
      <c r="M22" s="318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 t="s">
        <v>165</v>
      </c>
      <c r="D23" s="287"/>
      <c r="E23" s="287"/>
      <c r="F23" s="286"/>
      <c r="G23" s="312"/>
      <c r="H23" s="312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168968</v>
      </c>
      <c r="I25" s="265"/>
      <c r="J25" s="47"/>
      <c r="K25" s="47"/>
      <c r="L25" s="39">
        <f>SUM(L21:L24)</f>
        <v>0.74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/>
      <c r="M26" s="12"/>
      <c r="N26" s="12"/>
      <c r="O26" s="253">
        <f>SUM(O21:O21)</f>
        <v>2.35616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168968</v>
      </c>
      <c r="I27" s="265"/>
      <c r="J27" s="47"/>
      <c r="K27" s="47"/>
      <c r="L27" s="39"/>
      <c r="M27" s="12"/>
      <c r="N27" s="12"/>
      <c r="O27" s="253">
        <f>O26</f>
        <v>2.35616</v>
      </c>
      <c r="P27" s="14"/>
      <c r="Q27" s="12"/>
      <c r="R27" s="238">
        <f>SUM(R21:R26)</f>
        <v>5.92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0.47123200000000004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4"/>
      <c r="K29" s="47"/>
      <c r="L29" s="14"/>
      <c r="M29" s="12"/>
      <c r="N29" s="12"/>
      <c r="O29" s="46">
        <f>O27+O28</f>
        <v>2.8273920000000001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4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2.8273920000000001</v>
      </c>
      <c r="M31" s="12">
        <v>3500</v>
      </c>
      <c r="N31" s="12">
        <f t="shared" ref="N31:N36" si="4">L31*M31</f>
        <v>9895.8720000000012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0.7</v>
      </c>
      <c r="M32" s="12">
        <v>40000</v>
      </c>
      <c r="N32" s="12">
        <f t="shared" si="4"/>
        <v>28000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4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3"/>
      <c r="K34" s="250"/>
      <c r="L34" s="14">
        <v>1</v>
      </c>
      <c r="M34" s="250">
        <v>28000</v>
      </c>
      <c r="N34" s="12">
        <f t="shared" si="4"/>
        <v>28000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3"/>
      <c r="K35" s="250"/>
      <c r="L35" s="249"/>
      <c r="M35" s="250">
        <v>800</v>
      </c>
      <c r="N35" s="12">
        <f t="shared" si="4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4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65895.872000000003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61660</v>
      </c>
      <c r="K38" s="250"/>
      <c r="L38" s="254" t="s">
        <v>35</v>
      </c>
      <c r="M38" s="12"/>
      <c r="N38" s="255">
        <f>N37*2.2</f>
        <v>144970.91840000002</v>
      </c>
      <c r="O38" s="14" t="s">
        <v>142</v>
      </c>
      <c r="P38" s="14"/>
      <c r="Q38" s="46">
        <f>O27/Q37</f>
        <v>0.63528904227782568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51815.126050420171</v>
      </c>
      <c r="K39" s="250"/>
      <c r="L39" s="14"/>
      <c r="M39" s="12"/>
      <c r="N39" s="12">
        <f>N38/O27</f>
        <v>61528.469373896522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0.61800918032786889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45541</v>
      </c>
    </row>
    <row r="6" spans="2:31" ht="16.2" thickBot="1" x14ac:dyDescent="0.35">
      <c r="B6" s="140" t="s">
        <v>2</v>
      </c>
      <c r="C6" s="139" t="str">
        <f>'2229'!C10</f>
        <v>SALOME VILLAGRAN SUAZO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11091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-9535.5935667874419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168968</v>
      </c>
      <c r="E11" s="132">
        <f>D11*0.19</f>
        <v>32103.920000000002</v>
      </c>
      <c r="F11" s="131">
        <f>E11+D11</f>
        <v>201071.92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96454.406433212556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67729.96278743961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78454.406433212556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101238.03721256039</v>
      </c>
      <c r="E13" s="221">
        <f>(D11/D12)-1</f>
        <v>1.4947304419800269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69454.406433212556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30454.406433212556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111754.43859927535</v>
      </c>
      <c r="F15" s="216">
        <f>E15-D12</f>
        <v>44024.475811835742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30454.406433212556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70454.406433212556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28000</v>
      </c>
      <c r="E19" s="123">
        <f>D19*0.19</f>
        <v>5320</v>
      </c>
      <c r="F19" s="120">
        <f>SUM(D19:E19)</f>
        <v>33320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9895.8720000000012</v>
      </c>
      <c r="E20" s="121">
        <f>D20*0.19</f>
        <v>1880.2156800000002</v>
      </c>
      <c r="F20" s="120">
        <f>SUM(D20:E20)</f>
        <v>11776.087680000001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37895.872000000003</v>
      </c>
      <c r="E21" s="116">
        <f>SUM(E18:E20)</f>
        <v>7200.2156800000002</v>
      </c>
      <c r="F21" s="115">
        <f>SUM(F18:F20)</f>
        <v>45096.087679999997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24903.704320000001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168968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37895.872000000003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101238.03721256039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101238.03721256039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2024-09-06T13:59:10Z</dcterms:modified>
</cp:coreProperties>
</file>