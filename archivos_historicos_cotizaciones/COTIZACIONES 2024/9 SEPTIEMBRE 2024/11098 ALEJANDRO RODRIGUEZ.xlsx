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5E624307-9CD4-4AB6-B128-AABDD5B8D1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L24" i="1"/>
  <c r="L23" i="1"/>
  <c r="L22" i="1"/>
  <c r="M22" i="1"/>
  <c r="M23" i="1"/>
  <c r="M24" i="1"/>
  <c r="M21" i="1"/>
  <c r="L21" i="1"/>
  <c r="H22" i="1"/>
  <c r="H23" i="1"/>
  <c r="H24" i="1"/>
  <c r="H21" i="1"/>
  <c r="N23" i="1" l="1"/>
  <c r="O23" i="1" s="1"/>
  <c r="N22" i="1"/>
  <c r="O22" i="1" s="1"/>
  <c r="N21" i="1"/>
  <c r="O21" i="1" s="1"/>
  <c r="J42" i="1"/>
  <c r="N24" i="1" l="1"/>
  <c r="O24" i="1" s="1"/>
  <c r="O28" i="1" s="1"/>
  <c r="S21" i="1"/>
  <c r="S27" i="1" s="1"/>
  <c r="S28" i="1" s="1"/>
  <c r="S29" i="1" s="1"/>
  <c r="R29" i="1"/>
  <c r="U35" i="1"/>
  <c r="U36" i="1" s="1"/>
  <c r="N34" i="1" l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N39" i="1" s="1"/>
  <c r="N40" i="1" s="1"/>
  <c r="Q40" i="1"/>
  <c r="D20" i="3" l="1"/>
  <c r="E20" i="3" s="1"/>
  <c r="E21" i="3" s="1"/>
  <c r="N41" i="1" l="1"/>
  <c r="D21" i="3"/>
  <c r="M43" i="3" s="1"/>
  <c r="D12" i="3" s="1"/>
  <c r="F20" i="3"/>
  <c r="F21" i="3" s="1"/>
  <c r="N42" i="1" l="1"/>
  <c r="P20" i="1"/>
  <c r="E15" i="3"/>
  <c r="P22" i="1" l="1"/>
  <c r="Q22" i="1" s="1"/>
  <c r="P23" i="1"/>
  <c r="Q23" i="1" s="1"/>
  <c r="P24" i="1"/>
  <c r="Q24" i="1" s="1"/>
  <c r="P21" i="1"/>
  <c r="Q21" i="1" s="1"/>
  <c r="F15" i="3"/>
  <c r="H27" i="1" l="1"/>
  <c r="H28" i="1" s="1"/>
  <c r="H29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<sst xmlns="http://schemas.openxmlformats.org/spreadsheetml/2006/main" count="237" uniqueCount="174">
  <si>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</si>
  <si>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</si>
  <si>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</si>
  <si>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</si>
  <si>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</si>
  <si>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</si>
  <si>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</si>
  <si>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</si>
  <si>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</si>
  <si>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</si>
  <si>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</si>
  <si>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</si>
  <si>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</si>
  <si>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</si>
  <si>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</si>
  <si>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</si>
  <si>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</si>
  <si>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</si>
  <si>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</si>
  <si>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</si>
  <si>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</si>
  <si>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</si>
  <si>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</si>
  <si>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</si>
  <si>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</si>
  <si>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</si>
  <si>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</si>
  <si>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</si>
  <si>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</si>
  <si>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</si>
  <si>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</si>
  <si>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</si>
  <si>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</si>
  <si>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</si>
  <si>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</si>
  <si>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</si>
  <si>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</si>
  <si>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</si>
  <si>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</si>
  <si>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</si>
  <si>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</si>
  <si>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</si>
  <si>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</si>
  <si>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</si>
  <si>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</si>
  <si>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</si>
  <si>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</si>
  <si>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</si>
  <si>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</si>
  <si>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</si>
  <si>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</si>
  <si>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</si>
  <si>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</si>
  <si>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</si>
  <si>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</si>
  <si>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</si>
  <si>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</si>
  <si>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</si>
  <si>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</si>
  <si>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</si>
  <si>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</si>
  <si>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</si>
  <si>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</si>
  <si>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</si>
  <si>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</si>
  <si>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</si>
  <si>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</si>
  <si>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</si>
  <si>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</si>
  <si>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</si>
  <si>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</si>
  <si>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</si>
  <si>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</si>
  <si>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</si>
  <si>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</si>
  <si>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</si>
  <si>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</si>
  <si>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</si>
  <si>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</si>
  <si>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</si>
  <si>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</si>
  <si>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</si>
  <si>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</si>
  <si>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</si>
  <si>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</si>
  <si>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</si>
  <si>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</si>
  <si>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</si>
  <si>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</si>
  <si>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</si>
  <si>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</si>
  <si>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</si>
  <si>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</si>
  <si>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</si>
  <si>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</si>
  <si>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</si>
  <si>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</si>
  <si>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</si>
  <si>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</si>
  <si>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</si>
  <si>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</si>
  <si>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</si>
  <si>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</si>
  <si>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</si>
  <si>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</si>
  <si>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</si>
  <si>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</si>
  <si>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</si>
  <si>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</si>
  <si>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</si>
  <si>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</si>
  <si>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</si>
  <si>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</si>
  <si>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</si>
  <si>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</si>
  <si>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</si>
  <si>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</si>
  <si>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</si>
  <si>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</si>
  <si>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</si>
  <si>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</si>
  <si>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</si>
  <si>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</si>
  <si>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</si>
  <si>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</si>
  <si>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</si>
  <si>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</si>
  <si>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</si>
  <si>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</si>
  <si>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</si>
  <si>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</si>
  <si>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</si>
  <si>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</si>
  <si>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</si>
  <si>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</si>
  <si>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</si>
  <si>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</si>
  <si>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</si>
  <si>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</si>
  <si>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</si>
  <si>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</si>
  <si>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</si>
  <si>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</si>
  <si>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</si>
  <si>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</si>
  <si>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</si>
  <si>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</si>
  <si>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</si>
  <si>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</si>
  <si>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</si>
  <si>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</si>
  <si>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</si>
  <si>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</si>
  <si>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</si>
  <si>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</si>
  <si>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</si>
  <si>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</si>
  <si>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</si>
  <si>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</si>
  <si>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</si>
  <si>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</si>
  <si>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</si>
  <si>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</si>
  <si>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</si>
  <si>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</si>
  <si>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</si>
  <si>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</si>
  <si>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lamitech</t>
  </si>
  <si>
    <t>SANTIAGO</t>
  </si>
  <si>
    <t>N° 11098</t>
  </si>
  <si>
    <t>ALEJANDRO RODRIGUEZ</t>
  </si>
  <si>
    <t>+569 8222 4604</t>
  </si>
  <si>
    <t>5 DIAS HABILES</t>
  </si>
  <si>
    <t>BLANCO MERINO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</si>
</sst>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26</xdr:row>
      <xdr:rowOff>9525</xdr:rowOff>
    </xdr:from>
    <xdr:to>
      <xdr:col>5</xdr:col>
      <xdr:colOff>1594096</xdr:colOff>
      <xdr:row>29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DESPACHAN CON SOBRE MEDIDA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3" zoomScale="93" zoomScaleNormal="93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170</v>
      </c>
      <c r="D10" s="243"/>
      <c r="E10" s="243"/>
      <c r="F10" s="244" t="s">
        <v>0</v>
      </c>
      <c r="G10" s="277">
        <v>45551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171</v>
      </c>
      <c r="D15" s="314"/>
      <c r="F15" t="s">
        <v>135</v>
      </c>
      <c r="G15" s="312" t="s">
        <v>136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168</v>
      </c>
      <c r="D17" s="317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57564.137931034493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4" t="s">
        <v>36</v>
      </c>
      <c r="D21" s="325">
        <v>2.1</v>
      </c>
      <c r="E21" s="325">
        <v>0.6</v>
      </c>
      <c r="F21" s="324" t="s">
        <v>173</v>
      </c>
      <c r="G21" s="326">
        <v>106955</v>
      </c>
      <c r="H21" s="326">
        <f>G21*B21</f>
        <v>106955</v>
      </c>
      <c r="I21" s="265"/>
      <c r="J21" s="47"/>
      <c r="K21" s="47"/>
      <c r="L21" s="39">
        <f>D21+L19</f>
        <v>2.15</v>
      </c>
      <c r="M21" s="39">
        <f>E21</f>
        <v>0.6</v>
      </c>
      <c r="N21" s="261">
        <f t="shared" ref="N21" si="1">L21*M21</f>
        <v>1.2899999999999998</v>
      </c>
      <c r="O21" s="259">
        <f t="shared" ref="O21" si="2">N21*K21</f>
        <v>0</v>
      </c>
      <c r="P21" s="252">
        <f t="shared" ref="P21" si="3">P$20*N21</f>
        <v>74257.737931034484</v>
      </c>
      <c r="Q21" s="327">
        <f t="shared" ref="Q21" si="4">P21+Q$20</f>
        <v>77257.737931034484</v>
      </c>
      <c r="R21" s="298"/>
      <c r="S21" s="46">
        <f>M21*2*K21</f>
        <v>0</v>
      </c>
      <c r="T21" s="9"/>
      <c r="W21" s="4"/>
    </row>
    <row r="22" spans="2:24" ht="17.399999999999999" x14ac:dyDescent="0.3">
      <c r="B22" s="324">
        <v>1</v>
      </c>
      <c r="C22" s="324" t="s">
        <v>36</v>
      </c>
      <c r="D22" s="325">
        <v>1.35</v>
      </c>
      <c r="E22" s="325">
        <v>0.6</v>
      </c>
      <c r="F22" s="324" t="s">
        <v>173</v>
      </c>
      <c r="G22" s="326">
        <v>70691</v>
      </c>
      <c r="H22" s="326">
        <f t="shared" ref="H22:H24" si="5">G22*B22</f>
        <v>70691</v>
      </c>
      <c r="I22" s="265"/>
      <c r="J22" s="47"/>
      <c r="K22" s="47"/>
      <c r="L22" s="39">
        <f>D22+L19</f>
        <v>1.4000000000000001</v>
      </c>
      <c r="M22" s="39">
        <f t="shared" ref="M22:M24" si="6">E22</f>
        <v>0.6</v>
      </c>
      <c r="N22" s="261">
        <f t="shared" ref="N22:N24" si="7">L22*M22</f>
        <v>0.84000000000000008</v>
      </c>
      <c r="O22" s="259">
        <f t="shared" ref="O22:O24" si="8">N22*K22</f>
        <v>0</v>
      </c>
      <c r="P22" s="252">
        <f t="shared" ref="P22:P24" si="9">P$20*N22</f>
        <v>48353.875862068977</v>
      </c>
      <c r="Q22" s="327">
        <f t="shared" ref="Q22:Q24" si="10">P22+Q$20</f>
        <v>51353.875862068977</v>
      </c>
      <c r="R22" s="298"/>
      <c r="S22" s="46"/>
      <c r="T22" s="9"/>
      <c r="W22" s="4"/>
    </row>
    <row r="23" spans="2:24" ht="17.399999999999999" x14ac:dyDescent="0.3">
      <c r="B23" s="324">
        <v>1</v>
      </c>
      <c r="C23" s="324" t="s">
        <v>36</v>
      </c>
      <c r="D23" s="325">
        <v>2.9</v>
      </c>
      <c r="E23" s="325">
        <v>0.5</v>
      </c>
      <c r="F23" s="324" t="s">
        <v>173</v>
      </c>
      <c r="G23" s="326">
        <v>87907</v>
      </c>
      <c r="H23" s="326">
        <f t="shared" si="5"/>
        <v>87907</v>
      </c>
      <c r="I23" s="265"/>
      <c r="J23" s="47"/>
      <c r="K23" s="47">
        <v>1</v>
      </c>
      <c r="L23" s="39">
        <f>D23+L19</f>
        <v>2.9499999999999997</v>
      </c>
      <c r="M23" s="39">
        <f t="shared" si="6"/>
        <v>0.5</v>
      </c>
      <c r="N23" s="261">
        <f t="shared" si="7"/>
        <v>1.4749999999999999</v>
      </c>
      <c r="O23" s="259">
        <f t="shared" si="8"/>
        <v>1.4749999999999999</v>
      </c>
      <c r="P23" s="252">
        <f t="shared" si="9"/>
        <v>84907.10344827587</v>
      </c>
      <c r="Q23" s="327">
        <f t="shared" si="10"/>
        <v>87907.10344827587</v>
      </c>
      <c r="R23" s="298"/>
      <c r="S23" s="46"/>
      <c r="T23" s="9"/>
      <c r="W23" s="4"/>
    </row>
    <row r="24" spans="2:24" ht="17.399999999999999" x14ac:dyDescent="0.3">
      <c r="B24" s="324">
        <v>1</v>
      </c>
      <c r="C24" s="324" t="s">
        <v>36</v>
      </c>
      <c r="D24" s="325">
        <v>1.35</v>
      </c>
      <c r="E24" s="325">
        <v>0.5</v>
      </c>
      <c r="F24" s="324" t="s">
        <v>173</v>
      </c>
      <c r="G24" s="326">
        <v>43295</v>
      </c>
      <c r="H24" s="326">
        <f t="shared" si="5"/>
        <v>43295</v>
      </c>
      <c r="I24" s="265"/>
      <c r="J24" s="47"/>
      <c r="K24" s="47">
        <v>1</v>
      </c>
      <c r="L24" s="39">
        <f>D24+L19</f>
        <v>1.4000000000000001</v>
      </c>
      <c r="M24" s="39">
        <f t="shared" si="6"/>
        <v>0.5</v>
      </c>
      <c r="N24" s="261">
        <f t="shared" si="7"/>
        <v>0.70000000000000007</v>
      </c>
      <c r="O24" s="259">
        <f t="shared" si="8"/>
        <v>0.70000000000000007</v>
      </c>
      <c r="P24" s="252">
        <f t="shared" si="9"/>
        <v>40294.896551724152</v>
      </c>
      <c r="Q24" s="327">
        <f t="shared" si="10"/>
        <v>43294.896551724152</v>
      </c>
      <c r="R24" s="298"/>
      <c r="S24" s="46"/>
      <c r="T24" s="9"/>
      <c r="W24" s="4"/>
    </row>
    <row r="25" spans="2:24" ht="17.399999999999999" x14ac:dyDescent="0.3">
      <c r="I25" s="265"/>
      <c r="J25" s="47"/>
      <c r="K25" s="47"/>
      <c r="L25" s="39"/>
      <c r="M25" s="39"/>
      <c r="N25" s="261"/>
      <c r="O25" s="259"/>
      <c r="P25" s="252"/>
      <c r="Q25" s="327"/>
      <c r="R25" s="298"/>
      <c r="S25" s="46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30"/>
      <c r="H26" s="331"/>
      <c r="I26" s="233"/>
      <c r="J26" s="47"/>
      <c r="K26" s="47"/>
      <c r="L26" s="39"/>
      <c r="M26" s="39"/>
      <c r="N26" s="261"/>
      <c r="O26" s="259"/>
      <c r="P26" s="252"/>
      <c r="Q26" s="258"/>
      <c r="R26" s="29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28" t="s">
        <v>29</v>
      </c>
      <c r="H27" s="329">
        <f>SUM(H21:H26)</f>
        <v>308848</v>
      </c>
      <c r="I27" s="265"/>
      <c r="J27" s="47">
        <v>2600000</v>
      </c>
      <c r="K27" s="47"/>
      <c r="L27" s="39">
        <f>SUM(L23:L26)</f>
        <v>4.3499999999999996</v>
      </c>
      <c r="M27" s="39"/>
      <c r="N27" s="261"/>
      <c r="O27" s="259"/>
      <c r="P27" s="252"/>
      <c r="Q27" s="258"/>
      <c r="R27" s="298"/>
      <c r="S27" s="46">
        <f>SUM(S21:S26)</f>
        <v>0</v>
      </c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297" t="s">
        <v>52</v>
      </c>
      <c r="H28" s="295">
        <f>H27*19%</f>
        <v>58681.120000000003</v>
      </c>
      <c r="I28" s="265"/>
      <c r="J28" s="47"/>
      <c r="K28" s="47"/>
      <c r="L28" s="39"/>
      <c r="M28" s="12"/>
      <c r="N28" s="12"/>
      <c r="O28" s="253">
        <f>SUM(O21:O24)</f>
        <v>2.1749999999999998</v>
      </c>
      <c r="P28" s="14"/>
      <c r="Q28" s="12"/>
      <c r="R28" s="239"/>
      <c r="S28" s="46">
        <f>S27*20%</f>
        <v>0</v>
      </c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296">
        <f>H27+H28</f>
        <v>367529.12</v>
      </c>
      <c r="I29" s="265"/>
      <c r="J29" s="47"/>
      <c r="K29" s="47"/>
      <c r="L29" s="39"/>
      <c r="M29" s="12"/>
      <c r="N29" s="12"/>
      <c r="O29" s="253">
        <f>O28</f>
        <v>2.1749999999999998</v>
      </c>
      <c r="P29" s="14"/>
      <c r="Q29" s="12"/>
      <c r="R29" s="239">
        <f>SUM(R21:R28)</f>
        <v>0</v>
      </c>
      <c r="S29" s="46">
        <f>S27+S28</f>
        <v>0</v>
      </c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0.435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2.61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03" t="s">
        <v>22</v>
      </c>
      <c r="U32" s="300" t="s">
        <v>153</v>
      </c>
      <c r="V32" s="304">
        <v>44971</v>
      </c>
      <c r="W32" s="305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</f>
        <v>2.61</v>
      </c>
      <c r="M33" s="12">
        <v>3500</v>
      </c>
      <c r="N33" s="12">
        <f t="shared" ref="N33:N38" si="11">L33*M33</f>
        <v>9135</v>
      </c>
      <c r="O33" s="14" t="s">
        <v>22</v>
      </c>
      <c r="P33" s="14"/>
      <c r="Q33" s="14"/>
      <c r="R33" s="241"/>
      <c r="S33" s="14"/>
      <c r="T33" s="303" t="s">
        <v>154</v>
      </c>
      <c r="U33" s="300">
        <v>3625</v>
      </c>
      <c r="V33" s="59" t="s">
        <v>155</v>
      </c>
      <c r="W33" s="305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 t="s">
        <v>167</v>
      </c>
      <c r="K34" s="47"/>
      <c r="L34" s="249">
        <v>0.75</v>
      </c>
      <c r="M34" s="12">
        <v>25000</v>
      </c>
      <c r="N34" s="12">
        <f t="shared" si="11"/>
        <v>18750</v>
      </c>
      <c r="O34" s="39" t="s">
        <v>32</v>
      </c>
      <c r="P34" s="42"/>
      <c r="Q34" s="14"/>
      <c r="R34" s="240"/>
      <c r="S34" s="14"/>
      <c r="T34" s="303"/>
      <c r="U34" s="59">
        <v>906.25</v>
      </c>
      <c r="V34" s="59" t="s">
        <v>156</v>
      </c>
      <c r="W34" s="305"/>
    </row>
    <row r="35" spans="2:23" s="230" customFormat="1" ht="17.399999999999999" x14ac:dyDescent="0.35">
      <c r="I35" s="262"/>
      <c r="J35" s="232">
        <v>40754</v>
      </c>
      <c r="K35" s="250">
        <v>34989</v>
      </c>
      <c r="L35" s="14"/>
      <c r="M35" s="250">
        <v>61840</v>
      </c>
      <c r="N35" s="12">
        <f t="shared" si="11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05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>
        <v>26644</v>
      </c>
      <c r="K36" s="250">
        <v>22025</v>
      </c>
      <c r="L36" s="14">
        <v>1</v>
      </c>
      <c r="M36" s="250">
        <v>22500</v>
      </c>
      <c r="N36" s="12">
        <f t="shared" si="11"/>
        <v>22500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05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11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294"/>
      <c r="K38" s="250"/>
      <c r="L38" s="266">
        <v>4.3499999999999996</v>
      </c>
      <c r="M38" s="12">
        <v>1500</v>
      </c>
      <c r="N38" s="12">
        <f t="shared" si="11"/>
        <v>6524.9999999999991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56910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125202.00000000001</v>
      </c>
      <c r="O40" s="14" t="s">
        <v>141</v>
      </c>
      <c r="P40" s="14"/>
      <c r="Q40" s="40">
        <f>O31/Q39</f>
        <v>0.70373166522864539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55470</v>
      </c>
      <c r="K41" s="250"/>
      <c r="L41" s="14"/>
      <c r="M41" s="12"/>
      <c r="N41" s="12">
        <f>N40/O29</f>
        <v>57564.137931034493</v>
      </c>
      <c r="O41" s="45" t="s">
        <v>25</v>
      </c>
      <c r="P41" s="14"/>
      <c r="Q41" s="14"/>
      <c r="R41"/>
      <c r="S41" s="238"/>
      <c r="T41" s="59" t="s">
        <v>159</v>
      </c>
      <c r="U41" s="300">
        <v>43650</v>
      </c>
    </row>
    <row r="42" spans="2:23" s="230" customFormat="1" ht="17.399999999999999" x14ac:dyDescent="0.35">
      <c r="G42"/>
      <c r="H42" s="230" t="s">
        <v>165</v>
      </c>
      <c r="J42" s="230">
        <f>J41/1.19</f>
        <v>46613.445378151264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161</v>
      </c>
      <c r="U42" s="301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02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157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45551</v>
      </c>
    </row>
    <row r="6" spans="2:31" ht="16.2" thickBot="1" x14ac:dyDescent="0.35">
      <c r="B6" s="140" t="s">
        <v>2</v>
      </c>
      <c r="C6" s="139" t="str">
        <f>'2229'!C10</f>
        <v>ALEJANDRO RODRIGUEZ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11098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-35601.916700120775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308848</v>
      </c>
      <c r="E11" s="132">
        <f>D11*0.19</f>
        <v>58681.120000000003</v>
      </c>
      <c r="F11" s="131">
        <f>E11+D11</f>
        <v>367529.12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70388.083299879218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57719.090787439614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52388.083299879225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251128.90921256039</v>
      </c>
      <c r="E13" s="221">
        <f>(D11/D12)-1</f>
        <v>4.3508812385383093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43388.083299879225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4388.0832998792248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95236.499799275363</v>
      </c>
      <c r="F15" s="216">
        <f>E15-D12</f>
        <v>37517.409011835749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4388.0832998792248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44388.083299879225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18750</v>
      </c>
      <c r="E19" s="123">
        <f>D19*0.19</f>
        <v>3562.5</v>
      </c>
      <c r="F19" s="120">
        <f>SUM(D19:E19)</f>
        <v>22312.5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9135</v>
      </c>
      <c r="E20" s="121">
        <f>D20*0.19</f>
        <v>1735.65</v>
      </c>
      <c r="F20" s="120">
        <f>SUM(D20:E20)</f>
        <v>10870.65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27885</v>
      </c>
      <c r="E21" s="116">
        <f>SUM(E18:E20)</f>
        <v>5298.15</v>
      </c>
      <c r="F21" s="115">
        <f>SUM(F18:F20)</f>
        <v>33183.15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53382.97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308848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27885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251128.90921256039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251128.90921256039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2024-09-16T15:42:25Z</dcterms:modified>
</cp:coreProperties>
</file>