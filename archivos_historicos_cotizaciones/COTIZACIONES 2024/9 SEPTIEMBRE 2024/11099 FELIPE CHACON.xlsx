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BEEF0C96-E688-41E5-8D8B-422C17A70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M21" i="1"/>
  <c r="L21" i="1"/>
  <c r="H21" i="1"/>
  <c r="N21" i="1" l="1"/>
  <c r="O21" i="1" s="1"/>
  <c r="J39" i="1"/>
  <c r="O25" i="1" l="1"/>
  <c r="S21" i="1"/>
  <c r="S24" i="1" s="1"/>
  <c r="S25" i="1" s="1"/>
  <c r="S26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Q21" i="1" s="1"/>
  <c r="F15" i="3"/>
  <c r="H24" i="1" l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<sst xmlns="http://schemas.openxmlformats.org/spreadsheetml/2006/main" count="231" uniqueCount="174">
  <si>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</si>
  <si>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</si>
  <si>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</si>
  <si>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</si>
  <si>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</si>
  <si>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</si>
  <si>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</si>
  <si>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</si>
  <si>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</si>
  <si>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</si>
  <si>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</si>
  <si>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</si>
  <si>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</si>
  <si>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</si>
  <si>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</si>
  <si>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</si>
  <si>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</si>
  <si>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</si>
  <si>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</si>
  <si>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</si>
  <si>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</si>
  <si>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</si>
  <si>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</si>
  <si>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</si>
  <si>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</si>
  <si>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</si>
  <si>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</si>
  <si>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</si>
  <si>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</si>
  <si>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</si>
  <si>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</si>
  <si>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</si>
  <si>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</si>
  <si>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</si>
  <si>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</si>
  <si>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</si>
  <si>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</si>
  <si>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</si>
  <si>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</si>
  <si>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</si>
  <si>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</si>
  <si>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</si>
  <si>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</si>
  <si>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</si>
  <si>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</si>
  <si>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</si>
  <si>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</si>
  <si>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</si>
  <si>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</si>
  <si>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</si>
  <si>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</si>
  <si>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</si>
  <si>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</si>
  <si>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</si>
  <si>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</si>
  <si>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</si>
  <si>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</si>
  <si>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</si>
  <si>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</si>
  <si>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</si>
  <si>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</si>
  <si>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</si>
  <si>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</si>
  <si>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</si>
  <si>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</si>
  <si>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</si>
  <si>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</si>
  <si>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</si>
  <si>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</si>
  <si>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</si>
  <si>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</si>
  <si>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</si>
  <si>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</si>
  <si>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</si>
  <si>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</si>
  <si>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</si>
  <si>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</si>
  <si>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</si>
  <si>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</si>
  <si>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</si>
  <si>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</si>
  <si>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</si>
  <si>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</si>
  <si>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</si>
  <si>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</si>
  <si>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</si>
  <si>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</si>
  <si>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</si>
  <si>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</si>
  <si>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</si>
  <si>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</si>
  <si>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</si>
  <si>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</si>
  <si>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</si>
  <si>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</si>
  <si>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</si>
  <si>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</si>
  <si>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</si>
  <si>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</si>
  <si>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</si>
  <si>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</si>
  <si>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</si>
  <si>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</si>
  <si>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</si>
  <si>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</si>
  <si>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</si>
  <si>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</si>
  <si>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</si>
  <si>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</si>
  <si>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</si>
  <si>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</si>
  <si>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</si>
  <si>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</si>
  <si>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</si>
  <si>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</si>
  <si>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</si>
  <si>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</si>
  <si>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</si>
  <si>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</si>
  <si>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</si>
  <si>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</si>
  <si>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</si>
  <si>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</si>
  <si>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</si>
  <si>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</si>
  <si>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</si>
  <si>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</si>
  <si>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</si>
  <si>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</si>
  <si>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</si>
  <si>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</si>
  <si>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</si>
  <si>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</si>
  <si>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</si>
  <si>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</si>
  <si>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</si>
  <si>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</si>
  <si>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</si>
  <si>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</si>
  <si>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</si>
  <si>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</si>
  <si>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</si>
  <si>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</si>
  <si>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</si>
  <si>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</si>
  <si>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</si>
  <si>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</si>
  <si>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</si>
  <si>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</si>
  <si>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</si>
  <si>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</si>
  <si>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</si>
  <si>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</si>
  <si>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</si>
  <si>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</si>
  <si>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</si>
  <si>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</si>
  <si>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</si>
  <si>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</si>
  <si>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</si>
  <si>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</si>
  <si>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</si>
  <si>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</si>
  <si>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</si>
  <si>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</si>
  <si>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</si>
  <si>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</si>
  <si>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</si>
  <si>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</si>
  <si>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5 DIAS HABILES</t>
  </si>
  <si>
    <t>N° 11099</t>
  </si>
  <si>
    <t>FELIPE CHACON</t>
  </si>
  <si>
    <t>+569 7468 8362</t>
  </si>
  <si>
    <t>ROBLE NATURAL 1802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</si>
</sst>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171</v>
      </c>
      <c r="D10" s="243"/>
      <c r="E10" s="243"/>
      <c r="F10" s="244" t="s">
        <v>0</v>
      </c>
      <c r="G10" s="277">
        <v>45558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60401.290322580644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2</v>
      </c>
      <c r="C21" s="324" t="s">
        <v>36</v>
      </c>
      <c r="D21" s="325">
        <v>1.5</v>
      </c>
      <c r="E21" s="325">
        <v>0.55000000000000004</v>
      </c>
      <c r="F21" s="324" t="s">
        <v>173</v>
      </c>
      <c r="G21" s="326">
        <v>54492</v>
      </c>
      <c r="H21" s="326">
        <f>G21*B21</f>
        <v>108984</v>
      </c>
      <c r="I21" s="265"/>
      <c r="J21" s="47"/>
      <c r="K21" s="47">
        <v>2</v>
      </c>
      <c r="L21" s="39">
        <f>D21+L19</f>
        <v>1.55</v>
      </c>
      <c r="M21" s="39">
        <f>E21</f>
        <v>0.55000000000000004</v>
      </c>
      <c r="N21" s="261">
        <f t="shared" ref="N21" si="1">L21*M21</f>
        <v>0.85250000000000015</v>
      </c>
      <c r="O21" s="259">
        <f t="shared" ref="O21" si="2">N21*K21</f>
        <v>1.7050000000000003</v>
      </c>
      <c r="P21" s="252">
        <f t="shared" ref="P21" si="3">P$20*N21</f>
        <v>51492.100000000006</v>
      </c>
      <c r="Q21" s="327">
        <f t="shared" ref="Q21" si="4">P21+Q$20</f>
        <v>54492.100000000006</v>
      </c>
      <c r="R21" s="298"/>
      <c r="S21" s="46">
        <f>M21*2*K21</f>
        <v>2.2000000000000002</v>
      </c>
      <c r="T21" s="9"/>
      <c r="W21" s="4"/>
    </row>
    <row r="22" spans="2:24" ht="17.399999999999999" x14ac:dyDescent="0.3">
      <c r="I22" s="265"/>
      <c r="J22" s="47"/>
      <c r="K22" s="47"/>
      <c r="L22" s="39"/>
      <c r="M22" s="39"/>
      <c r="N22" s="261"/>
      <c r="O22" s="259"/>
      <c r="P22" s="252"/>
      <c r="Q22" s="327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1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8" t="s">
        <v>29</v>
      </c>
      <c r="H24" s="329">
        <f>SUM(H21:H23)</f>
        <v>108984</v>
      </c>
      <c r="I24" s="265"/>
      <c r="J24" s="47">
        <v>2600000</v>
      </c>
      <c r="K24" s="47"/>
      <c r="L24" s="39">
        <f>SUM(L22:L23)</f>
        <v>0</v>
      </c>
      <c r="M24" s="39"/>
      <c r="N24" s="261"/>
      <c r="O24" s="259"/>
      <c r="P24" s="252"/>
      <c r="Q24" s="258"/>
      <c r="R24" s="298"/>
      <c r="S24" s="46">
        <f>SUM(S21:S23)</f>
        <v>2.2000000000000002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20706.96</v>
      </c>
      <c r="I25" s="265"/>
      <c r="J25" s="47"/>
      <c r="K25" s="47"/>
      <c r="L25" s="39"/>
      <c r="M25" s="12"/>
      <c r="N25" s="12"/>
      <c r="O25" s="253">
        <f>SUM(O21:O21)</f>
        <v>1.7050000000000003</v>
      </c>
      <c r="P25" s="14"/>
      <c r="Q25" s="12"/>
      <c r="R25" s="239"/>
      <c r="S25" s="46">
        <f>S24*20%</f>
        <v>0.44000000000000006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129690.95999999999</v>
      </c>
      <c r="I26" s="265"/>
      <c r="J26" s="47"/>
      <c r="K26" s="47"/>
      <c r="L26" s="39"/>
      <c r="M26" s="12"/>
      <c r="N26" s="12"/>
      <c r="O26" s="253">
        <f>O25</f>
        <v>1.7050000000000003</v>
      </c>
      <c r="P26" s="14"/>
      <c r="Q26" s="12"/>
      <c r="R26" s="239">
        <f>SUM(R21:R25)</f>
        <v>0</v>
      </c>
      <c r="S26" s="46">
        <f>S24+S25</f>
        <v>2.64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0.34100000000000008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2.0460000000000003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2.0460000000000003</v>
      </c>
      <c r="M30" s="12">
        <v>3500</v>
      </c>
      <c r="N30" s="12">
        <f t="shared" ref="N30:N35" si="5">L30*M30</f>
        <v>7161.0000000000009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0.6</v>
      </c>
      <c r="M31" s="12">
        <v>25000</v>
      </c>
      <c r="N31" s="12">
        <f t="shared" si="5"/>
        <v>15000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399999999999999" x14ac:dyDescent="0.35">
      <c r="I32" s="262"/>
      <c r="J32" s="232">
        <v>23210</v>
      </c>
      <c r="K32" s="250">
        <v>34989</v>
      </c>
      <c r="L32" s="14"/>
      <c r="M32" s="250">
        <v>61840</v>
      </c>
      <c r="N32" s="12">
        <f t="shared" si="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>
        <v>26644</v>
      </c>
      <c r="K33" s="250">
        <v>22025</v>
      </c>
      <c r="L33" s="14">
        <v>1</v>
      </c>
      <c r="M33" s="250">
        <v>20000</v>
      </c>
      <c r="N33" s="12">
        <f t="shared" si="5"/>
        <v>20000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3.1</v>
      </c>
      <c r="M35" s="12">
        <v>1500</v>
      </c>
      <c r="N35" s="12">
        <f t="shared" si="5"/>
        <v>4650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46811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102984.20000000001</v>
      </c>
      <c r="O37" s="14" t="s">
        <v>141</v>
      </c>
      <c r="P37" s="14"/>
      <c r="Q37" s="40">
        <f>O28/Q36</f>
        <v>0.55166091458153588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23210</v>
      </c>
      <c r="K38" s="250"/>
      <c r="L38" s="14"/>
      <c r="M38" s="12"/>
      <c r="N38" s="12">
        <f>N37/O26</f>
        <v>60401.290322580644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19504.201680672271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45558</v>
      </c>
    </row>
    <row r="6" spans="2:31" ht="16.2" thickBot="1" x14ac:dyDescent="0.35">
      <c r="B6" s="140" t="s">
        <v>2</v>
      </c>
      <c r="C6" s="139" t="str">
        <f>'2229'!C10</f>
        <v>FELIPE CHACON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11099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-3865.3500334541072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108984</v>
      </c>
      <c r="E11" s="132">
        <f>D11*0.19</f>
        <v>20706.96</v>
      </c>
      <c r="F11" s="131">
        <f>E11+D11</f>
        <v>129690.95999999999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102124.6499665459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51995.090787439614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84124.649966545898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56988.909212560386</v>
      </c>
      <c r="E13" s="221">
        <f>(D11/D12)-1</f>
        <v>1.0960440370329563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75124.649966545898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36124.64996654589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85791.899799275358</v>
      </c>
      <c r="F15" s="216">
        <f>E15-D12</f>
        <v>33796.809011835743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36124.64996654589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76124.649966545898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7161.0000000000009</v>
      </c>
      <c r="E20" s="121">
        <f>D20*0.19</f>
        <v>1360.5900000000001</v>
      </c>
      <c r="F20" s="120">
        <f>SUM(D20:E20)</f>
        <v>8521.59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22161</v>
      </c>
      <c r="E21" s="116">
        <f>SUM(E18:E20)</f>
        <v>4210.59</v>
      </c>
      <c r="F21" s="115">
        <f>SUM(F18:F20)</f>
        <v>26371.59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16496.37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108984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22161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56988.909212560386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56988.909212560386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2024-09-23T13:01:00Z</dcterms:modified>
</cp:coreProperties>
</file>