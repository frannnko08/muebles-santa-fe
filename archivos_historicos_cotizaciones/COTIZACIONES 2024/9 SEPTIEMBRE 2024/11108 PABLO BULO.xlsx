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0894F300-AFFD-46F2-BD97-48402E443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K21" i="1"/>
  <c r="K10" i="1" l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s="1"/>
  <c r="H26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<sst xmlns="http://schemas.openxmlformats.org/spreadsheetml/2006/main" count="219" uniqueCount="166">
  <si>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</si>
  <si>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</si>
  <si>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</si>
  <si>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</si>
  <si>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</si>
  <si>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</si>
  <si>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</si>
  <si>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</si>
  <si>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</si>
  <si>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</si>
  <si>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</si>
  <si>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</si>
  <si>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</si>
  <si>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</si>
  <si>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</si>
  <si>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</si>
  <si>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</si>
  <si>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</si>
  <si>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</si>
  <si>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</si>
  <si>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</si>
  <si>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</si>
  <si>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</si>
  <si>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</si>
  <si>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</si>
  <si>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</si>
  <si>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</si>
  <si>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</si>
  <si>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</si>
  <si>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</si>
  <si>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</si>
  <si>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</si>
  <si>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</si>
  <si>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</si>
  <si>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</si>
  <si>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</si>
  <si>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</si>
  <si>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</si>
  <si>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</si>
  <si>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</si>
  <si>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</si>
  <si>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</si>
  <si>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</si>
  <si>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</si>
  <si>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</si>
  <si>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</si>
  <si>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</si>
  <si>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</si>
  <si>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</si>
  <si>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</si>
  <si>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</si>
  <si>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</si>
  <si>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</si>
  <si>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</si>
  <si>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</si>
  <si>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</si>
  <si>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</si>
  <si>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</si>
  <si>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</si>
  <si>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</si>
  <si>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</si>
  <si>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</si>
  <si>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</si>
  <si>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</si>
  <si>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</si>
  <si>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</si>
  <si>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</si>
  <si>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</si>
  <si>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</si>
  <si>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</si>
  <si>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</si>
  <si>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</si>
  <si>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</si>
  <si>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</si>
  <si>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</si>
  <si>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</si>
  <si>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</si>
  <si>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</si>
  <si>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</si>
  <si>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</si>
  <si>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</si>
  <si>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</si>
  <si>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</si>
  <si>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</si>
  <si>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</si>
  <si>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</si>
  <si>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</si>
  <si>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</si>
  <si>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</si>
  <si>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</si>
  <si>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</si>
  <si>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</si>
  <si>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</si>
  <si>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</si>
  <si>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</si>
  <si>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</si>
  <si>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</si>
  <si>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</si>
  <si>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</si>
  <si>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</si>
  <si>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</si>
  <si>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</si>
  <si>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</si>
  <si>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</si>
  <si>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</si>
  <si>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</si>
  <si>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</si>
  <si>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</si>
  <si>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</si>
  <si>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</si>
  <si>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</si>
  <si>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</si>
  <si>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</si>
  <si>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</si>
  <si>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</si>
  <si>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</si>
  <si>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</si>
  <si>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</si>
  <si>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</si>
  <si>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</si>
  <si>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</si>
  <si>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</si>
  <si>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</si>
  <si>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</si>
  <si>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</si>
  <si>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</si>
  <si>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</si>
  <si>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</si>
  <si>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</si>
  <si>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</si>
  <si>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</si>
  <si>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</si>
  <si>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</si>
  <si>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</si>
  <si>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</si>
  <si>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</si>
  <si>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</si>
  <si>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</si>
  <si>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</si>
  <si>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</si>
  <si>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</si>
  <si>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</si>
  <si>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</si>
  <si>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</si>
  <si>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</si>
  <si>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</si>
  <si>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</si>
  <si>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</si>
  <si>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</si>
  <si>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</si>
  <si>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</si>
  <si>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</si>
  <si>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</si>
  <si>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</si>
  <si>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</si>
  <si>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</si>
  <si>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</si>
  <si>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</si>
  <si>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</si>
  <si>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FRENTE CAJON PR8</t>
  </si>
  <si>
    <t>BLANCO 2125 MT</t>
  </si>
  <si>
    <t>N° 11108</t>
  </si>
  <si>
    <t>PABLO BULO</t>
  </si>
  <si>
    <t>+569 50913796</t>
  </si>
  <si>
    <t>10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</si>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</sst>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</a:t>
          </a:r>
          <a:r>
            <a:rPr lang="es-CL" sz="1200" b="1" baseline="0"/>
            <a:t> ENCHAPADAS CON TAPACANTO PVC 0,4MM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7" zoomScale="98" zoomScaleNormal="98" workbookViewId="0">
      <selection activeCell="A34" sqref="A34"/>
    </sheetView>
  </sheetViews>
  <sheetFormatPr baseColWidth="10" defaultRowHeight="14.4" x14ac:dyDescent="0.3"/>
  <cols>
    <col min="1" max="1" width="6" customWidth="1"/>
    <col min="2" max="2" width="10.5546875" customWidth="1"/>
    <col min="3" max="3" width="32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162</v>
      </c>
      <c r="D10" s="243"/>
      <c r="E10" s="243"/>
      <c r="F10" s="244" t="s">
        <v>0</v>
      </c>
      <c r="G10" s="277">
        <v>45561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2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22"/>
      <c r="F14" s="29" t="s">
        <v>138</v>
      </c>
      <c r="G14" s="291" t="s">
        <v>165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2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24" t="s">
        <v>158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6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80159.259259259241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0">
        <v>8</v>
      </c>
      <c r="C21" s="320" t="s">
        <v>159</v>
      </c>
      <c r="D21" s="325">
        <v>0.7</v>
      </c>
      <c r="E21" s="325">
        <v>0.45</v>
      </c>
      <c r="F21" s="320" t="s">
        <v>160</v>
      </c>
      <c r="G21" s="326">
        <v>122</v>
      </c>
      <c r="H21" s="319">
        <f t="shared" ref="H21" si="1">G21*B21</f>
        <v>976</v>
      </c>
      <c r="I21" s="265"/>
      <c r="J21" s="47"/>
      <c r="K21" s="314">
        <f>B21</f>
        <v>8</v>
      </c>
      <c r="L21" s="315">
        <f t="shared" ref="L21:M21" si="2">D21+L$19</f>
        <v>0.75</v>
      </c>
      <c r="M21" s="315">
        <f t="shared" si="2"/>
        <v>0.45</v>
      </c>
      <c r="N21" s="261">
        <f>L21*M21</f>
        <v>0.33750000000000002</v>
      </c>
      <c r="O21" s="259">
        <f>N21*K21</f>
        <v>2.7</v>
      </c>
      <c r="P21" s="252">
        <f>P$20*N21</f>
        <v>27053.749999999996</v>
      </c>
      <c r="Q21" s="258">
        <f>P21+Q$20</f>
        <v>30053.749999999996</v>
      </c>
      <c r="R21" s="306">
        <f>K21*L21</f>
        <v>6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0"/>
      <c r="H22" s="310"/>
      <c r="I22" s="265"/>
      <c r="J22" s="47"/>
      <c r="K22" s="47"/>
      <c r="L22" s="39"/>
      <c r="M22" s="39"/>
      <c r="N22" s="261"/>
      <c r="O22" s="259"/>
      <c r="P22" s="252"/>
      <c r="Q22" s="258"/>
      <c r="R22" s="306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6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7" t="s">
        <v>30</v>
      </c>
      <c r="H24" s="308">
        <f>SUM(H21:H23)</f>
        <v>976</v>
      </c>
      <c r="I24" s="265"/>
      <c r="J24" s="47"/>
      <c r="K24" s="47"/>
      <c r="L24" s="39">
        <f>SUM(L21:L23)</f>
        <v>0.75</v>
      </c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5" t="s">
        <v>53</v>
      </c>
      <c r="H25" s="303">
        <f>H24*19%</f>
        <v>185.44</v>
      </c>
      <c r="I25" s="265"/>
      <c r="J25" s="47"/>
      <c r="K25" s="47"/>
      <c r="L25" s="39"/>
      <c r="M25" s="12"/>
      <c r="N25" s="12"/>
      <c r="O25" s="253">
        <f>SUM(O21:O21)</f>
        <v>2.7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4">
        <f>H24+H25</f>
        <v>1161.44</v>
      </c>
      <c r="I26" s="265"/>
      <c r="J26" s="47"/>
      <c r="K26" s="47"/>
      <c r="L26" s="39"/>
      <c r="M26" s="12"/>
      <c r="N26" s="12"/>
      <c r="O26" s="253">
        <f>O25</f>
        <v>2.7</v>
      </c>
      <c r="P26" s="14"/>
      <c r="Q26" s="12"/>
      <c r="R26" s="238">
        <f>SUM(R21:R25)</f>
        <v>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0.54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2"/>
      <c r="K28" s="47"/>
      <c r="L28" s="14"/>
      <c r="M28" s="12"/>
      <c r="N28" s="12"/>
      <c r="O28" s="46">
        <f>O26+O27</f>
        <v>3.24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2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O28*2</f>
        <v>6.48</v>
      </c>
      <c r="M30" s="12">
        <v>3500</v>
      </c>
      <c r="N30" s="12">
        <f t="shared" ref="N30:N35" si="3">L30*M30</f>
        <v>22680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25000</v>
      </c>
      <c r="N31" s="12">
        <f t="shared" si="3"/>
        <v>25000</v>
      </c>
      <c r="O31" s="39" t="s">
        <v>155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72639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1"/>
      <c r="K33" s="250"/>
      <c r="L33" s="14">
        <v>2</v>
      </c>
      <c r="M33" s="250">
        <v>23210</v>
      </c>
      <c r="N33" s="12">
        <f t="shared" si="3"/>
        <v>46420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1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2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I36" s="230" t="s">
        <v>157</v>
      </c>
      <c r="J36" s="47"/>
      <c r="K36" s="250"/>
      <c r="L36" s="14"/>
      <c r="M36" s="12"/>
      <c r="N36" s="12">
        <f>SUM(N30:N35)</f>
        <v>94100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56720</v>
      </c>
      <c r="K37" s="250"/>
      <c r="L37" s="254" t="s">
        <v>35</v>
      </c>
      <c r="M37" s="12"/>
      <c r="N37" s="255">
        <f>N36*2.3</f>
        <v>216429.99999999997</v>
      </c>
      <c r="O37" s="14" t="s">
        <v>142</v>
      </c>
      <c r="P37" s="14"/>
      <c r="Q37" s="46">
        <f>O26/Q36</f>
        <v>0.72799827437446074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47663.865546218491</v>
      </c>
      <c r="K38" s="250"/>
      <c r="L38" s="14"/>
      <c r="M38" s="12"/>
      <c r="N38" s="12">
        <f>N37/O26</f>
        <v>80159.259259259241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2.2999999999999998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0.70819672131147537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45561</v>
      </c>
    </row>
    <row r="6" spans="2:31" ht="16.2" thickBot="1" x14ac:dyDescent="0.35">
      <c r="B6" s="140" t="s">
        <v>2</v>
      </c>
      <c r="C6" s="139" t="str">
        <f>'2229'!C10</f>
        <v>PABLO BULO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21153.708299879225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976</v>
      </c>
      <c r="E11" s="132">
        <f>D11*0.19</f>
        <v>185.44</v>
      </c>
      <c r="F11" s="131">
        <f>E11+D11</f>
        <v>1161.44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127143.70829987922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77514.090787439607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109143.70829987922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-76538.090787439607</v>
      </c>
      <c r="E13" s="221">
        <f>(D11/D12)-1</f>
        <v>-0.98740874091297282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100143.70829987922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61143.708299879225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127898.24979927535</v>
      </c>
      <c r="F15" s="216">
        <f>E15-D12</f>
        <v>50384.159011835742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61143.708299879225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101143.70829987922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22680</v>
      </c>
      <c r="E20" s="121">
        <f>D20*0.19</f>
        <v>4309.2</v>
      </c>
      <c r="F20" s="120">
        <f>SUM(D20:E20)</f>
        <v>26989.200000000001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47680</v>
      </c>
      <c r="E21" s="116">
        <f>SUM(E18:E20)</f>
        <v>9059.2000000000007</v>
      </c>
      <c r="F21" s="115">
        <f>SUM(F18:F20)</f>
        <v>56739.199999999997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-8873.76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976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47680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-76538.090787439607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-76538.090787439607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2024-09-26T19:44:58Z</dcterms:modified>
</cp:coreProperties>
</file>