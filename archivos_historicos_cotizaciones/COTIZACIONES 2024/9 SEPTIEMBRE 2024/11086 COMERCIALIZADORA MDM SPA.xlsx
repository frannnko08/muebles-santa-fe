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4F87C55B-8812-422F-8216-B8F117CD4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1" i="1"/>
  <c r="K23" i="1"/>
  <c r="H22" i="1" l="1"/>
  <c r="L22" i="1"/>
  <c r="R22" i="1" s="1"/>
  <c r="M22" i="1"/>
  <c r="N22" i="1" l="1"/>
  <c r="O22" i="1"/>
  <c r="K10" i="1" l="1"/>
  <c r="J40" i="1" l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2" i="1" l="1"/>
  <c r="Q22" i="1" s="1"/>
  <c r="P21" i="1"/>
  <c r="F15" i="3"/>
  <c r="Q21" i="1" l="1"/>
  <c r="H21" i="1" s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<sst xmlns="http://schemas.openxmlformats.org/spreadsheetml/2006/main" count="222" uniqueCount="166">
  <si>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</si>
  <si>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</si>
  <si>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</si>
  <si>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</si>
  <si>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</si>
  <si>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</si>
  <si>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</si>
  <si>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</si>
  <si>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</si>
  <si>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</si>
  <si>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</si>
  <si>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</si>
  <si>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</si>
  <si>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</si>
  <si>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</si>
  <si>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</si>
  <si>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</si>
  <si>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</si>
  <si>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</si>
  <si>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</si>
  <si>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</si>
  <si>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</si>
  <si>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</si>
  <si>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</si>
  <si>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</si>
  <si>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</si>
  <si>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</si>
  <si>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</si>
  <si>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</si>
  <si>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</si>
  <si>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</si>
  <si>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</si>
  <si>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</si>
  <si>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</si>
  <si>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</si>
  <si>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</si>
  <si>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</si>
  <si>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</si>
  <si>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</si>
  <si>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</si>
  <si>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</si>
  <si>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</si>
  <si>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</si>
  <si>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</si>
  <si>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</si>
  <si>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</si>
  <si>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</si>
  <si>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</si>
  <si>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</si>
  <si>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</si>
  <si>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</si>
  <si>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</si>
  <si>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</si>
  <si>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</si>
  <si>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</si>
  <si>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</si>
  <si>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</si>
  <si>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</si>
  <si>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</si>
  <si>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</si>
  <si>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</si>
  <si>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</si>
  <si>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</si>
  <si>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</si>
  <si>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</si>
  <si>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</si>
  <si>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</si>
  <si>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</si>
  <si>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</si>
  <si>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</si>
  <si>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</si>
  <si>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</si>
  <si>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</si>
  <si>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</si>
  <si>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</si>
  <si>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</si>
  <si>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</si>
  <si>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</si>
  <si>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</si>
  <si>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</si>
  <si>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</si>
  <si>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</si>
  <si>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</si>
  <si>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</si>
  <si>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</si>
  <si>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</si>
  <si>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</si>
  <si>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</si>
  <si>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</si>
  <si>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</si>
  <si>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</si>
  <si>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</si>
  <si>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</si>
  <si>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</si>
  <si>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</si>
  <si>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</si>
  <si>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</si>
  <si>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</si>
  <si>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</si>
  <si>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</si>
  <si>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</si>
  <si>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</si>
  <si>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</si>
  <si>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</si>
  <si>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</si>
  <si>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</si>
  <si>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</si>
  <si>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</si>
  <si>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</si>
  <si>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</si>
  <si>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</si>
  <si>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</si>
  <si>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</si>
  <si>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</si>
  <si>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</si>
  <si>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</si>
  <si>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</si>
  <si>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</si>
  <si>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</si>
  <si>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</si>
  <si>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</si>
  <si>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</si>
  <si>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</si>
  <si>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</si>
  <si>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</si>
  <si>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</si>
  <si>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</si>
  <si>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</si>
  <si>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</si>
  <si>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</si>
  <si>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</si>
  <si>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</si>
  <si>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</si>
  <si>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</si>
  <si>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</si>
  <si>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</si>
  <si>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</si>
  <si>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</si>
  <si>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</si>
  <si>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</si>
  <si>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</si>
  <si>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</si>
  <si>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</si>
  <si>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</si>
  <si>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</si>
  <si>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</si>
  <si>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</si>
  <si>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</si>
  <si>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</si>
  <si>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</si>
  <si>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</si>
  <si>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</si>
  <si>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</si>
  <si>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</si>
  <si>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</si>
  <si>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</si>
  <si>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</si>
  <si>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</si>
  <si>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</si>
  <si>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</si>
  <si>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+569 85526125</t>
  </si>
  <si>
    <t>COMERCILIAZADORA MDM SPA</t>
  </si>
  <si>
    <t>DANIELA MORA</t>
  </si>
  <si>
    <t>VAINILLA 2109 MT</t>
  </si>
  <si>
    <t>N° 11086</t>
  </si>
  <si>
    <t>PR8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</si>
</sst>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TERMINADAS CON TAPACANTO PVC 0,4MM COLOR</a:t>
          </a:r>
          <a:r>
            <a:rPr lang="es-CL" sz="1200" b="1" baseline="0"/>
            <a:t> BLANCO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I29" sqref="I29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45538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7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1" t="s">
        <v>154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93659.944949931029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4">
        <v>6</v>
      </c>
      <c r="C21" s="325" t="s">
        <v>165</v>
      </c>
      <c r="D21" s="326">
        <v>0.52</v>
      </c>
      <c r="E21" s="326">
        <v>0.378</v>
      </c>
      <c r="F21" s="329" t="s">
        <v>163</v>
      </c>
      <c r="G21" s="327">
        <v>23180</v>
      </c>
      <c r="H21" s="328">
        <f t="shared" ref="H21" si="1">G21*B21</f>
        <v>139080</v>
      </c>
      <c r="I21" s="265"/>
      <c r="J21" s="47"/>
      <c r="K21" s="319">
        <f>B21</f>
        <v>6</v>
      </c>
      <c r="L21" s="320">
        <f t="shared" ref="L21:M21" si="2">D21+L$19</f>
        <v>0.57000000000000006</v>
      </c>
      <c r="M21" s="320">
        <f t="shared" si="2"/>
        <v>0.378</v>
      </c>
      <c r="N21" s="261">
        <f>L21*M21</f>
        <v>0.21546000000000001</v>
      </c>
      <c r="O21" s="259">
        <f>N21*K21</f>
        <v>1.2927600000000001</v>
      </c>
      <c r="P21" s="252">
        <f>P$20*N21</f>
        <v>20179.97173891214</v>
      </c>
      <c r="Q21" s="258">
        <f>P21+Q$20</f>
        <v>23179.97173891214</v>
      </c>
      <c r="R21" s="308">
        <f>K21*L21</f>
        <v>3.4200000000000004</v>
      </c>
      <c r="S21" s="14"/>
      <c r="T21" s="9"/>
      <c r="W21" s="4"/>
    </row>
    <row r="22" spans="2:24" ht="17.399999999999999" x14ac:dyDescent="0.3">
      <c r="B22" s="329">
        <v>5</v>
      </c>
      <c r="C22" s="325" t="s">
        <v>165</v>
      </c>
      <c r="D22" s="318">
        <v>0.7</v>
      </c>
      <c r="E22" s="318">
        <v>0.378</v>
      </c>
      <c r="F22" s="329" t="s">
        <v>163</v>
      </c>
      <c r="G22" s="330">
        <v>29553</v>
      </c>
      <c r="H22" s="312">
        <f t="shared" ref="H22" si="3">G22*B22</f>
        <v>147765</v>
      </c>
      <c r="I22" s="265"/>
      <c r="J22" s="47"/>
      <c r="K22" s="319">
        <f>B22</f>
        <v>5</v>
      </c>
      <c r="L22" s="320">
        <f t="shared" ref="L22" si="4">D22+L$19</f>
        <v>0.75</v>
      </c>
      <c r="M22" s="320">
        <f t="shared" ref="M22" si="5">E22+M$19</f>
        <v>0.378</v>
      </c>
      <c r="N22" s="261">
        <f t="shared" ref="N22" si="6">L22*M22</f>
        <v>0.28349999999999997</v>
      </c>
      <c r="O22" s="259">
        <f t="shared" ref="O22" si="7">N22*K22</f>
        <v>1.4175</v>
      </c>
      <c r="P22" s="252">
        <f t="shared" ref="P22" si="8">P$20*N22</f>
        <v>26552.594393305444</v>
      </c>
      <c r="Q22" s="258">
        <f t="shared" ref="Q22" si="9">P22+Q$20</f>
        <v>29552.594393305444</v>
      </c>
      <c r="R22" s="308">
        <f t="shared" ref="R22" si="10">K22*L22</f>
        <v>3.75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3"/>
      <c r="H23" s="313"/>
      <c r="I23" s="265"/>
      <c r="J23" s="47"/>
      <c r="K23" s="319">
        <f t="shared" ref="K23" si="11">B23</f>
        <v>0</v>
      </c>
      <c r="L23" s="320"/>
      <c r="M23" s="320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3"/>
      <c r="H24" s="313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286845</v>
      </c>
      <c r="I26" s="265"/>
      <c r="J26" s="47"/>
      <c r="K26" s="47"/>
      <c r="L26" s="39">
        <f>SUM(L21:L25)</f>
        <v>1.32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54500.55</v>
      </c>
      <c r="I27" s="265"/>
      <c r="J27" s="47"/>
      <c r="K27" s="47"/>
      <c r="L27" s="39"/>
      <c r="M27" s="12"/>
      <c r="N27" s="12"/>
      <c r="O27" s="253">
        <f>SUM(O21:O22)</f>
        <v>2.7102599999999999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341345.55</v>
      </c>
      <c r="I28" s="265"/>
      <c r="J28" s="47"/>
      <c r="K28" s="47"/>
      <c r="L28" s="39"/>
      <c r="M28" s="12"/>
      <c r="N28" s="12"/>
      <c r="O28" s="253">
        <f>O27</f>
        <v>2.7102599999999999</v>
      </c>
      <c r="P28" s="14"/>
      <c r="Q28" s="12"/>
      <c r="R28" s="238">
        <f>SUM(R21:R27)</f>
        <v>7.17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0.54205199999999998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5"/>
      <c r="K30" s="47"/>
      <c r="L30" s="14"/>
      <c r="M30" s="12"/>
      <c r="N30" s="12"/>
      <c r="O30" s="46">
        <f>O28+O29</f>
        <v>3.2523119999999999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5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3.2523119999999999</v>
      </c>
      <c r="M32" s="12">
        <v>3500</v>
      </c>
      <c r="N32" s="12">
        <f t="shared" ref="N32:N37" si="12">L32*M32</f>
        <v>11383.091999999999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40000</v>
      </c>
      <c r="N33" s="12">
        <f t="shared" si="12"/>
        <v>40000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12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4"/>
      <c r="K35" s="250"/>
      <c r="L35" s="14">
        <v>2</v>
      </c>
      <c r="M35" s="250">
        <v>32000</v>
      </c>
      <c r="N35" s="12">
        <f t="shared" si="12"/>
        <v>64000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4"/>
      <c r="K36" s="250"/>
      <c r="L36" s="249"/>
      <c r="M36" s="250">
        <v>800</v>
      </c>
      <c r="N36" s="12">
        <f t="shared" si="12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/>
      <c r="M37" s="12">
        <v>1500</v>
      </c>
      <c r="N37" s="12">
        <f t="shared" si="12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115383.092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61660</v>
      </c>
      <c r="K39" s="250"/>
      <c r="L39" s="254" t="s">
        <v>35</v>
      </c>
      <c r="M39" s="12"/>
      <c r="N39" s="255">
        <f>N38*2.2</f>
        <v>253842.80240000004</v>
      </c>
      <c r="O39" s="14" t="s">
        <v>142</v>
      </c>
      <c r="P39" s="14"/>
      <c r="Q39" s="46">
        <f>O28/Q38</f>
        <v>0.7307646678170836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51815.126050420171</v>
      </c>
      <c r="K40" s="250"/>
      <c r="L40" s="14"/>
      <c r="M40" s="12"/>
      <c r="N40" s="12">
        <f>N39/O28</f>
        <v>93659.944949931029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0.71088786885245892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45538</v>
      </c>
    </row>
    <row r="6" spans="2:31" ht="16.2" thickBot="1" x14ac:dyDescent="0.35">
      <c r="B6" s="140" t="s">
        <v>2</v>
      </c>
      <c r="C6" s="139" t="str">
        <f>'2229'!C10</f>
        <v>COMERCILIAZADORA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-25472.774733454109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286845</v>
      </c>
      <c r="E11" s="132">
        <f>D11*0.19</f>
        <v>54500.55</v>
      </c>
      <c r="F11" s="131">
        <f>E11+D11</f>
        <v>341345.55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80517.225266545895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81217.182787439611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62517.225266545895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205627.81721256039</v>
      </c>
      <c r="E13" s="221">
        <f>(D11/D12)-1</f>
        <v>2.5318265194044764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53517.225266545895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14517.225266545891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134008.35159927534</v>
      </c>
      <c r="F15" s="216">
        <f>E15-D12</f>
        <v>52791.168811835727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14517.225266545891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54517.225266545895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11383.091999999999</v>
      </c>
      <c r="E20" s="121">
        <f>D20*0.19</f>
        <v>2162.78748</v>
      </c>
      <c r="F20" s="120">
        <f>SUM(D20:E20)</f>
        <v>13545.87948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51383.091999999997</v>
      </c>
      <c r="E21" s="116">
        <f>SUM(E18:E20)</f>
        <v>9762.7874799999991</v>
      </c>
      <c r="F21" s="115">
        <f>SUM(F18:F20)</f>
        <v>61145.879480000003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44737.762520000004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286845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51383.091999999997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205627.81721256039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205627.81721256039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2024-09-04T12:20:16Z</dcterms:modified>
</cp:coreProperties>
</file>