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93B1493F-7532-4978-B93E-D448D53545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2" i="1"/>
  <c r="K10" i="1" l="1"/>
  <c r="J39" i="1" l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R27" i="1"/>
  <c r="H25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<sst xmlns="http://schemas.openxmlformats.org/spreadsheetml/2006/main" count="219" uniqueCount="164">
  <si>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</si>
  <si>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</si>
  <si>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</si>
  <si>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</si>
  <si>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</si>
  <si>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</si>
  <si>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</si>
  <si>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</si>
  <si>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</si>
  <si>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</si>
  <si>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</si>
  <si>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</si>
  <si>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</si>
  <si>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</si>
  <si>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</si>
  <si>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</si>
  <si>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</si>
  <si>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</si>
  <si>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</si>
  <si>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</si>
  <si>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</si>
  <si>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</si>
  <si>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</si>
  <si>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</si>
  <si>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</si>
  <si>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</si>
  <si>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</si>
  <si>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</si>
  <si>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</si>
  <si>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</si>
  <si>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</si>
  <si>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</si>
  <si>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</si>
  <si>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</si>
  <si>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</si>
  <si>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</si>
  <si>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</si>
  <si>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</si>
  <si>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</si>
  <si>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</si>
  <si>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</si>
  <si>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</si>
  <si>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</si>
  <si>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</si>
  <si>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</si>
  <si>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</si>
  <si>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</si>
  <si>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</si>
  <si>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</si>
  <si>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</si>
  <si>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</si>
  <si>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</si>
  <si>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</si>
  <si>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</si>
  <si>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</si>
  <si>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</si>
  <si>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</si>
  <si>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</si>
  <si>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</si>
  <si>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</si>
  <si>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</si>
  <si>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</si>
  <si>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</si>
  <si>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</si>
  <si>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</si>
  <si>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</si>
  <si>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</si>
  <si>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</si>
  <si>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</si>
  <si>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</si>
  <si>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</si>
  <si>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</si>
  <si>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</si>
  <si>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</si>
  <si>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</si>
  <si>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</si>
  <si>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</si>
  <si>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</si>
  <si>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</si>
  <si>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</si>
  <si>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</si>
  <si>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</si>
  <si>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</si>
  <si>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</si>
  <si>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</si>
  <si>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</si>
  <si>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</si>
  <si>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</si>
  <si>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</si>
  <si>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</si>
  <si>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</si>
  <si>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</si>
  <si>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</si>
  <si>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</si>
  <si>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</si>
  <si>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</si>
  <si>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</si>
  <si>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</si>
  <si>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</si>
  <si>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</si>
  <si>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</si>
  <si>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</si>
  <si>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</si>
  <si>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</si>
  <si>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</si>
  <si>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</si>
  <si>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</si>
  <si>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</si>
  <si>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</si>
  <si>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</si>
  <si>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</si>
  <si>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</si>
  <si>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</si>
  <si>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</si>
  <si>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</si>
  <si>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</si>
  <si>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</si>
  <si>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</si>
  <si>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</si>
  <si>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</si>
  <si>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</si>
  <si>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</si>
  <si>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</si>
  <si>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</si>
  <si>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</si>
  <si>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</si>
  <si>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</si>
  <si>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</si>
  <si>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</si>
  <si>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</si>
  <si>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</si>
  <si>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</si>
  <si>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</si>
  <si>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</si>
  <si>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</si>
  <si>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</si>
  <si>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</si>
  <si>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</si>
  <si>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</si>
  <si>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</si>
  <si>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</si>
  <si>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</si>
  <si>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</si>
  <si>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</si>
  <si>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</si>
  <si>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</si>
  <si>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</si>
  <si>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</si>
  <si>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</si>
  <si>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</si>
  <si>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</si>
  <si>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</si>
  <si>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</si>
  <si>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</si>
  <si>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</si>
  <si>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</si>
  <si>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</si>
  <si>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</si>
  <si>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</si>
  <si>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7 DIAS HABILES</t>
  </si>
  <si>
    <t>N° 11090</t>
  </si>
  <si>
    <t>+569 9844 0365</t>
  </si>
  <si>
    <t>FORT GRANITE 42008  BR</t>
  </si>
  <si>
    <t>SALOME VILLAGRAN SUAZO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</si>
</sst>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TERMINADAS CON ENCHAPE MISMA SUSTRATO:  MDF 18MM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8" zoomScaleNormal="98" workbookViewId="0">
      <selection activeCell="C14" sqref="C14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163</v>
      </c>
      <c r="D10" s="243"/>
      <c r="E10" s="243"/>
      <c r="F10" s="244" t="s">
        <v>0</v>
      </c>
      <c r="G10" s="277">
        <v>45540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6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61098.974358974352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2</v>
      </c>
      <c r="C21" s="323" t="s">
        <v>37</v>
      </c>
      <c r="D21" s="324">
        <v>1.6</v>
      </c>
      <c r="E21" s="324">
        <v>0.52</v>
      </c>
      <c r="F21" s="327" t="s">
        <v>162</v>
      </c>
      <c r="G21" s="325">
        <v>75000</v>
      </c>
      <c r="H21" s="326">
        <f t="shared" ref="H21" si="1">G21*B21</f>
        <v>150000</v>
      </c>
      <c r="I21" s="265"/>
      <c r="J21" s="47"/>
      <c r="K21" s="317">
        <f>B21</f>
        <v>2</v>
      </c>
      <c r="L21" s="318">
        <f t="shared" ref="L21:M21" si="2">D21+L$19</f>
        <v>1.6500000000000001</v>
      </c>
      <c r="M21" s="318">
        <f t="shared" si="2"/>
        <v>0.52</v>
      </c>
      <c r="N21" s="261">
        <f>L21*M21</f>
        <v>0.8580000000000001</v>
      </c>
      <c r="O21" s="259">
        <f>N21*K21</f>
        <v>1.7160000000000002</v>
      </c>
      <c r="P21" s="252">
        <f>P$20*N21</f>
        <v>52422.92</v>
      </c>
      <c r="Q21" s="258">
        <f>P21+Q$20</f>
        <v>55422.92</v>
      </c>
      <c r="R21" s="308">
        <f>K21*L21</f>
        <v>3.3000000000000003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2"/>
      <c r="H22" s="312"/>
      <c r="I22" s="265"/>
      <c r="J22" s="47"/>
      <c r="K22" s="317">
        <f t="shared" ref="K22" si="3">B22</f>
        <v>0</v>
      </c>
      <c r="L22" s="318"/>
      <c r="M22" s="318"/>
      <c r="N22" s="261"/>
      <c r="O22" s="259"/>
      <c r="P22" s="252"/>
      <c r="Q22" s="258"/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2"/>
      <c r="H23" s="312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150000</v>
      </c>
      <c r="I25" s="265"/>
      <c r="J25" s="47"/>
      <c r="K25" s="47"/>
      <c r="L25" s="39">
        <f>SUM(L21:L24)</f>
        <v>1.6500000000000001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/>
      <c r="I26" s="265"/>
      <c r="J26" s="47"/>
      <c r="K26" s="47"/>
      <c r="L26" s="39"/>
      <c r="M26" s="12"/>
      <c r="N26" s="12"/>
      <c r="O26" s="253">
        <f>SUM(O21:O21)</f>
        <v>1.7160000000000002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150000</v>
      </c>
      <c r="I27" s="265"/>
      <c r="J27" s="47"/>
      <c r="K27" s="47"/>
      <c r="L27" s="39"/>
      <c r="M27" s="12"/>
      <c r="N27" s="12"/>
      <c r="O27" s="253">
        <f>O26</f>
        <v>1.7160000000000002</v>
      </c>
      <c r="P27" s="14"/>
      <c r="Q27" s="12"/>
      <c r="R27" s="238">
        <f>SUM(R21:R26)</f>
        <v>3.3000000000000003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0.34320000000000006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4"/>
      <c r="K29" s="47"/>
      <c r="L29" s="14"/>
      <c r="M29" s="12"/>
      <c r="N29" s="12"/>
      <c r="O29" s="46">
        <f>O27+O28</f>
        <v>2.0592000000000001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4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2.0592000000000001</v>
      </c>
      <c r="M31" s="12">
        <v>3500</v>
      </c>
      <c r="N31" s="12">
        <f t="shared" ref="N31:N36" si="4">L31*M31</f>
        <v>7207.2000000000007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4"/>
        <v>12500</v>
      </c>
      <c r="O32" s="39" t="s">
        <v>155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43000</v>
      </c>
      <c r="N33" s="12">
        <f t="shared" si="4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3"/>
      <c r="K34" s="250"/>
      <c r="L34" s="14">
        <v>1</v>
      </c>
      <c r="M34" s="250">
        <v>23000</v>
      </c>
      <c r="N34" s="12">
        <f t="shared" si="4"/>
        <v>23000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3"/>
      <c r="K35" s="250"/>
      <c r="L35" s="249"/>
      <c r="M35" s="250">
        <v>800</v>
      </c>
      <c r="N35" s="12">
        <f t="shared" si="4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3.3</v>
      </c>
      <c r="M36" s="12">
        <v>1500</v>
      </c>
      <c r="N36" s="12">
        <f t="shared" si="4"/>
        <v>4950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30" t="s">
        <v>157</v>
      </c>
      <c r="J37" s="47"/>
      <c r="K37" s="250"/>
      <c r="L37" s="14"/>
      <c r="M37" s="12"/>
      <c r="N37" s="12">
        <f>SUM(N31:N36)</f>
        <v>47657.2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61660</v>
      </c>
      <c r="K38" s="250"/>
      <c r="L38" s="254" t="s">
        <v>35</v>
      </c>
      <c r="M38" s="12"/>
      <c r="N38" s="255">
        <f>N37*2.2</f>
        <v>104845.84</v>
      </c>
      <c r="O38" s="14" t="s">
        <v>142</v>
      </c>
      <c r="P38" s="14"/>
      <c r="Q38" s="46">
        <f>O27/Q37</f>
        <v>0.46268334771354619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51815.126050420171</v>
      </c>
      <c r="K39" s="250"/>
      <c r="L39" s="14"/>
      <c r="M39" s="12"/>
      <c r="N39" s="12">
        <f>N38/O27</f>
        <v>61098.974358974352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0.45009836065573772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45540</v>
      </c>
    </row>
    <row r="6" spans="2:31" ht="16.2" thickBot="1" x14ac:dyDescent="0.35">
      <c r="B6" s="140" t="s">
        <v>2</v>
      </c>
      <c r="C6" s="139" t="str">
        <f>'2229'!C10</f>
        <v>SALOME VILLAGRAN SUAZO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11090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-11376.145033454106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150000</v>
      </c>
      <c r="E11" s="132">
        <f>D11*0.19</f>
        <v>28500</v>
      </c>
      <c r="F11" s="131">
        <f>E11+D11</f>
        <v>178500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94613.8549665459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49541.290787439619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76613.8549665459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100458.70921256038</v>
      </c>
      <c r="E13" s="221">
        <f>(D11/D12)-1</f>
        <v>2.0277773876257186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67613.8549665459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28613.854966545892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81743.129799275368</v>
      </c>
      <c r="F15" s="216">
        <f>E15-D12</f>
        <v>32201.839011835749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28613.854966545892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68613.8549665459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7207.2000000000007</v>
      </c>
      <c r="E20" s="121">
        <f>D20*0.19</f>
        <v>1369.3680000000002</v>
      </c>
      <c r="F20" s="120">
        <f>SUM(D20:E20)</f>
        <v>8576.5680000000011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19707.2</v>
      </c>
      <c r="E21" s="116">
        <f>SUM(E18:E20)</f>
        <v>3744.3680000000004</v>
      </c>
      <c r="F21" s="115">
        <f>SUM(F18:F20)</f>
        <v>23451.567999999999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24755.631999999998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150000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19707.2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100458.70921256038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100458.70921256038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2024-09-05T20:49:43Z</dcterms:modified>
</cp:coreProperties>
</file>