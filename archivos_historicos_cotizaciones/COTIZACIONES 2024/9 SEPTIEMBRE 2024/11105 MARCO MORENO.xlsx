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6FA9B468-BAAA-461A-965A-3E142BEFDE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1" i="1" l="1"/>
  <c r="K10" i="1" l="1"/>
  <c r="J39" i="1" l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R27" i="1"/>
  <c r="H25" i="1" l="1"/>
  <c r="H27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<sst xmlns="http://schemas.openxmlformats.org/spreadsheetml/2006/main" count="220" uniqueCount="166">
  <si>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</si>
  <si>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</si>
  <si>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</si>
  <si>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</si>
  <si>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</si>
  <si>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</si>
  <si>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</si>
  <si>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</si>
  <si>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</si>
  <si>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</si>
  <si>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</si>
  <si>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</si>
  <si>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</si>
  <si>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</si>
  <si>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</si>
  <si>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</si>
  <si>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</si>
  <si>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</si>
  <si>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</si>
  <si>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</si>
  <si>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</si>
  <si>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</si>
  <si>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</si>
  <si>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</si>
  <si>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</si>
  <si>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</si>
  <si>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</si>
  <si>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</si>
  <si>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</si>
  <si>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</si>
  <si>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</si>
  <si>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</si>
  <si>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</si>
  <si>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</si>
  <si>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</si>
  <si>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</si>
  <si>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</si>
  <si>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</si>
  <si>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</si>
  <si>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</si>
  <si>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</si>
  <si>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</si>
  <si>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</si>
  <si>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</si>
  <si>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</si>
  <si>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</si>
  <si>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</si>
  <si>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</si>
  <si>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</si>
  <si>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</si>
  <si>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</si>
  <si>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</si>
  <si>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</si>
  <si>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</si>
  <si>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</si>
  <si>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</si>
  <si>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</si>
  <si>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</si>
  <si>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</si>
  <si>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</si>
  <si>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</si>
  <si>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</si>
  <si>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</si>
  <si>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</si>
  <si>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</si>
  <si>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</si>
  <si>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</si>
  <si>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</si>
  <si>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</si>
  <si>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</si>
  <si>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</si>
  <si>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</si>
  <si>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</si>
  <si>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</si>
  <si>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</si>
  <si>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</si>
  <si>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</si>
  <si>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</si>
  <si>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</si>
  <si>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</si>
  <si>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</si>
  <si>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</si>
  <si>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</si>
  <si>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</si>
  <si>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</si>
  <si>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</si>
  <si>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</si>
  <si>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</si>
  <si>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</si>
  <si>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</si>
  <si>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</si>
  <si>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</si>
  <si>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</si>
  <si>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</si>
  <si>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</si>
  <si>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</si>
  <si>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</si>
  <si>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</si>
  <si>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</si>
  <si>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</si>
  <si>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</si>
  <si>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</si>
  <si>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</si>
  <si>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</si>
  <si>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</si>
  <si>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</si>
  <si>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</si>
  <si>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</si>
  <si>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</si>
  <si>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</si>
  <si>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</si>
  <si>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</si>
  <si>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</si>
  <si>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</si>
  <si>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</si>
  <si>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</si>
  <si>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</si>
  <si>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</si>
  <si>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</si>
  <si>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</si>
  <si>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</si>
  <si>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</si>
  <si>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</si>
  <si>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</si>
  <si>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</si>
  <si>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</si>
  <si>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</si>
  <si>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</si>
  <si>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</si>
  <si>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</si>
  <si>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</si>
  <si>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</si>
  <si>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</si>
  <si>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</si>
  <si>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</si>
  <si>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</si>
  <si>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</si>
  <si>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</si>
  <si>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</si>
  <si>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</si>
  <si>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</si>
  <si>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</si>
  <si>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</si>
  <si>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</si>
  <si>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</si>
  <si>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</si>
  <si>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</si>
  <si>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</si>
  <si>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</si>
  <si>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</si>
  <si>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</si>
  <si>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</si>
  <si>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</si>
  <si>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</si>
  <si>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</si>
  <si>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</si>
  <si>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</si>
  <si>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</si>
  <si>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</si>
  <si>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CENEFA 1V R6</t>
  </si>
  <si>
    <t>N° 11105</t>
  </si>
  <si>
    <t>MARCO MORENO</t>
  </si>
  <si>
    <t>SERVICIO REBAJE PARA VIDRIO</t>
  </si>
  <si>
    <t>IDEM PEDIDO ANTERIOR</t>
  </si>
  <si>
    <t>1 DIA HABIL</t>
  </si>
  <si>
    <t>+569 7782 4695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</si>
</sst>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8" borderId="0" xfId="0" applyFont="1" applyFill="1"/>
    <xf numFmtId="0" fontId="9" fillId="8" borderId="0" xfId="3" applyFill="1"/>
    <xf numFmtId="0" fontId="36" fillId="0" borderId="0" xfId="0" quotePrefix="1" applyFont="1"/>
    <xf numFmtId="0" fontId="29" fillId="0" borderId="37" xfId="3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SUSTRATO.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6" zoomScale="98" zoomScaleNormal="98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2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45561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9"/>
      <c r="F11" t="s">
        <v>125</v>
      </c>
      <c r="G11" s="289" t="s">
        <v>164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2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22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165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2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324" t="s">
        <v>158</v>
      </c>
      <c r="D17" s="298"/>
      <c r="E17" s="299"/>
      <c r="F17" s="327" t="s">
        <v>154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6" t="s">
        <v>7</v>
      </c>
      <c r="C20" s="317" t="s">
        <v>1</v>
      </c>
      <c r="D20" s="317" t="s">
        <v>10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1155073.3333333333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20">
        <v>1</v>
      </c>
      <c r="C21" s="320" t="s">
        <v>159</v>
      </c>
      <c r="D21" s="325">
        <v>0.91</v>
      </c>
      <c r="E21" s="325">
        <v>7.0000000000000007E-2</v>
      </c>
      <c r="F21" s="320" t="s">
        <v>163</v>
      </c>
      <c r="G21" s="326">
        <v>19000</v>
      </c>
      <c r="H21" s="319">
        <f t="shared" ref="H21" si="1">G21*B21</f>
        <v>19000</v>
      </c>
      <c r="I21" s="265"/>
      <c r="J21" s="47"/>
      <c r="K21" s="314">
        <f>B21</f>
        <v>1</v>
      </c>
      <c r="L21" s="315">
        <f t="shared" ref="L21:M21" si="2">D21+L$19</f>
        <v>0.96000000000000008</v>
      </c>
      <c r="M21" s="315">
        <f t="shared" si="2"/>
        <v>7.0000000000000007E-2</v>
      </c>
      <c r="N21" s="261">
        <f>L21*M21</f>
        <v>6.720000000000001E-2</v>
      </c>
      <c r="O21" s="259">
        <f>N21*K21</f>
        <v>6.720000000000001E-2</v>
      </c>
      <c r="P21" s="252">
        <f>P$20*N21</f>
        <v>77620.928</v>
      </c>
      <c r="Q21" s="258">
        <f>P21+Q$20</f>
        <v>80620.928</v>
      </c>
      <c r="R21" s="306">
        <f>K21*L21</f>
        <v>0.96000000000000008</v>
      </c>
      <c r="S21" s="14"/>
      <c r="T21" s="9"/>
      <c r="W21" s="4"/>
    </row>
    <row r="22" spans="2:24" ht="17.399999999999999" x14ac:dyDescent="0.3">
      <c r="B22" s="320">
        <v>2</v>
      </c>
      <c r="C22" s="320" t="s">
        <v>162</v>
      </c>
      <c r="D22" s="325"/>
      <c r="E22" s="325"/>
      <c r="F22" s="320"/>
      <c r="G22" s="326">
        <v>3000</v>
      </c>
      <c r="H22" s="319">
        <f t="shared" ref="H22" si="3">G22*B22</f>
        <v>6000</v>
      </c>
      <c r="I22" s="265"/>
      <c r="J22" s="47"/>
      <c r="K22" s="47"/>
      <c r="L22" s="39"/>
      <c r="M22" s="39"/>
      <c r="N22" s="261"/>
      <c r="O22" s="259"/>
      <c r="P22" s="252"/>
      <c r="Q22" s="258"/>
      <c r="R22" s="306"/>
      <c r="S22" s="14"/>
      <c r="T22" s="9"/>
      <c r="W22" s="4"/>
    </row>
    <row r="23" spans="2:24" ht="17.399999999999999" x14ac:dyDescent="0.3">
      <c r="B23" s="339"/>
      <c r="C23" s="339"/>
      <c r="D23" s="340"/>
      <c r="E23" s="340"/>
      <c r="F23" s="339"/>
      <c r="G23" s="310"/>
      <c r="H23" s="310"/>
      <c r="I23" s="265"/>
      <c r="J23" s="47"/>
      <c r="K23" s="47"/>
      <c r="L23" s="39"/>
      <c r="M23" s="39"/>
      <c r="N23" s="261"/>
      <c r="O23" s="259"/>
      <c r="P23" s="252"/>
      <c r="Q23" s="258"/>
      <c r="R23" s="306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6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7" t="s">
        <v>30</v>
      </c>
      <c r="H25" s="308">
        <f>SUM(H21:H24)</f>
        <v>25000</v>
      </c>
      <c r="I25" s="265"/>
      <c r="J25" s="47"/>
      <c r="K25" s="47"/>
      <c r="L25" s="39">
        <f>SUM(L21:L24)</f>
        <v>0.96000000000000008</v>
      </c>
      <c r="M25" s="39"/>
      <c r="N25" s="261"/>
      <c r="O25" s="259"/>
      <c r="P25" s="252"/>
      <c r="Q25" s="258"/>
      <c r="R25" s="306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5" t="s">
        <v>53</v>
      </c>
      <c r="H26" s="303"/>
      <c r="I26" s="265"/>
      <c r="J26" s="47"/>
      <c r="K26" s="47"/>
      <c r="L26" s="39"/>
      <c r="M26" s="12"/>
      <c r="N26" s="12"/>
      <c r="O26" s="253">
        <f>SUM(O21:O21)</f>
        <v>6.720000000000001E-2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4">
        <f>H25+H26</f>
        <v>25000</v>
      </c>
      <c r="I27" s="265"/>
      <c r="J27" s="47"/>
      <c r="K27" s="47"/>
      <c r="L27" s="39"/>
      <c r="M27" s="12"/>
      <c r="N27" s="12"/>
      <c r="O27" s="253">
        <f>O26</f>
        <v>6.720000000000001E-2</v>
      </c>
      <c r="P27" s="14"/>
      <c r="Q27" s="12"/>
      <c r="R27" s="238">
        <f>SUM(R21:R26)</f>
        <v>0.96000000000000008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1.3440000000000002E-2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2"/>
      <c r="K29" s="47"/>
      <c r="L29" s="14"/>
      <c r="M29" s="12"/>
      <c r="N29" s="12"/>
      <c r="O29" s="46">
        <f>O27+O28</f>
        <v>8.0640000000000017E-2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2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8.0640000000000017E-2</v>
      </c>
      <c r="M31" s="12">
        <v>3500</v>
      </c>
      <c r="N31" s="12">
        <f t="shared" ref="N31:N36" si="4">L31*M31</f>
        <v>282.24000000000007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0.3</v>
      </c>
      <c r="M32" s="12">
        <v>25000</v>
      </c>
      <c r="N32" s="12">
        <f t="shared" si="4"/>
        <v>7500</v>
      </c>
      <c r="O32" s="39" t="s">
        <v>155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72639</v>
      </c>
      <c r="N33" s="12">
        <f t="shared" si="4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1"/>
      <c r="K34" s="250"/>
      <c r="L34" s="14">
        <v>1</v>
      </c>
      <c r="M34" s="250">
        <v>27500</v>
      </c>
      <c r="N34" s="12">
        <f t="shared" si="4"/>
        <v>27500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1"/>
      <c r="K35" s="250"/>
      <c r="L35" s="249"/>
      <c r="M35" s="250">
        <v>800</v>
      </c>
      <c r="N35" s="12">
        <f t="shared" si="4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2"/>
      <c r="J36" s="47"/>
      <c r="K36" s="250"/>
      <c r="L36" s="266"/>
      <c r="M36" s="12">
        <v>1500</v>
      </c>
      <c r="N36" s="12">
        <f t="shared" si="4"/>
        <v>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30" t="s">
        <v>157</v>
      </c>
      <c r="J37" s="47"/>
      <c r="K37" s="250"/>
      <c r="L37" s="14"/>
      <c r="M37" s="12"/>
      <c r="N37" s="12">
        <f>SUM(N31:N36)</f>
        <v>35282.239999999998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41290</v>
      </c>
      <c r="K38" s="250"/>
      <c r="L38" s="254" t="s">
        <v>35</v>
      </c>
      <c r="M38" s="12"/>
      <c r="N38" s="255">
        <f>N37*2.2</f>
        <v>77620.928</v>
      </c>
      <c r="O38" s="14" t="s">
        <v>142</v>
      </c>
      <c r="P38" s="14"/>
      <c r="Q38" s="46">
        <f>O27/Q37</f>
        <v>1.8119068162208804E-2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34697.478991596639</v>
      </c>
      <c r="K39" s="250"/>
      <c r="L39" s="14"/>
      <c r="M39" s="12"/>
      <c r="N39" s="12">
        <f>N38/O27</f>
        <v>1155073.3333333333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1.7626229508196724E-2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45561</v>
      </c>
    </row>
    <row r="6" spans="2:31" ht="16.2" thickBot="1" x14ac:dyDescent="0.35">
      <c r="B6" s="140" t="s">
        <v>2</v>
      </c>
      <c r="C6" s="139" t="str">
        <f>'2229'!C10</f>
        <v>MARCO MORENO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11105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6177.8242998792266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25000</v>
      </c>
      <c r="E11" s="132">
        <f>D11*0.19</f>
        <v>4750</v>
      </c>
      <c r="F11" s="131">
        <f>E11+D11</f>
        <v>29750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112167.82429987923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37616.330787439612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94167.824299879227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-12616.330787439612</v>
      </c>
      <c r="E13" s="221">
        <f>(D11/D12)-1</f>
        <v>-0.33539504048737001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85167.824299879227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46167.824299879227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62066.94579927536</v>
      </c>
      <c r="F15" s="216">
        <f>E15-D12</f>
        <v>24450.615011835747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46167.824299879227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86167.824299879227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282.24000000000007</v>
      </c>
      <c r="E20" s="121">
        <f>D20*0.19</f>
        <v>53.625600000000013</v>
      </c>
      <c r="F20" s="120">
        <f>SUM(D20:E20)</f>
        <v>335.86560000000009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7782.24</v>
      </c>
      <c r="E21" s="116">
        <f>SUM(E18:E20)</f>
        <v>1478.6256000000001</v>
      </c>
      <c r="F21" s="115">
        <f>SUM(F18:F20)</f>
        <v>9260.865600000001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3271.3743999999997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25000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7782.24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-12616.330787439612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-12616.330787439612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2024-09-26T11:54:52Z</dcterms:modified>
</cp:coreProperties>
</file>