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6DD2CE63-8ECC-470B-A4DA-1035EEA232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K21" i="1"/>
  <c r="K23" i="1"/>
  <c r="H22" i="1" l="1"/>
  <c r="L22" i="1"/>
  <c r="R22" i="1" s="1"/>
  <c r="M22" i="1"/>
  <c r="N22" i="1" l="1"/>
  <c r="O22" i="1" s="1"/>
  <c r="K10" i="1" l="1"/>
  <c r="J40" i="1" l="1"/>
  <c r="L21" i="1" l="1"/>
  <c r="L26" i="1" s="1"/>
  <c r="M21" i="1"/>
  <c r="N21" i="1" l="1"/>
  <c r="O21" i="1" s="1"/>
  <c r="O27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2" i="1" l="1"/>
  <c r="Q22" i="1" s="1"/>
  <c r="P21" i="1"/>
  <c r="F15" i="3"/>
  <c r="Q21" i="1" l="1"/>
  <c r="H21" i="1" s="1"/>
  <c r="R28" i="1"/>
  <c r="H26" i="1" l="1"/>
  <c r="H27" i="1" s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<sst xmlns="http://schemas.openxmlformats.org/spreadsheetml/2006/main" count="221" uniqueCount="164">
  <si>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</si>
  <si>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</si>
  <si>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</si>
  <si>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</si>
  <si>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</si>
  <si>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</si>
  <si>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</si>
  <si>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</si>
  <si>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</si>
  <si>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</si>
  <si>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</si>
  <si>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</si>
  <si>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</si>
  <si>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</si>
  <si>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</si>
  <si>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</si>
  <si>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</si>
  <si>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</si>
  <si>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</si>
  <si>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</si>
  <si>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</si>
  <si>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</si>
  <si>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</si>
  <si>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</si>
  <si>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</si>
  <si>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</si>
  <si>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</si>
  <si>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</si>
  <si>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</si>
  <si>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</si>
  <si>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</si>
  <si>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</si>
  <si>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</si>
  <si>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</si>
  <si>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</si>
  <si>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</si>
  <si>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</si>
  <si>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</si>
  <si>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</si>
  <si>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</si>
  <si>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</si>
  <si>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</si>
  <si>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</si>
  <si>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</si>
  <si>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</si>
  <si>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</si>
  <si>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</si>
  <si>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</si>
  <si>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</si>
  <si>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</si>
  <si>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</si>
  <si>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</si>
  <si>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</si>
  <si>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</si>
  <si>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</si>
  <si>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</si>
  <si>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</si>
  <si>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</si>
  <si>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</si>
  <si>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</si>
  <si>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</si>
  <si>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</si>
  <si>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</si>
  <si>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</si>
  <si>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</si>
  <si>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</si>
  <si>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</si>
  <si>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</si>
  <si>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</si>
  <si>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</si>
  <si>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</si>
  <si>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</si>
  <si>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</si>
  <si>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</si>
  <si>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</si>
  <si>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</si>
  <si>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</si>
  <si>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</si>
  <si>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</si>
  <si>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</si>
  <si>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</si>
  <si>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</si>
  <si>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</si>
  <si>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</si>
  <si>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</si>
  <si>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</si>
  <si>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</si>
  <si>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</si>
  <si>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</si>
  <si>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</si>
  <si>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</si>
  <si>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</si>
  <si>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</si>
  <si>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</si>
  <si>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</si>
  <si>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</si>
  <si>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</si>
  <si>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</si>
  <si>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</si>
  <si>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</si>
  <si>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</si>
  <si>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</si>
  <si>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</si>
  <si>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</si>
  <si>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</si>
  <si>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</si>
  <si>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</si>
  <si>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</si>
  <si>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</si>
  <si>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</si>
  <si>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</si>
  <si>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</si>
  <si>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</si>
  <si>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</si>
  <si>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</si>
  <si>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</si>
  <si>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</si>
  <si>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</si>
  <si>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</si>
  <si>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</si>
  <si>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</si>
  <si>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</si>
  <si>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</si>
  <si>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</si>
  <si>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</si>
  <si>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</si>
  <si>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</si>
  <si>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</si>
  <si>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</si>
  <si>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</si>
  <si>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</si>
  <si>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</si>
  <si>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</si>
  <si>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</si>
  <si>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</si>
  <si>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</si>
  <si>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</si>
  <si>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</si>
  <si>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</si>
  <si>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</si>
  <si>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</si>
  <si>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</si>
  <si>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</si>
  <si>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</si>
  <si>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</si>
  <si>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</si>
  <si>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</si>
  <si>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</si>
  <si>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</si>
  <si>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</si>
  <si>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</si>
  <si>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</si>
  <si>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</si>
  <si>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</si>
  <si>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</si>
  <si>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</si>
  <si>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</si>
  <si>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</si>
  <si>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</si>
  <si>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7 DIAS HABILES</t>
  </si>
  <si>
    <t>N° 11089</t>
  </si>
  <si>
    <t>PATRICIO GALVEZ</t>
  </si>
  <si>
    <t>+569 33123356</t>
  </si>
  <si>
    <t>ROBE GRANITE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</si>
</sst>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14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TERMINADAS CON ENCHAPE MISMA SUSTRATO:  MDF 18MM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3" zoomScale="98" zoomScaleNormal="98" workbookViewId="0">
      <selection activeCell="G37" sqref="G37"/>
    </sheetView>
  </sheetViews>
  <sheetFormatPr baseColWidth="10" defaultRowHeight="14.4" x14ac:dyDescent="0.3"/>
  <cols>
    <col min="1" max="1" width="6" customWidth="1"/>
    <col min="2" max="2" width="10.5546875" customWidth="1"/>
    <col min="3" max="3" width="28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45540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7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158</v>
      </c>
      <c r="D17" s="299"/>
      <c r="E17" s="300"/>
      <c r="F17" s="331" t="s">
        <v>154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3" t="s">
        <v>149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61228.095238095259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24">
        <v>1</v>
      </c>
      <c r="C21" s="325" t="s">
        <v>37</v>
      </c>
      <c r="D21" s="326">
        <v>2.0299999999999998</v>
      </c>
      <c r="E21" s="326">
        <v>0.6</v>
      </c>
      <c r="F21" s="329" t="s">
        <v>163</v>
      </c>
      <c r="G21" s="327">
        <v>81413</v>
      </c>
      <c r="H21" s="328">
        <f t="shared" ref="H21" si="1">G21*B21</f>
        <v>81413</v>
      </c>
      <c r="I21" s="265"/>
      <c r="J21" s="47"/>
      <c r="K21" s="319">
        <f>B21</f>
        <v>1</v>
      </c>
      <c r="L21" s="320">
        <f t="shared" ref="L21:M21" si="2">D21+L$19</f>
        <v>2.0799999999999996</v>
      </c>
      <c r="M21" s="320">
        <f t="shared" si="2"/>
        <v>0.6</v>
      </c>
      <c r="N21" s="261">
        <f>L21*M21</f>
        <v>1.2479999999999998</v>
      </c>
      <c r="O21" s="259">
        <f>N21*K21</f>
        <v>1.2479999999999998</v>
      </c>
      <c r="P21" s="252">
        <f>P$20*N21</f>
        <v>76412.662857142874</v>
      </c>
      <c r="Q21" s="258">
        <f>P21+Q$20</f>
        <v>79412.662857142874</v>
      </c>
      <c r="R21" s="308">
        <f>K21*L21</f>
        <v>2.0799999999999996</v>
      </c>
      <c r="S21" s="14"/>
      <c r="T21" s="9"/>
      <c r="W21" s="4"/>
    </row>
    <row r="22" spans="2:24" ht="17.399999999999999" x14ac:dyDescent="0.3">
      <c r="B22" s="329">
        <v>1</v>
      </c>
      <c r="C22" s="325" t="s">
        <v>37</v>
      </c>
      <c r="D22" s="318">
        <v>0.67</v>
      </c>
      <c r="E22" s="318">
        <v>0.6</v>
      </c>
      <c r="F22" s="329" t="s">
        <v>163</v>
      </c>
      <c r="G22" s="330">
        <v>31451</v>
      </c>
      <c r="H22" s="312">
        <f t="shared" ref="H22" si="3">G22*B22</f>
        <v>31451</v>
      </c>
      <c r="I22" s="265"/>
      <c r="J22" s="47"/>
      <c r="K22" s="319">
        <f>B22</f>
        <v>1</v>
      </c>
      <c r="L22" s="320">
        <f t="shared" ref="L22" si="4">D22+L$19</f>
        <v>0.72000000000000008</v>
      </c>
      <c r="M22" s="320">
        <f t="shared" ref="M22" si="5">E22+M$19</f>
        <v>0.6</v>
      </c>
      <c r="N22" s="261">
        <f t="shared" ref="N22" si="6">L22*M22</f>
        <v>0.43200000000000005</v>
      </c>
      <c r="O22" s="259">
        <f t="shared" ref="O22" si="7">N22*K22</f>
        <v>0.43200000000000005</v>
      </c>
      <c r="P22" s="252">
        <f t="shared" ref="P22" si="8">P$20*N22</f>
        <v>26450.537142857156</v>
      </c>
      <c r="Q22" s="258">
        <f t="shared" ref="Q22" si="9">P22+Q$20</f>
        <v>29450.537142857156</v>
      </c>
      <c r="R22" s="308">
        <f t="shared" ref="R22" si="10">K22*L22</f>
        <v>0.72000000000000008</v>
      </c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3"/>
      <c r="H23" s="313"/>
      <c r="I23" s="265"/>
      <c r="J23" s="47"/>
      <c r="K23" s="319">
        <f t="shared" ref="K23" si="11">B23</f>
        <v>0</v>
      </c>
      <c r="L23" s="320"/>
      <c r="M23" s="320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3"/>
      <c r="H24" s="313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30</v>
      </c>
      <c r="H26" s="310">
        <f>SUM(H21:H25)</f>
        <v>112864</v>
      </c>
      <c r="I26" s="265"/>
      <c r="J26" s="47"/>
      <c r="K26" s="47"/>
      <c r="L26" s="39">
        <f>SUM(L21:L25)</f>
        <v>2.8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>
        <f>H26*19%</f>
        <v>21444.16</v>
      </c>
      <c r="I27" s="265"/>
      <c r="J27" s="47"/>
      <c r="K27" s="47"/>
      <c r="L27" s="39"/>
      <c r="M27" s="12"/>
      <c r="N27" s="12"/>
      <c r="O27" s="253">
        <f>SUM(O21:O22)</f>
        <v>1.6799999999999997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134308.16</v>
      </c>
      <c r="I28" s="265"/>
      <c r="J28" s="47"/>
      <c r="K28" s="47"/>
      <c r="L28" s="39"/>
      <c r="M28" s="12"/>
      <c r="N28" s="12"/>
      <c r="O28" s="253">
        <f>O27</f>
        <v>1.6799999999999997</v>
      </c>
      <c r="P28" s="14"/>
      <c r="Q28" s="12"/>
      <c r="R28" s="238">
        <f>SUM(R21:R27)</f>
        <v>2.8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0.33599999999999997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5"/>
      <c r="K30" s="47"/>
      <c r="L30" s="14"/>
      <c r="M30" s="12"/>
      <c r="N30" s="12"/>
      <c r="O30" s="46">
        <f>O28+O29</f>
        <v>2.0159999999999996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5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</f>
        <v>2.0159999999999996</v>
      </c>
      <c r="M32" s="12">
        <v>3500</v>
      </c>
      <c r="N32" s="12">
        <f t="shared" ref="N32:N37" si="12">L32*M32</f>
        <v>7055.9999999999982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0.5</v>
      </c>
      <c r="M33" s="12">
        <v>25000</v>
      </c>
      <c r="N33" s="12">
        <f t="shared" si="12"/>
        <v>12500</v>
      </c>
      <c r="O33" s="39" t="s">
        <v>155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43000</v>
      </c>
      <c r="N34" s="12">
        <f t="shared" si="12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4"/>
      <c r="K35" s="250"/>
      <c r="L35" s="14">
        <v>1</v>
      </c>
      <c r="M35" s="250">
        <v>23000</v>
      </c>
      <c r="N35" s="12">
        <f t="shared" si="12"/>
        <v>23000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4"/>
      <c r="K36" s="250"/>
      <c r="L36" s="249"/>
      <c r="M36" s="250">
        <v>800</v>
      </c>
      <c r="N36" s="12">
        <f t="shared" si="12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>
        <v>2.8</v>
      </c>
      <c r="M37" s="12">
        <v>1500</v>
      </c>
      <c r="N37" s="12">
        <f t="shared" si="12"/>
        <v>4200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I38" s="230" t="s">
        <v>157</v>
      </c>
      <c r="J38" s="47"/>
      <c r="K38" s="250"/>
      <c r="L38" s="14"/>
      <c r="M38" s="12"/>
      <c r="N38" s="12">
        <f>SUM(N32:N37)</f>
        <v>46756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61660</v>
      </c>
      <c r="K39" s="250"/>
      <c r="L39" s="254" t="s">
        <v>35</v>
      </c>
      <c r="M39" s="12"/>
      <c r="N39" s="255">
        <f>N38*2.2</f>
        <v>102863.20000000001</v>
      </c>
      <c r="O39" s="14" t="s">
        <v>142</v>
      </c>
      <c r="P39" s="14"/>
      <c r="Q39" s="46">
        <f>O28/Q38</f>
        <v>0.45297670405521995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51815.126050420171</v>
      </c>
      <c r="K40" s="250"/>
      <c r="L40" s="14"/>
      <c r="M40" s="12"/>
      <c r="N40" s="12">
        <f>N39/O28</f>
        <v>61228.095238095259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0.44065573770491795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45540</v>
      </c>
    </row>
    <row r="6" spans="2:31" ht="16.2" thickBot="1" x14ac:dyDescent="0.35">
      <c r="B6" s="140" t="s">
        <v>2</v>
      </c>
      <c r="C6" s="139" t="str">
        <f>'2229'!C10</f>
        <v>PATRICIO GALVEZ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100</v>
      </c>
      <c r="I7" s="338"/>
      <c r="J7" s="338"/>
      <c r="K7" s="339"/>
      <c r="N7" s="75"/>
      <c r="O7" s="336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11089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6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-5228.3917001207737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112864</v>
      </c>
      <c r="E11" s="132">
        <f>D11*0.19</f>
        <v>21444.16</v>
      </c>
      <c r="F11" s="131">
        <f>E11+D11</f>
        <v>134308.16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100761.60829987923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49390.090787439614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82761.608299879226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63473.909212560386</v>
      </c>
      <c r="E13" s="221">
        <f>(D11/D12)-1</f>
        <v>1.2851547385432713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73761.608299879226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34761.608299879226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81493.649799275358</v>
      </c>
      <c r="F15" s="216">
        <f>E15-D12</f>
        <v>32103.559011835743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34761.608299879226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74761.608299879226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7055.9999999999982</v>
      </c>
      <c r="E20" s="121">
        <f>D20*0.19</f>
        <v>1340.6399999999996</v>
      </c>
      <c r="F20" s="120">
        <f>SUM(D20:E20)</f>
        <v>8396.6399999999976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19556</v>
      </c>
      <c r="E21" s="116">
        <f>SUM(E18:E20)</f>
        <v>3715.6399999999994</v>
      </c>
      <c r="F21" s="115">
        <f>SUM(F18:F20)</f>
        <v>23271.64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17728.52</v>
      </c>
    </row>
    <row r="41" spans="2:16" ht="15" thickBot="1" x14ac:dyDescent="0.35">
      <c r="H41" s="340" t="s">
        <v>62</v>
      </c>
      <c r="I41" s="341"/>
      <c r="J41" s="341"/>
      <c r="K41" s="341"/>
      <c r="L41" s="341"/>
      <c r="M41" s="342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112864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19556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63473.909212560386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63473.909212560386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2024-09-05T19:45:16Z</dcterms:modified>
</cp:coreProperties>
</file>