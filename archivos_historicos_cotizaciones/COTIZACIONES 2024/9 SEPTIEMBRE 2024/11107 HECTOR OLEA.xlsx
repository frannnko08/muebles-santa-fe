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FA8BB9D7-8242-40A9-AD6A-A285F9AB0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10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s="1"/>
  <c r="H26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<sst xmlns="http://schemas.openxmlformats.org/spreadsheetml/2006/main" count="219" uniqueCount="165">
  <si>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</si>
  <si>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</si>
  <si>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</si>
  <si>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</si>
  <si>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</si>
  <si>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</si>
  <si>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</si>
  <si>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</si>
  <si>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</si>
  <si>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</si>
  <si>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</si>
  <si>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</si>
  <si>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</si>
  <si>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</si>
  <si>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</si>
  <si>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</si>
  <si>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</si>
  <si>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</si>
  <si>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</si>
  <si>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</si>
  <si>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</si>
  <si>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</si>
  <si>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</si>
  <si>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</si>
  <si>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</si>
  <si>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</si>
  <si>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</si>
  <si>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</si>
  <si>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</si>
  <si>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</si>
  <si>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</si>
  <si>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</si>
  <si>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</si>
  <si>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</si>
  <si>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</si>
  <si>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</si>
  <si>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</si>
  <si>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</si>
  <si>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</si>
  <si>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</si>
  <si>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</si>
  <si>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</si>
  <si>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</si>
  <si>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</si>
  <si>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</si>
  <si>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</si>
  <si>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</si>
  <si>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</si>
  <si>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</si>
  <si>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</si>
  <si>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</si>
  <si>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</si>
  <si>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</si>
  <si>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</si>
  <si>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</si>
  <si>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</si>
  <si>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</si>
  <si>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</si>
  <si>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</si>
  <si>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</si>
  <si>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</si>
  <si>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</si>
  <si>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</si>
  <si>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</si>
  <si>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</si>
  <si>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</si>
  <si>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</si>
  <si>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</si>
  <si>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</si>
  <si>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</si>
  <si>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</si>
  <si>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</si>
  <si>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</si>
  <si>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</si>
  <si>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</si>
  <si>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</si>
  <si>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</si>
  <si>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</si>
  <si>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</si>
  <si>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</si>
  <si>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</si>
  <si>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</si>
  <si>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</si>
  <si>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</si>
  <si>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</si>
  <si>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</si>
  <si>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</si>
  <si>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</si>
  <si>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</si>
  <si>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</si>
  <si>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</si>
  <si>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</si>
  <si>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</si>
  <si>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</si>
  <si>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</si>
  <si>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</si>
  <si>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</si>
  <si>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</si>
  <si>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</si>
  <si>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</si>
  <si>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</si>
  <si>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</si>
  <si>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</si>
  <si>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</si>
  <si>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</si>
  <si>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</si>
  <si>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</si>
  <si>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</si>
  <si>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</si>
  <si>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</si>
  <si>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</si>
  <si>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</si>
  <si>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</si>
  <si>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</si>
  <si>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</si>
  <si>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</si>
  <si>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</si>
  <si>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</si>
  <si>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</si>
  <si>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</si>
  <si>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</si>
  <si>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</si>
  <si>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</si>
  <si>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</si>
  <si>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</si>
  <si>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</si>
  <si>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</si>
  <si>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</si>
  <si>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</si>
  <si>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</si>
  <si>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</si>
  <si>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</si>
  <si>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</si>
  <si>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</si>
  <si>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</si>
  <si>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</si>
  <si>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</si>
  <si>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</si>
  <si>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</si>
  <si>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</si>
  <si>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</si>
  <si>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</si>
  <si>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</si>
  <si>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</si>
  <si>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</si>
  <si>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</si>
  <si>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</si>
  <si>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</si>
  <si>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</si>
  <si>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</si>
  <si>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</si>
  <si>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</si>
  <si>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</si>
  <si>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</si>
  <si>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</si>
  <si>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</si>
  <si>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</si>
  <si>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</si>
  <si>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N° 11107</t>
  </si>
  <si>
    <t>HECTOR OLEA</t>
  </si>
  <si>
    <t>SANTIAGO</t>
  </si>
  <si>
    <t>+569 77897360</t>
  </si>
  <si>
    <t>3 DIAS HABILES</t>
  </si>
  <si>
    <t>FRENTE CAJON PR8</t>
  </si>
  <si>
    <t>BLANCO 2125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</si>
</sst>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</a:t>
          </a:r>
          <a:r>
            <a:rPr lang="es-CL" sz="1200" b="1" baseline="0"/>
            <a:t> ENCHAPADAS CON TAPACANTO PVC 0,4MM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2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45561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2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4" t="s">
        <v>160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101408.26265389878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4</v>
      </c>
      <c r="C21" s="320" t="s">
        <v>163</v>
      </c>
      <c r="D21" s="325">
        <v>0.8</v>
      </c>
      <c r="E21" s="325">
        <v>0.17199999999999999</v>
      </c>
      <c r="F21" s="320" t="s">
        <v>164</v>
      </c>
      <c r="G21" s="326">
        <v>17826</v>
      </c>
      <c r="H21" s="319">
        <f t="shared" ref="H21" si="1">G21*B21</f>
        <v>71304</v>
      </c>
      <c r="I21" s="265"/>
      <c r="J21" s="47"/>
      <c r="K21" s="314">
        <f>B21</f>
        <v>4</v>
      </c>
      <c r="L21" s="315">
        <f t="shared" ref="L21:M21" si="2">D21+L$19</f>
        <v>0.85000000000000009</v>
      </c>
      <c r="M21" s="315">
        <f t="shared" si="2"/>
        <v>0.17199999999999999</v>
      </c>
      <c r="N21" s="261">
        <f>L21*M21</f>
        <v>0.1462</v>
      </c>
      <c r="O21" s="259">
        <f>N21*K21</f>
        <v>0.58479999999999999</v>
      </c>
      <c r="P21" s="252">
        <f>P$20*N21</f>
        <v>14825.888000000001</v>
      </c>
      <c r="Q21" s="258">
        <f>P21+Q$20</f>
        <v>17825.887999999999</v>
      </c>
      <c r="R21" s="306">
        <f>K21*L21</f>
        <v>3.4000000000000004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0"/>
      <c r="H22" s="310"/>
      <c r="I22" s="265"/>
      <c r="J22" s="47"/>
      <c r="K22" s="47"/>
      <c r="L22" s="39"/>
      <c r="M22" s="39"/>
      <c r="N22" s="261"/>
      <c r="O22" s="259"/>
      <c r="P22" s="252"/>
      <c r="Q22" s="258"/>
      <c r="R22" s="306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7" t="s">
        <v>30</v>
      </c>
      <c r="H24" s="308">
        <f>SUM(H21:H23)</f>
        <v>71304</v>
      </c>
      <c r="I24" s="265"/>
      <c r="J24" s="47"/>
      <c r="K24" s="47"/>
      <c r="L24" s="39">
        <f>SUM(L21:L23)</f>
        <v>0.85000000000000009</v>
      </c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5" t="s">
        <v>53</v>
      </c>
      <c r="H25" s="303">
        <f>H24*19%</f>
        <v>13547.76</v>
      </c>
      <c r="I25" s="265"/>
      <c r="J25" s="47"/>
      <c r="K25" s="47"/>
      <c r="L25" s="39"/>
      <c r="M25" s="12"/>
      <c r="N25" s="12"/>
      <c r="O25" s="253">
        <f>SUM(O21:O21)</f>
        <v>0.58479999999999999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4">
        <f>H24+H25</f>
        <v>84851.76</v>
      </c>
      <c r="I26" s="265"/>
      <c r="J26" s="47"/>
      <c r="K26" s="47"/>
      <c r="L26" s="39"/>
      <c r="M26" s="12"/>
      <c r="N26" s="12"/>
      <c r="O26" s="253">
        <f>O25</f>
        <v>0.58479999999999999</v>
      </c>
      <c r="P26" s="14"/>
      <c r="Q26" s="12"/>
      <c r="R26" s="238">
        <f>SUM(R21:R25)</f>
        <v>3.4000000000000004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0.11696000000000001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2"/>
      <c r="K28" s="47"/>
      <c r="L28" s="14"/>
      <c r="M28" s="12"/>
      <c r="N28" s="12"/>
      <c r="O28" s="46">
        <f>O26+O27</f>
        <v>0.70175999999999994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2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0.70175999999999994</v>
      </c>
      <c r="M30" s="12">
        <v>3500</v>
      </c>
      <c r="N30" s="12">
        <f t="shared" ref="N30:N35" si="3">L30*M30</f>
        <v>2456.16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45000</v>
      </c>
      <c r="N31" s="12">
        <f t="shared" si="3"/>
        <v>13500</v>
      </c>
      <c r="O31" s="39" t="s">
        <v>155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72639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1"/>
      <c r="K33" s="250"/>
      <c r="L33" s="14">
        <v>0.5</v>
      </c>
      <c r="M33" s="250">
        <v>22000</v>
      </c>
      <c r="N33" s="12">
        <f t="shared" si="3"/>
        <v>11000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1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2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I36" s="230" t="s">
        <v>157</v>
      </c>
      <c r="J36" s="47"/>
      <c r="K36" s="250"/>
      <c r="L36" s="14"/>
      <c r="M36" s="12"/>
      <c r="N36" s="12">
        <f>SUM(N30:N35)</f>
        <v>26956.16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48770</v>
      </c>
      <c r="K37" s="250"/>
      <c r="L37" s="254" t="s">
        <v>35</v>
      </c>
      <c r="M37" s="12"/>
      <c r="N37" s="255">
        <f>N36*2.2</f>
        <v>59303.552000000003</v>
      </c>
      <c r="O37" s="14" t="s">
        <v>142</v>
      </c>
      <c r="P37" s="14"/>
      <c r="Q37" s="46">
        <f>O26/Q36</f>
        <v>0.15767903364969801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40983.193277310929</v>
      </c>
      <c r="K38" s="250"/>
      <c r="L38" s="14"/>
      <c r="M38" s="12"/>
      <c r="N38" s="12">
        <f>N37/O26</f>
        <v>101408.26265389878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0.1533901639344262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45561</v>
      </c>
    </row>
    <row r="6" spans="2:31" ht="16.2" thickBot="1" x14ac:dyDescent="0.35">
      <c r="B6" s="140" t="s">
        <v>2</v>
      </c>
      <c r="C6" s="139" t="str">
        <f>'2229'!C10</f>
        <v>HECTOR OLEA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708.31896654589218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71304</v>
      </c>
      <c r="E11" s="132">
        <f>D11*0.19</f>
        <v>13547.76</v>
      </c>
      <c r="F11" s="131">
        <f>E11+D11</f>
        <v>84851.76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106698.31896654589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45790.250787439611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88698.318966545892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25513.749212560389</v>
      </c>
      <c r="E13" s="221">
        <f>(D11/D12)-1</f>
        <v>0.55718736573416794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79698.318966545892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40698.318966545892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75553.913799275353</v>
      </c>
      <c r="F15" s="216">
        <f>E15-D12</f>
        <v>29763.663011835743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40698.318966545892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80698.318966545892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13500</v>
      </c>
      <c r="E19" s="123">
        <f>D19*0.19</f>
        <v>2565</v>
      </c>
      <c r="F19" s="120">
        <f>SUM(D19:E19)</f>
        <v>16065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2456.16</v>
      </c>
      <c r="E20" s="121">
        <f>D20*0.19</f>
        <v>466.67039999999997</v>
      </c>
      <c r="F20" s="120">
        <f>SUM(D20:E20)</f>
        <v>2922.8303999999998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15956.16</v>
      </c>
      <c r="E21" s="116">
        <f>SUM(E18:E20)</f>
        <v>3031.6704</v>
      </c>
      <c r="F21" s="115">
        <f>SUM(F18:F20)</f>
        <v>18987.830399999999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10516.089599999999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71304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15956.16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25513.749212560389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25513.749212560389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2024-09-26T17:58:20Z</dcterms:modified>
</cp:coreProperties>
</file>