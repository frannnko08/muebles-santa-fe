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478514F1-47D7-41BD-B6EF-C9D5C09E5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<sst xmlns="http://schemas.openxmlformats.org/spreadsheetml/2006/main" count="220" uniqueCount="166">
  <si>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</si>
  <si>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</si>
  <si>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</si>
  <si>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</si>
  <si>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</si>
  <si>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</si>
  <si>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</si>
  <si>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</si>
  <si>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</si>
  <si>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</si>
  <si>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</si>
  <si>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</si>
  <si>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</si>
  <si>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</si>
  <si>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</si>
  <si>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</si>
  <si>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</si>
  <si>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</si>
  <si>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</si>
  <si>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</si>
  <si>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</si>
  <si>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</si>
  <si>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</si>
  <si>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</si>
  <si>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</si>
  <si>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</si>
  <si>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</si>
  <si>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</si>
  <si>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</si>
  <si>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</si>
  <si>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</si>
  <si>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</si>
  <si>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</si>
  <si>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</si>
  <si>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</si>
  <si>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</si>
  <si>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</si>
  <si>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</si>
  <si>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</si>
  <si>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</si>
  <si>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</si>
  <si>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</si>
  <si>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</si>
  <si>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</si>
  <si>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</si>
  <si>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</si>
  <si>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</si>
  <si>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</si>
  <si>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</si>
  <si>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</si>
  <si>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</si>
  <si>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</si>
  <si>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</si>
  <si>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</si>
  <si>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</si>
  <si>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</si>
  <si>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</si>
  <si>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</si>
  <si>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</si>
  <si>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</si>
  <si>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</si>
  <si>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</si>
  <si>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</si>
  <si>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</si>
  <si>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</si>
  <si>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</si>
  <si>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</si>
  <si>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</si>
  <si>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</si>
  <si>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</si>
  <si>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</si>
  <si>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</si>
  <si>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</si>
  <si>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</si>
  <si>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</si>
  <si>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</si>
  <si>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</si>
  <si>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</si>
  <si>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</si>
  <si>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</si>
  <si>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</si>
  <si>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</si>
  <si>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</si>
  <si>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</si>
  <si>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</si>
  <si>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</si>
  <si>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</si>
  <si>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</si>
  <si>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</si>
  <si>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</si>
  <si>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</si>
  <si>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</si>
  <si>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</si>
  <si>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</si>
  <si>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</si>
  <si>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</si>
  <si>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</si>
  <si>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</si>
  <si>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</si>
  <si>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</si>
  <si>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</si>
  <si>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</si>
  <si>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</si>
  <si>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</si>
  <si>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</si>
  <si>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</si>
  <si>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</si>
  <si>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</si>
  <si>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</si>
  <si>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</si>
  <si>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</si>
  <si>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</si>
  <si>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</si>
  <si>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</si>
  <si>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</si>
  <si>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</si>
  <si>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</si>
  <si>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</si>
  <si>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</si>
  <si>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</si>
  <si>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</si>
  <si>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</si>
  <si>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</si>
  <si>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</si>
  <si>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</si>
  <si>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</si>
  <si>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</si>
  <si>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</si>
  <si>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</si>
  <si>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</si>
  <si>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</si>
  <si>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</si>
  <si>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</si>
  <si>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</si>
  <si>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</si>
  <si>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</si>
  <si>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</si>
  <si>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</si>
  <si>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</si>
  <si>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</si>
  <si>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</si>
  <si>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</si>
  <si>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</si>
  <si>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</si>
  <si>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</si>
  <si>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</si>
  <si>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</si>
  <si>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</si>
  <si>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</si>
  <si>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</si>
  <si>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</si>
  <si>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</si>
  <si>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</si>
  <si>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</si>
  <si>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</si>
  <si>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</si>
  <si>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</si>
  <si>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</si>
  <si>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</si>
  <si>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+569 9844 0365</t>
  </si>
  <si>
    <t>SALOME VILLAGRAN SUAZO</t>
  </si>
  <si>
    <t>PR8</t>
  </si>
  <si>
    <t>HUMO 2108 MT</t>
  </si>
  <si>
    <t>5 DIAS HABILES</t>
  </si>
  <si>
    <t>23-09-2024,</t>
  </si>
  <si>
    <t>N° 11101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</si>
</sst>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ENCHAPAN</a:t>
          </a:r>
          <a:r>
            <a:rPr lang="es-CL" sz="1200" b="1" baseline="0"/>
            <a:t> CON TAPACANTO PVC 0,4MM LOS MAS PARECIDO A COLOR DE LA LAMINA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 t="s">
        <v>164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94954.28571428571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23" t="s">
        <v>161</v>
      </c>
      <c r="D21" s="324">
        <v>0.72</v>
      </c>
      <c r="E21" s="324">
        <v>0.25</v>
      </c>
      <c r="F21" s="327" t="s">
        <v>162</v>
      </c>
      <c r="G21" s="325">
        <v>18729</v>
      </c>
      <c r="H21" s="326">
        <f t="shared" ref="H21" si="1">G21*B21</f>
        <v>37458</v>
      </c>
      <c r="I21" s="265"/>
      <c r="J21" s="47"/>
      <c r="K21" s="317">
        <f>B21</f>
        <v>2</v>
      </c>
      <c r="L21" s="318">
        <f t="shared" ref="L21:M21" si="2">D21+L$19</f>
        <v>0.77</v>
      </c>
      <c r="M21" s="318">
        <f t="shared" si="2"/>
        <v>0.25</v>
      </c>
      <c r="N21" s="261">
        <f>L21*M21</f>
        <v>0.1925</v>
      </c>
      <c r="O21" s="259">
        <f>N21*K21</f>
        <v>0.38500000000000001</v>
      </c>
      <c r="P21" s="252">
        <f>P$20*N21</f>
        <v>18278.7</v>
      </c>
      <c r="Q21" s="258">
        <f>P21+Q$20</f>
        <v>21278.7</v>
      </c>
      <c r="R21" s="308">
        <f>K21*L21</f>
        <v>1.54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2"/>
      <c r="H22" s="312"/>
      <c r="I22" s="265"/>
      <c r="J22" s="47"/>
      <c r="K22" s="317">
        <f t="shared" ref="K22" si="3">B22</f>
        <v>0</v>
      </c>
      <c r="L22" s="318"/>
      <c r="M22" s="318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2"/>
      <c r="H23" s="312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37458</v>
      </c>
      <c r="I25" s="265"/>
      <c r="J25" s="47"/>
      <c r="K25" s="47"/>
      <c r="L25" s="39">
        <f>SUM(L21:L24)</f>
        <v>0.77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SUM(O21:O21)</f>
        <v>0.38500000000000001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37458</v>
      </c>
      <c r="I27" s="265"/>
      <c r="J27" s="47"/>
      <c r="K27" s="47"/>
      <c r="L27" s="39"/>
      <c r="M27" s="12"/>
      <c r="N27" s="12"/>
      <c r="O27" s="253">
        <f>O26</f>
        <v>0.38500000000000001</v>
      </c>
      <c r="P27" s="14"/>
      <c r="Q27" s="12"/>
      <c r="R27" s="238">
        <f>SUM(R21:R26)</f>
        <v>1.54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7.7000000000000013E-2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0.46200000000000002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0.46200000000000002</v>
      </c>
      <c r="M31" s="12">
        <v>3500</v>
      </c>
      <c r="N31" s="12">
        <f t="shared" ref="N31:N36" si="4">L31*M31</f>
        <v>1617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0.2</v>
      </c>
      <c r="M32" s="12">
        <v>40000</v>
      </c>
      <c r="N32" s="12">
        <f t="shared" si="4"/>
        <v>8000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0.25</v>
      </c>
      <c r="M34" s="250">
        <v>28000</v>
      </c>
      <c r="N34" s="12">
        <f t="shared" si="4"/>
        <v>7000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4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16617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61660</v>
      </c>
      <c r="K38" s="250"/>
      <c r="L38" s="254" t="s">
        <v>35</v>
      </c>
      <c r="M38" s="12"/>
      <c r="N38" s="255">
        <f>N37*2.2</f>
        <v>36557.4</v>
      </c>
      <c r="O38" s="14" t="s">
        <v>142</v>
      </c>
      <c r="P38" s="14"/>
      <c r="Q38" s="46">
        <f>O27/Q37</f>
        <v>0.10380716134598791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51815.126050420171</v>
      </c>
      <c r="K39" s="250"/>
      <c r="L39" s="14"/>
      <c r="M39" s="12"/>
      <c r="N39" s="12">
        <f>N38/O27</f>
        <v>94954.28571428571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0.10098360655737705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23-09-2024,</v>
      </c>
    </row>
    <row r="6" spans="2:31" ht="16.2" thickBot="1" x14ac:dyDescent="0.35">
      <c r="B6" s="140" t="s">
        <v>2</v>
      </c>
      <c r="C6" s="139" t="str">
        <f>'2229'!C10</f>
        <v>SALOME VILLAGRAN SUAZO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4606.0499665458929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37458</v>
      </c>
      <c r="E11" s="132">
        <f>D11*0.19</f>
        <v>7117.02</v>
      </c>
      <c r="F11" s="131">
        <f>E11+D11</f>
        <v>44575.020000000004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110596.04996654589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39451.090787439614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92596.049966545892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-1993.0907874396144</v>
      </c>
      <c r="E13" s="221">
        <f>(D11/D12)-1</f>
        <v>-5.0520549562958372E-2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83596.049966545892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44596.049966545892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65094.299799275359</v>
      </c>
      <c r="F15" s="216">
        <f>E15-D12</f>
        <v>25643.209011835745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44596.049966545892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84596.049966545892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8000</v>
      </c>
      <c r="E19" s="123">
        <f>D19*0.19</f>
        <v>1520</v>
      </c>
      <c r="F19" s="120">
        <f>SUM(D19:E19)</f>
        <v>9520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1617</v>
      </c>
      <c r="E20" s="121">
        <f>D20*0.19</f>
        <v>307.23</v>
      </c>
      <c r="F20" s="120">
        <f>SUM(D20:E20)</f>
        <v>1924.23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9617</v>
      </c>
      <c r="E21" s="116">
        <f>SUM(E18:E20)</f>
        <v>1827.23</v>
      </c>
      <c r="F21" s="115">
        <f>SUM(F18:F20)</f>
        <v>11444.23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5289.7900000000009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37458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9617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-1993.0907874396144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-1993.0907874396144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2024-09-23T17:20:29Z</dcterms:modified>
</cp:coreProperties>
</file>