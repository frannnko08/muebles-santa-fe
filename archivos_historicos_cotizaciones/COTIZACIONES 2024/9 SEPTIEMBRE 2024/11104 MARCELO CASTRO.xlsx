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133E0D32-715D-4B05-AF63-91D9A039D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10" i="1" l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R26" i="1"/>
  <c r="H24" i="1" l="1"/>
  <c r="H25" i="1" l="1"/>
  <c r="H26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<sst xmlns="http://schemas.openxmlformats.org/spreadsheetml/2006/main" count="219" uniqueCount="165">
  <si>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</si>
  <si>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</si>
  <si>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</si>
  <si>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</si>
  <si>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</si>
  <si>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</si>
  <si>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</si>
  <si>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</si>
  <si>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</si>
  <si>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</si>
  <si>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</si>
  <si>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</si>
  <si>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</si>
  <si>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</si>
  <si>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</si>
  <si>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</si>
  <si>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</si>
  <si>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</si>
  <si>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</si>
  <si>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</si>
  <si>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</si>
  <si>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</si>
  <si>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</si>
  <si>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</si>
  <si>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</si>
  <si>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</si>
  <si>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</si>
  <si>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</si>
  <si>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</si>
  <si>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</si>
  <si>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</si>
  <si>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</si>
  <si>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</si>
  <si>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</si>
  <si>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</si>
  <si>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</si>
  <si>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</si>
  <si>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</si>
  <si>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</si>
  <si>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</si>
  <si>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</si>
  <si>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</si>
  <si>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</si>
  <si>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</si>
  <si>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</si>
  <si>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</si>
  <si>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</si>
  <si>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</si>
  <si>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</si>
  <si>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</si>
  <si>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</si>
  <si>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</si>
  <si>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</si>
  <si>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</si>
  <si>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</si>
  <si>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</si>
  <si>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</si>
  <si>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</si>
  <si>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</si>
  <si>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</si>
  <si>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</si>
  <si>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</si>
  <si>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</si>
  <si>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</si>
  <si>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</si>
  <si>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</si>
  <si>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</si>
  <si>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</si>
  <si>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</si>
  <si>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</si>
  <si>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</si>
  <si>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</si>
  <si>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</si>
  <si>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</si>
  <si>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</si>
  <si>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</si>
  <si>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</si>
  <si>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</si>
  <si>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</si>
  <si>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</si>
  <si>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</si>
  <si>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</si>
  <si>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</si>
  <si>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</si>
  <si>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</si>
  <si>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</si>
  <si>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</si>
  <si>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</si>
  <si>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</si>
  <si>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</si>
  <si>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</si>
  <si>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</si>
  <si>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</si>
  <si>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</si>
  <si>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</si>
  <si>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</si>
  <si>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</si>
  <si>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</si>
  <si>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</si>
  <si>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</si>
  <si>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</si>
  <si>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</si>
  <si>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</si>
  <si>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</si>
  <si>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</si>
  <si>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</si>
  <si>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</si>
  <si>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</si>
  <si>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</si>
  <si>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</si>
  <si>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</si>
  <si>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</si>
  <si>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</si>
  <si>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</si>
  <si>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</si>
  <si>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</si>
  <si>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</si>
  <si>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</si>
  <si>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</si>
  <si>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</si>
  <si>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</si>
  <si>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</si>
  <si>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</si>
  <si>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</si>
  <si>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</si>
  <si>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</si>
  <si>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</si>
  <si>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</si>
  <si>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</si>
  <si>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</si>
  <si>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</si>
  <si>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</si>
  <si>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</si>
  <si>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</si>
  <si>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</si>
  <si>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</si>
  <si>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</si>
  <si>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</si>
  <si>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</si>
  <si>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</si>
  <si>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</si>
  <si>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</si>
  <si>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</si>
  <si>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</si>
  <si>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</si>
  <si>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</si>
  <si>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</si>
  <si>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</si>
  <si>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</si>
  <si>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</si>
  <si>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</si>
  <si>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</si>
  <si>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</si>
  <si>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</si>
  <si>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</si>
  <si>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</si>
  <si>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</si>
  <si>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</si>
  <si>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</si>
  <si>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N° 11104</t>
  </si>
  <si>
    <t>MARCELO CASTRO</t>
  </si>
  <si>
    <t>3 DIAS HABILES</t>
  </si>
  <si>
    <t>+569 71379100</t>
  </si>
  <si>
    <t>CUB S/R FRENTE ESPAÑOL 180°</t>
  </si>
  <si>
    <t>NEGRO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</si>
</sst>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8" borderId="0" xfId="0" applyFont="1" applyFill="1"/>
    <xf numFmtId="0" fontId="9" fillId="8" borderId="0" xfId="3" applyFill="1"/>
    <xf numFmtId="0" fontId="36" fillId="0" borderId="0" xfId="0" quotePrefix="1" applyFont="1"/>
    <xf numFmtId="0" fontId="29" fillId="0" borderId="37" xfId="3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SUSTRATO.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2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45560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9"/>
      <c r="F11" t="s">
        <v>125</v>
      </c>
      <c r="G11" s="289" t="s">
        <v>161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2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22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2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324" t="s">
        <v>158</v>
      </c>
      <c r="D17" s="298"/>
      <c r="E17" s="299"/>
      <c r="F17" s="327" t="s">
        <v>154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6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97745.747126436792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0">
        <v>1</v>
      </c>
      <c r="C21" s="320" t="s">
        <v>163</v>
      </c>
      <c r="D21" s="325">
        <v>1.4</v>
      </c>
      <c r="E21" s="325">
        <v>0.6</v>
      </c>
      <c r="F21" s="320" t="s">
        <v>164</v>
      </c>
      <c r="G21" s="326">
        <v>88039</v>
      </c>
      <c r="H21" s="319">
        <f t="shared" ref="H21" si="1">G21*B21</f>
        <v>88039</v>
      </c>
      <c r="I21" s="265"/>
      <c r="J21" s="47"/>
      <c r="K21" s="314">
        <f>B21</f>
        <v>1</v>
      </c>
      <c r="L21" s="315">
        <f t="shared" ref="L21:M21" si="2">D21+L$19</f>
        <v>1.45</v>
      </c>
      <c r="M21" s="315">
        <f t="shared" si="2"/>
        <v>0.6</v>
      </c>
      <c r="N21" s="261">
        <f>L21*M21</f>
        <v>0.87</v>
      </c>
      <c r="O21" s="259">
        <f>N21*K21</f>
        <v>0.87</v>
      </c>
      <c r="P21" s="252">
        <f>P$20*N21</f>
        <v>85038.8</v>
      </c>
      <c r="Q21" s="258">
        <f>P21+Q$20</f>
        <v>88038.8</v>
      </c>
      <c r="R21" s="306">
        <f>K21*L21</f>
        <v>1.45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0"/>
      <c r="H22" s="310"/>
      <c r="I22" s="265"/>
      <c r="J22" s="47"/>
      <c r="K22" s="47"/>
      <c r="L22" s="39"/>
      <c r="M22" s="39"/>
      <c r="N22" s="261"/>
      <c r="O22" s="259"/>
      <c r="P22" s="252"/>
      <c r="Q22" s="258"/>
      <c r="R22" s="306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6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7" t="s">
        <v>30</v>
      </c>
      <c r="H24" s="308">
        <f>SUM(H21:H23)</f>
        <v>88039</v>
      </c>
      <c r="I24" s="265"/>
      <c r="J24" s="47"/>
      <c r="K24" s="47"/>
      <c r="L24" s="39">
        <f>SUM(L21:L23)</f>
        <v>1.45</v>
      </c>
      <c r="M24" s="39"/>
      <c r="N24" s="261"/>
      <c r="O24" s="259"/>
      <c r="P24" s="252"/>
      <c r="Q24" s="258"/>
      <c r="R24" s="306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5" t="s">
        <v>53</v>
      </c>
      <c r="H25" s="303">
        <f>H24*19%</f>
        <v>16727.41</v>
      </c>
      <c r="I25" s="265"/>
      <c r="J25" s="47"/>
      <c r="K25" s="47"/>
      <c r="L25" s="39"/>
      <c r="M25" s="12"/>
      <c r="N25" s="12"/>
      <c r="O25" s="253">
        <f>SUM(O21:O21)</f>
        <v>0.87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4">
        <f>H24+H25</f>
        <v>104766.41</v>
      </c>
      <c r="I26" s="265"/>
      <c r="J26" s="47"/>
      <c r="K26" s="47"/>
      <c r="L26" s="39"/>
      <c r="M26" s="12"/>
      <c r="N26" s="12"/>
      <c r="O26" s="253">
        <f>O25</f>
        <v>0.87</v>
      </c>
      <c r="P26" s="14"/>
      <c r="Q26" s="12"/>
      <c r="R26" s="238">
        <f>SUM(R21:R25)</f>
        <v>1.45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0.17400000000000002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2"/>
      <c r="K28" s="47"/>
      <c r="L28" s="14"/>
      <c r="M28" s="12"/>
      <c r="N28" s="12"/>
      <c r="O28" s="46">
        <f>O26+O27</f>
        <v>1.044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2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1.044</v>
      </c>
      <c r="M30" s="12">
        <v>3500</v>
      </c>
      <c r="N30" s="12">
        <f t="shared" ref="N30:N35" si="3">L30*M30</f>
        <v>3654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25000</v>
      </c>
      <c r="N31" s="12">
        <f t="shared" si="3"/>
        <v>7500</v>
      </c>
      <c r="O31" s="39" t="s">
        <v>155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72639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1"/>
      <c r="K33" s="250"/>
      <c r="L33" s="14">
        <v>1</v>
      </c>
      <c r="M33" s="250">
        <v>27500</v>
      </c>
      <c r="N33" s="12">
        <f t="shared" si="3"/>
        <v>27500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1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2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I36" s="230" t="s">
        <v>157</v>
      </c>
      <c r="J36" s="47"/>
      <c r="K36" s="250"/>
      <c r="L36" s="14"/>
      <c r="M36" s="12"/>
      <c r="N36" s="12">
        <f>SUM(N30:N35)</f>
        <v>38654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41290</v>
      </c>
      <c r="K37" s="250"/>
      <c r="L37" s="254" t="s">
        <v>35</v>
      </c>
      <c r="M37" s="12"/>
      <c r="N37" s="255">
        <f>N36*2.2</f>
        <v>85038.8</v>
      </c>
      <c r="O37" s="14" t="s">
        <v>142</v>
      </c>
      <c r="P37" s="14"/>
      <c r="Q37" s="46">
        <f>O26/Q36</f>
        <v>0.23457722174288179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34697.478991596639</v>
      </c>
      <c r="K38" s="250"/>
      <c r="L38" s="14"/>
      <c r="M38" s="12"/>
      <c r="N38" s="12">
        <f>N37/O26</f>
        <v>97745.747126436792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0.22819672131147542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45560</v>
      </c>
    </row>
    <row r="6" spans="2:31" ht="16.2" thickBot="1" x14ac:dyDescent="0.35">
      <c r="B6" s="140" t="s">
        <v>2</v>
      </c>
      <c r="C6" s="139" t="str">
        <f>'2229'!C10</f>
        <v>MARCELO CASTRO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-3401.4417001207744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88039</v>
      </c>
      <c r="E11" s="132">
        <f>D11*0.19</f>
        <v>16727.41</v>
      </c>
      <c r="F11" s="131">
        <f>E11+D11</f>
        <v>104766.41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102588.55829987922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40988.090787439614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84588.558299879223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47050.909212560386</v>
      </c>
      <c r="E13" s="221">
        <f>(D11/D12)-1</f>
        <v>1.1479165852481876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75588.558299879223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36588.558299879223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67630.349799275355</v>
      </c>
      <c r="F15" s="216">
        <f>E15-D12</f>
        <v>26642.25901183574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36588.558299879223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76588.558299879223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3654</v>
      </c>
      <c r="E20" s="121">
        <f>D20*0.19</f>
        <v>694.26</v>
      </c>
      <c r="F20" s="120">
        <f>SUM(D20:E20)</f>
        <v>4348.26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11154</v>
      </c>
      <c r="E21" s="116">
        <f>SUM(E18:E20)</f>
        <v>2119.2600000000002</v>
      </c>
      <c r="F21" s="115">
        <f>SUM(F18:F20)</f>
        <v>13273.26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14608.15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88039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11154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47050.909212560386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47050.909212560386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2024-09-25T12:24:07Z</dcterms:modified>
</cp:coreProperties>
</file>