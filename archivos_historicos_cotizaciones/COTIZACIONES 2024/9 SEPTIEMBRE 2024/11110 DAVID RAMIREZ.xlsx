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AB2315DC-F4B2-43EB-91CD-028CEFF43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K22" i="1"/>
  <c r="K24" i="1"/>
  <c r="K25" i="1"/>
  <c r="R25" i="1" s="1"/>
  <c r="K26" i="1"/>
  <c r="H26" i="1"/>
  <c r="L25" i="1"/>
  <c r="M25" i="1"/>
  <c r="N25" i="1"/>
  <c r="L26" i="1"/>
  <c r="M26" i="1"/>
  <c r="N26" i="1"/>
  <c r="O26" i="1" s="1"/>
  <c r="R26" i="1"/>
  <c r="L24" i="1"/>
  <c r="M24" i="1"/>
  <c r="N24" i="1" s="1"/>
  <c r="O24" i="1" s="1"/>
  <c r="H24" i="1"/>
  <c r="H25" i="1"/>
  <c r="L22" i="1"/>
  <c r="M22" i="1"/>
  <c r="L23" i="1"/>
  <c r="R23" i="1" s="1"/>
  <c r="M23" i="1"/>
  <c r="H22" i="1"/>
  <c r="H23" i="1"/>
  <c r="K10" i="1"/>
  <c r="O25" i="1" l="1"/>
  <c r="R24" i="1"/>
  <c r="N22" i="1"/>
  <c r="O22" i="1" s="1"/>
  <c r="N23" i="1"/>
  <c r="O23" i="1" s="1"/>
  <c r="R22" i="1"/>
  <c r="J43" i="1"/>
  <c r="L21" i="1" l="1"/>
  <c r="L29" i="1" s="1"/>
  <c r="M21" i="1"/>
  <c r="N21" i="1" l="1"/>
  <c r="O21" i="1" s="1"/>
  <c r="R21" i="1"/>
  <c r="N36" i="1"/>
  <c r="O31" i="1" l="1"/>
  <c r="S48" i="1"/>
  <c r="O32" i="1" l="1"/>
  <c r="M20" i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3" i="1" l="1"/>
  <c r="L35" i="1" s="1"/>
  <c r="N35" i="1" l="1"/>
  <c r="S49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4" i="1" l="1"/>
  <c r="Q24" i="1" s="1"/>
  <c r="P26" i="1"/>
  <c r="Q26" i="1" s="1"/>
  <c r="P25" i="1"/>
  <c r="Q25" i="1" s="1"/>
  <c r="P23" i="1"/>
  <c r="Q23" i="1" s="1"/>
  <c r="P22" i="1"/>
  <c r="Q22" i="1" s="1"/>
  <c r="P21" i="1"/>
  <c r="F15" i="3"/>
  <c r="Q21" i="1" l="1"/>
  <c r="H21" i="1" s="1"/>
  <c r="R31" i="1"/>
  <c r="H29" i="1" l="1"/>
  <c r="H30" i="1" s="1"/>
  <c r="H31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<sst xmlns="http://schemas.openxmlformats.org/spreadsheetml/2006/main" count="232" uniqueCount="171">
  <si>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</si>
  <si>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</si>
  <si>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</si>
  <si>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</si>
  <si>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</si>
  <si>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</si>
  <si>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</si>
  <si>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</si>
  <si>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</si>
  <si>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</si>
  <si>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</si>
  <si>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</si>
  <si>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</si>
  <si>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</si>
  <si>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</si>
  <si>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</si>
  <si>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</si>
  <si>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</si>
  <si>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</si>
  <si>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</si>
  <si>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</si>
  <si>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</si>
  <si>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</si>
  <si>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</si>
  <si>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</si>
  <si>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</si>
  <si>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</si>
  <si>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</si>
  <si>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</si>
  <si>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</si>
  <si>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</si>
  <si>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</si>
  <si>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</si>
  <si>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</si>
  <si>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</si>
  <si>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</si>
  <si>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</si>
  <si>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</si>
  <si>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</si>
  <si>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</si>
  <si>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</si>
  <si>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</si>
  <si>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</si>
  <si>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</si>
  <si>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</si>
  <si>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</si>
  <si>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</si>
  <si>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</si>
  <si>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</si>
  <si>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</si>
  <si>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</si>
  <si>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</si>
  <si>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</si>
  <si>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</si>
  <si>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</si>
  <si>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</si>
  <si>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</si>
  <si>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</si>
  <si>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</si>
  <si>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</si>
  <si>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</si>
  <si>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</si>
  <si>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</si>
  <si>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</si>
  <si>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</si>
  <si>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</si>
  <si>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</si>
  <si>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</si>
  <si>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</si>
  <si>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</si>
  <si>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</si>
  <si>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</si>
  <si>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</si>
  <si>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</si>
  <si>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</si>
  <si>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</si>
  <si>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</si>
  <si>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</si>
  <si>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</si>
  <si>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</si>
  <si>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</si>
  <si>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</si>
  <si>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</si>
  <si>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</si>
  <si>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</si>
  <si>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</si>
  <si>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</si>
  <si>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</si>
  <si>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</si>
  <si>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</si>
  <si>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</si>
  <si>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</si>
  <si>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</si>
  <si>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</si>
  <si>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</si>
  <si>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</si>
  <si>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</si>
  <si>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</si>
  <si>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</si>
  <si>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</si>
  <si>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</si>
  <si>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</si>
  <si>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</si>
  <si>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</si>
  <si>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</si>
  <si>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</si>
  <si>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</si>
  <si>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</si>
  <si>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</si>
  <si>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</si>
  <si>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</si>
  <si>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</si>
  <si>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</si>
  <si>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</si>
  <si>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</si>
  <si>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</si>
  <si>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</si>
  <si>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</si>
  <si>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</si>
  <si>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</si>
  <si>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</si>
  <si>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</si>
  <si>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</si>
  <si>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</si>
  <si>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</si>
  <si>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</si>
  <si>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</si>
  <si>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</si>
  <si>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</si>
  <si>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</si>
  <si>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</si>
  <si>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</si>
  <si>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</si>
  <si>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</si>
  <si>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</si>
  <si>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</si>
  <si>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</si>
  <si>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</si>
  <si>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</si>
  <si>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</si>
  <si>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</si>
  <si>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</si>
  <si>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</si>
  <si>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</si>
  <si>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</si>
  <si>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</si>
  <si>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</si>
  <si>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</si>
  <si>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</si>
  <si>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</si>
  <si>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</si>
  <si>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</si>
  <si>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</si>
  <si>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</si>
  <si>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</si>
  <si>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</si>
  <si>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</si>
  <si>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</si>
  <si>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DAVID RAMIREZ</t>
  </si>
  <si>
    <t>+569 8521 7073</t>
  </si>
  <si>
    <t>7 DIAS HABILES</t>
  </si>
  <si>
    <t>SI</t>
  </si>
  <si>
    <t>FILKUN CARPINTERIA SPA</t>
  </si>
  <si>
    <t>77.369.374-9</t>
  </si>
  <si>
    <t>MUEBLES</t>
  </si>
  <si>
    <t>LAMANBA.TALLER@GMAIL.COM</t>
  </si>
  <si>
    <t>N° 11110</t>
  </si>
  <si>
    <t>E/R 2 CARAS</t>
  </si>
  <si>
    <t>E/R 1 CARA</t>
  </si>
  <si>
    <t>TROZO LAMINA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</si>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</sst>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28575</xdr:rowOff>
    </xdr:from>
    <xdr:to>
      <xdr:col>8</xdr:col>
      <xdr:colOff>100890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27</xdr:row>
      <xdr:rowOff>169545</xdr:rowOff>
    </xdr:from>
    <xdr:to>
      <xdr:col>5</xdr:col>
      <xdr:colOff>1764030</xdr:colOff>
      <xdr:row>31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CORTADAS A LA</a:t>
          </a:r>
          <a:r>
            <a:rPr lang="es-CL" sz="1200" b="1" baseline="0"/>
            <a:t> MEDIDA</a:t>
          </a:r>
        </a:p>
        <a:p>
          <a:pPr algn="l"/>
          <a:r>
            <a:rPr lang="es-CL" sz="1200" b="1" baseline="0"/>
            <a:t>SUSTRATO: MDF 9MM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MANBA.TALLER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3" zoomScale="98" zoomScaleNormal="98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162</v>
      </c>
      <c r="D10" s="243"/>
      <c r="E10" s="243"/>
      <c r="F10" s="244" t="s">
        <v>0</v>
      </c>
      <c r="G10" s="277">
        <v>45527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163</v>
      </c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147</v>
      </c>
      <c r="C12" s="311" t="s">
        <v>164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279" t="s">
        <v>158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 t="s">
        <v>165</v>
      </c>
      <c r="F14" s="29" t="s">
        <v>138</v>
      </c>
      <c r="G14" s="291" t="s">
        <v>161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5" t="s">
        <v>10</v>
      </c>
      <c r="E20" s="325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N43</f>
        <v>62284.569993722544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6</v>
      </c>
      <c r="C21" s="312" t="s">
        <v>167</v>
      </c>
      <c r="D21" s="326">
        <v>1.7</v>
      </c>
      <c r="E21" s="326">
        <v>1.2</v>
      </c>
      <c r="F21" s="312" t="s">
        <v>170</v>
      </c>
      <c r="G21" s="313">
        <v>143558</v>
      </c>
      <c r="H21" s="314">
        <f t="shared" ref="H21" si="1">G21*B21</f>
        <v>861348</v>
      </c>
      <c r="I21" s="265"/>
      <c r="J21" s="47"/>
      <c r="K21" s="323"/>
      <c r="L21" s="324">
        <f t="shared" ref="L21:M21" si="2">D21+L$19</f>
        <v>1.75</v>
      </c>
      <c r="M21" s="324">
        <f t="shared" si="2"/>
        <v>1.2</v>
      </c>
      <c r="N21" s="261">
        <f>L21*M21</f>
        <v>2.1</v>
      </c>
      <c r="O21" s="259">
        <f>N21*K21</f>
        <v>0</v>
      </c>
      <c r="P21" s="252">
        <f>P$20*N21</f>
        <v>130797.59698681734</v>
      </c>
      <c r="Q21" s="258">
        <f>P21+Q$20</f>
        <v>133797.59698681734</v>
      </c>
      <c r="R21" s="308">
        <f>K21*L21</f>
        <v>0</v>
      </c>
      <c r="S21" s="14"/>
      <c r="T21" s="9"/>
      <c r="W21" s="4"/>
    </row>
    <row r="22" spans="2:24" ht="17.399999999999999" x14ac:dyDescent="0.3">
      <c r="B22" s="321">
        <v>1</v>
      </c>
      <c r="C22" s="312" t="s">
        <v>168</v>
      </c>
      <c r="D22" s="326">
        <v>1.8</v>
      </c>
      <c r="E22" s="326">
        <v>1.5</v>
      </c>
      <c r="F22" s="312" t="s">
        <v>170</v>
      </c>
      <c r="G22" s="313">
        <v>175840</v>
      </c>
      <c r="H22" s="314">
        <f t="shared" ref="H22:H23" si="3">G22*B22</f>
        <v>175840</v>
      </c>
      <c r="I22" s="265"/>
      <c r="J22" s="47"/>
      <c r="K22" s="323">
        <f t="shared" ref="K22:K26" si="4">B22</f>
        <v>1</v>
      </c>
      <c r="L22" s="324">
        <f t="shared" ref="L22:L23" si="5">D22+L$19</f>
        <v>1.85</v>
      </c>
      <c r="M22" s="324">
        <f t="shared" ref="M22:M23" si="6">E22+M$19</f>
        <v>1.5</v>
      </c>
      <c r="N22" s="261">
        <f t="shared" ref="N22:N23" si="7">L22*M22</f>
        <v>2.7750000000000004</v>
      </c>
      <c r="O22" s="259">
        <f t="shared" ref="O22:O23" si="8">N22*K22</f>
        <v>2.7750000000000004</v>
      </c>
      <c r="P22" s="252">
        <f t="shared" ref="P22:P23" si="9">P$20*N22</f>
        <v>172839.68173258009</v>
      </c>
      <c r="Q22" s="258">
        <f t="shared" ref="Q22:Q23" si="10">P22+Q$20</f>
        <v>175839.68173258009</v>
      </c>
      <c r="R22" s="308">
        <f t="shared" ref="R22:R23" si="11">K22*L22</f>
        <v>1.85</v>
      </c>
      <c r="S22" s="14"/>
      <c r="T22" s="9"/>
      <c r="W22" s="4"/>
    </row>
    <row r="23" spans="2:24" ht="17.399999999999999" x14ac:dyDescent="0.3">
      <c r="B23" s="321">
        <v>1</v>
      </c>
      <c r="C23" s="312" t="s">
        <v>169</v>
      </c>
      <c r="D23" s="326">
        <v>1.8</v>
      </c>
      <c r="E23" s="326">
        <v>1.5</v>
      </c>
      <c r="F23" s="312" t="s">
        <v>170</v>
      </c>
      <c r="G23" s="313">
        <v>57500</v>
      </c>
      <c r="H23" s="314">
        <f t="shared" si="3"/>
        <v>57500</v>
      </c>
      <c r="I23" s="265"/>
      <c r="J23" s="47">
        <v>1</v>
      </c>
      <c r="K23" s="323"/>
      <c r="L23" s="324">
        <f t="shared" si="5"/>
        <v>1.85</v>
      </c>
      <c r="M23" s="324">
        <f t="shared" si="6"/>
        <v>1.5</v>
      </c>
      <c r="N23" s="261">
        <f t="shared" si="7"/>
        <v>2.7750000000000004</v>
      </c>
      <c r="O23" s="259">
        <f t="shared" si="8"/>
        <v>0</v>
      </c>
      <c r="P23" s="252">
        <f t="shared" si="9"/>
        <v>172839.68173258009</v>
      </c>
      <c r="Q23" s="258">
        <f t="shared" si="10"/>
        <v>175839.68173258009</v>
      </c>
      <c r="R23" s="308">
        <f t="shared" si="11"/>
        <v>0</v>
      </c>
      <c r="S23" s="14"/>
      <c r="T23" s="9"/>
      <c r="W23" s="4"/>
    </row>
    <row r="24" spans="2:24" ht="17.399999999999999" x14ac:dyDescent="0.3">
      <c r="B24" s="321">
        <v>1</v>
      </c>
      <c r="C24" s="312" t="s">
        <v>168</v>
      </c>
      <c r="D24" s="343">
        <v>1.675</v>
      </c>
      <c r="E24" s="326">
        <v>1.2130000000000001</v>
      </c>
      <c r="F24" s="312" t="s">
        <v>170</v>
      </c>
      <c r="G24" s="313">
        <v>133326</v>
      </c>
      <c r="H24" s="314">
        <f t="shared" ref="H24" si="12">G24*B24</f>
        <v>133326</v>
      </c>
      <c r="I24" s="265"/>
      <c r="J24" s="47"/>
      <c r="K24" s="323">
        <f t="shared" si="4"/>
        <v>1</v>
      </c>
      <c r="L24" s="324">
        <f t="shared" ref="L24" si="13">D24+L$19</f>
        <v>1.7250000000000001</v>
      </c>
      <c r="M24" s="324">
        <f t="shared" ref="M24" si="14">E24+M$19</f>
        <v>1.2130000000000001</v>
      </c>
      <c r="N24" s="261">
        <f t="shared" ref="N24" si="15">L24*M24</f>
        <v>2.0924250000000004</v>
      </c>
      <c r="O24" s="259">
        <f t="shared" ref="O24" si="16">N24*K24</f>
        <v>2.0924250000000004</v>
      </c>
      <c r="P24" s="252">
        <f t="shared" ref="P24" si="17">P$20*N24</f>
        <v>130325.79136911492</v>
      </c>
      <c r="Q24" s="258">
        <f t="shared" ref="Q24" si="18">P24+Q$20</f>
        <v>133325.79136911492</v>
      </c>
      <c r="R24" s="308">
        <f t="shared" ref="R24" si="19">K24*L24</f>
        <v>1.7250000000000001</v>
      </c>
      <c r="S24" s="14"/>
      <c r="T24" s="9"/>
      <c r="W24" s="4"/>
    </row>
    <row r="25" spans="2:24" ht="17.399999999999999" x14ac:dyDescent="0.3">
      <c r="B25" s="321">
        <v>1</v>
      </c>
      <c r="C25" s="312" t="s">
        <v>168</v>
      </c>
      <c r="D25" s="343">
        <v>1.3580000000000001</v>
      </c>
      <c r="E25" s="326">
        <v>0.83499999999999996</v>
      </c>
      <c r="F25" s="321" t="s">
        <v>170</v>
      </c>
      <c r="G25" s="313">
        <v>76227</v>
      </c>
      <c r="H25" s="342">
        <f t="shared" ref="H25:H26" si="20">G25*B25</f>
        <v>76227</v>
      </c>
      <c r="I25" s="265"/>
      <c r="J25" s="47"/>
      <c r="K25" s="323">
        <f t="shared" si="4"/>
        <v>1</v>
      </c>
      <c r="L25" s="324">
        <f t="shared" ref="L25:L26" si="21">D25+L$19</f>
        <v>1.4080000000000001</v>
      </c>
      <c r="M25" s="324">
        <f t="shared" ref="M25:M26" si="22">E25+M$19</f>
        <v>0.83499999999999996</v>
      </c>
      <c r="N25" s="261">
        <f t="shared" ref="N25:N26" si="23">L25*M25</f>
        <v>1.1756800000000001</v>
      </c>
      <c r="O25" s="259">
        <f t="shared" ref="O25:O26" si="24">N25*K25</f>
        <v>1.1756800000000001</v>
      </c>
      <c r="P25" s="252">
        <f t="shared" ref="P25:P26" si="25">P$20*N25</f>
        <v>73226.723250219729</v>
      </c>
      <c r="Q25" s="258">
        <f t="shared" ref="Q25:Q26" si="26">P25+Q$20</f>
        <v>76226.723250219729</v>
      </c>
      <c r="R25" s="308">
        <f t="shared" ref="R25:R26" si="27">K25*L25</f>
        <v>1.4080000000000001</v>
      </c>
      <c r="S25" s="14"/>
      <c r="T25" s="9"/>
      <c r="W25" s="4"/>
    </row>
    <row r="26" spans="2:24" ht="17.399999999999999" x14ac:dyDescent="0.3">
      <c r="B26" s="321">
        <v>1</v>
      </c>
      <c r="C26" s="312" t="s">
        <v>168</v>
      </c>
      <c r="D26" s="343">
        <v>1.107</v>
      </c>
      <c r="E26" s="326">
        <v>0.83499999999999996</v>
      </c>
      <c r="F26" s="321" t="s">
        <v>170</v>
      </c>
      <c r="G26" s="313">
        <v>63173</v>
      </c>
      <c r="H26" s="342">
        <f t="shared" si="20"/>
        <v>63173</v>
      </c>
      <c r="I26" s="265"/>
      <c r="J26" s="47"/>
      <c r="K26" s="323">
        <f t="shared" si="4"/>
        <v>1</v>
      </c>
      <c r="L26" s="324">
        <f t="shared" si="21"/>
        <v>1.157</v>
      </c>
      <c r="M26" s="324">
        <f t="shared" si="22"/>
        <v>0.83499999999999996</v>
      </c>
      <c r="N26" s="261">
        <f t="shared" si="23"/>
        <v>0.96609500000000004</v>
      </c>
      <c r="O26" s="259">
        <f t="shared" si="24"/>
        <v>0.96609500000000004</v>
      </c>
      <c r="P26" s="252">
        <f t="shared" si="25"/>
        <v>60172.811648085386</v>
      </c>
      <c r="Q26" s="258">
        <f t="shared" si="26"/>
        <v>63172.811648085386</v>
      </c>
      <c r="R26" s="308">
        <f t="shared" si="27"/>
        <v>1.157</v>
      </c>
      <c r="S26" s="14"/>
      <c r="T26" s="9"/>
      <c r="W26" s="4"/>
    </row>
    <row r="27" spans="2:24" ht="17.399999999999999" x14ac:dyDescent="0.3">
      <c r="B27" s="339"/>
      <c r="C27" s="339"/>
      <c r="D27" s="340"/>
      <c r="E27" s="340"/>
      <c r="F27" s="339"/>
      <c r="G27" s="341"/>
      <c r="H27" s="341"/>
      <c r="I27" s="265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2"/>
      <c r="I28" s="232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30</v>
      </c>
      <c r="H29" s="310">
        <f>SUM(H21:H28)</f>
        <v>1367414</v>
      </c>
      <c r="I29" s="265"/>
      <c r="J29" s="47"/>
      <c r="K29" s="47"/>
      <c r="L29" s="39">
        <f>SUM(L21:L28)</f>
        <v>9.74</v>
      </c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53</v>
      </c>
      <c r="H30" s="304">
        <f>H29*19%</f>
        <v>259808.66</v>
      </c>
      <c r="I30" s="265"/>
      <c r="J30" s="47"/>
      <c r="K30" s="47"/>
      <c r="L30" s="39"/>
      <c r="M30" s="12"/>
      <c r="N30" s="12"/>
      <c r="O30" s="253">
        <f>SUM(O21:O26)</f>
        <v>7.0092000000000008</v>
      </c>
      <c r="P30" s="14"/>
      <c r="Q30" s="12"/>
      <c r="R30" s="238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>
        <f>H29+H30</f>
        <v>1627222.66</v>
      </c>
      <c r="I31" s="265"/>
      <c r="J31" s="47"/>
      <c r="K31" s="47"/>
      <c r="L31" s="39"/>
      <c r="M31" s="12"/>
      <c r="N31" s="12"/>
      <c r="O31" s="253">
        <f>O30</f>
        <v>7.0092000000000008</v>
      </c>
      <c r="P31" s="14"/>
      <c r="Q31" s="12"/>
      <c r="R31" s="238">
        <f>SUM(R21:R30)</f>
        <v>6.1400000000000006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1.4018400000000002</v>
      </c>
      <c r="P32" s="39" t="s">
        <v>132</v>
      </c>
      <c r="Q32" s="42"/>
      <c r="R32" s="239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318"/>
      <c r="K33" s="47"/>
      <c r="L33" s="14"/>
      <c r="M33" s="12"/>
      <c r="N33" s="12"/>
      <c r="O33" s="46">
        <f>O31+O32</f>
        <v>8.4110400000000016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2"/>
      <c r="F34" s="233"/>
      <c r="G34" s="230"/>
      <c r="H34" s="275"/>
      <c r="I34" s="265"/>
      <c r="J34" s="318"/>
      <c r="K34" s="47"/>
      <c r="L34" s="14"/>
      <c r="M34" s="14"/>
      <c r="N34" s="14"/>
      <c r="O34" s="14"/>
      <c r="P34" s="14"/>
      <c r="Q34" s="14"/>
      <c r="R34" s="237"/>
      <c r="S34" s="14"/>
      <c r="T34" s="9"/>
      <c r="W34" s="4"/>
    </row>
    <row r="35" spans="2:23" ht="17.399999999999999" x14ac:dyDescent="0.35">
      <c r="B35" s="234"/>
      <c r="C35" s="235"/>
      <c r="D35" s="236"/>
      <c r="E35" s="234"/>
      <c r="F35" s="230"/>
      <c r="G35" s="230"/>
      <c r="I35" s="265"/>
      <c r="J35" s="47"/>
      <c r="K35" s="47">
        <v>15.12</v>
      </c>
      <c r="L35" s="39">
        <f>O33</f>
        <v>8.4110400000000016</v>
      </c>
      <c r="M35" s="12">
        <v>3500</v>
      </c>
      <c r="N35" s="12">
        <f t="shared" ref="N35:N40" si="28">L35*M35</f>
        <v>29438.640000000007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3</v>
      </c>
      <c r="M36" s="12">
        <v>17500</v>
      </c>
      <c r="N36" s="12">
        <f t="shared" si="28"/>
        <v>52500</v>
      </c>
      <c r="O36" s="39" t="s">
        <v>156</v>
      </c>
      <c r="P36" s="42"/>
      <c r="Q36" s="14"/>
      <c r="R36" s="239"/>
      <c r="S36" s="14"/>
      <c r="T36" s="9"/>
      <c r="W36" s="4"/>
    </row>
    <row r="37" spans="2:23" s="230" customFormat="1" ht="17.399999999999999" x14ac:dyDescent="0.35">
      <c r="I37" s="262"/>
      <c r="J37" s="47"/>
      <c r="K37" s="250"/>
      <c r="L37" s="14">
        <v>1</v>
      </c>
      <c r="M37" s="250">
        <v>57500</v>
      </c>
      <c r="N37" s="12">
        <f t="shared" si="28"/>
        <v>57500</v>
      </c>
      <c r="O37" s="39" t="s">
        <v>32</v>
      </c>
      <c r="P37" s="42"/>
      <c r="R37" s="239"/>
      <c r="S37" s="256"/>
      <c r="V37" s="231"/>
    </row>
    <row r="38" spans="2:23" s="230" customFormat="1" ht="17.399999999999999" x14ac:dyDescent="0.35">
      <c r="B38" s="24" t="s">
        <v>153</v>
      </c>
      <c r="I38" s="262"/>
      <c r="J38" s="317"/>
      <c r="K38" s="250"/>
      <c r="L38" s="14">
        <v>2</v>
      </c>
      <c r="M38" s="250">
        <v>29500</v>
      </c>
      <c r="N38" s="12">
        <f t="shared" si="28"/>
        <v>59000</v>
      </c>
      <c r="O38" s="14" t="s">
        <v>143</v>
      </c>
      <c r="P38" s="17"/>
      <c r="R38" s="237"/>
      <c r="S38" s="256"/>
      <c r="V38" s="231"/>
    </row>
    <row r="39" spans="2:23" s="230" customFormat="1" ht="17.399999999999999" x14ac:dyDescent="0.35">
      <c r="B39" s="24" t="s">
        <v>146</v>
      </c>
      <c r="C39"/>
      <c r="D39"/>
      <c r="E39"/>
      <c r="F39"/>
      <c r="I39" s="262"/>
      <c r="J39" s="317"/>
      <c r="K39" s="250"/>
      <c r="L39" s="249"/>
      <c r="M39" s="250">
        <v>800</v>
      </c>
      <c r="N39" s="12">
        <f t="shared" si="28"/>
        <v>0</v>
      </c>
      <c r="O39" s="14" t="s">
        <v>34</v>
      </c>
      <c r="P39" s="14"/>
      <c r="Q39" s="230">
        <v>1.52</v>
      </c>
      <c r="R39" s="237"/>
      <c r="S39" s="237"/>
    </row>
    <row r="40" spans="2:23" s="230" customFormat="1" ht="17.399999999999999" x14ac:dyDescent="0.35">
      <c r="B40" s="29" t="s">
        <v>127</v>
      </c>
      <c r="C40"/>
      <c r="D40"/>
      <c r="E40"/>
      <c r="F40" s="229" t="s">
        <v>16</v>
      </c>
      <c r="I40" s="303"/>
      <c r="J40" s="47"/>
      <c r="K40" s="250"/>
      <c r="L40" s="266"/>
      <c r="M40" s="12">
        <v>1500</v>
      </c>
      <c r="N40" s="12">
        <f t="shared" si="28"/>
        <v>0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2:23" s="230" customFormat="1" ht="17.399999999999999" x14ac:dyDescent="0.35">
      <c r="J41" s="47"/>
      <c r="K41" s="250"/>
      <c r="L41" s="14"/>
      <c r="M41" s="12"/>
      <c r="N41" s="12">
        <f>SUM(N35:N40)</f>
        <v>198438.64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2:23" s="230" customFormat="1" ht="17.399999999999999" x14ac:dyDescent="0.35">
      <c r="J42" s="47">
        <v>20590</v>
      </c>
      <c r="K42" s="250"/>
      <c r="L42" s="254" t="s">
        <v>35</v>
      </c>
      <c r="M42" s="12"/>
      <c r="N42" s="255">
        <f>N41*2.2</f>
        <v>436565.00800000009</v>
      </c>
      <c r="O42" s="14" t="s">
        <v>142</v>
      </c>
      <c r="P42" s="14"/>
      <c r="Q42" s="46">
        <f>O31/Q41</f>
        <v>1.8898835202761002</v>
      </c>
      <c r="R42"/>
      <c r="S42" s="257" t="e">
        <f>S41/#REF!</f>
        <v>#REF!</v>
      </c>
    </row>
    <row r="43" spans="2:23" s="230" customFormat="1" ht="17.399999999999999" x14ac:dyDescent="0.35">
      <c r="G43"/>
      <c r="H43" s="260"/>
      <c r="I43" s="260"/>
      <c r="J43" s="47">
        <f>J42/1.19</f>
        <v>17302.521008403361</v>
      </c>
      <c r="K43" s="250"/>
      <c r="L43" s="14"/>
      <c r="M43" s="12"/>
      <c r="N43" s="12">
        <f>N42/O31</f>
        <v>62284.569993722544</v>
      </c>
      <c r="O43" s="45" t="s">
        <v>26</v>
      </c>
      <c r="P43" s="14"/>
      <c r="Q43" s="14"/>
      <c r="R43"/>
      <c r="S43" s="237"/>
    </row>
    <row r="44" spans="2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2:23" s="230" customFormat="1" ht="17.399999999999999" x14ac:dyDescent="0.35">
      <c r="G45" s="23"/>
      <c r="J45" s="47"/>
      <c r="K45" s="12"/>
      <c r="S45" s="237"/>
    </row>
    <row r="46" spans="2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2:23" ht="14.4" customHeight="1" x14ac:dyDescent="0.3">
      <c r="J47" s="47"/>
      <c r="K47" s="12"/>
      <c r="S47">
        <v>2.5</v>
      </c>
    </row>
    <row r="48" spans="2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1.8384786885245905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150</v>
      </c>
    </row>
    <row r="79" spans="3:14" x14ac:dyDescent="0.3">
      <c r="C79" t="s">
        <v>149</v>
      </c>
    </row>
    <row r="82" spans="3:3" x14ac:dyDescent="0.3">
      <c r="C82" t="s">
        <v>149</v>
      </c>
    </row>
    <row r="159" spans="3:3" x14ac:dyDescent="0.3">
      <c r="C159" t="s">
        <v>149</v>
      </c>
    </row>
    <row r="160" spans="3:3" x14ac:dyDescent="0.3">
      <c r="C160" t="s">
        <v>151</v>
      </c>
    </row>
    <row r="161" spans="3:3" x14ac:dyDescent="0.3">
      <c r="C161" t="s">
        <v>152</v>
      </c>
    </row>
    <row r="586" spans="3:3" x14ac:dyDescent="0.3">
      <c r="C586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  <hyperlink ref="C14" r:id="rId2" xr:uid="{A101A8DB-012A-49BA-9E59-AB6CAA3C4359}"/>
  </hyperlinks>
  <pageMargins left="0.23622047244094491" right="0.23622047244094491" top="0.74803149606299213" bottom="0.74803149606299213" header="0.31496062992125984" footer="0.31496062992125984"/>
  <pageSetup scale="8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45527</v>
      </c>
    </row>
    <row r="6" spans="2:31" ht="16.2" thickBot="1" x14ac:dyDescent="0.35">
      <c r="B6" s="140" t="s">
        <v>2</v>
      </c>
      <c r="C6" s="139" t="str">
        <f>'2229'!C10</f>
        <v>FILKUN CARPINTERIA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11110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-181352.33236678745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1367414</v>
      </c>
      <c r="E11" s="132">
        <f>D11*0.19</f>
        <v>259808.66</v>
      </c>
      <c r="F11" s="131">
        <f>E11+D11</f>
        <v>1627222.66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-75362.33236678745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169272.73078743962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-93362.33236678745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1198141.2692125603</v>
      </c>
      <c r="E13" s="221">
        <f>(D11/D12)-1</f>
        <v>7.0781706163711569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-102362.33236678745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-141362.33236678745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279300.00579927536</v>
      </c>
      <c r="F15" s="216">
        <f>E15-D12</f>
        <v>110027.27501183574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-141362.33236678745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-101362.33236678745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'2229'!N37</f>
        <v>57500</v>
      </c>
      <c r="E18" s="123">
        <f>D18*0.19</f>
        <v>10925</v>
      </c>
      <c r="F18" s="120">
        <f>SUM(D18:E18)</f>
        <v>68425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'2229'!N36</f>
        <v>52500</v>
      </c>
      <c r="E19" s="123">
        <f>D19*0.19</f>
        <v>9975</v>
      </c>
      <c r="F19" s="120">
        <f>SUM(D19:E19)</f>
        <v>62475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29438.640000000007</v>
      </c>
      <c r="E20" s="121">
        <f>D20*0.19</f>
        <v>5593.3416000000016</v>
      </c>
      <c r="F20" s="120">
        <f>SUM(D20:E20)</f>
        <v>35031.981600000006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139438.64000000001</v>
      </c>
      <c r="E21" s="116">
        <f>SUM(E18:E20)</f>
        <v>26493.3416</v>
      </c>
      <c r="F21" s="115">
        <f>SUM(F18:F20)</f>
        <v>165931.9816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233315.31839999999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1367414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139438.64000000001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1198141.2692125603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1198141.2692125603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2024-09-27T19:44:04Z</dcterms:modified>
</cp:coreProperties>
</file>