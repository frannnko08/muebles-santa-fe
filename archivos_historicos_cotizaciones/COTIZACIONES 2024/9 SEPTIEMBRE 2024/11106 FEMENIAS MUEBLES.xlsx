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707346E5-0824-4D76-B621-BD1FD10E7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O27" i="1" l="1"/>
  <c r="K22" i="1"/>
  <c r="L22" i="1"/>
  <c r="M22" i="1"/>
  <c r="N22" i="1"/>
  <c r="O22" i="1"/>
  <c r="R22" i="1"/>
  <c r="K23" i="1"/>
  <c r="R23" i="1" s="1"/>
  <c r="L23" i="1"/>
  <c r="N23" i="1" s="1"/>
  <c r="M23" i="1"/>
  <c r="H22" i="1"/>
  <c r="H23" i="1"/>
  <c r="O23" i="1" l="1"/>
  <c r="K21" i="1"/>
  <c r="K10" i="1" l="1"/>
  <c r="J40" i="1" l="1"/>
  <c r="L21" i="1" l="1"/>
  <c r="L26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3" i="1"/>
  <c r="Q23" i="1" s="1"/>
  <c r="P21" i="1"/>
  <c r="F15" i="3"/>
  <c r="Q21" i="1" l="1"/>
  <c r="H21" i="1" s="1"/>
  <c r="R28" i="1"/>
  <c r="H26" i="1" l="1"/>
  <c r="H28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<sst xmlns="http://schemas.openxmlformats.org/spreadsheetml/2006/main" count="223" uniqueCount="164">
  <si>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</si>
  <si>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</si>
  <si>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</si>
  <si>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</si>
  <si>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</si>
  <si>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</si>
  <si>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</si>
  <si>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</si>
  <si>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</si>
  <si>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</si>
  <si>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</si>
  <si>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</si>
  <si>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</si>
  <si>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</si>
  <si>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</si>
  <si>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</si>
  <si>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</si>
  <si>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</si>
  <si>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</si>
  <si>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</si>
  <si>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</si>
  <si>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</si>
  <si>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</si>
  <si>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</si>
  <si>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</si>
  <si>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</si>
  <si>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</si>
  <si>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</si>
  <si>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</si>
  <si>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</si>
  <si>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</si>
  <si>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</si>
  <si>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</si>
  <si>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</si>
  <si>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</si>
  <si>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</si>
  <si>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</si>
  <si>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</si>
  <si>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</si>
  <si>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</si>
  <si>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</si>
  <si>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</si>
  <si>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</si>
  <si>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</si>
  <si>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</si>
  <si>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</si>
  <si>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</si>
  <si>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</si>
  <si>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</si>
  <si>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</si>
  <si>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</si>
  <si>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</si>
  <si>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</si>
  <si>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</si>
  <si>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</si>
  <si>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</si>
  <si>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</si>
  <si>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</si>
  <si>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</si>
  <si>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</si>
  <si>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</si>
  <si>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</si>
  <si>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</si>
  <si>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</si>
  <si>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</si>
  <si>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</si>
  <si>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</si>
  <si>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</si>
  <si>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</si>
  <si>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</si>
  <si>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</si>
  <si>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</si>
  <si>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</si>
  <si>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</si>
  <si>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</si>
  <si>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</si>
  <si>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</si>
  <si>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</si>
  <si>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</si>
  <si>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</si>
  <si>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</si>
  <si>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</si>
  <si>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</si>
  <si>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</si>
  <si>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</si>
  <si>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</si>
  <si>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</si>
  <si>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</si>
  <si>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</si>
  <si>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</si>
  <si>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</si>
  <si>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</si>
  <si>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</si>
  <si>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</si>
  <si>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</si>
  <si>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</si>
  <si>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</si>
  <si>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</si>
  <si>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</si>
  <si>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</si>
  <si>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</si>
  <si>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</si>
  <si>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</si>
  <si>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</si>
  <si>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</si>
  <si>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</si>
  <si>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</si>
  <si>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</si>
  <si>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</si>
  <si>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</si>
  <si>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</si>
  <si>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</si>
  <si>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</si>
  <si>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</si>
  <si>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</si>
  <si>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</si>
  <si>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</si>
  <si>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</si>
  <si>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</si>
  <si>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</si>
  <si>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</si>
  <si>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</si>
  <si>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</si>
  <si>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</si>
  <si>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</si>
  <si>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</si>
  <si>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</si>
  <si>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</si>
  <si>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</si>
  <si>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</si>
  <si>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</si>
  <si>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</si>
  <si>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</si>
  <si>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</si>
  <si>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</si>
  <si>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</si>
  <si>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</si>
  <si>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</si>
  <si>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</si>
  <si>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</si>
  <si>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</si>
  <si>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</si>
  <si>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</si>
  <si>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</si>
  <si>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</si>
  <si>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</si>
  <si>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</si>
  <si>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</si>
  <si>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</si>
  <si>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</si>
  <si>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</si>
  <si>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</si>
  <si>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</si>
  <si>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</si>
  <si>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</si>
  <si>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</si>
  <si>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</si>
  <si>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</si>
  <si>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1 DIA HABIL</t>
  </si>
  <si>
    <t>GRANITO 3012 MT</t>
  </si>
  <si>
    <t>CHRISTIAN FEMENIAS</t>
  </si>
  <si>
    <t>VIÑA DEL MAR</t>
  </si>
  <si>
    <t>+569 9727 8419</t>
  </si>
  <si>
    <t>N° 11106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</si>
</sst>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SUSTRATO.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2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45561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2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22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2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24" t="s">
        <v>161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6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81403.483931066614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0">
        <v>1</v>
      </c>
      <c r="C21" s="320" t="s">
        <v>37</v>
      </c>
      <c r="D21" s="325">
        <v>2.0499999999999998</v>
      </c>
      <c r="E21" s="325">
        <v>0.52</v>
      </c>
      <c r="F21" s="320" t="s">
        <v>159</v>
      </c>
      <c r="G21" s="326">
        <v>91893</v>
      </c>
      <c r="H21" s="319">
        <f t="shared" ref="H21" si="1">G21*B21</f>
        <v>91893</v>
      </c>
      <c r="I21" s="265"/>
      <c r="J21" s="47"/>
      <c r="K21" s="314">
        <f>B21</f>
        <v>1</v>
      </c>
      <c r="L21" s="315">
        <f t="shared" ref="L21:M21" si="2">D21+L$19</f>
        <v>2.0999999999999996</v>
      </c>
      <c r="M21" s="315">
        <f t="shared" si="2"/>
        <v>0.52</v>
      </c>
      <c r="N21" s="261">
        <f>L21*M21</f>
        <v>1.0919999999999999</v>
      </c>
      <c r="O21" s="259">
        <f>N21*K21</f>
        <v>1.0919999999999999</v>
      </c>
      <c r="P21" s="252">
        <f>P$20*N21</f>
        <v>88892.604452724729</v>
      </c>
      <c r="Q21" s="258">
        <f>P21+Q$20</f>
        <v>91892.604452724729</v>
      </c>
      <c r="R21" s="306">
        <f>K21*L21</f>
        <v>2.0999999999999996</v>
      </c>
      <c r="S21" s="14"/>
      <c r="T21" s="9"/>
      <c r="W21" s="4"/>
    </row>
    <row r="22" spans="2:24" ht="18" thickBot="1" x14ac:dyDescent="0.35">
      <c r="B22" s="320">
        <v>1</v>
      </c>
      <c r="C22" s="320" t="s">
        <v>37</v>
      </c>
      <c r="D22" s="325">
        <v>0.7</v>
      </c>
      <c r="E22" s="325">
        <v>0.6</v>
      </c>
      <c r="F22" s="320" t="s">
        <v>159</v>
      </c>
      <c r="G22" s="326">
        <v>39632</v>
      </c>
      <c r="H22" s="319">
        <f t="shared" ref="H22:H23" si="3">G22*B22</f>
        <v>39632</v>
      </c>
      <c r="I22" s="265"/>
      <c r="J22" s="47"/>
      <c r="K22" s="314">
        <f t="shared" ref="K22:K23" si="4">B22</f>
        <v>1</v>
      </c>
      <c r="L22" s="315">
        <f t="shared" ref="L22:L23" si="5">D22+L$19</f>
        <v>0.75</v>
      </c>
      <c r="M22" s="315">
        <f t="shared" ref="M22:M23" si="6">E22+M$19</f>
        <v>0.6</v>
      </c>
      <c r="N22" s="261">
        <f t="shared" ref="N22:N23" si="7">L22*M22</f>
        <v>0.44999999999999996</v>
      </c>
      <c r="O22" s="259">
        <f t="shared" ref="O22:O23" si="8">N22*K22</f>
        <v>0.44999999999999996</v>
      </c>
      <c r="P22" s="252">
        <f t="shared" ref="P22:P23" si="9">P$20*N22</f>
        <v>36631.56776897997</v>
      </c>
      <c r="Q22" s="258">
        <f t="shared" ref="Q22:Q23" si="10">P22+Q$20</f>
        <v>39631.56776897997</v>
      </c>
      <c r="R22" s="306">
        <f t="shared" ref="R22:R23" si="11">K22*L22</f>
        <v>0.75</v>
      </c>
      <c r="S22" s="14"/>
      <c r="T22" s="9"/>
      <c r="W22" s="4"/>
    </row>
    <row r="23" spans="2:24" ht="17.399999999999999" x14ac:dyDescent="0.3">
      <c r="B23" s="320">
        <v>1</v>
      </c>
      <c r="C23" s="320" t="s">
        <v>37</v>
      </c>
      <c r="D23" s="325">
        <v>1.05</v>
      </c>
      <c r="E23" s="325">
        <v>0.55000000000000004</v>
      </c>
      <c r="F23" s="320" t="s">
        <v>159</v>
      </c>
      <c r="G23" s="326">
        <v>52249</v>
      </c>
      <c r="H23" s="319">
        <f t="shared" si="3"/>
        <v>52249</v>
      </c>
      <c r="I23" s="265"/>
      <c r="J23" s="47"/>
      <c r="K23" s="314">
        <f t="shared" si="4"/>
        <v>1</v>
      </c>
      <c r="L23" s="315">
        <f t="shared" si="5"/>
        <v>1.1000000000000001</v>
      </c>
      <c r="M23" s="315">
        <f t="shared" si="6"/>
        <v>0.55000000000000004</v>
      </c>
      <c r="N23" s="261">
        <f t="shared" si="7"/>
        <v>0.60500000000000009</v>
      </c>
      <c r="O23" s="259">
        <f t="shared" si="8"/>
        <v>0.60500000000000009</v>
      </c>
      <c r="P23" s="252">
        <f t="shared" si="9"/>
        <v>49249.107778295307</v>
      </c>
      <c r="Q23" s="258">
        <f t="shared" si="10"/>
        <v>52249.107778295307</v>
      </c>
      <c r="R23" s="306">
        <f t="shared" si="11"/>
        <v>1.1000000000000001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/>
      <c r="H24" s="310"/>
      <c r="I24" s="265"/>
      <c r="J24" s="47"/>
      <c r="K24" s="47"/>
      <c r="L24" s="39"/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6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7" t="s">
        <v>30</v>
      </c>
      <c r="H26" s="308">
        <f>SUM(H21:H25)</f>
        <v>183774</v>
      </c>
      <c r="I26" s="265"/>
      <c r="J26" s="47"/>
      <c r="K26" s="47"/>
      <c r="L26" s="39">
        <f>SUM(L21:L25)</f>
        <v>3.9499999999999997</v>
      </c>
      <c r="M26" s="39"/>
      <c r="N26" s="261"/>
      <c r="O26" s="259"/>
      <c r="P26" s="252"/>
      <c r="Q26" s="258"/>
      <c r="R26" s="306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5" t="s">
        <v>53</v>
      </c>
      <c r="H27" s="303">
        <f>H26*19%</f>
        <v>34917.06</v>
      </c>
      <c r="I27" s="265"/>
      <c r="J27" s="47"/>
      <c r="K27" s="47"/>
      <c r="L27" s="39"/>
      <c r="M27" s="12"/>
      <c r="N27" s="12"/>
      <c r="O27" s="253">
        <f>SUM(O21:O23)</f>
        <v>2.1469999999999998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4">
        <f>H26+H27</f>
        <v>218691.06</v>
      </c>
      <c r="I28" s="265"/>
      <c r="J28" s="47"/>
      <c r="K28" s="47"/>
      <c r="L28" s="39"/>
      <c r="M28" s="12"/>
      <c r="N28" s="12"/>
      <c r="O28" s="253">
        <f>O27</f>
        <v>2.1469999999999998</v>
      </c>
      <c r="P28" s="14"/>
      <c r="Q28" s="12"/>
      <c r="R28" s="238">
        <f>SUM(R21:R27)</f>
        <v>3.9499999999999997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0.4294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2"/>
      <c r="K30" s="47"/>
      <c r="L30" s="14"/>
      <c r="M30" s="12"/>
      <c r="N30" s="12"/>
      <c r="O30" s="46">
        <f>O28+O29</f>
        <v>2.5763999999999996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2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2.5763999999999996</v>
      </c>
      <c r="M32" s="12">
        <v>3500</v>
      </c>
      <c r="N32" s="12">
        <f t="shared" ref="N32:N37" si="12">L32*M32</f>
        <v>9017.3999999999978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0.6</v>
      </c>
      <c r="M33" s="12">
        <v>25000</v>
      </c>
      <c r="N33" s="12">
        <f t="shared" si="12"/>
        <v>15000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72639</v>
      </c>
      <c r="N34" s="12">
        <f t="shared" si="12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1"/>
      <c r="K35" s="250"/>
      <c r="L35" s="14">
        <v>1.5</v>
      </c>
      <c r="M35" s="250">
        <v>33000</v>
      </c>
      <c r="N35" s="12">
        <f t="shared" si="12"/>
        <v>49500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1"/>
      <c r="K36" s="250"/>
      <c r="L36" s="249"/>
      <c r="M36" s="250">
        <v>800</v>
      </c>
      <c r="N36" s="12">
        <f t="shared" si="12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2"/>
      <c r="J37" s="47"/>
      <c r="K37" s="250"/>
      <c r="L37" s="266">
        <v>3.95</v>
      </c>
      <c r="M37" s="12">
        <v>1500</v>
      </c>
      <c r="N37" s="12">
        <f t="shared" si="12"/>
        <v>5925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79442.399999999994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48770</v>
      </c>
      <c r="K39" s="250"/>
      <c r="L39" s="254" t="s">
        <v>35</v>
      </c>
      <c r="M39" s="12"/>
      <c r="N39" s="255">
        <f>N38*2.2</f>
        <v>174773.28</v>
      </c>
      <c r="O39" s="14" t="s">
        <v>142</v>
      </c>
      <c r="P39" s="14"/>
      <c r="Q39" s="46">
        <f>O28/Q38</f>
        <v>0.57889344262295073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40983.193277310929</v>
      </c>
      <c r="K40" s="250"/>
      <c r="L40" s="14"/>
      <c r="M40" s="12"/>
      <c r="N40" s="12">
        <f>N39/O28</f>
        <v>81403.483931066614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0.56314754098360642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45561</v>
      </c>
    </row>
    <row r="6" spans="2:31" ht="16.2" thickBot="1" x14ac:dyDescent="0.35">
      <c r="B6" s="140" t="s">
        <v>2</v>
      </c>
      <c r="C6" s="139" t="str">
        <f>'2229'!C10</f>
        <v>CHRISTIAN FEMENIAS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-15819.840033454107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183774</v>
      </c>
      <c r="E11" s="132">
        <f>D11*0.19</f>
        <v>34917.06</v>
      </c>
      <c r="F11" s="131">
        <f>E11+D11</f>
        <v>218691.06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90170.159966545893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53851.490787439616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72170.159966545893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129922.50921256038</v>
      </c>
      <c r="E13" s="221">
        <f>(D11/D12)-1</f>
        <v>2.4126074749793864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63170.159966545893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24170.159966545893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88854.959799275355</v>
      </c>
      <c r="F15" s="216">
        <f>E15-D12</f>
        <v>35003.469011835739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24170.159966545893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64170.159966545893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9017.3999999999978</v>
      </c>
      <c r="E20" s="121">
        <f>D20*0.19</f>
        <v>1713.3059999999996</v>
      </c>
      <c r="F20" s="120">
        <f>SUM(D20:E20)</f>
        <v>10730.705999999998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24017.399999999998</v>
      </c>
      <c r="E21" s="116">
        <f>SUM(E18:E20)</f>
        <v>4563.3059999999996</v>
      </c>
      <c r="F21" s="115">
        <f>SUM(F18:F20)</f>
        <v>28580.705999999998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30353.753999999997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183774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24017.399999999998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129922.50921256038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129922.50921256038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2024-09-26T12:06:53Z</dcterms:modified>
</cp:coreProperties>
</file>