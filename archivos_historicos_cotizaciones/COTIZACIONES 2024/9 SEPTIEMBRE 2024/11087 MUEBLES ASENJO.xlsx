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B7B094AA-2E5E-4CED-BC1C-1D672FF70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L23" i="1"/>
  <c r="M23" i="1"/>
  <c r="H23" i="1"/>
  <c r="K22" i="1"/>
  <c r="L22" i="1"/>
  <c r="M22" i="1"/>
  <c r="H22" i="1"/>
  <c r="K21" i="1"/>
  <c r="L21" i="1"/>
  <c r="L27" i="1" s="1"/>
  <c r="M21" i="1"/>
  <c r="N23" i="1" l="1"/>
  <c r="O23" i="1" s="1"/>
  <c r="N22" i="1"/>
  <c r="O22" i="1" s="1"/>
  <c r="R23" i="1"/>
  <c r="R22" i="1"/>
  <c r="R21" i="1"/>
  <c r="R29" i="1" s="1"/>
  <c r="N21" i="1"/>
  <c r="O21" i="1" s="1"/>
  <c r="O28" i="1" l="1"/>
  <c r="J41" i="1"/>
  <c r="N34" i="1" l="1"/>
  <c r="O29" i="1" l="1"/>
  <c r="O30" i="1" s="1"/>
  <c r="O31" i="1" s="1"/>
  <c r="S46" i="1"/>
  <c r="M20" i="1" l="1"/>
  <c r="K20" i="1"/>
  <c r="N35" i="1" l="1"/>
  <c r="Q39" i="1"/>
  <c r="Q40" i="1" s="1"/>
  <c r="N36" i="1" l="1"/>
  <c r="S39" i="1" l="1"/>
  <c r="S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L33" i="1" l="1"/>
  <c r="N33" i="1" l="1"/>
  <c r="N39" i="1" s="1"/>
  <c r="N40" i="1" s="1"/>
  <c r="S47" i="1"/>
  <c r="D20" i="3" l="1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2" i="1" l="1"/>
  <c r="Q22" i="1" s="1"/>
  <c r="P23" i="1"/>
  <c r="Q23" i="1" s="1"/>
  <c r="P21" i="1"/>
  <c r="F15" i="3"/>
  <c r="Q21" i="1" l="1"/>
  <c r="H21" i="1" s="1"/>
  <c r="H25" i="1" s="1"/>
  <c r="K15" i="1" l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<sst xmlns="http://schemas.openxmlformats.org/spreadsheetml/2006/main" count="224" uniqueCount="165">
  <si>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</si>
  <si>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</si>
  <si>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</si>
  <si>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</si>
  <si>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</si>
  <si>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</si>
  <si>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</si>
  <si>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</si>
  <si>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</si>
  <si>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</si>
  <si>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</si>
  <si>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</si>
  <si>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</si>
  <si>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</si>
  <si>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</si>
  <si>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</si>
  <si>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</si>
  <si>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</si>
  <si>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</si>
  <si>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</si>
  <si>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</si>
  <si>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</si>
  <si>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</si>
  <si>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</si>
  <si>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</si>
  <si>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</si>
  <si>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</si>
  <si>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</si>
  <si>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</si>
  <si>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</si>
  <si>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</si>
  <si>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</si>
  <si>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</si>
  <si>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</si>
  <si>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</si>
  <si>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</si>
  <si>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</si>
  <si>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</si>
  <si>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</si>
  <si>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</si>
  <si>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</si>
  <si>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</si>
  <si>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</si>
  <si>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</si>
  <si>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</si>
  <si>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</si>
  <si>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</si>
  <si>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</si>
  <si>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</si>
  <si>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</si>
  <si>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</si>
  <si>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</si>
  <si>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</si>
  <si>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</si>
  <si>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</si>
  <si>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</si>
  <si>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</si>
  <si>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</si>
  <si>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</si>
  <si>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</si>
  <si>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</si>
  <si>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</si>
  <si>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</si>
  <si>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</si>
  <si>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</si>
  <si>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</si>
  <si>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</si>
  <si>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</si>
  <si>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</si>
  <si>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</si>
  <si>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</si>
  <si>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</si>
  <si>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</si>
  <si>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</si>
  <si>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</si>
  <si>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</si>
  <si>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</si>
  <si>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</si>
  <si>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</si>
  <si>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</si>
  <si>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</si>
  <si>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</si>
  <si>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</si>
  <si>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</si>
  <si>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</si>
  <si>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</si>
  <si>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</si>
  <si>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</si>
  <si>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</si>
  <si>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</si>
  <si>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</si>
  <si>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</si>
  <si>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</si>
  <si>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</si>
  <si>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</si>
  <si>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</si>
  <si>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</si>
  <si>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</si>
  <si>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</si>
  <si>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</si>
  <si>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</si>
  <si>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</si>
  <si>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</si>
  <si>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</si>
  <si>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</si>
  <si>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</si>
  <si>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</si>
  <si>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</si>
  <si>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</si>
  <si>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</si>
  <si>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</si>
  <si>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</si>
  <si>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</si>
  <si>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</si>
  <si>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</si>
  <si>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</si>
  <si>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</si>
  <si>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</si>
  <si>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</si>
  <si>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</si>
  <si>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</si>
  <si>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</si>
  <si>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</si>
  <si>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</si>
  <si>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</si>
  <si>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</si>
  <si>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</si>
  <si>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</si>
  <si>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</si>
  <si>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</si>
  <si>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</si>
  <si>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</si>
  <si>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</si>
  <si>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</si>
  <si>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</si>
  <si>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</si>
  <si>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</si>
  <si>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</si>
  <si>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</si>
  <si>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</si>
  <si>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</si>
  <si>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</si>
  <si>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</si>
  <si>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</si>
  <si>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</si>
  <si>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</si>
  <si>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</si>
  <si>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</si>
  <si>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</si>
  <si>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</si>
  <si>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</si>
  <si>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</si>
  <si>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</si>
  <si>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</si>
  <si>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</si>
  <si>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</si>
  <si>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</si>
  <si>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3-5 DIAS HABILES</t>
  </si>
  <si>
    <t>ABONO 50%, SALDO C/ENTREGA</t>
  </si>
  <si>
    <t xml:space="preserve">+569 </t>
  </si>
  <si>
    <t>MUEBLES ASENJO</t>
  </si>
  <si>
    <t>LORENA QUEZADA</t>
  </si>
  <si>
    <t>CUB S/ R R8</t>
  </si>
  <si>
    <t>N° 11087</t>
  </si>
  <si>
    <t>GOTHIC GREY 22059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</si>
</sst>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28</xdr:row>
      <xdr:rowOff>9525</xdr:rowOff>
    </xdr:from>
    <xdr:to>
      <xdr:col>5</xdr:col>
      <xdr:colOff>1679511</xdr:colOff>
      <xdr:row>31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225489</xdr:rowOff>
    </xdr:from>
    <xdr:to>
      <xdr:col>5</xdr:col>
      <xdr:colOff>1656183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4"/>
  <sheetViews>
    <sheetView tabSelected="1" topLeftCell="A6" zoomScale="98" zoomScaleNormal="98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27.88671875" customWidth="1"/>
    <col min="4" max="4" width="11.109375" customWidth="1"/>
    <col min="5" max="5" width="10.5546875" customWidth="1"/>
    <col min="6" max="6" width="30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160</v>
      </c>
      <c r="D10" s="243"/>
      <c r="E10" s="243"/>
      <c r="F10" s="244" t="s">
        <v>0</v>
      </c>
      <c r="G10" s="276">
        <v>45538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161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159</v>
      </c>
      <c r="D15" s="294"/>
      <c r="E15" s="247"/>
      <c r="F15" s="247" t="s">
        <v>136</v>
      </c>
      <c r="G15" s="295" t="s">
        <v>137</v>
      </c>
      <c r="H15" s="248"/>
      <c r="K15" s="18">
        <f>H25/L13</f>
        <v>10526.379624014555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158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N41</f>
        <v>77146.666666666672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18">
        <v>1</v>
      </c>
      <c r="C21" s="324" t="s">
        <v>162</v>
      </c>
      <c r="D21" s="320">
        <v>1.9</v>
      </c>
      <c r="E21" s="320">
        <v>0.6</v>
      </c>
      <c r="F21" s="319" t="s">
        <v>164</v>
      </c>
      <c r="G21" s="321">
        <v>90262</v>
      </c>
      <c r="H21" s="322">
        <f t="shared" ref="H21" si="1">G21*B21</f>
        <v>90262</v>
      </c>
      <c r="I21" s="265"/>
      <c r="J21" s="47"/>
      <c r="K21" s="47">
        <f t="shared" ref="K21" si="2">B21</f>
        <v>1</v>
      </c>
      <c r="L21" s="39">
        <f t="shared" ref="L21" si="3">D21+L$19</f>
        <v>1.95</v>
      </c>
      <c r="M21" s="39">
        <f t="shared" ref="M21" si="4">E21+M$19</f>
        <v>0.6</v>
      </c>
      <c r="N21" s="261">
        <f t="shared" ref="N21" si="5">L21*M21</f>
        <v>1.17</v>
      </c>
      <c r="O21" s="259">
        <f t="shared" ref="O21" si="6">N21*K21</f>
        <v>1.17</v>
      </c>
      <c r="P21" s="252">
        <f t="shared" ref="P21" si="7">P$20*N21</f>
        <v>90261.6</v>
      </c>
      <c r="Q21" s="258">
        <f t="shared" ref="Q21" si="8">P21+Q$20</f>
        <v>93261.6</v>
      </c>
      <c r="R21" s="307">
        <f t="shared" ref="R21:R23" si="9">K21*L21</f>
        <v>1.95</v>
      </c>
      <c r="S21" s="14"/>
      <c r="T21" s="9"/>
      <c r="W21" s="4"/>
    </row>
    <row r="22" spans="1:24" ht="18" thickBot="1" x14ac:dyDescent="0.35">
      <c r="B22" s="318">
        <v>2</v>
      </c>
      <c r="C22" s="324" t="s">
        <v>162</v>
      </c>
      <c r="D22" s="320">
        <v>1.7</v>
      </c>
      <c r="E22" s="320">
        <v>0.6</v>
      </c>
      <c r="F22" s="319" t="s">
        <v>164</v>
      </c>
      <c r="G22" s="321">
        <v>81004</v>
      </c>
      <c r="H22" s="322">
        <f t="shared" ref="H22" si="10">G22*B22</f>
        <v>162008</v>
      </c>
      <c r="I22" s="265"/>
      <c r="J22" s="47"/>
      <c r="K22" s="47">
        <f t="shared" ref="K22" si="11">B22</f>
        <v>2</v>
      </c>
      <c r="L22" s="39">
        <f t="shared" ref="L22" si="12">D22+L$19</f>
        <v>1.75</v>
      </c>
      <c r="M22" s="39">
        <f t="shared" ref="M22" si="13">E22+M$19</f>
        <v>0.6</v>
      </c>
      <c r="N22" s="261">
        <f t="shared" ref="N22" si="14">L22*M22</f>
        <v>1.05</v>
      </c>
      <c r="O22" s="259">
        <f t="shared" ref="O22" si="15">N22*K22</f>
        <v>2.1</v>
      </c>
      <c r="P22" s="252">
        <f t="shared" ref="P22" si="16">P$20*N22</f>
        <v>81004.000000000015</v>
      </c>
      <c r="Q22" s="258">
        <f t="shared" ref="Q22" si="17">P22+Q$20</f>
        <v>84004.000000000015</v>
      </c>
      <c r="R22" s="307">
        <f t="shared" si="9"/>
        <v>3.5</v>
      </c>
      <c r="S22" s="14"/>
      <c r="T22" s="9"/>
      <c r="W22" s="4"/>
    </row>
    <row r="23" spans="1:24" ht="17.399999999999999" x14ac:dyDescent="0.3">
      <c r="B23" s="318">
        <v>1</v>
      </c>
      <c r="C23" s="324" t="s">
        <v>162</v>
      </c>
      <c r="D23" s="320">
        <v>2</v>
      </c>
      <c r="E23" s="320">
        <v>0.6</v>
      </c>
      <c r="F23" s="319" t="s">
        <v>164</v>
      </c>
      <c r="G23" s="321">
        <v>94890</v>
      </c>
      <c r="H23" s="322">
        <f t="shared" ref="H23" si="18">G23*B23</f>
        <v>94890</v>
      </c>
      <c r="I23" s="265"/>
      <c r="J23" s="47"/>
      <c r="K23" s="47">
        <f t="shared" ref="K23" si="19">B23</f>
        <v>1</v>
      </c>
      <c r="L23" s="39">
        <f t="shared" ref="L23" si="20">D23+L$19</f>
        <v>2.0499999999999998</v>
      </c>
      <c r="M23" s="39">
        <f t="shared" ref="M23" si="21">E23+M$19</f>
        <v>0.6</v>
      </c>
      <c r="N23" s="261">
        <f t="shared" ref="N23" si="22">L23*M23</f>
        <v>1.2299999999999998</v>
      </c>
      <c r="O23" s="259">
        <f t="shared" ref="O23" si="23">N23*K23</f>
        <v>1.2299999999999998</v>
      </c>
      <c r="P23" s="252">
        <f t="shared" ref="P23" si="24">P$20*N23</f>
        <v>94890.4</v>
      </c>
      <c r="Q23" s="258">
        <f t="shared" ref="Q23" si="25">P23+Q$20</f>
        <v>97890.4</v>
      </c>
      <c r="R23" s="307">
        <f t="shared" si="9"/>
        <v>2.0499999999999998</v>
      </c>
      <c r="S23" s="14"/>
      <c r="T23" s="9"/>
      <c r="W23" s="4"/>
    </row>
    <row r="24" spans="1:24" ht="18" thickBot="1" x14ac:dyDescent="0.35">
      <c r="B24" s="285"/>
      <c r="C24" s="285"/>
      <c r="D24" s="286"/>
      <c r="E24" s="286"/>
      <c r="F24" s="285"/>
      <c r="G24" s="323"/>
      <c r="H24" s="323"/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85"/>
      <c r="C25" s="285"/>
      <c r="D25" s="286"/>
      <c r="E25" s="286"/>
      <c r="F25" s="285"/>
      <c r="G25" s="308" t="s">
        <v>30</v>
      </c>
      <c r="H25" s="309">
        <f>SUM(H21:H24)</f>
        <v>347160</v>
      </c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9"/>
      <c r="C26" s="282"/>
      <c r="D26" s="283"/>
      <c r="E26" s="283"/>
      <c r="F26" s="284"/>
      <c r="G26" s="306" t="s">
        <v>53</v>
      </c>
      <c r="H26" s="303">
        <f>H25*0.19</f>
        <v>65960.399999999994</v>
      </c>
      <c r="I26" s="232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1:24" ht="18" thickBot="1" x14ac:dyDescent="0.35">
      <c r="B27" s="275"/>
      <c r="C27" s="281"/>
      <c r="D27" s="272"/>
      <c r="E27" s="272"/>
      <c r="F27" s="273"/>
      <c r="G27" s="280" t="s">
        <v>6</v>
      </c>
      <c r="H27" s="304">
        <f>H25+H26</f>
        <v>413120.4</v>
      </c>
      <c r="I27" s="265"/>
      <c r="J27" s="47"/>
      <c r="K27" s="47"/>
      <c r="L27" s="39">
        <f>SUM(L21:L21)*2</f>
        <v>3.9</v>
      </c>
      <c r="M27" s="39"/>
      <c r="N27" s="261"/>
      <c r="O27" s="259"/>
      <c r="P27" s="252"/>
      <c r="Q27" s="258"/>
      <c r="R27" s="307"/>
      <c r="S27" s="14"/>
      <c r="T27" s="9"/>
      <c r="W27" s="4"/>
    </row>
    <row r="28" spans="1:24" ht="17.399999999999999" x14ac:dyDescent="0.3">
      <c r="B28" s="275"/>
      <c r="C28" s="271"/>
      <c r="D28" s="272"/>
      <c r="E28" s="272"/>
      <c r="F28" s="273"/>
      <c r="I28" s="265"/>
      <c r="J28" s="47"/>
      <c r="K28" s="47"/>
      <c r="L28" s="39"/>
      <c r="M28" s="12"/>
      <c r="N28" s="12"/>
      <c r="O28" s="253">
        <f>SUM(O21:O24)</f>
        <v>4.5</v>
      </c>
      <c r="P28" s="14"/>
      <c r="Q28" s="12"/>
      <c r="R28" s="238"/>
      <c r="S28" s="14"/>
      <c r="T28" s="9"/>
      <c r="W28" s="4"/>
    </row>
    <row r="29" spans="1:24" ht="17.399999999999999" x14ac:dyDescent="0.35">
      <c r="B29" s="269"/>
      <c r="C29" s="230"/>
      <c r="D29" s="230"/>
      <c r="E29" s="232"/>
      <c r="F29" s="233"/>
      <c r="G29" s="230"/>
      <c r="H29" s="274"/>
      <c r="I29" s="265"/>
      <c r="J29" s="47"/>
      <c r="K29" s="47"/>
      <c r="L29" s="39"/>
      <c r="M29" s="12"/>
      <c r="N29" s="12"/>
      <c r="O29" s="253">
        <f>O28</f>
        <v>4.5</v>
      </c>
      <c r="P29" s="14"/>
      <c r="Q29" s="12"/>
      <c r="R29" s="238">
        <f>SUM(R21:R28)</f>
        <v>7.5</v>
      </c>
      <c r="S29" s="14"/>
      <c r="T29" s="9"/>
      <c r="W29" s="4"/>
    </row>
    <row r="30" spans="1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14"/>
      <c r="M30" s="12"/>
      <c r="N30" s="12"/>
      <c r="O30" s="39">
        <f>O29*0.2</f>
        <v>0.9</v>
      </c>
      <c r="P30" s="39" t="s">
        <v>132</v>
      </c>
      <c r="Q30" s="42"/>
      <c r="R30" s="239"/>
      <c r="S30" s="14"/>
      <c r="T30" s="9"/>
      <c r="W30" s="4"/>
    </row>
    <row r="31" spans="1:24" ht="17.399999999999999" x14ac:dyDescent="0.35">
      <c r="B31" s="230"/>
      <c r="C31" s="230"/>
      <c r="D31" s="230"/>
      <c r="E31" s="230"/>
      <c r="F31" s="230"/>
      <c r="G31" s="230"/>
      <c r="I31" s="265"/>
      <c r="J31" s="312"/>
      <c r="K31" s="47"/>
      <c r="L31" s="14"/>
      <c r="M31" s="12"/>
      <c r="N31" s="12"/>
      <c r="O31" s="46">
        <f>O29+O30</f>
        <v>5.4</v>
      </c>
      <c r="P31" s="14"/>
      <c r="Q31" s="14"/>
      <c r="R31" s="237">
        <v>40</v>
      </c>
      <c r="S31" s="14"/>
      <c r="T31" s="9"/>
      <c r="W31" s="4"/>
    </row>
    <row r="32" spans="1:24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312"/>
      <c r="K32" s="47"/>
      <c r="L32" s="14"/>
      <c r="M32" s="14"/>
      <c r="N32" s="14"/>
      <c r="O32" s="14"/>
      <c r="P32" s="14"/>
      <c r="Q32" s="14"/>
      <c r="R32" s="237"/>
      <c r="S32" s="14"/>
      <c r="T32" s="9"/>
      <c r="W32" s="4"/>
    </row>
    <row r="33" spans="1:23" ht="17.399999999999999" x14ac:dyDescent="0.35">
      <c r="A33" s="230"/>
      <c r="B33" s="24" t="s">
        <v>155</v>
      </c>
      <c r="C33" s="230"/>
      <c r="D33" s="230"/>
      <c r="E33" s="230"/>
      <c r="F33" s="230"/>
      <c r="G33" s="230"/>
      <c r="H33" s="230"/>
      <c r="I33" s="265"/>
      <c r="J33" s="47"/>
      <c r="K33" s="47"/>
      <c r="L33" s="39">
        <f>O31</f>
        <v>5.4</v>
      </c>
      <c r="M33" s="12">
        <v>2000</v>
      </c>
      <c r="N33" s="12">
        <f t="shared" ref="N33:N38" si="26">L33*M33</f>
        <v>10800</v>
      </c>
      <c r="O33" s="14" t="s">
        <v>22</v>
      </c>
      <c r="P33" s="14" t="s">
        <v>23</v>
      </c>
      <c r="Q33" s="14"/>
      <c r="R33" s="240"/>
      <c r="S33" s="14"/>
      <c r="T33" s="9"/>
      <c r="W33" s="4"/>
    </row>
    <row r="34" spans="1:23" ht="17.399999999999999" x14ac:dyDescent="0.35">
      <c r="A34" s="230"/>
      <c r="B34" s="24" t="s">
        <v>156</v>
      </c>
      <c r="G34" s="230"/>
      <c r="H34" s="230"/>
      <c r="I34" s="265"/>
      <c r="J34" s="47"/>
      <c r="K34" s="47"/>
      <c r="L34" s="249">
        <v>2</v>
      </c>
      <c r="M34" s="12">
        <v>23500</v>
      </c>
      <c r="N34" s="12">
        <f t="shared" si="26"/>
        <v>47000</v>
      </c>
      <c r="O34" s="39" t="s">
        <v>152</v>
      </c>
      <c r="P34" s="42"/>
      <c r="Q34" s="14"/>
      <c r="R34" s="239"/>
      <c r="S34" s="14"/>
      <c r="T34" s="9"/>
      <c r="W34" s="4"/>
    </row>
    <row r="35" spans="1:23" s="230" customFormat="1" ht="17.399999999999999" x14ac:dyDescent="0.35">
      <c r="B35" s="29" t="s">
        <v>127</v>
      </c>
      <c r="C35"/>
      <c r="D35"/>
      <c r="E35"/>
      <c r="F35" s="229" t="s">
        <v>16</v>
      </c>
      <c r="I35" s="262"/>
      <c r="J35" s="47"/>
      <c r="K35" s="250"/>
      <c r="L35" s="14"/>
      <c r="M35" s="250">
        <v>23500</v>
      </c>
      <c r="N35" s="12">
        <f t="shared" si="26"/>
        <v>0</v>
      </c>
      <c r="O35" s="39" t="s">
        <v>32</v>
      </c>
      <c r="P35" s="42"/>
      <c r="R35" s="239"/>
      <c r="S35" s="256"/>
      <c r="V35" s="231"/>
    </row>
    <row r="36" spans="1:23" s="230" customFormat="1" ht="17.399999999999999" x14ac:dyDescent="0.35">
      <c r="I36" s="262"/>
      <c r="J36" s="311"/>
      <c r="K36" s="250"/>
      <c r="L36" s="14">
        <v>4</v>
      </c>
      <c r="M36" s="250">
        <v>25000</v>
      </c>
      <c r="N36" s="12">
        <f t="shared" si="26"/>
        <v>100000</v>
      </c>
      <c r="O36" s="14" t="s">
        <v>143</v>
      </c>
      <c r="P36" s="17"/>
      <c r="R36" s="237"/>
      <c r="S36" s="256"/>
      <c r="V36" s="231"/>
    </row>
    <row r="37" spans="1:23" s="230" customFormat="1" ht="17.399999999999999" x14ac:dyDescent="0.35">
      <c r="I37" s="262"/>
      <c r="J37" s="311"/>
      <c r="K37" s="250"/>
      <c r="L37" s="249"/>
      <c r="M37" s="250">
        <v>800</v>
      </c>
      <c r="N37" s="12">
        <f t="shared" si="26"/>
        <v>0</v>
      </c>
      <c r="O37" s="14" t="s">
        <v>34</v>
      </c>
      <c r="P37" s="14"/>
      <c r="Q37" s="230">
        <v>1.52</v>
      </c>
      <c r="R37" s="237"/>
      <c r="S37" s="237"/>
    </row>
    <row r="38" spans="1:23" s="230" customFormat="1" ht="17.399999999999999" x14ac:dyDescent="0.35">
      <c r="I38" s="302"/>
      <c r="J38" s="47"/>
      <c r="K38" s="250"/>
      <c r="L38" s="266"/>
      <c r="M38" s="12">
        <v>500</v>
      </c>
      <c r="N38" s="12">
        <f t="shared" si="26"/>
        <v>0</v>
      </c>
      <c r="O38" s="14" t="s">
        <v>24</v>
      </c>
      <c r="P38" s="14"/>
      <c r="Q38">
        <v>2.44</v>
      </c>
      <c r="R38"/>
      <c r="S38" s="237">
        <v>1500</v>
      </c>
      <c r="W38" s="231"/>
    </row>
    <row r="39" spans="1:23" s="230" customFormat="1" ht="17.399999999999999" x14ac:dyDescent="0.35">
      <c r="I39" s="265"/>
      <c r="J39" s="47"/>
      <c r="K39" s="250"/>
      <c r="L39" s="14"/>
      <c r="M39" s="12"/>
      <c r="N39" s="12">
        <f>SUM(N33:N38)</f>
        <v>157800</v>
      </c>
      <c r="O39" s="39" t="s">
        <v>25</v>
      </c>
      <c r="P39" s="14"/>
      <c r="Q39">
        <f>Q37*Q38</f>
        <v>3.7088000000000001</v>
      </c>
      <c r="R39"/>
      <c r="S39" s="237">
        <f>R31*S38</f>
        <v>60000</v>
      </c>
      <c r="W39" s="231"/>
    </row>
    <row r="40" spans="1:23" s="230" customFormat="1" ht="17.399999999999999" x14ac:dyDescent="0.35">
      <c r="J40" s="47">
        <v>58690</v>
      </c>
      <c r="K40" s="250"/>
      <c r="L40" s="254" t="s">
        <v>35</v>
      </c>
      <c r="M40" s="12"/>
      <c r="N40" s="255">
        <f>N39*2.2</f>
        <v>347160</v>
      </c>
      <c r="O40" s="14" t="s">
        <v>142</v>
      </c>
      <c r="P40" s="14"/>
      <c r="Q40" s="46">
        <f>O31/Q39</f>
        <v>1.4559965487489215</v>
      </c>
      <c r="R40"/>
      <c r="S40" s="257" t="e">
        <f>S39/#REF!</f>
        <v>#REF!</v>
      </c>
    </row>
    <row r="41" spans="1:23" s="230" customFormat="1" ht="17.399999999999999" x14ac:dyDescent="0.35">
      <c r="G41"/>
      <c r="H41" s="260"/>
      <c r="I41" s="260"/>
      <c r="J41" s="47">
        <f>J40/1.19</f>
        <v>49319.327731092439</v>
      </c>
      <c r="K41" s="250"/>
      <c r="L41" s="14"/>
      <c r="M41" s="12"/>
      <c r="N41" s="12">
        <f>N40/O29</f>
        <v>77146.666666666672</v>
      </c>
      <c r="O41" s="45" t="s">
        <v>26</v>
      </c>
      <c r="P41" s="14"/>
      <c r="Q41" s="14"/>
      <c r="R41"/>
      <c r="S41" s="237"/>
    </row>
    <row r="42" spans="1:23" s="230" customFormat="1" ht="17.399999999999999" x14ac:dyDescent="0.35">
      <c r="G42"/>
      <c r="J42" s="47"/>
      <c r="K42" s="250"/>
      <c r="L42" s="13"/>
      <c r="M42" s="14"/>
      <c r="N42" s="17">
        <f>N40/N39</f>
        <v>2.2000000000000002</v>
      </c>
      <c r="O42" s="15"/>
      <c r="P42"/>
      <c r="Q42"/>
      <c r="R42"/>
      <c r="S42" s="237"/>
    </row>
    <row r="43" spans="1:23" s="230" customFormat="1" ht="17.399999999999999" x14ac:dyDescent="0.35">
      <c r="G43" s="23"/>
      <c r="J43" s="47"/>
      <c r="K43" s="12"/>
      <c r="S43" s="237"/>
    </row>
    <row r="44" spans="1:23" s="230" customFormat="1" ht="17.399999999999999" x14ac:dyDescent="0.35">
      <c r="B44"/>
      <c r="C44" s="228"/>
      <c r="D44" s="22"/>
      <c r="E44" s="22"/>
      <c r="F44" s="21"/>
      <c r="G44" s="23"/>
      <c r="J44" s="47"/>
      <c r="K44" s="12"/>
      <c r="S44" s="237">
        <v>1.83</v>
      </c>
    </row>
    <row r="45" spans="1:23" ht="14.4" customHeight="1" x14ac:dyDescent="0.3">
      <c r="J45" s="47"/>
      <c r="K45" s="12"/>
      <c r="S45">
        <v>2.5</v>
      </c>
    </row>
    <row r="46" spans="1:23" x14ac:dyDescent="0.3">
      <c r="J46" s="47"/>
      <c r="K46" s="250"/>
      <c r="S46">
        <f>S44*S45</f>
        <v>4.5750000000000002</v>
      </c>
    </row>
    <row r="47" spans="1:23" x14ac:dyDescent="0.3">
      <c r="K47" s="250"/>
      <c r="S47" s="270">
        <f>O31/S46</f>
        <v>1.180327868852459</v>
      </c>
    </row>
    <row r="48" spans="1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28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11087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-33760.625033454111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347160</v>
      </c>
      <c r="E11" s="132">
        <f>D11*0.19</f>
        <v>65960.399999999994</v>
      </c>
      <c r="F11" s="131">
        <f>E11+D11</f>
        <v>413120.4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72229.374966545889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87634.090787439607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54229.374966545889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259525.90921256039</v>
      </c>
      <c r="E13" s="221">
        <f>(D11/D12)-1</f>
        <v>2.9614720353755031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45229.374966545889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6229.374966545889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144596.24979927533</v>
      </c>
      <c r="F15" s="216">
        <f>E15-D12</f>
        <v>56962.159011835727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6229.374966545889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46229.374966545889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'2229'!N34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10800</v>
      </c>
      <c r="E20" s="121">
        <f>D20*0.19</f>
        <v>2052</v>
      </c>
      <c r="F20" s="120">
        <f>SUM(D20:E20)</f>
        <v>12852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57800</v>
      </c>
      <c r="E21" s="116">
        <f>SUM(E18:E20)</f>
        <v>10982</v>
      </c>
      <c r="F21" s="115">
        <f>SUM(F18:F20)</f>
        <v>68782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54978.399999999994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347160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57800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259525.90921256039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259525.90921256039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2024-09-04T16:06:24Z</cp:lastPrinted>
  <dcterms:created xsi:type="dcterms:W3CDTF">2013-03-18T13:35:42Z</dcterms:created>
  <dcterms:modified xsi:type="dcterms:W3CDTF">2024-09-04T21:11:23Z</dcterms:modified>
</cp:coreProperties>
</file>