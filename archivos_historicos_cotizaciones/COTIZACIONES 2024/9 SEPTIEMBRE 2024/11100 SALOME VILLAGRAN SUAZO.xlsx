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9 SEPTIEMBRE 2024\"/>
    </mc:Choice>
  </mc:AlternateContent>
  <xr:revisionPtr revIDLastSave="0" documentId="13_ncr:1_{C78541AD-18E4-402F-A0AA-E622949A37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K10" i="1" l="1"/>
  <c r="J39" i="1" l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5" i="1" l="1"/>
  <c r="H27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<sst xmlns="http://schemas.openxmlformats.org/spreadsheetml/2006/main" count="219" uniqueCount="165">
  <si>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</si>
  <si>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</si>
  <si>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</si>
  <si>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</si>
  <si>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</si>
  <si>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</si>
  <si>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</si>
  <si>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</si>
  <si>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</si>
  <si>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</si>
  <si>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</si>
  <si>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</si>
  <si>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</si>
  <si>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</si>
  <si>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</si>
  <si>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</si>
  <si>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</si>
  <si>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</si>
  <si>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</si>
  <si>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</si>
  <si>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</si>
  <si>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</si>
  <si>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</si>
  <si>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</si>
  <si>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</si>
  <si>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</si>
  <si>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</si>
  <si>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</si>
  <si>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</si>
  <si>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</si>
  <si>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</si>
  <si>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</si>
  <si>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</si>
  <si>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</si>
  <si>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</si>
  <si>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</si>
  <si>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</si>
  <si>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</si>
  <si>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</si>
  <si>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</si>
  <si>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</si>
  <si>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</si>
  <si>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</si>
  <si>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</si>
  <si>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</si>
  <si>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</si>
  <si>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</si>
  <si>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</si>
  <si>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</si>
  <si>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</si>
  <si>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</si>
  <si>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</si>
  <si>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</si>
  <si>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</si>
  <si>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</si>
  <si>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</si>
  <si>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</si>
  <si>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</si>
  <si>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</si>
  <si>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</si>
  <si>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</si>
  <si>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</si>
  <si>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</si>
  <si>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</si>
  <si>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</si>
  <si>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</si>
  <si>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</si>
  <si>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</si>
  <si>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</si>
  <si>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</si>
  <si>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</si>
  <si>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</si>
  <si>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</si>
  <si>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</si>
  <si>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</si>
  <si>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</si>
  <si>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</si>
  <si>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</si>
  <si>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</si>
  <si>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</si>
  <si>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</si>
  <si>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</si>
  <si>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</si>
  <si>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</si>
  <si>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</si>
  <si>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</si>
  <si>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</si>
  <si>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</si>
  <si>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</si>
  <si>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</si>
  <si>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</si>
  <si>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</si>
  <si>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</si>
  <si>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</si>
  <si>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</si>
  <si>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</si>
  <si>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</si>
  <si>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</si>
  <si>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</si>
  <si>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</si>
  <si>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</si>
  <si>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</si>
  <si>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</si>
  <si>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</si>
  <si>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</si>
  <si>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</si>
  <si>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</si>
  <si>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</si>
  <si>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</si>
  <si>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</si>
  <si>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</si>
  <si>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</si>
  <si>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</si>
  <si>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</si>
  <si>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</si>
  <si>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</si>
  <si>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</si>
  <si>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</si>
  <si>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</si>
  <si>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</si>
  <si>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</si>
  <si>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</si>
  <si>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</si>
  <si>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</si>
  <si>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</si>
  <si>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</si>
  <si>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</si>
  <si>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</si>
  <si>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</si>
  <si>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</si>
  <si>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</si>
  <si>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</si>
  <si>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</si>
  <si>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</si>
  <si>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</si>
  <si>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</si>
  <si>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</si>
  <si>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</si>
  <si>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</si>
  <si>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</si>
  <si>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</si>
  <si>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</si>
  <si>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</si>
  <si>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</si>
  <si>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</si>
  <si>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</si>
  <si>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</si>
  <si>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</si>
  <si>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</si>
  <si>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</si>
  <si>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</si>
  <si>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</si>
  <si>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</si>
  <si>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</si>
  <si>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</si>
  <si>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</si>
  <si>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</si>
  <si>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</si>
  <si>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</si>
  <si>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+569 9844 0365</t>
  </si>
  <si>
    <t>FORT GRANITE 42008  BR</t>
  </si>
  <si>
    <t>SALOME VILLAGRAN SUAZO</t>
  </si>
  <si>
    <t>2 DIAS HABILES</t>
  </si>
  <si>
    <t>SI</t>
  </si>
  <si>
    <t>N° 11100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</si>
</sst>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28575</xdr:rowOff>
    </xdr:from>
    <xdr:to>
      <xdr:col>8</xdr:col>
      <xdr:colOff>100890</xdr:colOff>
      <xdr:row>32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23</xdr:row>
      <xdr:rowOff>169545</xdr:rowOff>
    </xdr:from>
    <xdr:to>
      <xdr:col>5</xdr:col>
      <xdr:colOff>1764030</xdr:colOff>
      <xdr:row>27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TERMINADAS CON ENCHAPE MISMA SUSTRATO:  MDF 18MM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zoomScale="98" zoomScaleNormal="98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2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5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45558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162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163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6" t="s">
        <v>159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28" t="s">
        <v>154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118150.89108910889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2">
        <v>1</v>
      </c>
      <c r="C21" s="323" t="s">
        <v>37</v>
      </c>
      <c r="D21" s="324">
        <v>0.505</v>
      </c>
      <c r="E21" s="324">
        <v>0.505</v>
      </c>
      <c r="F21" s="327" t="s">
        <v>160</v>
      </c>
      <c r="G21" s="325">
        <v>36115</v>
      </c>
      <c r="H21" s="326">
        <f t="shared" ref="H21" si="1">G21*B21</f>
        <v>36115</v>
      </c>
      <c r="I21" s="265"/>
      <c r="J21" s="47"/>
      <c r="K21" s="317">
        <f>B21</f>
        <v>1</v>
      </c>
      <c r="L21" s="318">
        <f t="shared" ref="L21:M21" si="2">D21+L$19</f>
        <v>0.55500000000000005</v>
      </c>
      <c r="M21" s="318">
        <f t="shared" si="2"/>
        <v>0.505</v>
      </c>
      <c r="N21" s="261">
        <f>L21*M21</f>
        <v>0.28027500000000005</v>
      </c>
      <c r="O21" s="259">
        <f>N21*K21</f>
        <v>0.28027500000000005</v>
      </c>
      <c r="P21" s="252">
        <f>P$20*N21</f>
        <v>33114.741000000002</v>
      </c>
      <c r="Q21" s="258">
        <f>P21+Q$20</f>
        <v>36114.741000000002</v>
      </c>
      <c r="R21" s="308">
        <f>K21*L21</f>
        <v>0.55500000000000005</v>
      </c>
      <c r="S21" s="14"/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12"/>
      <c r="H22" s="312"/>
      <c r="I22" s="265"/>
      <c r="J22" s="47"/>
      <c r="K22" s="317">
        <f t="shared" ref="K22" si="3">B22</f>
        <v>0</v>
      </c>
      <c r="L22" s="318"/>
      <c r="M22" s="318"/>
      <c r="N22" s="261"/>
      <c r="O22" s="259"/>
      <c r="P22" s="252"/>
      <c r="Q22" s="258"/>
      <c r="R22" s="308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2"/>
      <c r="H23" s="312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2"/>
      <c r="I24" s="232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9" t="s">
        <v>30</v>
      </c>
      <c r="H25" s="310">
        <f>SUM(H21:H24)</f>
        <v>36115</v>
      </c>
      <c r="I25" s="265"/>
      <c r="J25" s="47"/>
      <c r="K25" s="47"/>
      <c r="L25" s="39">
        <f>SUM(L21:L24)</f>
        <v>0.55500000000000005</v>
      </c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307" t="s">
        <v>53</v>
      </c>
      <c r="H26" s="304"/>
      <c r="I26" s="265"/>
      <c r="J26" s="47"/>
      <c r="K26" s="47"/>
      <c r="L26" s="39"/>
      <c r="M26" s="12"/>
      <c r="N26" s="12"/>
      <c r="O26" s="253">
        <f>SUM(O21:O21)</f>
        <v>0.28027500000000005</v>
      </c>
      <c r="P26" s="14"/>
      <c r="Q26" s="12"/>
      <c r="R26" s="238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305">
        <f>H25+H26</f>
        <v>36115</v>
      </c>
      <c r="I27" s="265"/>
      <c r="J27" s="47"/>
      <c r="K27" s="47"/>
      <c r="L27" s="39"/>
      <c r="M27" s="12"/>
      <c r="N27" s="12"/>
      <c r="O27" s="253">
        <f>O26</f>
        <v>0.28027500000000005</v>
      </c>
      <c r="P27" s="14"/>
      <c r="Q27" s="12"/>
      <c r="R27" s="238">
        <f>SUM(R21:R26)</f>
        <v>0.55500000000000005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5.6055000000000015E-2</v>
      </c>
      <c r="P28" s="39" t="s">
        <v>132</v>
      </c>
      <c r="Q28" s="42"/>
      <c r="R28" s="239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314"/>
      <c r="K29" s="47"/>
      <c r="L29" s="14"/>
      <c r="M29" s="12"/>
      <c r="N29" s="12"/>
      <c r="O29" s="46">
        <f>O27+O28</f>
        <v>0.33633000000000007</v>
      </c>
      <c r="P29" s="14"/>
      <c r="Q29" s="14"/>
      <c r="R29" s="237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5"/>
      <c r="I30" s="265"/>
      <c r="J30" s="314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39">
        <f>O29</f>
        <v>0.33633000000000007</v>
      </c>
      <c r="M31" s="12">
        <v>3500</v>
      </c>
      <c r="N31" s="12">
        <f t="shared" ref="N31:N36" si="4">L31*M31</f>
        <v>1177.1550000000002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0.2</v>
      </c>
      <c r="M32" s="12">
        <v>25000</v>
      </c>
      <c r="N32" s="12">
        <f t="shared" si="4"/>
        <v>5000</v>
      </c>
      <c r="O32" s="39" t="s">
        <v>155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I33" s="262"/>
      <c r="J33" s="47"/>
      <c r="K33" s="250"/>
      <c r="L33" s="14"/>
      <c r="M33" s="250">
        <v>43000</v>
      </c>
      <c r="N33" s="12">
        <f t="shared" si="4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B34" s="24" t="s">
        <v>153</v>
      </c>
      <c r="I34" s="262"/>
      <c r="J34" s="313"/>
      <c r="K34" s="250"/>
      <c r="L34" s="14">
        <v>0.35</v>
      </c>
      <c r="M34" s="250">
        <v>23000</v>
      </c>
      <c r="N34" s="12">
        <f t="shared" si="4"/>
        <v>8049.9999999999991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B35" s="24" t="s">
        <v>146</v>
      </c>
      <c r="C35"/>
      <c r="D35"/>
      <c r="E35"/>
      <c r="F35"/>
      <c r="I35" s="262"/>
      <c r="J35" s="313"/>
      <c r="K35" s="250"/>
      <c r="L35" s="249"/>
      <c r="M35" s="250">
        <v>800</v>
      </c>
      <c r="N35" s="12">
        <f t="shared" si="4"/>
        <v>0</v>
      </c>
      <c r="O35" s="14" t="s">
        <v>34</v>
      </c>
      <c r="P35" s="14"/>
      <c r="Q35" s="230">
        <v>1.52</v>
      </c>
      <c r="R35" s="237"/>
      <c r="S35" s="237"/>
    </row>
    <row r="36" spans="2:23" s="230" customFormat="1" ht="17.399999999999999" x14ac:dyDescent="0.35">
      <c r="B36" s="29" t="s">
        <v>127</v>
      </c>
      <c r="C36"/>
      <c r="D36"/>
      <c r="E36"/>
      <c r="F36" s="229" t="s">
        <v>16</v>
      </c>
      <c r="I36" s="303"/>
      <c r="J36" s="47"/>
      <c r="K36" s="250"/>
      <c r="L36" s="266">
        <v>0.55000000000000004</v>
      </c>
      <c r="M36" s="12">
        <v>1500</v>
      </c>
      <c r="N36" s="12">
        <f t="shared" si="4"/>
        <v>825.00000000000011</v>
      </c>
      <c r="O36" s="14" t="s">
        <v>24</v>
      </c>
      <c r="P36" s="14"/>
      <c r="Q36">
        <v>2.44</v>
      </c>
      <c r="R36"/>
      <c r="S36" s="237">
        <v>1500</v>
      </c>
      <c r="W36" s="231"/>
    </row>
    <row r="37" spans="2:23" s="230" customFormat="1" ht="17.399999999999999" x14ac:dyDescent="0.35">
      <c r="I37" s="230" t="s">
        <v>157</v>
      </c>
      <c r="J37" s="47"/>
      <c r="K37" s="250"/>
      <c r="L37" s="14"/>
      <c r="M37" s="12"/>
      <c r="N37" s="12">
        <f>SUM(N31:N36)</f>
        <v>15052.154999999999</v>
      </c>
      <c r="O37" s="39" t="s">
        <v>25</v>
      </c>
      <c r="P37" s="14"/>
      <c r="Q37">
        <f>Q35*Q36</f>
        <v>3.7088000000000001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61660</v>
      </c>
      <c r="K38" s="250"/>
      <c r="L38" s="254" t="s">
        <v>35</v>
      </c>
      <c r="M38" s="12"/>
      <c r="N38" s="255">
        <f>N37*2.2</f>
        <v>33114.741000000002</v>
      </c>
      <c r="O38" s="14" t="s">
        <v>142</v>
      </c>
      <c r="P38" s="14"/>
      <c r="Q38" s="46">
        <f>O27/Q37</f>
        <v>7.557026531492668E-2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51815.126050420171</v>
      </c>
      <c r="K39" s="250"/>
      <c r="L39" s="14"/>
      <c r="M39" s="12"/>
      <c r="N39" s="12">
        <f>N38/O27</f>
        <v>118150.89108910889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7.3514754098360668E-2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150</v>
      </c>
    </row>
    <row r="75" spans="3:14" x14ac:dyDescent="0.3">
      <c r="C75" t="s">
        <v>149</v>
      </c>
    </row>
    <row r="78" spans="3:14" x14ac:dyDescent="0.3">
      <c r="C78" t="s">
        <v>149</v>
      </c>
    </row>
    <row r="155" spans="3:3" x14ac:dyDescent="0.3">
      <c r="C155" t="s">
        <v>149</v>
      </c>
    </row>
    <row r="156" spans="3:3" x14ac:dyDescent="0.3">
      <c r="C156" t="s">
        <v>151</v>
      </c>
    </row>
    <row r="157" spans="3:3" x14ac:dyDescent="0.3">
      <c r="C157" t="s">
        <v>152</v>
      </c>
    </row>
    <row r="582" spans="3:3" x14ac:dyDescent="0.3">
      <c r="C582" t="s">
        <v>149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45558</v>
      </c>
    </row>
    <row r="6" spans="2:31" ht="16.2" thickBot="1" x14ac:dyDescent="0.35">
      <c r="B6" s="140" t="s">
        <v>2</v>
      </c>
      <c r="C6" s="139" t="str">
        <f>'2229'!C10</f>
        <v>SALOME VILLAGRAN SUAZO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11100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3883.9259248792259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'2229'!H25</f>
        <v>36115</v>
      </c>
      <c r="E11" s="132">
        <f>D11*0.19</f>
        <v>6861.85</v>
      </c>
      <c r="F11" s="131">
        <f>E11+D11</f>
        <v>42976.85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109873.92592487922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36011.245787439613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91873.925924879222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103.7542125603868</v>
      </c>
      <c r="E13" s="221">
        <f>(D11/D12)-1</f>
        <v>2.8811614342032499E-3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82873.925924879222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43873.925924879222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59418.555549275356</v>
      </c>
      <c r="F15" s="216">
        <f>E15-D12</f>
        <v>23407.309761835742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43873.925924879222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83873.925924879222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1177.1550000000002</v>
      </c>
      <c r="E20" s="121">
        <f>D20*0.19</f>
        <v>223.65945000000005</v>
      </c>
      <c r="F20" s="120">
        <f>SUM(D20:E20)</f>
        <v>1400.8144500000003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6177.1550000000007</v>
      </c>
      <c r="E21" s="116">
        <f>SUM(E18:E20)</f>
        <v>1173.6594500000001</v>
      </c>
      <c r="F21" s="115">
        <f>SUM(F18:F20)</f>
        <v>7350.8144499999999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5688.1905500000003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36115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6177.1550000000007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103.7542125603868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103.7542125603868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2024-09-23T13:17:08Z</dcterms:modified>
</cp:coreProperties>
</file>