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1C816C32-B778-443D-8B8E-7DE9923C5B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J38" i="1" l="1"/>
  <c r="L21" i="1"/>
  <c r="L23" i="1" s="1"/>
  <c r="M21" i="1"/>
  <c r="S21" i="1" l="1"/>
  <c r="S23" i="1" s="1"/>
  <c r="S24" i="1" s="1"/>
  <c r="S25" i="1" s="1"/>
  <c r="R21" i="1"/>
  <c r="R25" i="1" s="1"/>
  <c r="N21" i="1"/>
  <c r="O21" i="1" s="1"/>
  <c r="O24" i="1" s="1"/>
  <c r="U31" i="1"/>
  <c r="U32" i="1" s="1"/>
  <c r="N30" i="1" l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N35" i="1" s="1"/>
  <c r="N36" i="1" s="1"/>
  <c r="Q36" i="1"/>
  <c r="D20" i="3" l="1"/>
  <c r="E20" i="3" s="1"/>
  <c r="E21" i="3" s="1"/>
  <c r="N37" i="1" l="1"/>
  <c r="D21" i="3"/>
  <c r="M43" i="3" s="1"/>
  <c r="D12" i="3" s="1"/>
  <c r="F20" i="3"/>
  <c r="F21" i="3" s="1"/>
  <c r="N38" i="1" l="1"/>
  <c r="P20" i="1"/>
  <c r="E15" i="3"/>
  <c r="P21" i="1" l="1"/>
  <c r="F15" i="3"/>
  <c r="Q21" i="1" l="1"/>
  <c r="H23" i="1" l="1"/>
  <c r="H25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<sst xmlns="http://schemas.openxmlformats.org/spreadsheetml/2006/main" count="231" uniqueCount="176">
  <si>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</si>
  <si>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</si>
  <si>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</si>
  <si>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</si>
  <si>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</si>
  <si>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</si>
  <si>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</si>
  <si>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</si>
  <si>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</si>
  <si>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</si>
  <si>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</si>
  <si>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</si>
  <si>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</si>
  <si>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</si>
  <si>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</si>
  <si>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</si>
  <si>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</si>
  <si>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</si>
  <si>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</si>
  <si>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</si>
  <si>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</si>
  <si>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</si>
  <si>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</si>
  <si>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</si>
  <si>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</si>
  <si>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</si>
  <si>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</si>
  <si>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</si>
  <si>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</si>
  <si>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</si>
  <si>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</si>
  <si>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</si>
  <si>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</si>
  <si>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</si>
  <si>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</si>
  <si>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</si>
  <si>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</si>
  <si>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</si>
  <si>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</si>
  <si>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</si>
  <si>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</si>
  <si>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</si>
  <si>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</si>
  <si>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</si>
  <si>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</si>
  <si>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</si>
  <si>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</si>
  <si>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</si>
  <si>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</si>
  <si>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</si>
  <si>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</si>
  <si>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</si>
  <si>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</si>
  <si>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</si>
  <si>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</si>
  <si>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</si>
  <si>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</si>
  <si>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</si>
  <si>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</si>
  <si>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</si>
  <si>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</si>
  <si>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</si>
  <si>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</si>
  <si>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</si>
  <si>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</si>
  <si>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</si>
  <si>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</si>
  <si>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</si>
  <si>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</si>
  <si>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</si>
  <si>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</si>
  <si>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</si>
  <si>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</si>
  <si>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</si>
  <si>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</si>
  <si>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</si>
  <si>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</si>
  <si>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</si>
  <si>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</si>
  <si>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</si>
  <si>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</si>
  <si>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</si>
  <si>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</si>
  <si>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</si>
  <si>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</si>
  <si>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</si>
  <si>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</si>
  <si>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</si>
  <si>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</si>
  <si>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</si>
  <si>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</si>
  <si>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</si>
  <si>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</si>
  <si>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</si>
  <si>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</si>
  <si>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</si>
  <si>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</si>
  <si>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</si>
  <si>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</si>
  <si>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</si>
  <si>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</si>
  <si>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</si>
  <si>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</si>
  <si>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</si>
  <si>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</si>
  <si>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</si>
  <si>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</si>
  <si>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</si>
  <si>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</si>
  <si>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</si>
  <si>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</si>
  <si>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</si>
  <si>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</si>
  <si>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</si>
  <si>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</si>
  <si>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</si>
  <si>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</si>
  <si>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</si>
  <si>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</si>
  <si>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</si>
  <si>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</si>
  <si>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</si>
  <si>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</si>
  <si>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</si>
  <si>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</si>
  <si>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</si>
  <si>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</si>
  <si>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</si>
  <si>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</si>
  <si>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</si>
  <si>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</si>
  <si>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</si>
  <si>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</si>
  <si>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</si>
  <si>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</si>
  <si>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</si>
  <si>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</si>
  <si>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</si>
  <si>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</si>
  <si>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</si>
  <si>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</si>
  <si>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</si>
  <si>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</si>
  <si>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</si>
  <si>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</si>
  <si>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</si>
  <si>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</si>
  <si>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</si>
  <si>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</si>
  <si>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</si>
  <si>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</si>
  <si>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</si>
  <si>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</si>
  <si>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</si>
  <si>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</si>
  <si>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</si>
  <si>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</si>
  <si>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</si>
  <si>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</si>
  <si>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</si>
  <si>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</si>
  <si>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</si>
  <si>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</si>
  <si>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</si>
  <si>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</si>
  <si>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</si>
  <si>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</si>
  <si>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10 DIAS HABILES</t>
  </si>
  <si>
    <t>YUNES SALIBE</t>
  </si>
  <si>
    <t>PUERTO MONTT</t>
  </si>
  <si>
    <t xml:space="preserve">+569 </t>
  </si>
  <si>
    <t>SI POR TRANSPORTES</t>
  </si>
  <si>
    <t>VAINILLA 2109 MT ANTIBACTERIAL</t>
  </si>
  <si>
    <t>CUB MESA R6 3 LADOS</t>
  </si>
  <si>
    <t>lamitech</t>
  </si>
  <si>
    <t>N° 11095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</si>
</sst>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21" fillId="0" borderId="1" xfId="0" applyFont="1" applyBorder="1" applyAlignment="1">
      <alignment horizontal="center" vertical="center"/>
    </xf>
    <xf numFmtId="41" fontId="22" fillId="0" borderId="1" xfId="4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22</xdr:row>
      <xdr:rowOff>9525</xdr:rowOff>
    </xdr:from>
    <xdr:to>
      <xdr:col>5</xdr:col>
      <xdr:colOff>1594096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DESPACHAN CON SOBRE MEDIDA,EMBALADAS CON CARTON CORRUGADO POR TRANSPORTES CASEM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RESPONDEMOS POR EVENTUALES DAÑOS EN EL TRANSPORTE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6" zoomScale="93" zoomScaleNormal="93" workbookViewId="0">
      <selection activeCell="H25" sqref="H2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3" t="s">
        <v>175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6" t="s">
        <v>163</v>
      </c>
      <c r="C10" s="279" t="s">
        <v>168</v>
      </c>
      <c r="D10" s="243"/>
      <c r="E10" s="243"/>
      <c r="F10" s="244" t="s">
        <v>0</v>
      </c>
      <c r="G10" s="277">
        <v>45561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299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1"/>
      <c r="H13" s="290"/>
      <c r="P13" s="19"/>
      <c r="Q13" s="25"/>
      <c r="R13" s="19"/>
    </row>
    <row r="14" spans="2:23" x14ac:dyDescent="0.3">
      <c r="B14" s="246" t="s">
        <v>140</v>
      </c>
      <c r="C14" s="318"/>
      <c r="D14" s="247"/>
      <c r="E14" s="247"/>
      <c r="F14" s="319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3" t="s">
        <v>170</v>
      </c>
      <c r="D15" s="314"/>
      <c r="F15" t="s">
        <v>135</v>
      </c>
      <c r="G15" s="312" t="s">
        <v>171</v>
      </c>
      <c r="H15" s="290"/>
    </row>
    <row r="16" spans="2:23" ht="16.8" x14ac:dyDescent="0.4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" thickBot="1" x14ac:dyDescent="0.35">
      <c r="B17" s="315" t="s">
        <v>13</v>
      </c>
      <c r="C17" s="316" t="s">
        <v>169</v>
      </c>
      <c r="D17" s="317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 t="e">
        <f>N37</f>
        <v>#DIV/0!</v>
      </c>
      <c r="Q20" s="258">
        <v>10000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1</v>
      </c>
      <c r="C21" s="324" t="s">
        <v>173</v>
      </c>
      <c r="D21" s="325">
        <v>2.95</v>
      </c>
      <c r="E21" s="325">
        <v>1.45</v>
      </c>
      <c r="F21" s="324" t="s">
        <v>172</v>
      </c>
      <c r="G21" s="326">
        <v>277055</v>
      </c>
      <c r="H21" s="326">
        <f t="shared" ref="H21" si="1">G21*B21</f>
        <v>277055</v>
      </c>
      <c r="I21" s="265"/>
      <c r="J21" s="47"/>
      <c r="K21" s="47"/>
      <c r="L21" s="39">
        <f t="shared" ref="L21" si="2">D21+L$19</f>
        <v>3</v>
      </c>
      <c r="M21" s="39">
        <f t="shared" ref="M21" si="3">E21+M$19</f>
        <v>1.45</v>
      </c>
      <c r="N21" s="261">
        <f t="shared" ref="N21" si="4">L21*M21</f>
        <v>4.3499999999999996</v>
      </c>
      <c r="O21" s="259">
        <f t="shared" ref="O21" si="5">N21*K21</f>
        <v>0</v>
      </c>
      <c r="P21" s="252" t="e">
        <f t="shared" ref="P21" si="6">P$20*N21</f>
        <v>#DIV/0!</v>
      </c>
      <c r="Q21" s="327" t="e">
        <f t="shared" ref="Q21" si="7">P21+Q$20</f>
        <v>#DIV/0!</v>
      </c>
      <c r="R21" s="298">
        <f>L21*K21*2</f>
        <v>0</v>
      </c>
      <c r="S21" s="46">
        <f>M21*2*K21</f>
        <v>0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30"/>
      <c r="H22" s="331"/>
      <c r="I22" s="233"/>
      <c r="J22" s="47"/>
      <c r="K22" s="47"/>
      <c r="L22" s="39"/>
      <c r="M22" s="39"/>
      <c r="N22" s="261"/>
      <c r="O22" s="259"/>
      <c r="P22" s="252"/>
      <c r="Q22" s="258"/>
      <c r="R22" s="298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28" t="s">
        <v>29</v>
      </c>
      <c r="H23" s="329">
        <f>SUM(H21:H22)</f>
        <v>277055</v>
      </c>
      <c r="I23" s="265"/>
      <c r="J23" s="47">
        <v>2600000</v>
      </c>
      <c r="K23" s="47"/>
      <c r="L23" s="39">
        <f>SUM(L21:L22)</f>
        <v>3</v>
      </c>
      <c r="M23" s="39"/>
      <c r="N23" s="261"/>
      <c r="O23" s="259"/>
      <c r="P23" s="252"/>
      <c r="Q23" s="258"/>
      <c r="R23" s="298"/>
      <c r="S23" s="46">
        <f>SUM(S21:S22)</f>
        <v>0</v>
      </c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297" t="s">
        <v>52</v>
      </c>
      <c r="H24" s="295">
        <v>19000</v>
      </c>
      <c r="I24" s="265"/>
      <c r="J24" s="47"/>
      <c r="K24" s="47"/>
      <c r="L24" s="39"/>
      <c r="M24" s="12"/>
      <c r="N24" s="12"/>
      <c r="O24" s="253">
        <f>SUM(O21:O21)</f>
        <v>0</v>
      </c>
      <c r="P24" s="14"/>
      <c r="Q24" s="12"/>
      <c r="R24" s="239"/>
      <c r="S24" s="46">
        <f>S23*20%</f>
        <v>0</v>
      </c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296">
        <f>H23+H24</f>
        <v>296055</v>
      </c>
      <c r="I25" s="265"/>
      <c r="J25" s="47"/>
      <c r="K25" s="47"/>
      <c r="L25" s="39"/>
      <c r="M25" s="12"/>
      <c r="N25" s="12"/>
      <c r="O25" s="253">
        <f>O24</f>
        <v>0</v>
      </c>
      <c r="P25" s="14"/>
      <c r="Q25" s="12"/>
      <c r="R25" s="239">
        <f>SUM(R21:R24)</f>
        <v>0</v>
      </c>
      <c r="S25" s="46">
        <f>S23+S24</f>
        <v>0</v>
      </c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0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03" t="s">
        <v>22</v>
      </c>
      <c r="U28" s="300" t="s">
        <v>153</v>
      </c>
      <c r="V28" s="304">
        <v>44971</v>
      </c>
      <c r="W28" s="305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0</v>
      </c>
      <c r="M29" s="12">
        <v>3500</v>
      </c>
      <c r="N29" s="12">
        <f t="shared" ref="N29:N34" si="8">L29*M29</f>
        <v>0</v>
      </c>
      <c r="O29" s="14" t="s">
        <v>22</v>
      </c>
      <c r="P29" s="14"/>
      <c r="Q29" s="14"/>
      <c r="R29" s="241"/>
      <c r="S29" s="14"/>
      <c r="T29" s="303" t="s">
        <v>154</v>
      </c>
      <c r="U29" s="300">
        <v>3625</v>
      </c>
      <c r="V29" s="59" t="s">
        <v>155</v>
      </c>
      <c r="W29" s="305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 t="s">
        <v>174</v>
      </c>
      <c r="K30" s="47"/>
      <c r="L30" s="249">
        <v>2</v>
      </c>
      <c r="M30" s="12">
        <v>25000</v>
      </c>
      <c r="N30" s="12">
        <f t="shared" si="8"/>
        <v>50000</v>
      </c>
      <c r="O30" s="39" t="s">
        <v>32</v>
      </c>
      <c r="P30" s="42"/>
      <c r="Q30" s="14"/>
      <c r="R30" s="240"/>
      <c r="S30" s="14"/>
      <c r="T30" s="303"/>
      <c r="U30" s="59">
        <v>906.25</v>
      </c>
      <c r="V30" s="59" t="s">
        <v>156</v>
      </c>
      <c r="W30" s="305"/>
    </row>
    <row r="31" spans="2:24" s="230" customFormat="1" ht="17.399999999999999" x14ac:dyDescent="0.35">
      <c r="I31" s="262"/>
      <c r="J31" s="232">
        <v>40754</v>
      </c>
      <c r="K31" s="250">
        <v>34989</v>
      </c>
      <c r="L31" s="14"/>
      <c r="M31" s="250">
        <v>61840</v>
      </c>
      <c r="N31" s="12">
        <f t="shared" si="8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05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>
        <v>26644</v>
      </c>
      <c r="K32" s="250">
        <v>22025</v>
      </c>
      <c r="L32" s="14">
        <v>4</v>
      </c>
      <c r="M32" s="250">
        <v>33900</v>
      </c>
      <c r="N32" s="12">
        <f t="shared" si="8"/>
        <v>135600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05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8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294"/>
      <c r="K34" s="250"/>
      <c r="L34" s="266"/>
      <c r="M34" s="12">
        <v>1500</v>
      </c>
      <c r="N34" s="12">
        <f t="shared" si="8"/>
        <v>0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185600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N35*2.2</f>
        <v>408320.00000000006</v>
      </c>
      <c r="O36" s="14" t="s">
        <v>141</v>
      </c>
      <c r="P36" s="14"/>
      <c r="Q36" s="40">
        <f>O27/Q35</f>
        <v>0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40340</v>
      </c>
      <c r="K37" s="250"/>
      <c r="L37" s="14"/>
      <c r="M37" s="12"/>
      <c r="N37" s="12" t="e">
        <f>N36/O25</f>
        <v>#DIV/0!</v>
      </c>
      <c r="O37" s="45" t="s">
        <v>25</v>
      </c>
      <c r="P37" s="14"/>
      <c r="Q37" s="14"/>
      <c r="R37"/>
      <c r="S37" s="238"/>
      <c r="T37" s="59" t="s">
        <v>159</v>
      </c>
      <c r="U37" s="300">
        <v>43650</v>
      </c>
    </row>
    <row r="38" spans="2:23" s="230" customFormat="1" ht="17.399999999999999" x14ac:dyDescent="0.35">
      <c r="G38"/>
      <c r="H38" s="230" t="s">
        <v>165</v>
      </c>
      <c r="J38" s="230">
        <f>J37/1.19</f>
        <v>33899.159663865546</v>
      </c>
      <c r="K38" s="250"/>
      <c r="L38" s="13"/>
      <c r="M38" s="14"/>
      <c r="N38" s="17">
        <f>N36/N35</f>
        <v>2.2000000000000002</v>
      </c>
      <c r="O38" s="15"/>
      <c r="P38"/>
      <c r="Q38"/>
      <c r="R38"/>
      <c r="S38" s="238"/>
      <c r="T38" s="59" t="s">
        <v>161</v>
      </c>
      <c r="U38" s="301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02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45561</v>
      </c>
    </row>
    <row r="6" spans="2:31" ht="16.2" thickBot="1" x14ac:dyDescent="0.35">
      <c r="B6" s="140" t="s">
        <v>2</v>
      </c>
      <c r="C6" s="139" t="str">
        <f>'2229'!C10</f>
        <v>YUNES SALIBE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11095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-24221.458366787443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277055</v>
      </c>
      <c r="E11" s="132">
        <f>D11*0.19</f>
        <v>52640.45</v>
      </c>
      <c r="F11" s="131">
        <f>E11+D11</f>
        <v>329695.45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81768.541633212561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79834.090787439607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63768.541633212561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197220.90921256039</v>
      </c>
      <c r="E13" s="221">
        <f>(D11/D12)-1</f>
        <v>2.4703846097235118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54768.541633212561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15768.541633212557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131726.24979927533</v>
      </c>
      <c r="F15" s="216">
        <f>E15-D12</f>
        <v>51892.159011835727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15768.541633212557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55768.541633212561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50000</v>
      </c>
      <c r="E21" s="116">
        <f>SUM(E18:E20)</f>
        <v>9500</v>
      </c>
      <c r="F21" s="115">
        <f>SUM(F18:F20)</f>
        <v>59500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43140.45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277055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50000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197220.90921256039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197220.90921256039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2024-09-26T13:13:23Z</cp:lastPrinted>
  <dcterms:created xsi:type="dcterms:W3CDTF">2013-03-18T13:35:42Z</dcterms:created>
  <dcterms:modified xsi:type="dcterms:W3CDTF">2024-09-26T13:17:30Z</dcterms:modified>
</cp:coreProperties>
</file>