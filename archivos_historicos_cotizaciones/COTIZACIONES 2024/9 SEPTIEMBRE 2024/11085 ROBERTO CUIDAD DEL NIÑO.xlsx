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41A1EBD9-E895-47F3-9451-B12D92D211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9" i="1"/>
  <c r="G22" i="1"/>
  <c r="G23" i="1"/>
  <c r="G24" i="1"/>
  <c r="G25" i="1"/>
  <c r="H25" i="1" s="1"/>
  <c r="G26" i="1"/>
  <c r="G27" i="1"/>
  <c r="G28" i="1"/>
  <c r="G29" i="1"/>
  <c r="G21" i="1"/>
  <c r="M29" i="1"/>
  <c r="N29" i="1" s="1"/>
  <c r="O29" i="1" s="1"/>
  <c r="O33" i="1" s="1"/>
  <c r="L29" i="1"/>
  <c r="R29" i="1"/>
  <c r="K29" i="1"/>
  <c r="M28" i="1"/>
  <c r="N28" i="1" s="1"/>
  <c r="O28" i="1" s="1"/>
  <c r="L28" i="1"/>
  <c r="R28" i="1" s="1"/>
  <c r="K28" i="1"/>
  <c r="H27" i="1"/>
  <c r="H26" i="1"/>
  <c r="M27" i="1"/>
  <c r="N27" i="1" s="1"/>
  <c r="O27" i="1" s="1"/>
  <c r="L27" i="1"/>
  <c r="R27" i="1"/>
  <c r="K27" i="1"/>
  <c r="M26" i="1"/>
  <c r="N26" i="1" s="1"/>
  <c r="O26" i="1" s="1"/>
  <c r="L26" i="1"/>
  <c r="R26" i="1" s="1"/>
  <c r="K26" i="1"/>
  <c r="K23" i="1"/>
  <c r="L23" i="1"/>
  <c r="R23" i="1" s="1"/>
  <c r="M23" i="1"/>
  <c r="K24" i="1"/>
  <c r="L24" i="1"/>
  <c r="M24" i="1"/>
  <c r="K25" i="1"/>
  <c r="L25" i="1"/>
  <c r="M25" i="1"/>
  <c r="H22" i="1"/>
  <c r="H23" i="1"/>
  <c r="H24" i="1"/>
  <c r="N25" i="1" l="1"/>
  <c r="O25" i="1" s="1"/>
  <c r="R25" i="1"/>
  <c r="N24" i="1"/>
  <c r="O24" i="1" s="1"/>
  <c r="N23" i="1"/>
  <c r="O23" i="1" s="1"/>
  <c r="R24" i="1"/>
  <c r="K22" i="1"/>
  <c r="L22" i="1"/>
  <c r="M22" i="1"/>
  <c r="K21" i="1"/>
  <c r="K10" i="1"/>
  <c r="N22" i="1" l="1"/>
  <c r="O22" i="1" s="1"/>
  <c r="R22" i="1"/>
  <c r="J46" i="1"/>
  <c r="L21" i="1" l="1"/>
  <c r="L32" i="1" s="1"/>
  <c r="M21" i="1"/>
  <c r="N21" i="1" l="1"/>
  <c r="O21" i="1" s="1"/>
  <c r="R21" i="1"/>
  <c r="N39" i="1"/>
  <c r="O34" i="1" l="1"/>
  <c r="S51" i="1"/>
  <c r="O35" i="1" l="1"/>
  <c r="M20" i="1"/>
  <c r="K20" i="1"/>
  <c r="N40" i="1" l="1"/>
  <c r="Q44" i="1"/>
  <c r="Q45" i="1" s="1"/>
  <c r="N41" i="1" l="1"/>
  <c r="S44" i="1" l="1"/>
  <c r="S4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3" i="1"/>
  <c r="N42" i="1"/>
  <c r="F18" i="3" l="1"/>
  <c r="O36" i="1" l="1"/>
  <c r="L38" i="1" s="1"/>
  <c r="N38" i="1" l="1"/>
  <c r="S52" i="1"/>
  <c r="N44" i="1" l="1"/>
  <c r="N45" i="1" s="1"/>
  <c r="D20" i="3"/>
  <c r="E20" i="3" s="1"/>
  <c r="E21" i="3" s="1"/>
  <c r="N47" i="1" l="1"/>
  <c r="D21" i="3"/>
  <c r="M43" i="3" s="1"/>
  <c r="D12" i="3" s="1"/>
  <c r="F20" i="3"/>
  <c r="F21" i="3" s="1"/>
  <c r="N46" i="1" l="1"/>
  <c r="P20" i="1" s="1"/>
  <c r="E15" i="3"/>
  <c r="P28" i="1" l="1"/>
  <c r="Q28" i="1" s="1"/>
  <c r="P29" i="1"/>
  <c r="Q29" i="1" s="1"/>
  <c r="P26" i="1"/>
  <c r="Q26" i="1" s="1"/>
  <c r="P27" i="1"/>
  <c r="Q27" i="1" s="1"/>
  <c r="P22" i="1"/>
  <c r="Q22" i="1" s="1"/>
  <c r="P25" i="1"/>
  <c r="Q25" i="1" s="1"/>
  <c r="P24" i="1"/>
  <c r="Q24" i="1" s="1"/>
  <c r="P23" i="1"/>
  <c r="Q23" i="1" s="1"/>
  <c r="P21" i="1"/>
  <c r="F15" i="3"/>
  <c r="Q21" i="1" l="1"/>
  <c r="H21" i="1" s="1"/>
  <c r="R34" i="1"/>
  <c r="H32" i="1" l="1"/>
  <c r="H33" i="1" s="1"/>
  <c r="H34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<sst xmlns="http://schemas.openxmlformats.org/spreadsheetml/2006/main" count="234" uniqueCount="167">
  <si>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</si>
  <si>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</si>
  <si>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</si>
  <si>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</si>
  <si>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</si>
  <si>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</si>
  <si>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</si>
  <si>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</si>
  <si>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</si>
  <si>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</si>
  <si>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</si>
  <si>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</si>
  <si>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</si>
  <si>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</si>
  <si>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</si>
  <si>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</si>
  <si>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</si>
  <si>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</si>
  <si>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</si>
  <si>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</si>
  <si>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</si>
  <si>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</si>
  <si>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</si>
  <si>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</si>
  <si>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</si>
  <si>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</si>
  <si>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</si>
  <si>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</si>
  <si>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</si>
  <si>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</si>
  <si>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</si>
  <si>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</si>
  <si>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</si>
  <si>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</si>
  <si>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</si>
  <si>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</si>
  <si>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</si>
  <si>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</si>
  <si>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</si>
  <si>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</si>
  <si>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</si>
  <si>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</si>
  <si>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</si>
  <si>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</si>
  <si>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</si>
  <si>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</si>
  <si>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</si>
  <si>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</si>
  <si>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</si>
  <si>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</si>
  <si>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</si>
  <si>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</si>
  <si>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</si>
  <si>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</si>
  <si>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</si>
  <si>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</si>
  <si>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</si>
  <si>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</si>
  <si>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</si>
  <si>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</si>
  <si>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</si>
  <si>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</si>
  <si>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</si>
  <si>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</si>
  <si>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</si>
  <si>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</si>
  <si>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</si>
  <si>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</si>
  <si>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</si>
  <si>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</si>
  <si>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</si>
  <si>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</si>
  <si>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</si>
  <si>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</si>
  <si>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</si>
  <si>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</si>
  <si>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</si>
  <si>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</si>
  <si>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</si>
  <si>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</si>
  <si>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</si>
  <si>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</si>
  <si>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</si>
  <si>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</si>
  <si>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</si>
  <si>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</si>
  <si>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</si>
  <si>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</si>
  <si>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</si>
  <si>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</si>
  <si>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</si>
  <si>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</si>
  <si>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</si>
  <si>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</si>
  <si>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</si>
  <si>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</si>
  <si>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</si>
  <si>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</si>
  <si>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</si>
  <si>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</si>
  <si>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</si>
  <si>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</si>
  <si>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</si>
  <si>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</si>
  <si>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</si>
  <si>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</si>
  <si>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</si>
  <si>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</si>
  <si>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</si>
  <si>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</si>
  <si>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</si>
  <si>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</si>
  <si>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</si>
  <si>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</si>
  <si>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</si>
  <si>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</si>
  <si>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</si>
  <si>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</si>
  <si>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</si>
  <si>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</si>
  <si>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</si>
  <si>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</si>
  <si>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</si>
  <si>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</si>
  <si>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</si>
  <si>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</si>
  <si>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</si>
  <si>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</si>
  <si>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</si>
  <si>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</si>
  <si>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</si>
  <si>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</si>
  <si>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</si>
  <si>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</si>
  <si>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</si>
  <si>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</si>
  <si>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</si>
  <si>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</si>
  <si>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</si>
  <si>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</si>
  <si>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</si>
  <si>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</si>
  <si>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</si>
  <si>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</si>
  <si>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</si>
  <si>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</si>
  <si>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</si>
  <si>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</si>
  <si>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</si>
  <si>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</si>
  <si>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</si>
  <si>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</si>
  <si>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</si>
  <si>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</si>
  <si>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</si>
  <si>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</si>
  <si>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</si>
  <si>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</si>
  <si>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</si>
  <si>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5 DÍAS HABILES</t>
  </si>
  <si>
    <t>N° 11085</t>
  </si>
  <si>
    <t>ROBERTO</t>
  </si>
  <si>
    <t>+569 8442 4836</t>
  </si>
  <si>
    <t>NATURAL ELM 1499 MT</t>
  </si>
  <si>
    <t>PR6</t>
  </si>
  <si>
    <t>PR6 / 3 FTES</t>
  </si>
  <si>
    <t>CENEFA 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</si>
</sst>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166" fontId="32" fillId="0" borderId="42" xfId="0" applyNumberFormat="1" applyFont="1" applyBorder="1" applyAlignment="1">
      <alignment horizontal="center" vertical="center"/>
    </xf>
    <xf numFmtId="0" fontId="0" fillId="0" borderId="1" xfId="0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36</xdr:row>
      <xdr:rowOff>28575</xdr:rowOff>
    </xdr:from>
    <xdr:to>
      <xdr:col>8</xdr:col>
      <xdr:colOff>100890</xdr:colOff>
      <xdr:row>39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38</xdr:row>
      <xdr:rowOff>154305</xdr:rowOff>
    </xdr:from>
    <xdr:to>
      <xdr:col>7</xdr:col>
      <xdr:colOff>853440</xdr:colOff>
      <xdr:row>38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36</xdr:row>
      <xdr:rowOff>9525</xdr:rowOff>
    </xdr:from>
    <xdr:to>
      <xdr:col>5</xdr:col>
      <xdr:colOff>1714500</xdr:colOff>
      <xdr:row>39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30</xdr:row>
      <xdr:rowOff>169545</xdr:rowOff>
    </xdr:from>
    <xdr:to>
      <xdr:col>5</xdr:col>
      <xdr:colOff>1764030</xdr:colOff>
      <xdr:row>34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CORTADAS</a:t>
          </a:r>
          <a:r>
            <a:rPr lang="es-CL" sz="1200" b="1" baseline="0"/>
            <a:t> A LA MEDIDA Y ENCHAPADAS SIN REGRUESO CON MISMA LAMINA</a:t>
          </a:r>
          <a:endParaRPr lang="es-CL" sz="1200" b="1"/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9"/>
  <sheetViews>
    <sheetView tabSelected="1" topLeftCell="D20" zoomScale="98" zoomScaleNormal="98" workbookViewId="0">
      <selection activeCell="F27" sqref="F27:H29"/>
    </sheetView>
  </sheetViews>
  <sheetFormatPr baseColWidth="10" defaultRowHeight="14.4" x14ac:dyDescent="0.3"/>
  <cols>
    <col min="1" max="1" width="6" customWidth="1"/>
    <col min="2" max="2" width="10.5546875" customWidth="1"/>
    <col min="3" max="3" width="27.777343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45533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1:24" ht="15" thickBot="1" x14ac:dyDescent="0.35">
      <c r="B17" s="297" t="s">
        <v>13</v>
      </c>
      <c r="C17" s="298" t="s">
        <v>158</v>
      </c>
      <c r="D17" s="299"/>
      <c r="E17" s="300"/>
      <c r="F17" s="328" t="s">
        <v>154</v>
      </c>
      <c r="G17" s="328"/>
      <c r="H17" s="329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21" t="s">
        <v>7</v>
      </c>
      <c r="C20" s="315" t="s">
        <v>1</v>
      </c>
      <c r="D20" s="324" t="s">
        <v>10</v>
      </c>
      <c r="E20" s="324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N46</f>
        <v>117598.82282551791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22">
        <v>1</v>
      </c>
      <c r="C21" s="312" t="s">
        <v>164</v>
      </c>
      <c r="D21" s="325">
        <v>0.52</v>
      </c>
      <c r="E21" s="325">
        <v>0.6</v>
      </c>
      <c r="F21" s="312" t="s">
        <v>163</v>
      </c>
      <c r="G21" s="313">
        <f>Q21</f>
        <v>43218.797406327132</v>
      </c>
      <c r="H21" s="314">
        <f t="shared" ref="H21" si="1">G21*B21</f>
        <v>43218.797406327132</v>
      </c>
      <c r="I21" s="265"/>
      <c r="J21" s="47"/>
      <c r="K21" s="326">
        <f>B21</f>
        <v>1</v>
      </c>
      <c r="L21" s="327">
        <f t="shared" ref="L21:M21" si="2">D21+L$19</f>
        <v>0.57000000000000006</v>
      </c>
      <c r="M21" s="327">
        <f t="shared" si="2"/>
        <v>0.6</v>
      </c>
      <c r="N21" s="261">
        <f>L21*M21</f>
        <v>0.34200000000000003</v>
      </c>
      <c r="O21" s="259">
        <f>N21*K21</f>
        <v>0.34200000000000003</v>
      </c>
      <c r="P21" s="252">
        <f>P$20*N21</f>
        <v>40218.797406327132</v>
      </c>
      <c r="Q21" s="258">
        <f>P21+Q$20</f>
        <v>43218.797406327132</v>
      </c>
      <c r="R21" s="308">
        <f>K21*L21</f>
        <v>0.57000000000000006</v>
      </c>
      <c r="S21" s="14"/>
      <c r="T21" s="9"/>
      <c r="W21" s="4"/>
    </row>
    <row r="22" spans="1:24" ht="17.399999999999999" x14ac:dyDescent="0.3">
      <c r="B22" s="322">
        <v>1</v>
      </c>
      <c r="C22" s="312" t="s">
        <v>164</v>
      </c>
      <c r="D22" s="325">
        <v>0.7</v>
      </c>
      <c r="E22" s="325">
        <v>0.35199999999999998</v>
      </c>
      <c r="F22" s="312" t="s">
        <v>163</v>
      </c>
      <c r="G22" s="313">
        <f t="shared" ref="G22:G29" si="3">Q22</f>
        <v>34046.089225936732</v>
      </c>
      <c r="H22" s="314">
        <f t="shared" ref="H22:H29" si="4">G22*B22</f>
        <v>34046.089225936732</v>
      </c>
      <c r="I22" s="265"/>
      <c r="J22" s="47"/>
      <c r="K22" s="326">
        <f>B22</f>
        <v>1</v>
      </c>
      <c r="L22" s="327">
        <f t="shared" ref="L22" si="5">D22+L$19</f>
        <v>0.75</v>
      </c>
      <c r="M22" s="327">
        <f t="shared" ref="M22" si="6">E22+M$19</f>
        <v>0.35199999999999998</v>
      </c>
      <c r="N22" s="261">
        <f>L22*M22</f>
        <v>0.26400000000000001</v>
      </c>
      <c r="O22" s="259">
        <f>N22*K22</f>
        <v>0.26400000000000001</v>
      </c>
      <c r="P22" s="252">
        <f>P$20*N22</f>
        <v>31046.089225936732</v>
      </c>
      <c r="Q22" s="258">
        <f>P22+Q$20</f>
        <v>34046.089225936732</v>
      </c>
      <c r="R22" s="308">
        <f>K22*L22</f>
        <v>0.75</v>
      </c>
      <c r="S22" s="14"/>
      <c r="T22" s="9"/>
      <c r="W22" s="4"/>
    </row>
    <row r="23" spans="1:24" ht="17.399999999999999" x14ac:dyDescent="0.3">
      <c r="B23" s="322">
        <v>1</v>
      </c>
      <c r="C23" s="312" t="s">
        <v>165</v>
      </c>
      <c r="D23" s="325">
        <v>0.7</v>
      </c>
      <c r="E23" s="325">
        <v>0.34699999999999998</v>
      </c>
      <c r="F23" s="312" t="s">
        <v>163</v>
      </c>
      <c r="G23" s="313">
        <f t="shared" si="3"/>
        <v>33605.093640341031</v>
      </c>
      <c r="H23" s="314">
        <f t="shared" si="4"/>
        <v>33605.093640341031</v>
      </c>
      <c r="I23" s="265"/>
      <c r="J23" s="47"/>
      <c r="K23" s="326">
        <f t="shared" ref="K23:K29" si="7">B23</f>
        <v>1</v>
      </c>
      <c r="L23" s="327">
        <f t="shared" ref="L23:L29" si="8">D23+L$19</f>
        <v>0.75</v>
      </c>
      <c r="M23" s="327">
        <f t="shared" ref="M23:M29" si="9">E23+M$19</f>
        <v>0.34699999999999998</v>
      </c>
      <c r="N23" s="261">
        <f t="shared" ref="N23:N29" si="10">L23*M23</f>
        <v>0.26024999999999998</v>
      </c>
      <c r="O23" s="259">
        <f t="shared" ref="O23:O29" si="11">N23*K23</f>
        <v>0.26024999999999998</v>
      </c>
      <c r="P23" s="252">
        <f t="shared" ref="P23:P29" si="12">P$20*N23</f>
        <v>30605.093640341034</v>
      </c>
      <c r="Q23" s="258">
        <f t="shared" ref="Q23:Q29" si="13">P23+Q$20</f>
        <v>33605.093640341031</v>
      </c>
      <c r="R23" s="308">
        <f t="shared" ref="R23:R29" si="14">K23*L23</f>
        <v>0.75</v>
      </c>
      <c r="S23" s="14"/>
      <c r="T23" s="9"/>
      <c r="W23" s="4"/>
    </row>
    <row r="24" spans="1:24" ht="17.399999999999999" x14ac:dyDescent="0.3">
      <c r="B24" s="322">
        <v>1</v>
      </c>
      <c r="C24" s="312" t="s">
        <v>164</v>
      </c>
      <c r="D24" s="325">
        <v>0.7</v>
      </c>
      <c r="E24" s="325">
        <v>0.35</v>
      </c>
      <c r="F24" s="312" t="s">
        <v>163</v>
      </c>
      <c r="G24" s="313">
        <f t="shared" si="3"/>
        <v>33869.690991698444</v>
      </c>
      <c r="H24" s="314">
        <f t="shared" si="4"/>
        <v>33869.690991698444</v>
      </c>
      <c r="I24" s="265"/>
      <c r="J24" s="47"/>
      <c r="K24" s="326">
        <f t="shared" si="7"/>
        <v>1</v>
      </c>
      <c r="L24" s="327">
        <f t="shared" si="8"/>
        <v>0.75</v>
      </c>
      <c r="M24" s="327">
        <f t="shared" si="9"/>
        <v>0.35</v>
      </c>
      <c r="N24" s="261">
        <f t="shared" si="10"/>
        <v>0.26249999999999996</v>
      </c>
      <c r="O24" s="259">
        <f t="shared" si="11"/>
        <v>0.26249999999999996</v>
      </c>
      <c r="P24" s="252">
        <f t="shared" si="12"/>
        <v>30869.690991698448</v>
      </c>
      <c r="Q24" s="258">
        <f t="shared" si="13"/>
        <v>33869.690991698444</v>
      </c>
      <c r="R24" s="308">
        <f t="shared" si="14"/>
        <v>0.75</v>
      </c>
      <c r="S24" s="14"/>
      <c r="T24" s="9"/>
      <c r="W24" s="4"/>
    </row>
    <row r="25" spans="1:24" ht="17.399999999999999" x14ac:dyDescent="0.3">
      <c r="B25" s="322">
        <v>1</v>
      </c>
      <c r="C25" s="312" t="s">
        <v>164</v>
      </c>
      <c r="D25" s="325">
        <v>0.7</v>
      </c>
      <c r="E25" s="325">
        <v>0.5</v>
      </c>
      <c r="F25" s="312" t="s">
        <v>163</v>
      </c>
      <c r="G25" s="313">
        <f t="shared" si="3"/>
        <v>47099.558559569217</v>
      </c>
      <c r="H25" s="314">
        <f t="shared" si="4"/>
        <v>47099.558559569217</v>
      </c>
      <c r="I25" s="265"/>
      <c r="J25" s="47"/>
      <c r="K25" s="326">
        <f t="shared" si="7"/>
        <v>1</v>
      </c>
      <c r="L25" s="327">
        <f t="shared" si="8"/>
        <v>0.75</v>
      </c>
      <c r="M25" s="327">
        <f t="shared" si="9"/>
        <v>0.5</v>
      </c>
      <c r="N25" s="261">
        <f t="shared" si="10"/>
        <v>0.375</v>
      </c>
      <c r="O25" s="259">
        <f t="shared" si="11"/>
        <v>0.375</v>
      </c>
      <c r="P25" s="252">
        <f t="shared" si="12"/>
        <v>44099.558559569217</v>
      </c>
      <c r="Q25" s="258">
        <f t="shared" si="13"/>
        <v>47099.558559569217</v>
      </c>
      <c r="R25" s="308">
        <f t="shared" si="14"/>
        <v>0.75</v>
      </c>
      <c r="S25" s="14"/>
      <c r="T25" s="9"/>
      <c r="W25" s="4"/>
    </row>
    <row r="26" spans="1:24" ht="17.399999999999999" x14ac:dyDescent="0.3">
      <c r="B26" s="322">
        <v>3</v>
      </c>
      <c r="C26" s="322" t="s">
        <v>164</v>
      </c>
      <c r="D26" s="325">
        <v>0.56999999999999995</v>
      </c>
      <c r="E26" s="325">
        <v>0.33500000000000002</v>
      </c>
      <c r="F26" s="312" t="s">
        <v>163</v>
      </c>
      <c r="G26" s="313">
        <f t="shared" si="3"/>
        <v>27425.275500860072</v>
      </c>
      <c r="H26" s="340">
        <f t="shared" si="4"/>
        <v>82275.826502580225</v>
      </c>
      <c r="I26" s="265"/>
      <c r="J26" s="47"/>
      <c r="K26" s="326">
        <f t="shared" si="7"/>
        <v>3</v>
      </c>
      <c r="L26" s="327">
        <f t="shared" si="8"/>
        <v>0.62</v>
      </c>
      <c r="M26" s="327">
        <f t="shared" si="9"/>
        <v>0.33500000000000002</v>
      </c>
      <c r="N26" s="261">
        <f t="shared" si="10"/>
        <v>0.20770000000000002</v>
      </c>
      <c r="O26" s="259">
        <f t="shared" si="11"/>
        <v>0.6231000000000001</v>
      </c>
      <c r="P26" s="252">
        <f t="shared" si="12"/>
        <v>24425.275500860072</v>
      </c>
      <c r="Q26" s="258">
        <f t="shared" si="13"/>
        <v>27425.275500860072</v>
      </c>
      <c r="R26" s="308">
        <f t="shared" si="14"/>
        <v>1.8599999999999999</v>
      </c>
      <c r="S26" s="14"/>
      <c r="T26" s="9"/>
      <c r="W26" s="4"/>
    </row>
    <row r="27" spans="1:24" ht="17.399999999999999" x14ac:dyDescent="0.3">
      <c r="B27" s="341">
        <v>3</v>
      </c>
      <c r="C27" s="341" t="s">
        <v>164</v>
      </c>
      <c r="D27" s="342">
        <v>0.3</v>
      </c>
      <c r="E27" s="342">
        <v>0.33700000000000002</v>
      </c>
      <c r="F27" s="322" t="s">
        <v>163</v>
      </c>
      <c r="G27" s="340">
        <f t="shared" si="3"/>
        <v>16870.781152269839</v>
      </c>
      <c r="H27" s="340">
        <f t="shared" si="4"/>
        <v>50612.343456809518</v>
      </c>
      <c r="I27" s="265"/>
      <c r="J27" s="47"/>
      <c r="K27" s="326">
        <f t="shared" si="7"/>
        <v>3</v>
      </c>
      <c r="L27" s="327">
        <f t="shared" si="8"/>
        <v>0.35</v>
      </c>
      <c r="M27" s="327">
        <f t="shared" si="9"/>
        <v>0.33700000000000002</v>
      </c>
      <c r="N27" s="261">
        <f t="shared" si="10"/>
        <v>0.11795</v>
      </c>
      <c r="O27" s="259">
        <f t="shared" si="11"/>
        <v>0.35385</v>
      </c>
      <c r="P27" s="252">
        <f t="shared" si="12"/>
        <v>13870.781152269838</v>
      </c>
      <c r="Q27" s="258">
        <f t="shared" si="13"/>
        <v>16870.781152269839</v>
      </c>
      <c r="R27" s="308">
        <f t="shared" si="14"/>
        <v>1.0499999999999998</v>
      </c>
      <c r="S27" s="14"/>
      <c r="T27" s="9"/>
      <c r="W27" s="4"/>
    </row>
    <row r="28" spans="1:24" ht="17.399999999999999" x14ac:dyDescent="0.3">
      <c r="A28" s="343"/>
      <c r="B28" s="322">
        <v>1</v>
      </c>
      <c r="C28" s="322"/>
      <c r="D28" s="325">
        <v>0.08</v>
      </c>
      <c r="E28" s="325">
        <v>0.6</v>
      </c>
      <c r="F28" s="322" t="s">
        <v>163</v>
      </c>
      <c r="G28" s="340">
        <f t="shared" si="3"/>
        <v>12172.708180390397</v>
      </c>
      <c r="H28" s="340">
        <f t="shared" si="4"/>
        <v>12172.708180390397</v>
      </c>
      <c r="I28" s="265"/>
      <c r="J28" s="47"/>
      <c r="K28" s="326">
        <f t="shared" si="7"/>
        <v>1</v>
      </c>
      <c r="L28" s="327">
        <f t="shared" si="8"/>
        <v>0.13</v>
      </c>
      <c r="M28" s="327">
        <f t="shared" si="9"/>
        <v>0.6</v>
      </c>
      <c r="N28" s="261">
        <f t="shared" si="10"/>
        <v>7.8E-2</v>
      </c>
      <c r="O28" s="259">
        <f t="shared" si="11"/>
        <v>7.8E-2</v>
      </c>
      <c r="P28" s="252">
        <f t="shared" si="12"/>
        <v>9172.7081803903966</v>
      </c>
      <c r="Q28" s="258">
        <f t="shared" si="13"/>
        <v>12172.708180390397</v>
      </c>
      <c r="R28" s="308">
        <f t="shared" si="14"/>
        <v>0.13</v>
      </c>
      <c r="S28" s="14"/>
      <c r="T28" s="9"/>
      <c r="W28" s="4"/>
    </row>
    <row r="29" spans="1:24" ht="17.399999999999999" x14ac:dyDescent="0.3">
      <c r="A29" s="343"/>
      <c r="B29" s="322">
        <v>1</v>
      </c>
      <c r="C29" s="322" t="s">
        <v>166</v>
      </c>
      <c r="D29" s="325">
        <v>1.6</v>
      </c>
      <c r="E29" s="325">
        <v>7.0000000000000007E-2</v>
      </c>
      <c r="F29" s="322" t="s">
        <v>163</v>
      </c>
      <c r="G29" s="340">
        <f t="shared" si="3"/>
        <v>16582.66403634732</v>
      </c>
      <c r="H29" s="340">
        <f t="shared" si="4"/>
        <v>16582.66403634732</v>
      </c>
      <c r="I29" s="265"/>
      <c r="J29" s="47"/>
      <c r="K29" s="326">
        <f t="shared" si="7"/>
        <v>1</v>
      </c>
      <c r="L29" s="327">
        <f t="shared" si="8"/>
        <v>1.6500000000000001</v>
      </c>
      <c r="M29" s="327">
        <f t="shared" si="9"/>
        <v>7.0000000000000007E-2</v>
      </c>
      <c r="N29" s="261">
        <f t="shared" si="10"/>
        <v>0.11550000000000002</v>
      </c>
      <c r="O29" s="259">
        <f t="shared" si="11"/>
        <v>0.11550000000000002</v>
      </c>
      <c r="P29" s="252">
        <f t="shared" si="12"/>
        <v>13582.664036347322</v>
      </c>
      <c r="Q29" s="258">
        <f t="shared" si="13"/>
        <v>16582.66403634732</v>
      </c>
      <c r="R29" s="308">
        <f t="shared" si="14"/>
        <v>1.6500000000000001</v>
      </c>
      <c r="S29" s="14"/>
      <c r="T29" s="9"/>
      <c r="W29" s="4"/>
    </row>
    <row r="30" spans="1:24" ht="17.399999999999999" x14ac:dyDescent="0.3">
      <c r="B30" s="286"/>
      <c r="C30" s="286"/>
      <c r="D30" s="287"/>
      <c r="E30" s="287"/>
      <c r="F30" s="286"/>
      <c r="G30" s="317"/>
      <c r="H30" s="317"/>
      <c r="I30" s="265"/>
      <c r="J30" s="47"/>
      <c r="K30" s="47"/>
      <c r="L30" s="39"/>
      <c r="M30" s="39"/>
      <c r="N30" s="261"/>
      <c r="O30" s="259"/>
      <c r="P30" s="252"/>
      <c r="Q30" s="258"/>
      <c r="R30" s="308"/>
      <c r="S30" s="14"/>
      <c r="T30" s="9"/>
      <c r="W30" s="4"/>
    </row>
    <row r="31" spans="1:24" ht="18" thickBot="1" x14ac:dyDescent="0.35">
      <c r="B31" s="286"/>
      <c r="C31" s="286"/>
      <c r="D31" s="287"/>
      <c r="E31" s="287"/>
      <c r="F31" s="286"/>
      <c r="G31" s="265"/>
      <c r="H31" s="232"/>
      <c r="I31" s="232"/>
      <c r="J31" s="47"/>
      <c r="K31" s="47"/>
      <c r="L31" s="39"/>
      <c r="M31" s="39"/>
      <c r="N31" s="261"/>
      <c r="O31" s="259"/>
      <c r="P31" s="252"/>
      <c r="Q31" s="258"/>
      <c r="R31" s="308"/>
      <c r="S31" s="14"/>
      <c r="T31" s="9"/>
      <c r="W31" s="4"/>
    </row>
    <row r="32" spans="1:24" ht="17.399999999999999" x14ac:dyDescent="0.3">
      <c r="B32" s="286"/>
      <c r="C32" s="286"/>
      <c r="D32" s="287"/>
      <c r="E32" s="287"/>
      <c r="F32" s="286"/>
      <c r="G32" s="309" t="s">
        <v>30</v>
      </c>
      <c r="H32" s="310">
        <f>SUM(H21:H31)</f>
        <v>353482.772</v>
      </c>
      <c r="I32" s="265"/>
      <c r="J32" s="47"/>
      <c r="K32" s="47"/>
      <c r="L32" s="39">
        <f>SUM(L21:L31)</f>
        <v>6.32</v>
      </c>
      <c r="M32" s="39"/>
      <c r="N32" s="261"/>
      <c r="O32" s="259"/>
      <c r="P32" s="252"/>
      <c r="Q32" s="258"/>
      <c r="R32" s="308"/>
      <c r="S32" s="14"/>
      <c r="T32" s="9"/>
      <c r="W32" s="4"/>
    </row>
    <row r="33" spans="2:23" ht="17.399999999999999" x14ac:dyDescent="0.3">
      <c r="B33" s="280"/>
      <c r="C33" s="283"/>
      <c r="D33" s="284"/>
      <c r="E33" s="284"/>
      <c r="F33" s="285"/>
      <c r="G33" s="307" t="s">
        <v>53</v>
      </c>
      <c r="H33" s="304">
        <f>H32*19%</f>
        <v>67161.726680000007</v>
      </c>
      <c r="I33" s="265"/>
      <c r="J33" s="47"/>
      <c r="K33" s="47"/>
      <c r="L33" s="39"/>
      <c r="M33" s="12"/>
      <c r="N33" s="12"/>
      <c r="O33" s="253">
        <f>SUM(O21:O29)</f>
        <v>2.6741999999999999</v>
      </c>
      <c r="P33" s="14"/>
      <c r="Q33" s="12"/>
      <c r="R33" s="238"/>
      <c r="S33" s="14"/>
      <c r="T33" s="9"/>
      <c r="W33" s="4"/>
    </row>
    <row r="34" spans="2:23" ht="18" thickBot="1" x14ac:dyDescent="0.35">
      <c r="B34" s="276"/>
      <c r="C34" s="282"/>
      <c r="D34" s="272"/>
      <c r="E34" s="272"/>
      <c r="F34" s="273"/>
      <c r="G34" s="281" t="s">
        <v>6</v>
      </c>
      <c r="H34" s="305">
        <f>H32+H33</f>
        <v>420644.49868000002</v>
      </c>
      <c r="I34" s="265"/>
      <c r="J34" s="47"/>
      <c r="K34" s="47"/>
      <c r="L34" s="39"/>
      <c r="M34" s="12"/>
      <c r="N34" s="12"/>
      <c r="O34" s="253">
        <f>O33</f>
        <v>2.6741999999999999</v>
      </c>
      <c r="P34" s="14"/>
      <c r="Q34" s="12"/>
      <c r="R34" s="238">
        <f>SUM(R21:R33)</f>
        <v>8.26</v>
      </c>
      <c r="S34" s="14"/>
      <c r="T34" s="9"/>
      <c r="W34" s="4"/>
    </row>
    <row r="35" spans="2:23" ht="17.399999999999999" x14ac:dyDescent="0.3">
      <c r="B35" s="276"/>
      <c r="C35" s="271"/>
      <c r="D35" s="272"/>
      <c r="E35" s="272"/>
      <c r="F35" s="273"/>
      <c r="I35" s="265"/>
      <c r="J35" s="47"/>
      <c r="K35" s="47"/>
      <c r="L35" s="14"/>
      <c r="M35" s="12"/>
      <c r="N35" s="12"/>
      <c r="O35" s="39">
        <f>O34*20%</f>
        <v>0.53483999999999998</v>
      </c>
      <c r="P35" s="39" t="s">
        <v>132</v>
      </c>
      <c r="Q35" s="42"/>
      <c r="R35" s="239"/>
      <c r="S35" s="14"/>
      <c r="T35" s="9"/>
      <c r="W35" s="4"/>
    </row>
    <row r="36" spans="2:23" ht="17.399999999999999" x14ac:dyDescent="0.3">
      <c r="B36" s="271"/>
      <c r="C36" s="271"/>
      <c r="D36" s="272"/>
      <c r="E36" s="272"/>
      <c r="F36" s="273"/>
      <c r="G36" s="274"/>
      <c r="H36" s="275"/>
      <c r="I36" s="265"/>
      <c r="J36" s="319"/>
      <c r="K36" s="47"/>
      <c r="L36" s="14"/>
      <c r="M36" s="12"/>
      <c r="N36" s="12"/>
      <c r="O36" s="46">
        <f>O34+O35</f>
        <v>3.2090399999999999</v>
      </c>
      <c r="P36" s="14"/>
      <c r="Q36" s="14"/>
      <c r="R36" s="237">
        <v>40</v>
      </c>
      <c r="S36" s="14"/>
      <c r="T36" s="9"/>
      <c r="W36" s="4"/>
    </row>
    <row r="37" spans="2:23" ht="17.399999999999999" x14ac:dyDescent="0.35">
      <c r="B37" s="269"/>
      <c r="C37" s="230"/>
      <c r="D37" s="230"/>
      <c r="E37" s="232"/>
      <c r="F37" s="233"/>
      <c r="G37" s="230"/>
      <c r="H37" s="275"/>
      <c r="I37" s="265"/>
      <c r="J37" s="319"/>
      <c r="K37" s="47"/>
      <c r="L37" s="14"/>
      <c r="M37" s="14"/>
      <c r="N37" s="14"/>
      <c r="O37" s="14"/>
      <c r="P37" s="14"/>
      <c r="Q37" s="14"/>
      <c r="R37" s="237"/>
      <c r="S37" s="14"/>
      <c r="T37" s="9"/>
      <c r="W37" s="4"/>
    </row>
    <row r="38" spans="2:23" ht="17.399999999999999" x14ac:dyDescent="0.35">
      <c r="B38" s="234"/>
      <c r="C38" s="235"/>
      <c r="D38" s="236"/>
      <c r="E38" s="234"/>
      <c r="F38" s="230"/>
      <c r="G38" s="230"/>
      <c r="I38" s="265"/>
      <c r="J38" s="47"/>
      <c r="K38" s="47"/>
      <c r="L38" s="39">
        <f>O36</f>
        <v>3.2090399999999999</v>
      </c>
      <c r="M38" s="12">
        <v>3500</v>
      </c>
      <c r="N38" s="12">
        <f t="shared" ref="N38:N43" si="15">L38*M38</f>
        <v>11231.64</v>
      </c>
      <c r="O38" s="14" t="s">
        <v>22</v>
      </c>
      <c r="P38" s="14" t="s">
        <v>23</v>
      </c>
      <c r="Q38" s="14"/>
      <c r="R38" s="240"/>
      <c r="S38" s="14"/>
      <c r="T38" s="9"/>
      <c r="W38" s="4"/>
    </row>
    <row r="39" spans="2:23" ht="17.399999999999999" x14ac:dyDescent="0.35">
      <c r="B39" s="230"/>
      <c r="C39" s="230"/>
      <c r="D39" s="230"/>
      <c r="E39" s="230"/>
      <c r="F39" s="230"/>
      <c r="G39" s="230"/>
      <c r="I39" s="265"/>
      <c r="J39" s="47"/>
      <c r="K39" s="47"/>
      <c r="L39" s="249">
        <v>0.7</v>
      </c>
      <c r="M39" s="12">
        <v>39000</v>
      </c>
      <c r="N39" s="12">
        <f t="shared" si="15"/>
        <v>27300</v>
      </c>
      <c r="O39" s="39" t="s">
        <v>155</v>
      </c>
      <c r="P39" s="42"/>
      <c r="Q39" s="14"/>
      <c r="R39" s="239"/>
      <c r="S39" s="14"/>
      <c r="T39" s="9"/>
      <c r="W39" s="4"/>
    </row>
    <row r="40" spans="2:23" s="230" customFormat="1" ht="17.399999999999999" x14ac:dyDescent="0.35">
      <c r="I40" s="262"/>
      <c r="J40" s="47"/>
      <c r="K40" s="250"/>
      <c r="L40" s="14"/>
      <c r="M40" s="250">
        <v>66200</v>
      </c>
      <c r="N40" s="12">
        <f t="shared" si="15"/>
        <v>0</v>
      </c>
      <c r="O40" s="39" t="s">
        <v>32</v>
      </c>
      <c r="P40" s="42"/>
      <c r="R40" s="239"/>
      <c r="S40" s="256"/>
      <c r="V40" s="231"/>
    </row>
    <row r="41" spans="2:23" s="230" customFormat="1" ht="17.399999999999999" x14ac:dyDescent="0.35">
      <c r="B41" s="24" t="s">
        <v>153</v>
      </c>
      <c r="I41" s="262"/>
      <c r="J41" s="318"/>
      <c r="K41" s="250"/>
      <c r="L41" s="14">
        <v>2</v>
      </c>
      <c r="M41" s="250">
        <v>49100</v>
      </c>
      <c r="N41" s="12">
        <f t="shared" si="15"/>
        <v>98200</v>
      </c>
      <c r="O41" s="14" t="s">
        <v>143</v>
      </c>
      <c r="P41" s="17"/>
      <c r="R41" s="237"/>
      <c r="S41" s="256"/>
      <c r="V41" s="231"/>
    </row>
    <row r="42" spans="2:23" s="230" customFormat="1" ht="17.399999999999999" x14ac:dyDescent="0.35">
      <c r="B42" s="24" t="s">
        <v>146</v>
      </c>
      <c r="C42"/>
      <c r="D42"/>
      <c r="E42"/>
      <c r="F42"/>
      <c r="I42" s="262"/>
      <c r="J42" s="318"/>
      <c r="K42" s="250"/>
      <c r="L42" s="249"/>
      <c r="M42" s="250">
        <v>800</v>
      </c>
      <c r="N42" s="12">
        <f t="shared" si="15"/>
        <v>0</v>
      </c>
      <c r="O42" s="14" t="s">
        <v>34</v>
      </c>
      <c r="P42" s="14"/>
      <c r="Q42" s="230">
        <v>1.52</v>
      </c>
      <c r="R42" s="237"/>
      <c r="S42" s="237"/>
    </row>
    <row r="43" spans="2:23" s="230" customFormat="1" ht="17.399999999999999" x14ac:dyDescent="0.35">
      <c r="B43" s="29" t="s">
        <v>127</v>
      </c>
      <c r="C43"/>
      <c r="D43"/>
      <c r="E43"/>
      <c r="F43" s="229" t="s">
        <v>16</v>
      </c>
      <c r="I43" s="303"/>
      <c r="J43" s="47"/>
      <c r="K43" s="250"/>
      <c r="L43" s="266"/>
      <c r="M43" s="12">
        <v>1500</v>
      </c>
      <c r="N43" s="12">
        <f t="shared" si="15"/>
        <v>0</v>
      </c>
      <c r="O43" s="14" t="s">
        <v>24</v>
      </c>
      <c r="P43" s="14"/>
      <c r="Q43">
        <v>2.44</v>
      </c>
      <c r="R43"/>
      <c r="S43" s="237">
        <v>1500</v>
      </c>
      <c r="W43" s="231"/>
    </row>
    <row r="44" spans="2:23" s="230" customFormat="1" ht="17.399999999999999" x14ac:dyDescent="0.35">
      <c r="I44" s="230" t="s">
        <v>157</v>
      </c>
      <c r="J44" s="47"/>
      <c r="K44" s="250"/>
      <c r="L44" s="14"/>
      <c r="M44" s="12"/>
      <c r="N44" s="12">
        <f>SUM(N38:N43)</f>
        <v>136731.64000000001</v>
      </c>
      <c r="O44" s="39" t="s">
        <v>25</v>
      </c>
      <c r="P44" s="14"/>
      <c r="Q44">
        <f>Q42*Q43</f>
        <v>3.7088000000000001</v>
      </c>
      <c r="R44"/>
      <c r="S44" s="237">
        <f>R36*S43</f>
        <v>60000</v>
      </c>
      <c r="W44" s="231"/>
    </row>
    <row r="45" spans="2:23" s="230" customFormat="1" ht="17.399999999999999" x14ac:dyDescent="0.35">
      <c r="J45" s="47">
        <v>58420</v>
      </c>
      <c r="K45" s="250"/>
      <c r="L45" s="254" t="s">
        <v>35</v>
      </c>
      <c r="M45" s="12"/>
      <c r="N45" s="255">
        <f>N44*2.3</f>
        <v>314482.772</v>
      </c>
      <c r="O45" s="14" t="s">
        <v>142</v>
      </c>
      <c r="P45" s="14"/>
      <c r="Q45" s="46">
        <f>O34/Q44</f>
        <v>0.721041846419327</v>
      </c>
      <c r="R45"/>
      <c r="S45" s="257" t="e">
        <f>S44/#REF!</f>
        <v>#REF!</v>
      </c>
    </row>
    <row r="46" spans="2:23" s="230" customFormat="1" ht="17.399999999999999" x14ac:dyDescent="0.35">
      <c r="G46"/>
      <c r="H46" s="260"/>
      <c r="I46" s="260"/>
      <c r="J46" s="47">
        <f>J45/1.19</f>
        <v>49092.436974789918</v>
      </c>
      <c r="K46" s="250"/>
      <c r="L46" s="14"/>
      <c r="M46" s="12"/>
      <c r="N46" s="12">
        <f>N45/O34</f>
        <v>117598.82282551791</v>
      </c>
      <c r="O46" s="45" t="s">
        <v>26</v>
      </c>
      <c r="P46" s="14"/>
      <c r="Q46" s="14"/>
      <c r="R46"/>
      <c r="S46" s="237"/>
    </row>
    <row r="47" spans="2:23" s="230" customFormat="1" ht="17.399999999999999" x14ac:dyDescent="0.35">
      <c r="G47"/>
      <c r="J47" s="47"/>
      <c r="K47" s="250"/>
      <c r="L47" s="13"/>
      <c r="M47" s="14"/>
      <c r="N47" s="17">
        <f>N45/N44</f>
        <v>2.2999999999999998</v>
      </c>
      <c r="O47" s="15"/>
      <c r="P47"/>
      <c r="Q47"/>
      <c r="R47"/>
      <c r="S47" s="237"/>
    </row>
    <row r="48" spans="2:23" s="230" customFormat="1" ht="17.399999999999999" x14ac:dyDescent="0.35">
      <c r="G48" s="23"/>
      <c r="J48" s="47"/>
      <c r="K48" s="12"/>
      <c r="S48" s="237"/>
    </row>
    <row r="49" spans="2:19" s="230" customFormat="1" ht="17.399999999999999" x14ac:dyDescent="0.35">
      <c r="B49"/>
      <c r="C49" s="228"/>
      <c r="D49" s="22"/>
      <c r="E49" s="22"/>
      <c r="F49" s="21"/>
      <c r="G49" s="23"/>
      <c r="J49" s="47"/>
      <c r="K49" s="12"/>
      <c r="S49" s="237">
        <v>1.83</v>
      </c>
    </row>
    <row r="50" spans="2:19" ht="14.4" customHeight="1" x14ac:dyDescent="0.3">
      <c r="J50" s="47"/>
      <c r="K50" s="12"/>
      <c r="S50">
        <v>2.5</v>
      </c>
    </row>
    <row r="51" spans="2:19" x14ac:dyDescent="0.3">
      <c r="J51" s="47"/>
      <c r="K51" s="250"/>
      <c r="S51">
        <f>S49*S50</f>
        <v>4.5750000000000002</v>
      </c>
    </row>
    <row r="52" spans="2:19" x14ac:dyDescent="0.3">
      <c r="K52" s="250"/>
      <c r="S52" s="270">
        <f>O36/S51</f>
        <v>0.70142950819672123</v>
      </c>
    </row>
    <row r="53" spans="2:19" x14ac:dyDescent="0.3">
      <c r="K53" s="250"/>
    </row>
    <row r="54" spans="2:19" ht="15" customHeight="1" x14ac:dyDescent="0.3"/>
    <row r="56" spans="2:19" x14ac:dyDescent="0.3">
      <c r="N56">
        <v>40935</v>
      </c>
      <c r="O56" t="s">
        <v>17</v>
      </c>
      <c r="P56" t="s">
        <v>28</v>
      </c>
    </row>
    <row r="58" spans="2:19" x14ac:dyDescent="0.3">
      <c r="N58" s="54"/>
      <c r="O58" s="54"/>
    </row>
    <row r="59" spans="2:19" x14ac:dyDescent="0.3">
      <c r="R59" s="18"/>
      <c r="S59" s="18"/>
    </row>
    <row r="60" spans="2:19" x14ac:dyDescent="0.3">
      <c r="R60" s="18"/>
      <c r="S60" s="18"/>
    </row>
    <row r="61" spans="2:19" x14ac:dyDescent="0.3">
      <c r="R61" s="18"/>
      <c r="S61" s="18"/>
    </row>
    <row r="62" spans="2:19" x14ac:dyDescent="0.3">
      <c r="R62" s="18"/>
      <c r="S62" s="18"/>
    </row>
    <row r="63" spans="2:19" x14ac:dyDescent="0.3">
      <c r="R63" s="18"/>
      <c r="S63" s="18"/>
    </row>
    <row r="64" spans="2:19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70" spans="14:19" x14ac:dyDescent="0.3">
      <c r="N70" s="43"/>
    </row>
    <row r="71" spans="14:19" x14ac:dyDescent="0.3">
      <c r="N71" s="43"/>
    </row>
    <row r="72" spans="14:19" x14ac:dyDescent="0.3">
      <c r="N72" s="6"/>
    </row>
    <row r="73" spans="14:19" x14ac:dyDescent="0.3">
      <c r="N73" s="6"/>
    </row>
    <row r="81" spans="3:3" x14ac:dyDescent="0.3">
      <c r="C81" t="s">
        <v>150</v>
      </c>
    </row>
    <row r="82" spans="3:3" x14ac:dyDescent="0.3">
      <c r="C82" t="s">
        <v>149</v>
      </c>
    </row>
    <row r="85" spans="3:3" x14ac:dyDescent="0.3">
      <c r="C85" t="s">
        <v>149</v>
      </c>
    </row>
    <row r="162" spans="3:3" x14ac:dyDescent="0.3">
      <c r="C162" t="s">
        <v>149</v>
      </c>
    </row>
    <row r="163" spans="3:3" x14ac:dyDescent="0.3">
      <c r="C163" t="s">
        <v>151</v>
      </c>
    </row>
    <row r="164" spans="3:3" x14ac:dyDescent="0.3">
      <c r="C164" t="s">
        <v>152</v>
      </c>
    </row>
    <row r="589" spans="3:3" x14ac:dyDescent="0.3">
      <c r="C589" t="s">
        <v>149</v>
      </c>
    </row>
  </sheetData>
  <mergeCells count="2">
    <mergeCell ref="F17:H17"/>
    <mergeCell ref="B19:H19"/>
  </mergeCells>
  <phoneticPr fontId="34" type="noConversion"/>
  <hyperlinks>
    <hyperlink ref="F4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45533</v>
      </c>
    </row>
    <row r="6" spans="2:31" ht="16.2" thickBot="1" x14ac:dyDescent="0.35">
      <c r="B6" s="140" t="s">
        <v>2</v>
      </c>
      <c r="C6" s="139" t="str">
        <f>'2229'!C10</f>
        <v>ROBERTO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11085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-40113.219366787438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'2229'!H32</f>
        <v>353482.772</v>
      </c>
      <c r="E11" s="132">
        <f>D11*0.19</f>
        <v>67161.726680000007</v>
      </c>
      <c r="F11" s="131">
        <f>E11+D11</f>
        <v>420644.49868000002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65876.780633212562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68365.730787439621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47876.780633212562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285117.04121256038</v>
      </c>
      <c r="E13" s="221">
        <f>(D11/D12)-1</f>
        <v>4.1704672491403105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38876.780633212562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-123.21936678743805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112803.45579927537</v>
      </c>
      <c r="F15" s="216">
        <f>E15-D12</f>
        <v>44437.725011835748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-123.21936678743805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39876.780633212562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'2229'!N40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'2229'!N39</f>
        <v>27300</v>
      </c>
      <c r="E19" s="123">
        <f>D19*0.19</f>
        <v>5187</v>
      </c>
      <c r="F19" s="120">
        <f>SUM(D19:E19)</f>
        <v>32487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'2229'!N38</f>
        <v>11231.64</v>
      </c>
      <c r="E20" s="121">
        <f>D20*0.19</f>
        <v>2134.0115999999998</v>
      </c>
      <c r="F20" s="120">
        <f>SUM(D20:E20)</f>
        <v>13365.651599999999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38531.64</v>
      </c>
      <c r="E21" s="116">
        <f>SUM(E18:E20)</f>
        <v>7321.0115999999998</v>
      </c>
      <c r="F21" s="115">
        <f>SUM(F18:F20)</f>
        <v>45852.651599999997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59840.715080000009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353482.772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38531.64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285117.04121256038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285117.04121256038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2024-08-30T13:37:39Z</cp:lastPrinted>
  <dcterms:created xsi:type="dcterms:W3CDTF">2013-03-18T13:35:42Z</dcterms:created>
  <dcterms:modified xsi:type="dcterms:W3CDTF">2024-09-03T19:18:35Z</dcterms:modified>
</cp:coreProperties>
</file>