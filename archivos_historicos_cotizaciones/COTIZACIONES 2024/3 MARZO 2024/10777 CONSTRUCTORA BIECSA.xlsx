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209552C4-C09C-4D1B-BB24-23A12BD93F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M22" i="1"/>
  <c r="K22" i="1"/>
  <c r="K21" i="1"/>
  <c r="J39" i="1" l="1"/>
  <c r="L22" i="1" l="1"/>
  <c r="N22" i="1" l="1"/>
  <c r="O22" i="1" s="1"/>
  <c r="L21" i="1" l="1"/>
  <c r="L25" i="1" s="1"/>
  <c r="M21" i="1"/>
  <c r="N21" i="1" l="1"/>
  <c r="O21" i="1" s="1"/>
  <c r="O26" i="1" s="1"/>
  <c r="R21" i="1"/>
  <c r="N32" i="1"/>
  <c r="O27" i="1" l="1"/>
  <c r="S44" i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P21" i="1"/>
  <c r="F15" i="3"/>
  <c r="Q22" i="1" l="1"/>
  <c r="Q21" i="1"/>
  <c r="H21" i="1" s="1"/>
  <c r="R27" i="1"/>
  <c r="H25" i="1" l="1"/>
  <c r="K15" i="1" s="1"/>
  <c r="H26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<sst xmlns="http://schemas.openxmlformats.org/spreadsheetml/2006/main" count="223" uniqueCount="167">
  <si>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</si>
  <si>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</si>
  <si>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</si>
  <si>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</si>
  <si>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</si>
  <si>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</si>
  <si>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</si>
  <si>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</si>
  <si>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</si>
  <si>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</si>
  <si>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</si>
  <si>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</si>
  <si>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</si>
  <si>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</si>
  <si>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</si>
  <si>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</si>
  <si>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</si>
  <si>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</si>
  <si>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</si>
  <si>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</si>
  <si>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</si>
  <si>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</si>
  <si>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</si>
  <si>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</si>
  <si>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</si>
  <si>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</si>
  <si>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</si>
  <si>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</si>
  <si>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</si>
  <si>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</si>
  <si>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</si>
  <si>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</si>
  <si>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</si>
  <si>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</si>
  <si>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</si>
  <si>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</si>
  <si>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</si>
  <si>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</si>
  <si>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</si>
  <si>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</si>
  <si>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</si>
  <si>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</si>
  <si>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</si>
  <si>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</si>
  <si>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</si>
  <si>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</si>
  <si>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</si>
  <si>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</si>
  <si>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</si>
  <si>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</si>
  <si>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</si>
  <si>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</si>
  <si>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</si>
  <si>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</si>
  <si>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</si>
  <si>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</si>
  <si>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</si>
  <si>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</si>
  <si>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</si>
  <si>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</si>
  <si>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</si>
  <si>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</si>
  <si>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</si>
  <si>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</si>
  <si>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</si>
  <si>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</si>
  <si>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</si>
  <si>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</si>
  <si>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</si>
  <si>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</si>
  <si>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</si>
  <si>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</si>
  <si>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</si>
  <si>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</si>
  <si>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</si>
  <si>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</si>
  <si>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</si>
  <si>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</si>
  <si>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</si>
  <si>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</si>
  <si>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</si>
  <si>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</si>
  <si>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</si>
  <si>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</si>
  <si>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</si>
  <si>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</si>
  <si>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</si>
  <si>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</si>
  <si>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</si>
  <si>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</si>
  <si>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</si>
  <si>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</si>
  <si>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</si>
  <si>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</si>
  <si>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</si>
  <si>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</si>
  <si>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</si>
  <si>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</si>
  <si>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</si>
  <si>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</si>
  <si>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</si>
  <si>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</si>
  <si>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</si>
  <si>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</si>
  <si>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</si>
  <si>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</si>
  <si>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</si>
  <si>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</si>
  <si>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</si>
  <si>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</si>
  <si>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</si>
  <si>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</si>
  <si>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</si>
  <si>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</si>
  <si>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</si>
  <si>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</si>
  <si>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</si>
  <si>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</si>
  <si>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</si>
  <si>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</si>
  <si>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</si>
  <si>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</si>
  <si>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</si>
  <si>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</si>
  <si>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</si>
  <si>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</si>
  <si>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</si>
  <si>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</si>
  <si>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</si>
  <si>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</si>
  <si>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</si>
  <si>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</si>
  <si>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</si>
  <si>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</si>
  <si>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</si>
  <si>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</si>
  <si>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</si>
  <si>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</si>
  <si>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</si>
  <si>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</si>
  <si>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</si>
  <si>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</si>
  <si>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</si>
  <si>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</si>
  <si>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</si>
  <si>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</si>
  <si>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</si>
  <si>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</si>
  <si>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</si>
  <si>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</si>
  <si>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</si>
  <si>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</si>
  <si>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</si>
  <si>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</si>
  <si>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</si>
  <si>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</si>
  <si>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</si>
  <si>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</si>
  <si>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SERVICIO INSTALACION</t>
  </si>
  <si>
    <t>CONSTRUCTORA BIECSA LTDA</t>
  </si>
  <si>
    <t>76.110.601-5</t>
  </si>
  <si>
    <t>FRANCISCO ZURITA</t>
  </si>
  <si>
    <t>+56956629251</t>
  </si>
  <si>
    <t>10 DIAS HABILES</t>
  </si>
  <si>
    <t>ENCHAPE RECTO 1 CARA</t>
  </si>
  <si>
    <t>POR DEFINIR</t>
  </si>
  <si>
    <t>N° 10777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</si>
</sst>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VALOR POR MT2,  COLOR X DEFINIR,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20MM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5" zoomScale="98" zoomScaleNormal="98" workbookViewId="0">
      <selection activeCell="J11" sqref="J11"/>
    </sheetView>
  </sheetViews>
  <sheetFormatPr baseColWidth="10" defaultRowHeight="14.4" x14ac:dyDescent="0.3"/>
  <cols>
    <col min="1" max="1" width="6" customWidth="1"/>
    <col min="2" max="2" width="10.5546875" customWidth="1"/>
    <col min="3" max="3" width="27.4414062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45373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 t="s">
        <v>160</v>
      </c>
      <c r="F11" t="s">
        <v>125</v>
      </c>
      <c r="G11" s="289" t="s">
        <v>163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161</v>
      </c>
      <c r="D13" s="247"/>
      <c r="E13" s="247"/>
      <c r="F13" s="247"/>
      <c r="G13" s="278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162</v>
      </c>
      <c r="D15" s="295"/>
      <c r="E15" s="247"/>
      <c r="F15" s="247" t="s">
        <v>136</v>
      </c>
      <c r="G15" s="296" t="s">
        <v>137</v>
      </c>
      <c r="H15" s="248"/>
      <c r="K15" s="18">
        <f>H25/L13</f>
        <v>116878.00000000001</v>
      </c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9" t="s">
        <v>155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149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:K22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 t="e">
        <f>N39</f>
        <v>#DIV/0!</v>
      </c>
      <c r="Q20" s="258">
        <v>30000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32.979999999999997</v>
      </c>
      <c r="C21" s="312" t="s">
        <v>164</v>
      </c>
      <c r="D21" s="313"/>
      <c r="E21" s="313"/>
      <c r="F21" s="312" t="s">
        <v>165</v>
      </c>
      <c r="G21" s="314">
        <v>81878</v>
      </c>
      <c r="H21" s="315">
        <f t="shared" ref="H21" si="1">G21*B21</f>
        <v>2700336.44</v>
      </c>
      <c r="I21" s="265"/>
      <c r="J21" s="47"/>
      <c r="K21" s="325">
        <f t="shared" si="0"/>
        <v>32.979999999999997</v>
      </c>
      <c r="L21" s="326">
        <f t="shared" ref="L21:M22" si="2">D21+L$19</f>
        <v>0.05</v>
      </c>
      <c r="M21" s="326">
        <f t="shared" si="2"/>
        <v>0</v>
      </c>
      <c r="N21" s="261">
        <f>L21*M21</f>
        <v>0</v>
      </c>
      <c r="O21" s="259">
        <f>N21*K21</f>
        <v>0</v>
      </c>
      <c r="P21" s="252" t="e">
        <f>P$20*N21</f>
        <v>#DIV/0!</v>
      </c>
      <c r="Q21" s="258" t="e">
        <f>P21+Q$20</f>
        <v>#DIV/0!</v>
      </c>
      <c r="R21" s="308">
        <f>K21*L21</f>
        <v>1.649</v>
      </c>
      <c r="S21" s="14"/>
      <c r="T21" s="9"/>
      <c r="W21" s="4"/>
    </row>
    <row r="22" spans="2:24" ht="17.399999999999999" x14ac:dyDescent="0.3">
      <c r="B22" s="323">
        <v>32.979999999999997</v>
      </c>
      <c r="C22" s="312" t="s">
        <v>158</v>
      </c>
      <c r="D22" s="313">
        <v>2.16</v>
      </c>
      <c r="E22" s="313"/>
      <c r="F22" s="312" t="s">
        <v>165</v>
      </c>
      <c r="G22" s="314">
        <v>35000</v>
      </c>
      <c r="H22" s="315">
        <f t="shared" ref="H22" si="3">G22*B22</f>
        <v>1154300</v>
      </c>
      <c r="I22" s="265"/>
      <c r="K22" s="327">
        <f t="shared" si="0"/>
        <v>32.979999999999997</v>
      </c>
      <c r="L22" s="328">
        <f t="shared" si="2"/>
        <v>2.21</v>
      </c>
      <c r="M22" s="328">
        <f t="shared" si="2"/>
        <v>0</v>
      </c>
      <c r="N22" s="261">
        <f t="shared" ref="N22" si="4">L22*M22</f>
        <v>0</v>
      </c>
      <c r="O22" s="259">
        <f t="shared" ref="O22" si="5">N22*K22</f>
        <v>0</v>
      </c>
      <c r="P22" s="252" t="e">
        <f t="shared" ref="P22" si="6">P$20*N22</f>
        <v>#DIV/0!</v>
      </c>
      <c r="Q22" s="258" t="e">
        <f t="shared" ref="Q22" si="7">P22+Q$20</f>
        <v>#DIV/0!</v>
      </c>
      <c r="R22" s="308"/>
      <c r="S22" s="14"/>
      <c r="T22" s="9"/>
      <c r="W22" s="4"/>
    </row>
    <row r="23" spans="2:24" ht="17.399999999999999" x14ac:dyDescent="0.3">
      <c r="B23" s="341"/>
      <c r="C23" s="341"/>
      <c r="D23" s="342"/>
      <c r="E23" s="342"/>
      <c r="F23" s="341"/>
      <c r="G23" s="318"/>
      <c r="H23" s="318"/>
      <c r="I23" s="265"/>
      <c r="K23" s="327"/>
      <c r="L23" s="328"/>
      <c r="M23" s="328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30</v>
      </c>
      <c r="H25" s="310">
        <f>SUM(H21:H24)</f>
        <v>3854636.44</v>
      </c>
      <c r="I25" s="265"/>
      <c r="J25" s="47"/>
      <c r="K25" s="47"/>
      <c r="L25" s="39">
        <f>SUM(L21:L24)</f>
        <v>2.2599999999999998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H25*0.19</f>
        <v>732380.92359999998</v>
      </c>
      <c r="I26" s="265"/>
      <c r="J26" s="47"/>
      <c r="K26" s="47"/>
      <c r="L26" s="39"/>
      <c r="M26" s="12"/>
      <c r="N26" s="12"/>
      <c r="O26" s="253">
        <f>SUM(O21:O22)</f>
        <v>0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4587017.3635999998</v>
      </c>
      <c r="I27" s="265"/>
      <c r="J27" s="47"/>
      <c r="K27" s="47"/>
      <c r="L27" s="39"/>
      <c r="M27" s="12"/>
      <c r="N27" s="12"/>
      <c r="O27" s="253">
        <f>O26</f>
        <v>0</v>
      </c>
      <c r="P27" s="14"/>
      <c r="Q27" s="12"/>
      <c r="R27" s="238">
        <f>SUM(R21:R26)</f>
        <v>1.649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/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20"/>
      <c r="K29" s="47"/>
      <c r="L29" s="14"/>
      <c r="M29" s="12"/>
      <c r="N29" s="12"/>
      <c r="O29" s="46">
        <f>O27+O28</f>
        <v>0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20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0</v>
      </c>
      <c r="M31" s="12">
        <v>3500</v>
      </c>
      <c r="N31" s="12">
        <f t="shared" ref="N31:N36" si="8">L31*M31</f>
        <v>0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7</v>
      </c>
      <c r="M32" s="12">
        <v>30000</v>
      </c>
      <c r="N32" s="12">
        <f t="shared" si="8"/>
        <v>210000</v>
      </c>
      <c r="O32" s="39" t="s">
        <v>156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150000</v>
      </c>
      <c r="N33" s="12">
        <f t="shared" si="8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9"/>
      <c r="K34" s="250"/>
      <c r="L34" s="14">
        <v>13</v>
      </c>
      <c r="M34" s="250">
        <v>57487</v>
      </c>
      <c r="N34" s="12">
        <f t="shared" si="8"/>
        <v>747331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9"/>
      <c r="K35" s="250"/>
      <c r="L35" s="249"/>
      <c r="M35" s="250">
        <v>800</v>
      </c>
      <c r="N35" s="12">
        <f t="shared" si="8"/>
        <v>0</v>
      </c>
      <c r="O35" s="14" t="s">
        <v>34</v>
      </c>
      <c r="P35" s="14"/>
      <c r="Q35" s="230">
        <v>1.83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/>
      <c r="M36" s="12">
        <v>1500</v>
      </c>
      <c r="N36" s="12">
        <f t="shared" si="8"/>
        <v>0</v>
      </c>
      <c r="O36" s="14" t="s">
        <v>24</v>
      </c>
      <c r="P36" s="14"/>
      <c r="Q36">
        <v>3.66</v>
      </c>
      <c r="R36"/>
      <c r="S36" s="237">
        <v>1500</v>
      </c>
      <c r="W36" s="231"/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957331</v>
      </c>
      <c r="O37" s="39" t="s">
        <v>25</v>
      </c>
      <c r="P37" s="14"/>
      <c r="Q37">
        <f>Q35*Q36</f>
        <v>6.6978000000000009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68410</v>
      </c>
      <c r="K38" s="250"/>
      <c r="L38" s="254" t="s">
        <v>35</v>
      </c>
      <c r="M38" s="12"/>
      <c r="N38" s="255">
        <f>N37*2.4</f>
        <v>2297594.4</v>
      </c>
      <c r="O38" s="14" t="s">
        <v>142</v>
      </c>
      <c r="P38" s="14"/>
      <c r="Q38" s="46">
        <f>O27/Q37</f>
        <v>0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57487.394957983197</v>
      </c>
      <c r="K39" s="250"/>
      <c r="L39" s="14"/>
      <c r="M39" s="12"/>
      <c r="N39" s="12" t="e">
        <f>N38/O27</f>
        <v>#DIV/0!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2.4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45373</v>
      </c>
    </row>
    <row r="6" spans="2:31" ht="16.2" thickBot="1" x14ac:dyDescent="0.35">
      <c r="B6" s="140" t="s">
        <v>2</v>
      </c>
      <c r="C6" s="139" t="str">
        <f>'2229'!C10</f>
        <v>CONSTRUCTORA BIECSA LTDA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100</v>
      </c>
      <c r="I7" s="336"/>
      <c r="J7" s="336"/>
      <c r="K7" s="337"/>
      <c r="N7" s="75"/>
      <c r="O7" s="334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10777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4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-576485.03170012077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3854636.44</v>
      </c>
      <c r="E11" s="132">
        <f>D11*0.19</f>
        <v>732380.92359999998</v>
      </c>
      <c r="F11" s="131">
        <f>E11+D11</f>
        <v>4587017.3635999998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-470495.03170012077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239834.09078743961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-488495.03170012077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3614802.3492125603</v>
      </c>
      <c r="E13" s="221">
        <f>(D11/D12)-1</f>
        <v>15.072095619701916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-497495.03170012077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-536495.03170012077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395726.24979927531</v>
      </c>
      <c r="F15" s="216">
        <f>E15-D12</f>
        <v>155892.1590118357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-536495.03170012077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-496495.03170012077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210000</v>
      </c>
      <c r="E19" s="123">
        <f>D19*0.19</f>
        <v>39900</v>
      </c>
      <c r="F19" s="120">
        <f>SUM(D19:E19)</f>
        <v>249900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210000</v>
      </c>
      <c r="E21" s="116">
        <f>SUM(E18:E20)</f>
        <v>39900</v>
      </c>
      <c r="F21" s="115">
        <f>SUM(F18:F20)</f>
        <v>249900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692480.92359999998</v>
      </c>
    </row>
    <row r="41" spans="2:16" ht="15" thickBot="1" x14ac:dyDescent="0.35">
      <c r="H41" s="338" t="s">
        <v>62</v>
      </c>
      <c r="I41" s="339"/>
      <c r="J41" s="339"/>
      <c r="K41" s="339"/>
      <c r="L41" s="339"/>
      <c r="M41" s="340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3854636.44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210000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3614802.3492125603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3614802.3492125603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2024-03-22T17:33:34Z</cp:lastPrinted>
  <dcterms:created xsi:type="dcterms:W3CDTF">2013-03-18T13:35:42Z</dcterms:created>
  <dcterms:modified xsi:type="dcterms:W3CDTF">2024-03-22T19:08:50Z</dcterms:modified>
</cp:coreProperties>
</file>