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36BFAA3E-1D4D-4590-AC5A-E39B45F77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U25" i="1"/>
  <c r="T24" i="1"/>
  <c r="M24" i="1"/>
  <c r="N24" i="1"/>
  <c r="O24" i="1"/>
  <c r="P24" i="1"/>
  <c r="Q24" i="1" s="1"/>
  <c r="M25" i="1"/>
  <c r="N25" i="1"/>
  <c r="P25" i="1" s="1"/>
  <c r="O25" i="1"/>
  <c r="M26" i="1"/>
  <c r="N26" i="1"/>
  <c r="P26" i="1" s="1"/>
  <c r="O26" i="1"/>
  <c r="O22" i="1"/>
  <c r="O23" i="1"/>
  <c r="O21" i="1"/>
  <c r="M23" i="1"/>
  <c r="N23" i="1"/>
  <c r="M22" i="1"/>
  <c r="U22" i="1" s="1"/>
  <c r="N22" i="1"/>
  <c r="M21" i="1"/>
  <c r="L43" i="1"/>
  <c r="N21" i="1"/>
  <c r="Q25" i="1" l="1"/>
  <c r="Q26" i="1"/>
  <c r="U23" i="1"/>
  <c r="T21" i="1"/>
  <c r="T22" i="1"/>
  <c r="U21" i="1"/>
  <c r="U30" i="1" s="1"/>
  <c r="P23" i="1"/>
  <c r="Q23" i="1" s="1"/>
  <c r="T23" i="1"/>
  <c r="P22" i="1"/>
  <c r="Q22" i="1" s="1"/>
  <c r="N28" i="1"/>
  <c r="P21" i="1"/>
  <c r="Q21" i="1" s="1"/>
  <c r="W36" i="1"/>
  <c r="W37" i="1" s="1"/>
  <c r="T30" i="1" l="1"/>
  <c r="T31" i="1" s="1"/>
  <c r="T32" i="1" s="1"/>
  <c r="T33" i="1" s="1"/>
  <c r="P35" i="1"/>
  <c r="Q30" i="1" l="1"/>
  <c r="O20" i="1"/>
  <c r="M20" i="1"/>
  <c r="Q31" i="1" l="1"/>
  <c r="Q32" i="1" s="1"/>
  <c r="P36" i="1"/>
  <c r="S40" i="1"/>
  <c r="N34" i="1" l="1"/>
  <c r="P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9" i="1"/>
  <c r="P38" i="1"/>
  <c r="F18" i="3" l="1"/>
  <c r="P34" i="1" l="1"/>
  <c r="S41" i="1"/>
  <c r="P40" i="1" l="1"/>
  <c r="P41" i="1" s="1"/>
  <c r="D20" i="3"/>
  <c r="E20" i="3" s="1"/>
  <c r="E21" i="3" s="1"/>
  <c r="P43" i="1" l="1"/>
  <c r="D21" i="3"/>
  <c r="M43" i="3" s="1"/>
  <c r="D12" i="3" s="1"/>
  <c r="F20" i="3"/>
  <c r="F21" i="3" s="1"/>
  <c r="P42" i="1" l="1"/>
  <c r="R20" i="1" s="1"/>
  <c r="E15" i="3"/>
  <c r="R23" i="1" l="1"/>
  <c r="S23" i="1" s="1"/>
  <c r="I23" i="1" s="1"/>
  <c r="J23" i="1" s="1"/>
  <c r="R24" i="1"/>
  <c r="S24" i="1" s="1"/>
  <c r="I24" i="1" s="1"/>
  <c r="J24" i="1" s="1"/>
  <c r="R25" i="1"/>
  <c r="S25" i="1" s="1"/>
  <c r="I25" i="1" s="1"/>
  <c r="J25" i="1" s="1"/>
  <c r="R26" i="1"/>
  <c r="S26" i="1" s="1"/>
  <c r="I26" i="1" s="1"/>
  <c r="J26" i="1" s="1"/>
  <c r="R22" i="1"/>
  <c r="S22" i="1" s="1"/>
  <c r="R21" i="1"/>
  <c r="F15" i="3"/>
  <c r="I22" i="1" l="1"/>
  <c r="J22" i="1" s="1"/>
  <c r="S21" i="1"/>
  <c r="I21" i="1" l="1"/>
  <c r="J21" i="1" s="1"/>
  <c r="J28" i="1" s="1"/>
  <c r="J29" i="1" l="1"/>
  <c r="J30" i="1" s="1"/>
  <c r="D11" i="3"/>
  <c r="X9" i="3" s="1"/>
  <c r="X15" i="3" s="1"/>
  <c r="X14" i="3" l="1"/>
  <c r="X11" i="3"/>
  <c r="X16" i="3"/>
  <c r="E11" i="3"/>
  <c r="D40" i="3" s="1"/>
  <c r="E13" i="3"/>
  <c r="X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<sst xmlns="http://schemas.openxmlformats.org/spreadsheetml/2006/main" count="250" uniqueCount="179">
  <si>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</si>
  <si>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</si>
  <si>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</si>
  <si>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</si>
  <si>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</si>
  <si>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</si>
  <si>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</si>
  <si>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</si>
  <si>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</si>
  <si>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</si>
  <si>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</si>
  <si>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</si>
  <si>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</si>
  <si>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</si>
  <si>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</si>
  <si>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</si>
  <si>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</si>
  <si>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</si>
  <si>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</si>
  <si>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</si>
  <si>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</si>
  <si>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</si>
  <si>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</si>
  <si>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</si>
  <si>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</si>
  <si>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</si>
  <si>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</si>
  <si>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</si>
  <si>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</si>
  <si>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</si>
  <si>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</si>
  <si>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</si>
  <si>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</si>
  <si>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</si>
  <si>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</si>
  <si>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</si>
  <si>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</si>
  <si>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</si>
  <si>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</si>
  <si>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</si>
  <si>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</si>
  <si>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</si>
  <si>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</si>
  <si>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</si>
  <si>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</si>
  <si>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</si>
  <si>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</si>
  <si>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</si>
  <si>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</si>
  <si>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</si>
  <si>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</si>
  <si>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</si>
  <si>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</si>
  <si>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</si>
  <si>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</si>
  <si>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</si>
  <si>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</si>
  <si>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</si>
  <si>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</si>
  <si>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</si>
  <si>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</si>
  <si>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</si>
  <si>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</si>
  <si>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</si>
  <si>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</si>
  <si>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</si>
  <si>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</si>
  <si>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</si>
  <si>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</si>
  <si>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</si>
  <si>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</si>
  <si>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</si>
  <si>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</si>
  <si>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</si>
  <si>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</si>
  <si>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</si>
  <si>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</si>
  <si>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</si>
  <si>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</si>
  <si>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</si>
  <si>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</si>
  <si>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</si>
  <si>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</si>
  <si>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</si>
  <si>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</si>
  <si>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</si>
  <si>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</si>
  <si>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</si>
  <si>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</si>
  <si>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</si>
  <si>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</si>
  <si>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</si>
  <si>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</si>
  <si>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</si>
  <si>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</si>
  <si>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</si>
  <si>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</si>
  <si>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</si>
  <si>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</si>
  <si>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</si>
  <si>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</si>
  <si>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</si>
  <si>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</si>
  <si>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</si>
  <si>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</si>
  <si>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</si>
  <si>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</si>
  <si>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</si>
  <si>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</si>
  <si>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</si>
  <si>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</si>
  <si>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</si>
  <si>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</si>
  <si>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</si>
  <si>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</si>
  <si>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</si>
  <si>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</si>
  <si>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</si>
  <si>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</si>
  <si>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</si>
  <si>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</si>
  <si>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</si>
  <si>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</si>
  <si>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</si>
  <si>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</si>
  <si>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</si>
  <si>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</si>
  <si>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</si>
  <si>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</si>
  <si>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</si>
  <si>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</si>
  <si>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</si>
  <si>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</si>
  <si>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</si>
  <si>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</si>
  <si>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</si>
  <si>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</si>
  <si>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</si>
  <si>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</si>
  <si>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</si>
  <si>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</si>
  <si>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</si>
  <si>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</si>
  <si>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</si>
  <si>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</si>
  <si>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</si>
  <si>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</si>
  <si>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</si>
  <si>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</si>
  <si>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</si>
  <si>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</si>
  <si>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</si>
  <si>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</si>
  <si>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</si>
  <si>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</si>
  <si>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</si>
  <si>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</si>
  <si>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</si>
  <si>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</si>
  <si>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</si>
  <si>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</si>
  <si>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</si>
  <si>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</si>
  <si>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</si>
  <si>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</si>
  <si>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</si>
  <si>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</si>
  <si>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DURACION COTIZACION: 5 DIAS                            FRANCO DONOSO</t>
  </si>
  <si>
    <t>N° 10669</t>
  </si>
  <si>
    <t>ALEJANDRO SALINAS</t>
  </si>
  <si>
    <t>  '+56 9 9483 1373</t>
  </si>
  <si>
    <t>5 DIAS HABILES</t>
  </si>
  <si>
    <t>ENCHAPE RECTO 2 CARAS</t>
  </si>
  <si>
    <t>ENCHAPE LARGO</t>
  </si>
  <si>
    <t>ENCHAPE CORTO</t>
  </si>
  <si>
    <t>X</t>
  </si>
  <si>
    <t>1 LADO</t>
  </si>
  <si>
    <t>NIEBLA 2191 MT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</si>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</sst>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 wrapText="1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32</xdr:row>
      <xdr:rowOff>26670</xdr:rowOff>
    </xdr:from>
    <xdr:to>
      <xdr:col>9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8</xdr:col>
      <xdr:colOff>222885</xdr:colOff>
      <xdr:row>34</xdr:row>
      <xdr:rowOff>154305</xdr:rowOff>
    </xdr:from>
    <xdr:to>
      <xdr:col>9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32</xdr:row>
      <xdr:rowOff>9525</xdr:rowOff>
    </xdr:from>
    <xdr:to>
      <xdr:col>7</xdr:col>
      <xdr:colOff>1747276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27</xdr:row>
      <xdr:rowOff>9525</xdr:rowOff>
    </xdr:from>
    <xdr:to>
      <xdr:col>7</xdr:col>
      <xdr:colOff>1745225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ENCHAPE CON TAPACANTO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585"/>
  <sheetViews>
    <sheetView tabSelected="1" zoomScale="93" zoomScaleNormal="93" workbookViewId="0">
      <selection activeCell="I11" sqref="I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5546875" customWidth="1"/>
    <col min="4" max="4" width="13" customWidth="1"/>
    <col min="5" max="7" width="10.5546875" customWidth="1"/>
    <col min="8" max="8" width="26.6640625" customWidth="1"/>
    <col min="9" max="9" width="14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H2" s="242" t="s">
        <v>143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H3" s="59" t="s">
        <v>139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H4" s="59" t="s">
        <v>144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H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H6" s="59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H7" s="59" t="s">
        <v>125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01" t="s">
        <v>127</v>
      </c>
      <c r="C8" s="302"/>
      <c r="D8" s="303" t="s">
        <v>168</v>
      </c>
      <c r="H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19" t="s">
        <v>163</v>
      </c>
      <c r="C10" s="279" t="s">
        <v>169</v>
      </c>
      <c r="D10" s="243"/>
      <c r="E10" s="243"/>
      <c r="F10" s="243"/>
      <c r="G10" s="243"/>
      <c r="H10" s="244" t="s">
        <v>0</v>
      </c>
      <c r="I10" s="277">
        <v>45366</v>
      </c>
      <c r="J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8" t="s">
        <v>12</v>
      </c>
      <c r="C11" s="312"/>
      <c r="H11" t="s">
        <v>124</v>
      </c>
      <c r="I11" s="289" t="s">
        <v>171</v>
      </c>
      <c r="J11" s="290"/>
      <c r="R11" s="19"/>
      <c r="S11" s="25" t="s">
        <v>19</v>
      </c>
      <c r="T11" s="19"/>
    </row>
    <row r="12" spans="2:25" ht="16.8" x14ac:dyDescent="0.4">
      <c r="B12" s="246" t="s">
        <v>146</v>
      </c>
      <c r="C12" s="312"/>
      <c r="D12" s="247"/>
      <c r="E12" s="247"/>
      <c r="F12" s="247"/>
      <c r="G12" s="247"/>
      <c r="H12" s="247" t="s">
        <v>128</v>
      </c>
      <c r="I12" s="278" t="s">
        <v>136</v>
      </c>
      <c r="J12" s="248"/>
      <c r="R12" s="19"/>
      <c r="S12" s="25"/>
      <c r="T12" s="19"/>
    </row>
    <row r="13" spans="2:25" x14ac:dyDescent="0.3">
      <c r="B13" s="246" t="s">
        <v>147</v>
      </c>
      <c r="D13" s="247"/>
      <c r="E13" s="247"/>
      <c r="F13" s="247"/>
      <c r="G13" s="247"/>
      <c r="H13" s="247"/>
      <c r="I13" s="278"/>
      <c r="J13" s="248"/>
      <c r="R13" s="19"/>
      <c r="S13" s="25"/>
      <c r="T13" s="19"/>
    </row>
    <row r="14" spans="2:25" x14ac:dyDescent="0.3">
      <c r="B14" s="288" t="s">
        <v>140</v>
      </c>
      <c r="C14" s="307"/>
      <c r="H14" s="29" t="s">
        <v>137</v>
      </c>
      <c r="I14" s="291" t="s">
        <v>178</v>
      </c>
      <c r="J14" s="290"/>
      <c r="L14" s="29"/>
      <c r="R14" s="20"/>
      <c r="S14" s="26" t="s">
        <v>18</v>
      </c>
      <c r="T14" s="20"/>
    </row>
    <row r="15" spans="2:25" ht="15.6" x14ac:dyDescent="0.3">
      <c r="B15" s="246" t="s">
        <v>4</v>
      </c>
      <c r="C15" s="328" t="s">
        <v>170</v>
      </c>
      <c r="D15" s="295"/>
      <c r="E15" s="247"/>
      <c r="F15" s="247"/>
      <c r="G15" s="247"/>
      <c r="H15" s="247" t="s">
        <v>135</v>
      </c>
      <c r="I15" s="296" t="s">
        <v>136</v>
      </c>
      <c r="J15" s="248"/>
    </row>
    <row r="16" spans="2:25" ht="16.8" x14ac:dyDescent="0.4">
      <c r="B16" s="292" t="s">
        <v>3</v>
      </c>
      <c r="C16" s="312"/>
      <c r="H16" s="293" t="s">
        <v>130</v>
      </c>
      <c r="I16" s="294" t="s">
        <v>164</v>
      </c>
      <c r="J16" s="290"/>
    </row>
    <row r="17" spans="2:26" ht="15" thickBot="1" x14ac:dyDescent="0.35">
      <c r="B17" s="297" t="s">
        <v>13</v>
      </c>
      <c r="C17" s="298" t="s">
        <v>166</v>
      </c>
      <c r="D17" s="299"/>
      <c r="E17" s="300"/>
      <c r="F17" s="300"/>
      <c r="G17" s="300"/>
      <c r="H17" s="334" t="s">
        <v>167</v>
      </c>
      <c r="I17" s="334"/>
      <c r="J17" s="335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x14ac:dyDescent="0.3">
      <c r="B19" s="336" t="s">
        <v>148</v>
      </c>
      <c r="C19" s="337"/>
      <c r="D19" s="337"/>
      <c r="E19" s="337"/>
      <c r="F19" s="337"/>
      <c r="G19" s="337"/>
      <c r="H19" s="337"/>
      <c r="I19" s="337"/>
      <c r="J19" s="338"/>
      <c r="K19" s="264"/>
      <c r="L19" s="5"/>
      <c r="M19" s="250"/>
      <c r="N19" s="14">
        <v>0.02</v>
      </c>
      <c r="O19" s="14">
        <v>0.02</v>
      </c>
      <c r="P19" s="14"/>
      <c r="Q19" s="251" t="s">
        <v>6</v>
      </c>
      <c r="R19" s="36" t="s">
        <v>21</v>
      </c>
      <c r="S19" s="37" t="s">
        <v>134</v>
      </c>
      <c r="T19" s="10" t="s">
        <v>138</v>
      </c>
      <c r="V19" s="9"/>
      <c r="W19" s="9"/>
      <c r="Y19" s="6"/>
      <c r="Z19" s="6"/>
    </row>
    <row r="20" spans="2:26" ht="35.4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33" t="s">
        <v>173</v>
      </c>
      <c r="G20" s="333" t="s">
        <v>174</v>
      </c>
      <c r="H20" s="321" t="s">
        <v>8</v>
      </c>
      <c r="I20" s="321" t="s">
        <v>5</v>
      </c>
      <c r="J20" s="322" t="s">
        <v>6</v>
      </c>
      <c r="K20" s="265"/>
      <c r="L20" s="47"/>
      <c r="M20" s="268" t="str">
        <f>B20</f>
        <v>UNIDAD</v>
      </c>
      <c r="N20" s="267" t="s">
        <v>132</v>
      </c>
      <c r="O20" s="39" t="str">
        <f t="shared" ref="O20" si="0">E20</f>
        <v>ANCHO</v>
      </c>
      <c r="P20" s="261" t="s">
        <v>133</v>
      </c>
      <c r="Q20" s="259" t="s">
        <v>17</v>
      </c>
      <c r="R20" s="252">
        <f>P42</f>
        <v>99861.471323511549</v>
      </c>
      <c r="S20" s="258">
        <v>3000</v>
      </c>
      <c r="T20" s="38"/>
      <c r="U20" s="14" t="s">
        <v>129</v>
      </c>
      <c r="V20" s="9"/>
      <c r="Y20" s="4"/>
    </row>
    <row r="21" spans="2:26" ht="18" thickBot="1" x14ac:dyDescent="0.35">
      <c r="B21" s="323">
        <v>4</v>
      </c>
      <c r="C21" s="324" t="s">
        <v>172</v>
      </c>
      <c r="D21" s="325">
        <v>0.81599999999999995</v>
      </c>
      <c r="E21" s="325">
        <v>0.28499999999999998</v>
      </c>
      <c r="F21" s="325" t="s">
        <v>175</v>
      </c>
      <c r="G21" s="325" t="s">
        <v>175</v>
      </c>
      <c r="H21" s="324" t="s">
        <v>177</v>
      </c>
      <c r="I21" s="326">
        <f>S21</f>
        <v>28462.677958068973</v>
      </c>
      <c r="J21" s="327">
        <f>I21*B21</f>
        <v>113850.71183227589</v>
      </c>
      <c r="K21" s="265"/>
      <c r="L21" s="47"/>
      <c r="M21" s="47">
        <f>B21</f>
        <v>4</v>
      </c>
      <c r="N21" s="39">
        <f t="shared" ref="N21" si="1">D21+N$19</f>
        <v>0.83599999999999997</v>
      </c>
      <c r="O21" s="39">
        <f>E21+O$19</f>
        <v>0.30499999999999999</v>
      </c>
      <c r="P21" s="261">
        <f t="shared" ref="P21" si="2">N21*O21</f>
        <v>0.25497999999999998</v>
      </c>
      <c r="Q21" s="259">
        <f t="shared" ref="Q21" si="3">P21*M21</f>
        <v>1.0199199999999999</v>
      </c>
      <c r="R21" s="252">
        <f t="shared" ref="R21" si="4">R$20*P21</f>
        <v>25462.677958068973</v>
      </c>
      <c r="S21" s="258">
        <f t="shared" ref="S21" si="5">R21+S$20</f>
        <v>28462.677958068973</v>
      </c>
      <c r="T21" s="309">
        <f>N21*M21*2</f>
        <v>6.6879999999999997</v>
      </c>
      <c r="U21" s="46">
        <f>O21*M21*2</f>
        <v>2.44</v>
      </c>
      <c r="V21" s="9"/>
      <c r="Y21" s="4"/>
    </row>
    <row r="22" spans="2:26" ht="18" thickBot="1" x14ac:dyDescent="0.35">
      <c r="B22" s="329">
        <v>3</v>
      </c>
      <c r="C22" s="324" t="s">
        <v>172</v>
      </c>
      <c r="D22" s="330">
        <v>0.63</v>
      </c>
      <c r="E22" s="330">
        <v>0.52</v>
      </c>
      <c r="F22" s="330" t="s">
        <v>175</v>
      </c>
      <c r="G22" s="330" t="s">
        <v>176</v>
      </c>
      <c r="H22" s="324" t="s">
        <v>177</v>
      </c>
      <c r="I22" s="331">
        <f>S22</f>
        <v>38051.376434552556</v>
      </c>
      <c r="J22" s="332">
        <f>I22*B22</f>
        <v>114154.12930365767</v>
      </c>
      <c r="K22" s="265"/>
      <c r="L22" s="47"/>
      <c r="M22" s="47">
        <f t="shared" ref="M22" si="6">B22</f>
        <v>3</v>
      </c>
      <c r="N22" s="39">
        <f t="shared" ref="N22:O23" si="7">D22+N$19</f>
        <v>0.65</v>
      </c>
      <c r="O22" s="39">
        <f t="shared" si="7"/>
        <v>0.54</v>
      </c>
      <c r="P22" s="261">
        <f t="shared" ref="P22" si="8">N22*O22</f>
        <v>0.35100000000000003</v>
      </c>
      <c r="Q22" s="259">
        <f t="shared" ref="Q22" si="9">P22*M22</f>
        <v>1.0530000000000002</v>
      </c>
      <c r="R22" s="252">
        <f t="shared" ref="R22" si="10">R$20*P22</f>
        <v>35051.376434552556</v>
      </c>
      <c r="S22" s="258">
        <f t="shared" ref="S22" si="11">R22+S$20</f>
        <v>38051.376434552556</v>
      </c>
      <c r="T22" s="309">
        <f>N22*M22*2</f>
        <v>3.9000000000000004</v>
      </c>
      <c r="U22" s="46">
        <f>O22*M22</f>
        <v>1.62</v>
      </c>
      <c r="V22" s="9"/>
      <c r="Y22" s="4"/>
    </row>
    <row r="23" spans="2:26" ht="18" thickBot="1" x14ac:dyDescent="0.35">
      <c r="B23" s="329">
        <v>1</v>
      </c>
      <c r="C23" s="324" t="s">
        <v>172</v>
      </c>
      <c r="D23" s="330">
        <v>1.625</v>
      </c>
      <c r="E23" s="330">
        <v>0.52</v>
      </c>
      <c r="F23" s="330" t="s">
        <v>175</v>
      </c>
      <c r="G23" s="330" t="s">
        <v>175</v>
      </c>
      <c r="H23" s="324" t="s">
        <v>177</v>
      </c>
      <c r="I23" s="331">
        <f>S23</f>
        <v>91706.944976675324</v>
      </c>
      <c r="J23" s="332">
        <f>I23*B23</f>
        <v>91706.944976675324</v>
      </c>
      <c r="K23" s="265"/>
      <c r="L23" s="47"/>
      <c r="M23" s="47">
        <f t="shared" ref="M23" si="12">B23</f>
        <v>1</v>
      </c>
      <c r="N23" s="39">
        <f t="shared" ref="N23" si="13">D23+N$19</f>
        <v>1.645</v>
      </c>
      <c r="O23" s="39">
        <f t="shared" si="7"/>
        <v>0.54</v>
      </c>
      <c r="P23" s="261">
        <f t="shared" ref="P23" si="14">N23*O23</f>
        <v>0.88830000000000009</v>
      </c>
      <c r="Q23" s="259">
        <f t="shared" ref="Q23" si="15">P23*M23</f>
        <v>0.88830000000000009</v>
      </c>
      <c r="R23" s="252">
        <f t="shared" ref="R23" si="16">R$20*P23</f>
        <v>88706.944976675324</v>
      </c>
      <c r="S23" s="258">
        <f t="shared" ref="S23" si="17">R23+S$20</f>
        <v>91706.944976675324</v>
      </c>
      <c r="T23" s="309">
        <f>N23*M23*2</f>
        <v>3.29</v>
      </c>
      <c r="U23" s="46">
        <f>O23*M23*2</f>
        <v>1.08</v>
      </c>
      <c r="V23" s="9"/>
      <c r="Y23" s="4"/>
    </row>
    <row r="24" spans="2:26" ht="18" thickBot="1" x14ac:dyDescent="0.35">
      <c r="B24" s="329">
        <v>8</v>
      </c>
      <c r="C24" s="324" t="s">
        <v>172</v>
      </c>
      <c r="D24" s="330">
        <v>0.79800000000000004</v>
      </c>
      <c r="E24" s="330">
        <v>0.05</v>
      </c>
      <c r="F24" s="330" t="s">
        <v>176</v>
      </c>
      <c r="G24" s="330"/>
      <c r="H24" s="324" t="s">
        <v>177</v>
      </c>
      <c r="I24" s="331">
        <f t="shared" ref="I24:I26" si="18">S24</f>
        <v>8718.0678479842718</v>
      </c>
      <c r="J24" s="332">
        <f t="shared" ref="J24:J26" si="19">I24*B24</f>
        <v>69744.542783874174</v>
      </c>
      <c r="K24" s="265"/>
      <c r="L24" s="47"/>
      <c r="M24" s="47">
        <f t="shared" ref="M24:M26" si="20">B24</f>
        <v>8</v>
      </c>
      <c r="N24" s="39">
        <f t="shared" ref="N24:N26" si="21">D24+N$19</f>
        <v>0.81800000000000006</v>
      </c>
      <c r="O24" s="39">
        <f t="shared" ref="O24:O26" si="22">E24+O$19</f>
        <v>7.0000000000000007E-2</v>
      </c>
      <c r="P24" s="261">
        <f t="shared" ref="P24:P26" si="23">N24*O24</f>
        <v>5.7260000000000012E-2</v>
      </c>
      <c r="Q24" s="259">
        <f t="shared" ref="Q24:Q26" si="24">P24*M24</f>
        <v>0.4580800000000001</v>
      </c>
      <c r="R24" s="252">
        <f t="shared" ref="R24:R26" si="25">R$20*P24</f>
        <v>5718.0678479842727</v>
      </c>
      <c r="S24" s="258">
        <f t="shared" ref="S24:S26" si="26">R24+S$20</f>
        <v>8718.0678479842718</v>
      </c>
      <c r="T24" s="309">
        <f>N24*M24</f>
        <v>6.5440000000000005</v>
      </c>
      <c r="U24" s="46"/>
      <c r="V24" s="9"/>
      <c r="Y24" s="4"/>
    </row>
    <row r="25" spans="2:26" ht="18" thickBot="1" x14ac:dyDescent="0.35">
      <c r="B25" s="329">
        <v>2</v>
      </c>
      <c r="C25" s="324" t="s">
        <v>172</v>
      </c>
      <c r="D25" s="330">
        <v>1.64</v>
      </c>
      <c r="E25" s="330">
        <v>0.14000000000000001</v>
      </c>
      <c r="F25" s="330"/>
      <c r="G25" s="330" t="s">
        <v>175</v>
      </c>
      <c r="H25" s="324" t="s">
        <v>177</v>
      </c>
      <c r="I25" s="331">
        <f t="shared" si="18"/>
        <v>29523.206783524667</v>
      </c>
      <c r="J25" s="332">
        <f t="shared" si="19"/>
        <v>59046.413567049334</v>
      </c>
      <c r="K25" s="265"/>
      <c r="L25" s="47"/>
      <c r="M25" s="47">
        <f t="shared" si="20"/>
        <v>2</v>
      </c>
      <c r="N25" s="39">
        <f t="shared" si="21"/>
        <v>1.66</v>
      </c>
      <c r="O25" s="39">
        <f t="shared" si="22"/>
        <v>0.16</v>
      </c>
      <c r="P25" s="261">
        <f t="shared" si="23"/>
        <v>0.2656</v>
      </c>
      <c r="Q25" s="259">
        <f t="shared" si="24"/>
        <v>0.53120000000000001</v>
      </c>
      <c r="R25" s="252">
        <f t="shared" si="25"/>
        <v>26523.206783524667</v>
      </c>
      <c r="S25" s="258">
        <f t="shared" si="26"/>
        <v>29523.206783524667</v>
      </c>
      <c r="T25" s="309"/>
      <c r="U25" s="46">
        <f>O25*M25*2</f>
        <v>0.64</v>
      </c>
      <c r="V25" s="9"/>
      <c r="Y25" s="4"/>
    </row>
    <row r="26" spans="2:26" ht="18" thickBot="1" x14ac:dyDescent="0.35">
      <c r="B26" s="329">
        <v>2</v>
      </c>
      <c r="C26" s="324" t="s">
        <v>172</v>
      </c>
      <c r="D26" s="330">
        <v>0.51</v>
      </c>
      <c r="E26" s="330">
        <v>0.14000000000000001</v>
      </c>
      <c r="F26" s="330"/>
      <c r="G26" s="330"/>
      <c r="H26" s="324" t="s">
        <v>177</v>
      </c>
      <c r="I26" s="331">
        <f t="shared" si="18"/>
        <v>11468.252768233779</v>
      </c>
      <c r="J26" s="332">
        <f t="shared" si="19"/>
        <v>22936.505536467557</v>
      </c>
      <c r="K26" s="265"/>
      <c r="L26" s="47"/>
      <c r="M26" s="47">
        <f t="shared" si="20"/>
        <v>2</v>
      </c>
      <c r="N26" s="39">
        <f t="shared" si="21"/>
        <v>0.53</v>
      </c>
      <c r="O26" s="39">
        <f t="shared" si="22"/>
        <v>0.16</v>
      </c>
      <c r="P26" s="261">
        <f t="shared" si="23"/>
        <v>8.48E-2</v>
      </c>
      <c r="Q26" s="259">
        <f t="shared" si="24"/>
        <v>0.1696</v>
      </c>
      <c r="R26" s="252">
        <f t="shared" si="25"/>
        <v>8468.2527682337786</v>
      </c>
      <c r="S26" s="258">
        <f t="shared" si="26"/>
        <v>11468.252768233779</v>
      </c>
      <c r="T26" s="309"/>
      <c r="U26" s="46"/>
      <c r="V26" s="9"/>
      <c r="Y26" s="4"/>
    </row>
    <row r="27" spans="2:26" ht="18" thickBot="1" x14ac:dyDescent="0.35">
      <c r="B27" s="286"/>
      <c r="C27" s="286"/>
      <c r="D27" s="287"/>
      <c r="E27" s="287"/>
      <c r="F27" s="287"/>
      <c r="G27" s="287"/>
      <c r="H27" s="286"/>
      <c r="I27" s="265"/>
      <c r="J27" s="233"/>
      <c r="K27" s="233"/>
      <c r="L27" s="47"/>
      <c r="M27" s="47"/>
      <c r="N27" s="39"/>
      <c r="O27" s="39"/>
      <c r="P27" s="261"/>
      <c r="Q27" s="259"/>
      <c r="R27" s="252"/>
      <c r="S27" s="258"/>
      <c r="T27" s="309"/>
      <c r="U27" s="14"/>
      <c r="V27" s="9"/>
      <c r="Y27" s="4"/>
    </row>
    <row r="28" spans="2:26" ht="17.399999999999999" x14ac:dyDescent="0.3">
      <c r="B28" s="286"/>
      <c r="C28" s="286"/>
      <c r="D28" s="287"/>
      <c r="E28" s="287"/>
      <c r="F28" s="287"/>
      <c r="G28" s="287"/>
      <c r="H28" s="286"/>
      <c r="I28" s="310" t="s">
        <v>29</v>
      </c>
      <c r="J28" s="311">
        <f>SUM(J21:J22)</f>
        <v>228004.84113593356</v>
      </c>
      <c r="K28" s="265"/>
      <c r="L28" s="47"/>
      <c r="M28" s="47"/>
      <c r="N28" s="39">
        <f>SUM(N21:N27)</f>
        <v>6.1390000000000002</v>
      </c>
      <c r="O28" s="39"/>
      <c r="P28" s="261"/>
      <c r="Q28" s="259"/>
      <c r="R28" s="252"/>
      <c r="S28" s="258"/>
      <c r="T28" s="309"/>
      <c r="U28" s="14"/>
      <c r="V28" s="9"/>
      <c r="Y28" s="4"/>
    </row>
    <row r="29" spans="2:26" ht="17.399999999999999" x14ac:dyDescent="0.3">
      <c r="B29" s="280"/>
      <c r="C29" s="283"/>
      <c r="D29" s="284"/>
      <c r="E29" s="284"/>
      <c r="F29" s="284"/>
      <c r="G29" s="284"/>
      <c r="H29" s="285"/>
      <c r="I29" s="308" t="s">
        <v>52</v>
      </c>
      <c r="J29" s="305">
        <f>J28*0.19</f>
        <v>43320.919815827379</v>
      </c>
      <c r="K29" s="265"/>
      <c r="L29" s="47"/>
      <c r="M29" s="47"/>
      <c r="N29" s="39"/>
      <c r="O29" s="12"/>
      <c r="P29" s="12"/>
      <c r="Q29" s="253">
        <f>SUM(Q21:Q26)</f>
        <v>4.1201000000000008</v>
      </c>
      <c r="R29" s="14"/>
      <c r="S29" s="12"/>
      <c r="T29" s="239"/>
      <c r="U29" s="14"/>
      <c r="V29" s="9"/>
      <c r="Y29" s="4"/>
    </row>
    <row r="30" spans="2:26" ht="18" thickBot="1" x14ac:dyDescent="0.35">
      <c r="B30" s="276"/>
      <c r="C30" s="282"/>
      <c r="D30" s="272"/>
      <c r="E30" s="272"/>
      <c r="F30" s="272"/>
      <c r="G30" s="272"/>
      <c r="H30" s="273"/>
      <c r="I30" s="281" t="s">
        <v>6</v>
      </c>
      <c r="J30" s="306">
        <f>J28+J29</f>
        <v>271325.76095176092</v>
      </c>
      <c r="K30" s="265"/>
      <c r="L30" s="47"/>
      <c r="M30" s="47"/>
      <c r="N30" s="39"/>
      <c r="O30" s="12"/>
      <c r="P30" s="12"/>
      <c r="Q30" s="253">
        <f>Q29</f>
        <v>4.1201000000000008</v>
      </c>
      <c r="R30" s="14"/>
      <c r="S30" s="12"/>
      <c r="T30" s="239">
        <f>SUM(T21:T29)</f>
        <v>20.422000000000001</v>
      </c>
      <c r="U30" s="46">
        <f>SUM(U21:U29)</f>
        <v>5.78</v>
      </c>
      <c r="V30" s="9"/>
      <c r="Y30" s="4"/>
    </row>
    <row r="31" spans="2:26" ht="17.399999999999999" x14ac:dyDescent="0.3">
      <c r="B31" s="276"/>
      <c r="C31" s="271"/>
      <c r="D31" s="272"/>
      <c r="E31" s="272"/>
      <c r="F31" s="272"/>
      <c r="G31" s="272"/>
      <c r="H31" s="273"/>
      <c r="K31" s="265"/>
      <c r="L31" s="47"/>
      <c r="M31" s="47"/>
      <c r="N31" s="14"/>
      <c r="O31" s="12"/>
      <c r="P31" s="12"/>
      <c r="Q31" s="39">
        <f>Q30*20%</f>
        <v>0.8240200000000002</v>
      </c>
      <c r="R31" s="39" t="s">
        <v>131</v>
      </c>
      <c r="S31" s="42"/>
      <c r="T31" s="240">
        <f>T30+U30</f>
        <v>26.202000000000002</v>
      </c>
      <c r="U31" s="14"/>
      <c r="V31" s="9"/>
      <c r="Y31" s="4"/>
    </row>
    <row r="32" spans="2:26" ht="17.399999999999999" x14ac:dyDescent="0.3">
      <c r="B32" s="271"/>
      <c r="C32" s="271"/>
      <c r="D32" s="272"/>
      <c r="E32" s="272"/>
      <c r="F32" s="272"/>
      <c r="G32" s="272"/>
      <c r="H32" s="273"/>
      <c r="I32" s="274"/>
      <c r="J32" s="275"/>
      <c r="K32" s="265"/>
      <c r="L32" s="47"/>
      <c r="M32" s="47"/>
      <c r="N32" s="14"/>
      <c r="O32" s="12"/>
      <c r="P32" s="12"/>
      <c r="Q32" s="46">
        <f>Q30+Q31</f>
        <v>4.9441200000000007</v>
      </c>
      <c r="R32" s="14"/>
      <c r="S32" s="14"/>
      <c r="T32" s="238">
        <f>T31*20%</f>
        <v>5.2404000000000011</v>
      </c>
      <c r="U32" s="14"/>
      <c r="V32" s="9"/>
      <c r="Y32" s="4"/>
    </row>
    <row r="33" spans="2:25" ht="17.399999999999999" x14ac:dyDescent="0.35">
      <c r="B33" s="269"/>
      <c r="C33" s="230"/>
      <c r="D33" s="230"/>
      <c r="E33" s="233"/>
      <c r="F33" s="233"/>
      <c r="G33" s="233"/>
      <c r="H33" s="234"/>
      <c r="I33" s="230"/>
      <c r="J33" s="275"/>
      <c r="K33" s="265"/>
      <c r="L33" s="47"/>
      <c r="M33" s="47"/>
      <c r="N33" s="14"/>
      <c r="O33" s="14"/>
      <c r="P33" s="14"/>
      <c r="Q33" s="14"/>
      <c r="R33" s="14"/>
      <c r="S33" s="14"/>
      <c r="T33" s="240">
        <f>T31+T32</f>
        <v>31.442400000000003</v>
      </c>
      <c r="U33" s="14"/>
      <c r="V33" s="316" t="s">
        <v>22</v>
      </c>
      <c r="W33" s="313" t="s">
        <v>153</v>
      </c>
      <c r="X33" s="317">
        <v>44971</v>
      </c>
      <c r="Y33" s="318"/>
    </row>
    <row r="34" spans="2:25" ht="17.399999999999999" x14ac:dyDescent="0.35">
      <c r="B34" s="235"/>
      <c r="C34" s="236"/>
      <c r="D34" s="237"/>
      <c r="E34" s="235"/>
      <c r="F34" s="235"/>
      <c r="G34" s="235"/>
      <c r="H34" s="230"/>
      <c r="I34" s="230"/>
      <c r="K34" s="265"/>
      <c r="L34" s="47"/>
      <c r="M34" s="47"/>
      <c r="N34" s="39">
        <f>Q32*2</f>
        <v>9.8882400000000015</v>
      </c>
      <c r="O34" s="12">
        <v>3500</v>
      </c>
      <c r="P34" s="12">
        <f t="shared" ref="P34:P39" si="27">N34*O34</f>
        <v>34608.840000000004</v>
      </c>
      <c r="Q34" s="14" t="s">
        <v>22</v>
      </c>
      <c r="R34" s="14"/>
      <c r="S34" s="14"/>
      <c r="T34" s="241"/>
      <c r="U34" s="14"/>
      <c r="V34" s="316" t="s">
        <v>154</v>
      </c>
      <c r="W34" s="313">
        <v>3625</v>
      </c>
      <c r="X34" s="59" t="s">
        <v>155</v>
      </c>
      <c r="Y34" s="318"/>
    </row>
    <row r="35" spans="2:25" ht="17.399999999999999" x14ac:dyDescent="0.35">
      <c r="B35" s="230"/>
      <c r="C35" s="230"/>
      <c r="D35" s="230"/>
      <c r="E35" s="230"/>
      <c r="F35" s="230"/>
      <c r="G35" s="230"/>
      <c r="H35" s="230"/>
      <c r="I35" s="230"/>
      <c r="K35" s="265"/>
      <c r="L35" s="47"/>
      <c r="M35" s="47"/>
      <c r="N35" s="249">
        <v>1.5</v>
      </c>
      <c r="O35" s="12">
        <v>25000</v>
      </c>
      <c r="P35" s="12">
        <f t="shared" si="27"/>
        <v>37500</v>
      </c>
      <c r="Q35" s="39" t="s">
        <v>32</v>
      </c>
      <c r="R35" s="42"/>
      <c r="S35" s="14"/>
      <c r="T35" s="240"/>
      <c r="U35" s="14"/>
      <c r="V35" s="316"/>
      <c r="W35" s="59">
        <v>906.25</v>
      </c>
      <c r="X35" s="59" t="s">
        <v>156</v>
      </c>
      <c r="Y35" s="318"/>
    </row>
    <row r="36" spans="2:25" s="230" customFormat="1" ht="17.399999999999999" x14ac:dyDescent="0.35">
      <c r="K36" s="262"/>
      <c r="L36" s="232"/>
      <c r="M36" s="250"/>
      <c r="N36" s="14"/>
      <c r="O36" s="250">
        <v>71390</v>
      </c>
      <c r="P36" s="12">
        <f t="shared" si="27"/>
        <v>0</v>
      </c>
      <c r="Q36" s="39" t="s">
        <v>31</v>
      </c>
      <c r="R36" s="42"/>
      <c r="T36" s="240"/>
      <c r="U36" s="256"/>
      <c r="V36" s="59"/>
      <c r="W36" s="59">
        <f>W35*20%</f>
        <v>181.25</v>
      </c>
      <c r="X36" s="318" t="s">
        <v>157</v>
      </c>
      <c r="Y36" s="59"/>
    </row>
    <row r="37" spans="2:25" s="230" customFormat="1" ht="17.399999999999999" x14ac:dyDescent="0.35">
      <c r="B37" s="24" t="s">
        <v>152</v>
      </c>
      <c r="K37" s="262"/>
      <c r="L37" s="232"/>
      <c r="M37" s="250"/>
      <c r="N37" s="14">
        <v>3</v>
      </c>
      <c r="O37" s="250">
        <v>38303</v>
      </c>
      <c r="P37" s="12">
        <f t="shared" si="27"/>
        <v>114909</v>
      </c>
      <c r="Q37" s="14" t="s">
        <v>142</v>
      </c>
      <c r="R37" s="17"/>
      <c r="T37" s="238"/>
      <c r="U37" s="256"/>
      <c r="V37" s="59"/>
      <c r="W37" s="59">
        <f>W35+W36</f>
        <v>1087.5</v>
      </c>
      <c r="X37" s="318" t="s">
        <v>158</v>
      </c>
      <c r="Y37" s="59"/>
    </row>
    <row r="38" spans="2:25" s="230" customFormat="1" ht="17.399999999999999" x14ac:dyDescent="0.35">
      <c r="B38" s="24" t="s">
        <v>145</v>
      </c>
      <c r="C38"/>
      <c r="D38"/>
      <c r="E38"/>
      <c r="F38"/>
      <c r="G38"/>
      <c r="H38"/>
      <c r="K38" s="262"/>
      <c r="M38" s="250"/>
      <c r="N38" s="249"/>
      <c r="O38" s="250">
        <v>300</v>
      </c>
      <c r="P38" s="12">
        <f t="shared" si="27"/>
        <v>0</v>
      </c>
      <c r="Q38" s="14" t="s">
        <v>33</v>
      </c>
      <c r="R38" s="14"/>
      <c r="S38" s="230">
        <v>1.52</v>
      </c>
      <c r="T38" s="238"/>
      <c r="U38" s="238"/>
    </row>
    <row r="39" spans="2:25" s="230" customFormat="1" ht="17.399999999999999" x14ac:dyDescent="0.35">
      <c r="B39" s="29" t="s">
        <v>126</v>
      </c>
      <c r="C39"/>
      <c r="D39"/>
      <c r="E39"/>
      <c r="F39"/>
      <c r="G39"/>
      <c r="H39" s="229" t="s">
        <v>16</v>
      </c>
      <c r="K39" s="304"/>
      <c r="M39" s="250"/>
      <c r="N39" s="266"/>
      <c r="O39" s="12">
        <v>1500</v>
      </c>
      <c r="P39" s="12">
        <f t="shared" si="27"/>
        <v>0</v>
      </c>
      <c r="Q39" s="14" t="s">
        <v>23</v>
      </c>
      <c r="R39" s="14"/>
      <c r="S39">
        <v>2.44</v>
      </c>
      <c r="T39"/>
      <c r="U39" s="238"/>
      <c r="Y39" s="231"/>
    </row>
    <row r="40" spans="2:25" s="230" customFormat="1" ht="17.399999999999999" x14ac:dyDescent="0.35">
      <c r="M40" s="250"/>
      <c r="N40" s="14"/>
      <c r="O40" s="12"/>
      <c r="P40" s="12">
        <f>SUM(P34:P39)</f>
        <v>187017.84</v>
      </c>
      <c r="Q40" s="39" t="s">
        <v>24</v>
      </c>
      <c r="R40" s="14"/>
      <c r="S40">
        <f>S38*S39</f>
        <v>3.7088000000000001</v>
      </c>
      <c r="T40"/>
      <c r="U40" s="238"/>
      <c r="Y40" s="231"/>
    </row>
    <row r="41" spans="2:25" s="230" customFormat="1" ht="17.399999999999999" x14ac:dyDescent="0.35">
      <c r="M41" s="250"/>
      <c r="N41" s="254" t="s">
        <v>34</v>
      </c>
      <c r="O41" s="12"/>
      <c r="P41" s="255">
        <f>P40*2.2</f>
        <v>411439.24800000002</v>
      </c>
      <c r="Q41" s="14" t="s">
        <v>141</v>
      </c>
      <c r="R41" s="14"/>
      <c r="S41" s="40">
        <f>Q32/S40</f>
        <v>1.3330780845556516</v>
      </c>
      <c r="T41"/>
      <c r="U41" s="257"/>
    </row>
    <row r="42" spans="2:25" s="230" customFormat="1" ht="17.399999999999999" x14ac:dyDescent="0.35">
      <c r="I42"/>
      <c r="J42" s="260"/>
      <c r="K42" s="260"/>
      <c r="L42" s="230">
        <v>45580</v>
      </c>
      <c r="M42" s="250"/>
      <c r="N42" s="14"/>
      <c r="O42" s="12"/>
      <c r="P42" s="12">
        <f>P41/Q30</f>
        <v>99861.471323511549</v>
      </c>
      <c r="Q42" s="45" t="s">
        <v>25</v>
      </c>
      <c r="R42" s="14"/>
      <c r="S42" s="14"/>
      <c r="T42"/>
      <c r="U42" s="238"/>
      <c r="V42" s="59" t="s">
        <v>159</v>
      </c>
      <c r="W42" s="313">
        <v>43650</v>
      </c>
    </row>
    <row r="43" spans="2:25" s="230" customFormat="1" ht="17.399999999999999" x14ac:dyDescent="0.35">
      <c r="I43"/>
      <c r="J43" s="230" t="s">
        <v>165</v>
      </c>
      <c r="L43" s="230">
        <f>L42/1.19</f>
        <v>38302.521008403361</v>
      </c>
      <c r="M43" s="250"/>
      <c r="N43" s="13"/>
      <c r="O43" s="14"/>
      <c r="P43" s="17">
        <f>P41/P40</f>
        <v>2.2000000000000002</v>
      </c>
      <c r="Q43" s="15"/>
      <c r="R43"/>
      <c r="S43"/>
      <c r="T43"/>
      <c r="U43" s="238"/>
      <c r="V43" s="59" t="s">
        <v>161</v>
      </c>
      <c r="W43" s="314" t="s">
        <v>160</v>
      </c>
      <c r="X43" s="59">
        <v>2.4</v>
      </c>
    </row>
    <row r="44" spans="2:25" s="230" customFormat="1" ht="17.399999999999999" x14ac:dyDescent="0.35">
      <c r="I44" s="23"/>
      <c r="M44" s="12"/>
      <c r="U44" s="238"/>
      <c r="V44" s="59" t="s">
        <v>162</v>
      </c>
      <c r="W44" s="315">
        <v>395.37</v>
      </c>
    </row>
    <row r="45" spans="2:25" s="230" customFormat="1" ht="17.399999999999999" x14ac:dyDescent="0.35">
      <c r="B45"/>
      <c r="C45" s="228"/>
      <c r="D45" s="22"/>
      <c r="E45" s="22"/>
      <c r="F45" s="22"/>
      <c r="G45" s="22"/>
      <c r="H45" s="21"/>
      <c r="I45" s="23"/>
      <c r="M45" s="12"/>
      <c r="U45" s="238"/>
      <c r="V45" s="59" t="s">
        <v>157</v>
      </c>
      <c r="W45" s="59">
        <v>474.45</v>
      </c>
    </row>
    <row r="46" spans="2:25" ht="14.4" customHeight="1" x14ac:dyDescent="0.3">
      <c r="M46" s="12"/>
      <c r="V46" s="59"/>
      <c r="W46" s="59"/>
    </row>
    <row r="47" spans="2:25" x14ac:dyDescent="0.3">
      <c r="M47" s="250"/>
    </row>
    <row r="48" spans="2:25" x14ac:dyDescent="0.3">
      <c r="M48" s="250"/>
      <c r="U48" s="270"/>
    </row>
    <row r="49" spans="13:21" x14ac:dyDescent="0.3">
      <c r="M49" s="250"/>
    </row>
    <row r="50" spans="13:21" ht="15" customHeight="1" x14ac:dyDescent="0.3"/>
    <row r="52" spans="13:21" x14ac:dyDescent="0.3">
      <c r="P52">
        <v>40935</v>
      </c>
      <c r="Q52" t="s">
        <v>17</v>
      </c>
      <c r="R52" t="s">
        <v>27</v>
      </c>
    </row>
    <row r="54" spans="13:21" x14ac:dyDescent="0.3">
      <c r="P54" s="54"/>
      <c r="Q54" s="54"/>
    </row>
    <row r="55" spans="13:21" x14ac:dyDescent="0.3">
      <c r="T55" s="18"/>
      <c r="U55" s="18"/>
    </row>
    <row r="56" spans="13:21" x14ac:dyDescent="0.3">
      <c r="T56" s="18"/>
      <c r="U56" s="18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6" spans="3:16" x14ac:dyDescent="0.3">
      <c r="P66" s="43"/>
    </row>
    <row r="67" spans="3:16" x14ac:dyDescent="0.3">
      <c r="P67" s="43"/>
    </row>
    <row r="68" spans="3:16" x14ac:dyDescent="0.3">
      <c r="P68" s="6"/>
    </row>
    <row r="69" spans="3:16" x14ac:dyDescent="0.3">
      <c r="P69" s="6"/>
    </row>
    <row r="77" spans="3:16" x14ac:dyDescent="0.3">
      <c r="C77" t="s">
        <v>149</v>
      </c>
    </row>
    <row r="78" spans="3:16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H17:J17"/>
    <mergeCell ref="B19:J19"/>
  </mergeCells>
  <phoneticPr fontId="34" type="noConversion"/>
  <hyperlinks>
    <hyperlink ref="H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'2229'!I10</f>
        <v>45366</v>
      </c>
    </row>
    <row r="6" spans="2:31" ht="16.2" thickBot="1" x14ac:dyDescent="0.35">
      <c r="B6" s="140" t="s">
        <v>2</v>
      </c>
      <c r="C6" s="139" t="str">
        <f>'2229'!C10</f>
        <v>ALEJANDRO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10669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-9966.5008894430357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'2229'!J28</f>
        <v>228004.84113593356</v>
      </c>
      <c r="E11" s="132">
        <f>D11*0.19</f>
        <v>43320.919815827379</v>
      </c>
      <c r="F11" s="131">
        <f>E11+D11</f>
        <v>271325.76095176092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96023.499110556964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101942.9307874396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78023.499110556964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126061.91034849396</v>
      </c>
      <c r="E13" s="221">
        <f>(D11/D12)-1</f>
        <v>1.2365929581850521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69023.499110556964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30023.499110556964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168205.83579927534</v>
      </c>
      <c r="F15" s="216">
        <f>E15-D12</f>
        <v>66262.905011835741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30023.499110556964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70023.499110556964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'2229'!P36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'2229'!P35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'2229'!P34</f>
        <v>34608.840000000004</v>
      </c>
      <c r="E20" s="121">
        <f>D20*0.19</f>
        <v>6575.6796000000004</v>
      </c>
      <c r="F20" s="120">
        <f>SUM(D20:E20)</f>
        <v>41184.519600000007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72108.84</v>
      </c>
      <c r="E21" s="116">
        <f>SUM(E18:E20)</f>
        <v>13700.679599999999</v>
      </c>
      <c r="F21" s="115">
        <f>SUM(F18:F20)</f>
        <v>85809.5196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29620.24021582738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228004.84113593356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72108.84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126061.91034849396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126061.91034849396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2024-03-14T13:34:31Z</cp:lastPrinted>
  <dcterms:created xsi:type="dcterms:W3CDTF">2013-03-18T13:35:42Z</dcterms:created>
  <dcterms:modified xsi:type="dcterms:W3CDTF">2024-03-15T13:47:50Z</dcterms:modified>
</cp:coreProperties>
</file>