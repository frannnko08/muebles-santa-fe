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32F8F937-5B6B-4EB3-9C3F-B4A4473A8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1" l="1"/>
  <c r="U27" i="1"/>
  <c r="U24" i="1"/>
  <c r="J35" i="1"/>
  <c r="R28" i="1"/>
  <c r="R29" i="1" s="1"/>
  <c r="R22" i="1"/>
  <c r="R21" i="1"/>
  <c r="K22" i="1"/>
  <c r="L22" i="1"/>
  <c r="M22" i="1"/>
  <c r="N22" i="1"/>
  <c r="O22" i="1" s="1"/>
  <c r="K21" i="1"/>
  <c r="H22" i="1"/>
  <c r="R23" i="1"/>
  <c r="O24" i="1"/>
  <c r="N24" i="1"/>
  <c r="N33" i="1"/>
  <c r="N23" i="1"/>
  <c r="O23" i="1" s="1"/>
  <c r="M21" i="1"/>
  <c r="L21" i="1" l="1"/>
  <c r="J40" i="1"/>
  <c r="N21" i="1" l="1"/>
  <c r="R27" i="1"/>
  <c r="L25" i="1"/>
  <c r="S21" i="1"/>
  <c r="U33" i="1"/>
  <c r="U34" i="1" s="1"/>
  <c r="O21" i="1" l="1"/>
  <c r="N32" i="1"/>
  <c r="O26" i="1" l="1"/>
  <c r="O27" i="1" s="1"/>
  <c r="O28" i="1" s="1"/>
  <c r="O29" i="1" s="1"/>
  <c r="L31" i="1" s="1"/>
  <c r="N31" i="1" s="1"/>
  <c r="M20" i="1"/>
  <c r="K20" i="1"/>
  <c r="Q37" i="1" l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Q38" i="1" l="1"/>
  <c r="N37" i="1" l="1"/>
  <c r="N38" i="1" s="1"/>
  <c r="D20" i="3"/>
  <c r="E20" i="3" s="1"/>
  <c r="E21" i="3" s="1"/>
  <c r="N39" i="1" l="1"/>
  <c r="P20" i="1" s="1"/>
  <c r="P22" i="1" s="1"/>
  <c r="Q22" i="1" s="1"/>
  <c r="D21" i="3"/>
  <c r="M43" i="3" s="1"/>
  <c r="D12" i="3" s="1"/>
  <c r="F20" i="3"/>
  <c r="F21" i="3" s="1"/>
  <c r="P23" i="1" l="1"/>
  <c r="Q23" i="1" s="1"/>
  <c r="P21" i="1"/>
  <c r="N40" i="1"/>
  <c r="E15" i="3"/>
  <c r="F15" i="3" l="1"/>
  <c r="Q21" i="1" l="1"/>
  <c r="H21" i="1" l="1"/>
  <c r="H25" i="1" l="1"/>
  <c r="H26" i="1" s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<sst xmlns="http://schemas.openxmlformats.org/spreadsheetml/2006/main" count="232" uniqueCount="174">
  <si>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</si>
  <si>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</si>
  <si>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</si>
  <si>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</si>
  <si>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</si>
  <si>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</si>
  <si>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</si>
  <si>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</si>
  <si>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</si>
  <si>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</si>
  <si>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</si>
  <si>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</si>
  <si>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</si>
  <si>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</si>
  <si>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</si>
  <si>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</si>
  <si>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</si>
  <si>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</si>
  <si>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</si>
  <si>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</si>
  <si>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</si>
  <si>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</si>
  <si>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</si>
  <si>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</si>
  <si>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</si>
  <si>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</si>
  <si>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</si>
  <si>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</si>
  <si>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</si>
  <si>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</si>
  <si>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</si>
  <si>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</si>
  <si>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</si>
  <si>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</si>
  <si>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</si>
  <si>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</si>
  <si>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</si>
  <si>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</si>
  <si>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</si>
  <si>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</si>
  <si>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</si>
  <si>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</si>
  <si>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</si>
  <si>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</si>
  <si>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</si>
  <si>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</si>
  <si>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</si>
  <si>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</si>
  <si>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</si>
  <si>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</si>
  <si>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</si>
  <si>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</si>
  <si>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</si>
  <si>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</si>
  <si>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</si>
  <si>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</si>
  <si>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</si>
  <si>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</si>
  <si>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</si>
  <si>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</si>
  <si>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</si>
  <si>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</si>
  <si>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</si>
  <si>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</si>
  <si>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</si>
  <si>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</si>
  <si>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</si>
  <si>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</si>
  <si>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</si>
  <si>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</si>
  <si>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</si>
  <si>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</si>
  <si>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</si>
  <si>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</si>
  <si>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</si>
  <si>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</si>
  <si>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</si>
  <si>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</si>
  <si>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</si>
  <si>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</si>
  <si>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</si>
  <si>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</si>
  <si>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</si>
  <si>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</si>
  <si>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</si>
  <si>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</si>
  <si>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</si>
  <si>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</si>
  <si>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</si>
  <si>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</si>
  <si>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</si>
  <si>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</si>
  <si>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</si>
  <si>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</si>
  <si>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</si>
  <si>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</si>
  <si>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</si>
  <si>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</si>
  <si>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</si>
  <si>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</si>
  <si>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</si>
  <si>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</si>
  <si>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</si>
  <si>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</si>
  <si>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</si>
  <si>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</si>
  <si>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</si>
  <si>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</si>
  <si>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</si>
  <si>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</si>
  <si>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</si>
  <si>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</si>
  <si>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</si>
  <si>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</si>
  <si>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</si>
  <si>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</si>
  <si>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</si>
  <si>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</si>
  <si>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</si>
  <si>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</si>
  <si>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</si>
  <si>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</si>
  <si>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</si>
  <si>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</si>
  <si>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</si>
  <si>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</si>
  <si>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</si>
  <si>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</si>
  <si>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</si>
  <si>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</si>
  <si>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</si>
  <si>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</si>
  <si>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</si>
  <si>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</si>
  <si>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</si>
  <si>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</si>
  <si>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</si>
  <si>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</si>
  <si>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</si>
  <si>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</si>
  <si>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</si>
  <si>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</si>
  <si>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</si>
  <si>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</si>
  <si>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</si>
  <si>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</si>
  <si>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</si>
  <si>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</si>
  <si>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</si>
  <si>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</si>
  <si>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</si>
  <si>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</si>
  <si>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</si>
  <si>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</si>
  <si>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</si>
  <si>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</si>
  <si>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</si>
  <si>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</si>
  <si>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</si>
  <si>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</si>
  <si>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</si>
  <si>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</si>
  <si>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</si>
  <si>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</si>
  <si>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</si>
  <si>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</si>
  <si>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</si>
  <si>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SONOFLEX CHILE SPA</t>
  </si>
  <si>
    <t>+569 95099721</t>
  </si>
  <si>
    <t>20 DIAS HABILES</t>
  </si>
  <si>
    <t>TAPACANTO 100 MTS RECHAU</t>
  </si>
  <si>
    <t>RICARDO PEREZ</t>
  </si>
  <si>
    <t>ENCHAPE RECTO 1 CARA MDF 15MM</t>
  </si>
  <si>
    <t>FRENCH WALNUT 1510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</si>
</sst>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24</xdr:row>
      <xdr:rowOff>9525</xdr:rowOff>
    </xdr:from>
    <xdr:to>
      <xdr:col>5</xdr:col>
      <xdr:colOff>1635064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OBSERVACIONES:8 MDF 15MM</a:t>
          </a:r>
          <a:r>
            <a:rPr lang="es-CL" sz="1200" b="1" baseline="0"/>
            <a:t> </a:t>
          </a:r>
          <a:r>
            <a:rPr lang="es-CL" sz="1200" b="1"/>
            <a:t>CORTADAS EN PIEZAS DE 35MM CANTOS ENCHAPADOS CON TAPACANTO DE PVC 0,4MM COLOR MADERA LOS MAS PARECIDO AL FRENCH WALNUT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5" zoomScale="93" zoomScaleNormal="93" workbookViewId="0">
      <selection activeCell="A21" sqref="A2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6.109375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126</v>
      </c>
      <c r="C8" s="293"/>
      <c r="D8" s="294">
        <v>10646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162</v>
      </c>
      <c r="C10" s="279" t="s">
        <v>167</v>
      </c>
      <c r="D10" s="243"/>
      <c r="E10" s="243"/>
      <c r="F10" s="244" t="s">
        <v>0</v>
      </c>
      <c r="G10" s="277">
        <v>45355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123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7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171</v>
      </c>
      <c r="G13" s="318"/>
      <c r="H13" s="290"/>
      <c r="P13" s="19"/>
      <c r="Q13" s="25"/>
      <c r="R13" s="19"/>
    </row>
    <row r="14" spans="2:23" x14ac:dyDescent="0.3">
      <c r="B14" s="246" t="s">
        <v>139</v>
      </c>
      <c r="C14" s="324"/>
      <c r="D14" s="247"/>
      <c r="E14" s="247"/>
      <c r="F14" s="325" t="s">
        <v>136</v>
      </c>
      <c r="G14" s="291" t="s">
        <v>135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t="s">
        <v>168</v>
      </c>
      <c r="D15" s="320"/>
      <c r="F15" t="s">
        <v>134</v>
      </c>
      <c r="G15" s="319" t="s">
        <v>135</v>
      </c>
      <c r="H15" s="290"/>
    </row>
    <row r="16" spans="2:23" ht="16.8" x14ac:dyDescent="0.4">
      <c r="B16" s="326" t="s">
        <v>3</v>
      </c>
      <c r="C16" s="317"/>
      <c r="D16" s="247"/>
      <c r="E16" s="247"/>
      <c r="F16" s="327" t="s">
        <v>129</v>
      </c>
      <c r="G16" s="328" t="s">
        <v>163</v>
      </c>
      <c r="H16" s="248"/>
    </row>
    <row r="17" spans="2:24" ht="15" thickBot="1" x14ac:dyDescent="0.35">
      <c r="B17" s="321" t="s">
        <v>13</v>
      </c>
      <c r="C17" s="322" t="s">
        <v>166</v>
      </c>
      <c r="D17" s="323"/>
      <c r="E17" s="119"/>
      <c r="F17" s="332" t="s">
        <v>165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 t="shared" ref="M20" si="0">E20</f>
        <v>ANCHO</v>
      </c>
      <c r="N20" s="261" t="s">
        <v>132</v>
      </c>
      <c r="O20" s="259" t="s">
        <v>17</v>
      </c>
      <c r="P20" s="252">
        <f>N39</f>
        <v>278164.92450638791</v>
      </c>
      <c r="Q20" s="258">
        <v>1000</v>
      </c>
      <c r="R20" s="38"/>
      <c r="S20" s="14" t="s">
        <v>128</v>
      </c>
      <c r="T20" s="9"/>
      <c r="W20" s="4"/>
    </row>
    <row r="21" spans="2:24" ht="18" thickBot="1" x14ac:dyDescent="0.35">
      <c r="B21" s="313">
        <v>304</v>
      </c>
      <c r="C21" s="314" t="s">
        <v>172</v>
      </c>
      <c r="D21" s="315">
        <v>1.3</v>
      </c>
      <c r="E21" s="330">
        <v>3.5000000000000003E-2</v>
      </c>
      <c r="F21" s="329" t="s">
        <v>173</v>
      </c>
      <c r="G21" s="331">
        <v>14143</v>
      </c>
      <c r="H21" s="316">
        <f>G21*B21</f>
        <v>4299472</v>
      </c>
      <c r="I21" s="265"/>
      <c r="J21" s="47"/>
      <c r="K21" s="47">
        <f>B21</f>
        <v>304</v>
      </c>
      <c r="L21" s="39">
        <f>D21+L$19</f>
        <v>1.35</v>
      </c>
      <c r="M21" s="39">
        <f>E21</f>
        <v>3.5000000000000003E-2</v>
      </c>
      <c r="N21" s="261">
        <f>L21*M21</f>
        <v>4.7250000000000007E-2</v>
      </c>
      <c r="O21" s="259">
        <f>N21*K21</f>
        <v>14.364000000000003</v>
      </c>
      <c r="P21" s="252">
        <f>N21*P$20</f>
        <v>13143.292682926831</v>
      </c>
      <c r="Q21" s="258">
        <f t="shared" ref="Q21" si="1">P21+Q$20</f>
        <v>14143.292682926831</v>
      </c>
      <c r="R21" s="299">
        <f>L21*K21*2</f>
        <v>820.80000000000007</v>
      </c>
      <c r="S21" s="46">
        <f>M21*K21*2</f>
        <v>21.28</v>
      </c>
      <c r="T21" s="9"/>
      <c r="W21" s="4"/>
    </row>
    <row r="22" spans="2:24" ht="17.399999999999999" x14ac:dyDescent="0.3">
      <c r="B22" s="313">
        <v>96</v>
      </c>
      <c r="C22" s="314" t="s">
        <v>172</v>
      </c>
      <c r="D22" s="315">
        <v>2.44</v>
      </c>
      <c r="E22" s="330">
        <v>3.5000000000000003E-2</v>
      </c>
      <c r="F22" s="329" t="s">
        <v>173</v>
      </c>
      <c r="G22" s="345">
        <v>25242</v>
      </c>
      <c r="H22" s="316">
        <f>G22*B22</f>
        <v>2423232</v>
      </c>
      <c r="I22" s="265"/>
      <c r="J22" s="47"/>
      <c r="K22" s="47">
        <f>B22</f>
        <v>96</v>
      </c>
      <c r="L22" s="39">
        <f>D22+L$19</f>
        <v>2.4899999999999998</v>
      </c>
      <c r="M22" s="39">
        <f>E22</f>
        <v>3.5000000000000003E-2</v>
      </c>
      <c r="N22" s="261">
        <f>L22*M22</f>
        <v>8.7150000000000005E-2</v>
      </c>
      <c r="O22" s="259">
        <f>N22*K22</f>
        <v>8.3664000000000005</v>
      </c>
      <c r="P22" s="252">
        <f>N22*P$20</f>
        <v>24242.073170731706</v>
      </c>
      <c r="Q22" s="258">
        <f t="shared" ref="Q22" si="2">P22+Q$20</f>
        <v>25242.073170731706</v>
      </c>
      <c r="R22" s="299">
        <f>L22*K22*2</f>
        <v>478.07999999999993</v>
      </c>
      <c r="S22" s="46"/>
      <c r="T22" s="9"/>
      <c r="U22">
        <v>1220</v>
      </c>
      <c r="W22" s="4"/>
    </row>
    <row r="23" spans="2:24" ht="17.399999999999999" x14ac:dyDescent="0.3">
      <c r="B23" s="286"/>
      <c r="C23" s="286"/>
      <c r="D23" s="287"/>
      <c r="E23" s="287"/>
      <c r="F23" s="286"/>
      <c r="G23" s="344"/>
      <c r="H23" s="344"/>
      <c r="I23" s="265"/>
      <c r="J23" s="47"/>
      <c r="K23" s="47"/>
      <c r="L23" s="39">
        <v>1.2</v>
      </c>
      <c r="M23" s="39">
        <v>3.5000000000000003E-2</v>
      </c>
      <c r="N23" s="261">
        <f>L23*M23</f>
        <v>4.2000000000000003E-2</v>
      </c>
      <c r="O23" s="259">
        <f>N23*K23</f>
        <v>0</v>
      </c>
      <c r="P23" s="252">
        <f>N23*P$20</f>
        <v>11682.926829268294</v>
      </c>
      <c r="Q23" s="258">
        <f t="shared" ref="Q23" si="3">P23+Q$20</f>
        <v>12682.926829268294</v>
      </c>
      <c r="R23" s="299">
        <f>L23*K23*2</f>
        <v>0</v>
      </c>
      <c r="S23" s="46"/>
      <c r="T23" s="9"/>
      <c r="U23">
        <v>50</v>
      </c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>
        <v>1.2</v>
      </c>
      <c r="M24" s="39">
        <v>3.5000000000000003E-2</v>
      </c>
      <c r="N24" s="261">
        <f>L24*M24</f>
        <v>4.2000000000000003E-2</v>
      </c>
      <c r="O24" s="259">
        <f>L24*K24</f>
        <v>0</v>
      </c>
      <c r="P24" s="252"/>
      <c r="Q24" s="258"/>
      <c r="R24" s="299"/>
      <c r="S24" s="14"/>
      <c r="T24" s="9"/>
      <c r="U24">
        <f>U22/U23</f>
        <v>24.4</v>
      </c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SUM(H21:H23)</f>
        <v>6722704</v>
      </c>
      <c r="I25" s="265"/>
      <c r="J25" s="47"/>
      <c r="K25" s="47"/>
      <c r="L25" s="39">
        <f>SUM(L21:L24)</f>
        <v>6.24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51</v>
      </c>
      <c r="H26" s="296">
        <f>H25*19%</f>
        <v>1277313.76</v>
      </c>
      <c r="I26" s="265"/>
      <c r="J26" s="47"/>
      <c r="K26" s="47"/>
      <c r="L26" s="39"/>
      <c r="M26" s="12"/>
      <c r="N26" s="12"/>
      <c r="O26" s="253">
        <f>SUM(O21:O24)</f>
        <v>22.730400000000003</v>
      </c>
      <c r="P26" s="14"/>
      <c r="Q26" s="12"/>
      <c r="R26" s="239"/>
      <c r="S26" s="14"/>
      <c r="T26" s="9"/>
      <c r="U26">
        <v>96</v>
      </c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8000017.7599999998</v>
      </c>
      <c r="I27" s="265"/>
      <c r="J27" s="47"/>
      <c r="K27" s="47"/>
      <c r="L27" s="39"/>
      <c r="M27" s="12"/>
      <c r="N27" s="12"/>
      <c r="O27" s="253">
        <f>O26</f>
        <v>22.730400000000003</v>
      </c>
      <c r="P27" s="14"/>
      <c r="Q27" s="12"/>
      <c r="R27" s="41">
        <f>SUM(R21:R26)</f>
        <v>1298.8800000000001</v>
      </c>
      <c r="S27" s="14"/>
      <c r="T27" s="9"/>
      <c r="U27">
        <f>U26/24</f>
        <v>4</v>
      </c>
      <c r="V27">
        <f>U26/12</f>
        <v>8</v>
      </c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4.5460800000000008</v>
      </c>
      <c r="P28" s="39" t="s">
        <v>130</v>
      </c>
      <c r="Q28" s="42"/>
      <c r="R28" s="240">
        <f>R27*20%</f>
        <v>259.77600000000001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27.276480000000003</v>
      </c>
      <c r="P29" s="14"/>
      <c r="Q29" s="14"/>
      <c r="R29" s="41">
        <f>R27+R28</f>
        <v>1558.6560000000002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14"/>
      <c r="S30" s="14"/>
      <c r="T30" s="306" t="s">
        <v>22</v>
      </c>
      <c r="U30" s="303" t="s">
        <v>152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27.276480000000003</v>
      </c>
      <c r="M31" s="12">
        <v>2500</v>
      </c>
      <c r="N31" s="12">
        <f>M31*J31</f>
        <v>0</v>
      </c>
      <c r="O31" s="14" t="s">
        <v>22</v>
      </c>
      <c r="P31" s="14"/>
      <c r="Q31" s="14"/>
      <c r="R31" s="241"/>
      <c r="S31" s="14"/>
      <c r="T31" s="306" t="s">
        <v>153</v>
      </c>
      <c r="U31" s="303">
        <v>3625</v>
      </c>
      <c r="V31" s="59" t="s">
        <v>154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8</v>
      </c>
      <c r="M32" s="12">
        <v>23000</v>
      </c>
      <c r="N32" s="12">
        <f t="shared" ref="N32:N36" si="4">L32*M32</f>
        <v>184000</v>
      </c>
      <c r="O32" s="39" t="s">
        <v>31</v>
      </c>
      <c r="P32" s="42"/>
      <c r="Q32" s="14"/>
      <c r="R32" s="240"/>
      <c r="S32" s="14"/>
      <c r="T32" s="306"/>
      <c r="U32" s="59">
        <v>906.25</v>
      </c>
      <c r="V32" s="59" t="s">
        <v>155</v>
      </c>
      <c r="W32" s="308"/>
    </row>
    <row r="33" spans="2:23" s="230" customFormat="1" ht="17.399999999999999" x14ac:dyDescent="0.35">
      <c r="I33" s="262"/>
      <c r="J33" s="232">
        <v>16</v>
      </c>
      <c r="K33" s="250"/>
      <c r="L33" s="14">
        <v>16</v>
      </c>
      <c r="M33" s="250">
        <v>30000</v>
      </c>
      <c r="N33" s="12">
        <f t="shared" si="4"/>
        <v>480000</v>
      </c>
      <c r="O33" s="39" t="s">
        <v>170</v>
      </c>
      <c r="P33" s="42"/>
      <c r="R33" s="240"/>
      <c r="S33" s="256"/>
      <c r="T33" s="59"/>
      <c r="U33" s="59">
        <f>U32*20%</f>
        <v>181.25</v>
      </c>
      <c r="V33" s="308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>
        <v>100</v>
      </c>
      <c r="K34" s="250"/>
      <c r="L34" s="14">
        <v>34</v>
      </c>
      <c r="M34" s="250">
        <v>65000</v>
      </c>
      <c r="N34" s="12">
        <f t="shared" si="4"/>
        <v>2210000</v>
      </c>
      <c r="O34" s="14" t="s">
        <v>141</v>
      </c>
      <c r="P34" s="17"/>
      <c r="R34" s="238"/>
      <c r="S34" s="256"/>
      <c r="T34" s="59"/>
      <c r="U34" s="59">
        <f>U32+U33</f>
        <v>1087.5</v>
      </c>
      <c r="V34" s="308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J35" s="230">
        <f>J33*J34</f>
        <v>1600</v>
      </c>
      <c r="K35" s="250"/>
      <c r="L35" s="249"/>
      <c r="M35" s="250">
        <v>300</v>
      </c>
      <c r="N35" s="12">
        <f t="shared" si="4"/>
        <v>0</v>
      </c>
      <c r="O35" s="14" t="s">
        <v>32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125</v>
      </c>
      <c r="C36"/>
      <c r="D36"/>
      <c r="E36"/>
      <c r="F36" s="229" t="s">
        <v>16</v>
      </c>
      <c r="I36" s="295"/>
      <c r="K36" s="250"/>
      <c r="L36" s="266"/>
      <c r="M36" s="12">
        <v>1500</v>
      </c>
      <c r="N36" s="12">
        <f t="shared" si="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2874000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33</v>
      </c>
      <c r="M38" s="12"/>
      <c r="N38" s="255">
        <f>N37*2.2</f>
        <v>6322800.0000000009</v>
      </c>
      <c r="O38" s="14" t="s">
        <v>140</v>
      </c>
      <c r="P38" s="14">
        <v>0</v>
      </c>
      <c r="Q38" s="40">
        <f>O29/Q37</f>
        <v>7.3545297670405532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77330</v>
      </c>
      <c r="K39" s="250"/>
      <c r="L39" s="14"/>
      <c r="M39" s="12"/>
      <c r="N39" s="12">
        <f>N38/O27</f>
        <v>278164.92450638791</v>
      </c>
      <c r="O39" s="45" t="s">
        <v>25</v>
      </c>
      <c r="P39" s="14"/>
      <c r="Q39" s="14"/>
      <c r="R39"/>
      <c r="S39" s="238"/>
      <c r="T39" s="59" t="s">
        <v>158</v>
      </c>
      <c r="U39" s="303">
        <v>43650</v>
      </c>
    </row>
    <row r="40" spans="2:23" s="230" customFormat="1" ht="17.399999999999999" x14ac:dyDescent="0.35">
      <c r="G40"/>
      <c r="H40" s="230" t="s">
        <v>164</v>
      </c>
      <c r="J40" s="230">
        <f>J39/1.19</f>
        <v>64983.193277310929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4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156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45355</v>
      </c>
    </row>
    <row r="6" spans="2:31" ht="16.2" thickBot="1" x14ac:dyDescent="0.35">
      <c r="B6" s="140" t="s">
        <v>2</v>
      </c>
      <c r="C6" s="139" t="str">
        <f>'2229'!C10</f>
        <v>SONOFLEX CHILE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>
        <f>'2229'!D8</f>
        <v>10646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-929646.29170012067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6722704</v>
      </c>
      <c r="E11" s="132">
        <f>D11*0.19</f>
        <v>1277313.76</v>
      </c>
      <c r="F11" s="131">
        <f>E11+D11</f>
        <v>8000017.7599999998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-823656.29170012067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693834.09078743961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-841656.29170012067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6028869.9092125604</v>
      </c>
      <c r="E13" s="221">
        <f>(D11/D12)-1</f>
        <v>8.6892096961830347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-850656.29170012067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-889656.29170012067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1144826.2497992753</v>
      </c>
      <c r="F15" s="216">
        <f>E15-D12</f>
        <v>450992.1590118357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-889656.29170012067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-849656.29170012067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'2229'!N33</f>
        <v>480000</v>
      </c>
      <c r="E18" s="123">
        <f>D18*0.19</f>
        <v>91200</v>
      </c>
      <c r="F18" s="120">
        <f>SUM(D18:E18)</f>
        <v>571200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'2229'!N32</f>
        <v>184000</v>
      </c>
      <c r="E19" s="123">
        <f>D19*0.19</f>
        <v>34960</v>
      </c>
      <c r="F19" s="120">
        <f>SUM(D19:E19)</f>
        <v>218960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664000</v>
      </c>
      <c r="E21" s="116">
        <f>SUM(E18:E20)</f>
        <v>126160</v>
      </c>
      <c r="F21" s="115">
        <f>SUM(F18:F20)</f>
        <v>790160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1151153.76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6722704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664000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6028869.9092125604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6028869.9092125604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2024-02-28T21:27:11Z</cp:lastPrinted>
  <dcterms:created xsi:type="dcterms:W3CDTF">2013-03-18T13:35:42Z</dcterms:created>
  <dcterms:modified xsi:type="dcterms:W3CDTF">2024-03-04T14:00:32Z</dcterms:modified>
</cp:coreProperties>
</file>