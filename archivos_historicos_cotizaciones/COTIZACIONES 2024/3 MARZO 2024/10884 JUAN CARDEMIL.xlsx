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751638D2-A458-4818-BA49-93E1DBFEB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<sst xmlns="http://schemas.openxmlformats.org/spreadsheetml/2006/main" count="218" uniqueCount="164">
  <si>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</si>
  <si>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</si>
  <si>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</si>
  <si>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</si>
  <si>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</si>
  <si>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</si>
  <si>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</si>
  <si>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</si>
  <si>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</si>
  <si>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</si>
  <si>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</si>
  <si>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</si>
  <si>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</si>
  <si>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</si>
  <si>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</si>
  <si>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</si>
  <si>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</si>
  <si>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</si>
  <si>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</si>
  <si>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</si>
  <si>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</si>
  <si>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</si>
  <si>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</si>
  <si>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</si>
  <si>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</si>
  <si>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</si>
  <si>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</si>
  <si>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</si>
  <si>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</si>
  <si>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</si>
  <si>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</si>
  <si>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</si>
  <si>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</si>
  <si>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</si>
  <si>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</si>
  <si>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</si>
  <si>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</si>
  <si>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</si>
  <si>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</si>
  <si>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</si>
  <si>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</si>
  <si>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</si>
  <si>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</si>
  <si>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</si>
  <si>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</si>
  <si>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</si>
  <si>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</si>
  <si>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</si>
  <si>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</si>
  <si>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</si>
  <si>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</si>
  <si>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</si>
  <si>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</si>
  <si>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</si>
  <si>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</si>
  <si>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</si>
  <si>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</si>
  <si>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</si>
  <si>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</si>
  <si>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</si>
  <si>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</si>
  <si>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</si>
  <si>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</si>
  <si>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</si>
  <si>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</si>
  <si>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</si>
  <si>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</si>
  <si>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</si>
  <si>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</si>
  <si>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</si>
  <si>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</si>
  <si>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</si>
  <si>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</si>
  <si>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</si>
  <si>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</si>
  <si>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</si>
  <si>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</si>
  <si>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</si>
  <si>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</si>
  <si>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</si>
  <si>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</si>
  <si>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</si>
  <si>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</si>
  <si>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</si>
  <si>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</si>
  <si>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</si>
  <si>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</si>
  <si>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</si>
  <si>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</si>
  <si>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</si>
  <si>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</si>
  <si>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</si>
  <si>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</si>
  <si>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</si>
  <si>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</si>
  <si>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</si>
  <si>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</si>
  <si>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</si>
  <si>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</si>
  <si>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</si>
  <si>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</si>
  <si>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</si>
  <si>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</si>
  <si>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</si>
  <si>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</si>
  <si>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</si>
  <si>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</si>
  <si>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</si>
  <si>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</si>
  <si>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</si>
  <si>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</si>
  <si>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</si>
  <si>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</si>
  <si>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</si>
  <si>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</si>
  <si>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</si>
  <si>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</si>
  <si>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</si>
  <si>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</si>
  <si>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</si>
  <si>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</si>
  <si>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</si>
  <si>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</si>
  <si>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</si>
  <si>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</si>
  <si>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</si>
  <si>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</si>
  <si>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</si>
  <si>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</si>
  <si>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</si>
  <si>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</si>
  <si>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</si>
  <si>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</si>
  <si>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</si>
  <si>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</si>
  <si>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</si>
  <si>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</si>
  <si>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</si>
  <si>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</si>
  <si>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</si>
  <si>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</si>
  <si>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</si>
  <si>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</si>
  <si>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</si>
  <si>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</si>
  <si>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</si>
  <si>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</si>
  <si>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</si>
  <si>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</si>
  <si>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</si>
  <si>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</si>
  <si>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</si>
  <si>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</si>
  <si>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</si>
  <si>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</si>
  <si>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</si>
  <si>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</si>
  <si>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</si>
  <si>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JUAN CARDEMIL</t>
  </si>
  <si>
    <t>+569 7218 9484</t>
  </si>
  <si>
    <t>5 DIAS HABILES</t>
  </si>
  <si>
    <t>CUB C/R 90° R8</t>
  </si>
  <si>
    <t>GREY SLATE 3156 MT</t>
  </si>
  <si>
    <t>N° 10884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</si>
</sst>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baseline="0"/>
            <a:t>SUSTRATO 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157990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2</v>
      </c>
      <c r="C21" s="312" t="s">
        <v>161</v>
      </c>
      <c r="D21" s="313">
        <v>0.9</v>
      </c>
      <c r="E21" s="313">
        <v>0.44</v>
      </c>
      <c r="F21" s="312" t="s">
        <v>162</v>
      </c>
      <c r="G21" s="314">
        <v>66040</v>
      </c>
      <c r="H21" s="315">
        <f t="shared" ref="H21" si="1">G21*B21</f>
        <v>132080</v>
      </c>
      <c r="I21" s="265"/>
      <c r="J21" s="47"/>
      <c r="K21" s="325">
        <f t="shared" si="0"/>
        <v>2</v>
      </c>
      <c r="L21" s="326">
        <f t="shared" ref="L21:M21" si="2">D21+L$19</f>
        <v>0.95000000000000007</v>
      </c>
      <c r="M21" s="326">
        <f t="shared" si="2"/>
        <v>0.44</v>
      </c>
      <c r="N21" s="261">
        <f>L21*M21</f>
        <v>0.41800000000000004</v>
      </c>
      <c r="O21" s="259">
        <f>N21*K21</f>
        <v>0.83600000000000008</v>
      </c>
      <c r="P21" s="252">
        <f>P$20*N21</f>
        <v>66039.820000000007</v>
      </c>
      <c r="Q21" s="258">
        <f>P21+Q$20</f>
        <v>69039.820000000007</v>
      </c>
      <c r="R21" s="308">
        <f>K21*L21</f>
        <v>1.9000000000000001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132080</v>
      </c>
      <c r="I24" s="265"/>
      <c r="J24" s="47"/>
      <c r="K24" s="47"/>
      <c r="L24" s="39">
        <f>SUM(L21:L23)</f>
        <v>0.95000000000000007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25095.200000000001</v>
      </c>
      <c r="I25" s="265"/>
      <c r="J25" s="47"/>
      <c r="K25" s="47"/>
      <c r="L25" s="39"/>
      <c r="M25" s="12"/>
      <c r="N25" s="12"/>
      <c r="O25" s="253">
        <f>SUM(O21:O21)</f>
        <v>0.83600000000000008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157175.20000000001</v>
      </c>
      <c r="I26" s="265"/>
      <c r="J26" s="47"/>
      <c r="K26" s="47"/>
      <c r="L26" s="39"/>
      <c r="M26" s="12"/>
      <c r="N26" s="12"/>
      <c r="O26" s="253">
        <f>O25</f>
        <v>0.83600000000000008</v>
      </c>
      <c r="P26" s="14"/>
      <c r="Q26" s="12"/>
      <c r="R26" s="238">
        <f>SUM(R21:R25)</f>
        <v>1.9000000000000001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0.16720000000000002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1.0032000000000001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1.0032000000000001</v>
      </c>
      <c r="M30" s="12">
        <v>3500</v>
      </c>
      <c r="N30" s="12">
        <f t="shared" ref="N30:N35" si="3">L30*M30</f>
        <v>3511.2000000000003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47600</v>
      </c>
      <c r="N33" s="12">
        <f t="shared" si="3"/>
        <v>47600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0.95</v>
      </c>
      <c r="M35" s="12">
        <v>1500</v>
      </c>
      <c r="N35" s="12">
        <f t="shared" si="3"/>
        <v>1425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60036.2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56640</v>
      </c>
      <c r="K37" s="250"/>
      <c r="L37" s="254" t="s">
        <v>35</v>
      </c>
      <c r="M37" s="12"/>
      <c r="N37" s="255">
        <f>N36*2.2</f>
        <v>132079.64000000001</v>
      </c>
      <c r="O37" s="14" t="s">
        <v>142</v>
      </c>
      <c r="P37" s="14"/>
      <c r="Q37" s="46">
        <f>O26/Q36</f>
        <v>0.2254098360655738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47596.638655462186</v>
      </c>
      <c r="K38" s="250"/>
      <c r="L38" s="14"/>
      <c r="M38" s="12"/>
      <c r="N38" s="12">
        <f>N37/O26</f>
        <v>157990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0.21927868852459018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JUAN CARDEMIL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-10780.878366787438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132080</v>
      </c>
      <c r="E11" s="132">
        <f>D11*0.19</f>
        <v>25095.200000000001</v>
      </c>
      <c r="F11" s="131">
        <f>E11+D11</f>
        <v>157175.20000000001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95209.121633212562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40845.290787439619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77209.121633212562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91234.709212560381</v>
      </c>
      <c r="E13" s="221">
        <f>(D11/D12)-1</f>
        <v>2.2336653125411479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68209.121633212562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29209.121633212562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67394.729799275374</v>
      </c>
      <c r="F15" s="216">
        <f>E15-D12</f>
        <v>26549.439011835755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29209.121633212562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69209.121633212562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3511.2000000000003</v>
      </c>
      <c r="E20" s="121">
        <f>D20*0.19</f>
        <v>667.12800000000004</v>
      </c>
      <c r="F20" s="120">
        <f>SUM(D20:E20)</f>
        <v>4178.3280000000004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11011.2</v>
      </c>
      <c r="E21" s="116">
        <f>SUM(E18:E20)</f>
        <v>2092.1280000000002</v>
      </c>
      <c r="F21" s="115">
        <f>SUM(F18:F20)</f>
        <v>13103.328000000001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23003.072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132080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11011.2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91234.709212560381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91234.709212560381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2024-04-01T22:07:50Z</dcterms:modified>
</cp:coreProperties>
</file>