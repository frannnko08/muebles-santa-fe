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 2024\"/>
    </mc:Choice>
  </mc:AlternateContent>
  <xr:revisionPtr revIDLastSave="0" documentId="13_ncr:1_{A01F02C3-7152-427D-A79F-305FF3DD9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L35" i="1"/>
  <c r="K21" i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M20" i="1" l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R26" i="1"/>
  <c r="H24" i="1" l="1"/>
  <c r="K15" i="1" s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<sst xmlns="http://schemas.openxmlformats.org/spreadsheetml/2006/main" count="218" uniqueCount="163">
  <si>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</si>
  <si>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</si>
  <si>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</si>
  <si>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</si>
  <si>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</si>
  <si>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</si>
  <si>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</si>
  <si>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</si>
  <si>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</si>
  <si>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</si>
  <si>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</si>
  <si>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</si>
  <si>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</si>
  <si>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</si>
  <si>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</si>
  <si>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</si>
  <si>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</si>
  <si>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</si>
  <si>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</si>
  <si>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</si>
  <si>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</si>
  <si>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</si>
  <si>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</si>
  <si>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</si>
  <si>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</si>
  <si>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</si>
  <si>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</si>
  <si>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</si>
  <si>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</si>
  <si>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</si>
  <si>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</si>
  <si>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</si>
  <si>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</si>
  <si>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</si>
  <si>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</si>
  <si>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</si>
  <si>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</si>
  <si>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</si>
  <si>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</si>
  <si>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</si>
  <si>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</si>
  <si>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</si>
  <si>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</si>
  <si>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</si>
  <si>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</si>
  <si>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</si>
  <si>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</si>
  <si>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</si>
  <si>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</si>
  <si>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</si>
  <si>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</si>
  <si>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</si>
  <si>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</si>
  <si>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</si>
  <si>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</si>
  <si>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</si>
  <si>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</si>
  <si>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</si>
  <si>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</si>
  <si>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</si>
  <si>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</si>
  <si>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</si>
  <si>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</si>
  <si>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</si>
  <si>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</si>
  <si>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</si>
  <si>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</si>
  <si>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</si>
  <si>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</si>
  <si>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</si>
  <si>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</si>
  <si>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</si>
  <si>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</si>
  <si>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</si>
  <si>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</si>
  <si>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</si>
  <si>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</si>
  <si>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</si>
  <si>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</si>
  <si>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</si>
  <si>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</si>
  <si>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</si>
  <si>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</si>
  <si>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</si>
  <si>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</si>
  <si>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</si>
  <si>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</si>
  <si>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</si>
  <si>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</si>
  <si>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</si>
  <si>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</si>
  <si>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</si>
  <si>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</si>
  <si>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</si>
  <si>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</si>
  <si>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</si>
  <si>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</si>
  <si>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</si>
  <si>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</si>
  <si>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</si>
  <si>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</si>
  <si>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</si>
  <si>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</si>
  <si>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</si>
  <si>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</si>
  <si>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</si>
  <si>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</si>
  <si>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</si>
  <si>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</si>
  <si>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</si>
  <si>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</si>
  <si>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</si>
  <si>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</si>
  <si>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</si>
  <si>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</si>
  <si>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</si>
  <si>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</si>
  <si>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</si>
  <si>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</si>
  <si>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</si>
  <si>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</si>
  <si>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</si>
  <si>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</si>
  <si>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</si>
  <si>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</si>
  <si>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</si>
  <si>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</si>
  <si>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</si>
  <si>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</si>
  <si>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</si>
  <si>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</si>
  <si>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</si>
  <si>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</si>
  <si>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</si>
  <si>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</si>
  <si>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</si>
  <si>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</si>
  <si>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</si>
  <si>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</si>
  <si>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</si>
  <si>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</si>
  <si>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</si>
  <si>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</si>
  <si>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</si>
  <si>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</si>
  <si>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</si>
  <si>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</si>
  <si>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</si>
  <si>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</si>
  <si>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</si>
  <si>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</si>
  <si>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</si>
  <si>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</si>
  <si>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</si>
  <si>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</si>
  <si>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ABONO 50%, SALDO C/E</t>
  </si>
  <si>
    <t>CARIBE MT 2182</t>
  </si>
  <si>
    <t>CUBIERTA CON RESPALDO R8</t>
  </si>
  <si>
    <t>ALFOMBRAS PAMIR</t>
  </si>
  <si>
    <t>SANTIAGO</t>
  </si>
  <si>
    <t>5 DIAS HABILES</t>
  </si>
  <si>
    <t>DURACION COTIZACION: 5 DIAS                   FRANCO DONOSO</t>
  </si>
  <si>
    <t>N° 10887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</si>
</sst>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5249</xdr:rowOff>
    </xdr:from>
    <xdr:to>
      <xdr:col>8</xdr:col>
      <xdr:colOff>7776</xdr:colOff>
      <xdr:row>30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27</xdr:row>
      <xdr:rowOff>9525</xdr:rowOff>
    </xdr:from>
    <xdr:to>
      <xdr:col>5</xdr:col>
      <xdr:colOff>1749491</xdr:colOff>
      <xdr:row>30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22</xdr:row>
      <xdr:rowOff>223973</xdr:rowOff>
    </xdr:from>
    <xdr:to>
      <xdr:col>5</xdr:col>
      <xdr:colOff>1749490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SOBREMEDIDAS.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topLeftCell="A18" zoomScale="98" zoomScaleNormal="98" workbookViewId="0">
      <selection activeCell="H35" sqref="H35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4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158</v>
      </c>
      <c r="D10" s="243"/>
      <c r="E10" s="243"/>
      <c r="F10" s="244" t="s">
        <v>0</v>
      </c>
      <c r="G10" s="276">
        <v>45379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160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5"/>
      <c r="D15" s="294"/>
      <c r="E15" s="247"/>
      <c r="F15" s="247" t="s">
        <v>136</v>
      </c>
      <c r="G15" s="295" t="s">
        <v>137</v>
      </c>
      <c r="H15" s="248"/>
      <c r="K15" s="18">
        <f>H24/L13</f>
        <v>2149.5218314129775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155</v>
      </c>
      <c r="H16" s="289"/>
    </row>
    <row r="17" spans="1:24" ht="15" thickBot="1" x14ac:dyDescent="0.35">
      <c r="B17" s="296" t="s">
        <v>13</v>
      </c>
      <c r="C17" s="297" t="s">
        <v>159</v>
      </c>
      <c r="D17" s="298"/>
      <c r="E17" s="299"/>
      <c r="F17" s="320" t="s">
        <v>161</v>
      </c>
      <c r="G17" s="320"/>
      <c r="H17" s="321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32" t="s">
        <v>7</v>
      </c>
      <c r="C20" s="333" t="s">
        <v>1</v>
      </c>
      <c r="D20" s="333" t="s">
        <v>10</v>
      </c>
      <c r="E20" s="333" t="s">
        <v>11</v>
      </c>
      <c r="F20" s="333" t="s">
        <v>8</v>
      </c>
      <c r="G20" s="333" t="s">
        <v>5</v>
      </c>
      <c r="H20" s="334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70171.813953488367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35">
        <v>1</v>
      </c>
      <c r="C21" s="336" t="s">
        <v>157</v>
      </c>
      <c r="D21" s="337">
        <v>2.1</v>
      </c>
      <c r="E21" s="337">
        <v>0.45</v>
      </c>
      <c r="F21" s="336" t="s">
        <v>156</v>
      </c>
      <c r="G21" s="338">
        <f>Q21</f>
        <v>70891.23</v>
      </c>
      <c r="H21" s="339">
        <f t="shared" ref="H21" si="1">G21*B21</f>
        <v>70891.23</v>
      </c>
      <c r="I21" s="265"/>
      <c r="J21" s="47"/>
      <c r="K21" s="316">
        <f t="shared" si="0"/>
        <v>1</v>
      </c>
      <c r="L21" s="317">
        <f t="shared" ref="L21:M21" si="2">D21+L$19</f>
        <v>2.15</v>
      </c>
      <c r="M21" s="317">
        <f t="shared" si="2"/>
        <v>0.45</v>
      </c>
      <c r="N21" s="261">
        <f>L21*M21</f>
        <v>0.96750000000000003</v>
      </c>
      <c r="O21" s="259">
        <f>N21*K21</f>
        <v>0.96750000000000003</v>
      </c>
      <c r="P21" s="252">
        <f>P$20*N21</f>
        <v>67891.23</v>
      </c>
      <c r="Q21" s="258">
        <f>P21+Q$20</f>
        <v>70891.23</v>
      </c>
      <c r="R21" s="307">
        <f>K21*L21</f>
        <v>2.15</v>
      </c>
      <c r="S21" s="14"/>
      <c r="T21" s="9"/>
      <c r="W21" s="4"/>
    </row>
    <row r="22" spans="1:24" ht="17.399999999999999" x14ac:dyDescent="0.3">
      <c r="B22" s="285"/>
      <c r="C22" s="285"/>
      <c r="D22" s="286"/>
      <c r="E22" s="286"/>
      <c r="F22" s="285"/>
      <c r="G22" s="311"/>
      <c r="H22" s="311"/>
      <c r="I22" s="265"/>
      <c r="K22" s="318"/>
      <c r="L22" s="319"/>
      <c r="M22" s="319"/>
      <c r="N22" s="261"/>
      <c r="O22" s="259"/>
      <c r="P22" s="252"/>
      <c r="Q22" s="258"/>
      <c r="R22" s="307"/>
      <c r="S22" s="14"/>
      <c r="T22" s="9"/>
      <c r="W22" s="4"/>
    </row>
    <row r="23" spans="1:24" ht="18" thickBot="1" x14ac:dyDescent="0.35">
      <c r="B23" s="285"/>
      <c r="C23" s="285"/>
      <c r="D23" s="286"/>
      <c r="E23" s="286"/>
      <c r="F23" s="285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85"/>
      <c r="C24" s="285"/>
      <c r="D24" s="286"/>
      <c r="E24" s="286"/>
      <c r="F24" s="285"/>
      <c r="G24" s="308" t="s">
        <v>30</v>
      </c>
      <c r="H24" s="309">
        <f>SUM(H21:H23)</f>
        <v>70891.23</v>
      </c>
      <c r="I24" s="265"/>
      <c r="J24" s="47"/>
      <c r="K24" s="47"/>
      <c r="L24" s="39">
        <f>SUM(L21:L23)</f>
        <v>2.15</v>
      </c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79"/>
      <c r="C25" s="282"/>
      <c r="D25" s="283"/>
      <c r="E25" s="283"/>
      <c r="F25" s="284"/>
      <c r="G25" s="306" t="s">
        <v>53</v>
      </c>
      <c r="H25" s="303">
        <f>H24*0.19</f>
        <v>13469.333699999999</v>
      </c>
      <c r="I25" s="265"/>
      <c r="J25" s="47"/>
      <c r="K25" s="47"/>
      <c r="L25" s="39"/>
      <c r="M25" s="12"/>
      <c r="N25" s="12"/>
      <c r="O25" s="253">
        <f>SUM(O21:O21)</f>
        <v>0.96750000000000003</v>
      </c>
      <c r="P25" s="14"/>
      <c r="Q25" s="12"/>
      <c r="R25" s="238"/>
      <c r="S25" s="14"/>
      <c r="T25" s="9"/>
      <c r="W25" s="4"/>
    </row>
    <row r="26" spans="1:24" ht="18" thickBot="1" x14ac:dyDescent="0.35">
      <c r="B26" s="275"/>
      <c r="C26" s="281"/>
      <c r="D26" s="272"/>
      <c r="E26" s="272"/>
      <c r="F26" s="273"/>
      <c r="G26" s="280" t="s">
        <v>6</v>
      </c>
      <c r="H26" s="304">
        <f>H24+H25</f>
        <v>84360.563699999999</v>
      </c>
      <c r="I26" s="265"/>
      <c r="J26" s="47"/>
      <c r="K26" s="47"/>
      <c r="L26" s="39"/>
      <c r="M26" s="12"/>
      <c r="N26" s="12"/>
      <c r="O26" s="253">
        <f>O25</f>
        <v>0.96750000000000003</v>
      </c>
      <c r="P26" s="14"/>
      <c r="Q26" s="12"/>
      <c r="R26" s="238">
        <f>SUM(R21:R25)</f>
        <v>2.15</v>
      </c>
      <c r="S26" s="14"/>
      <c r="T26" s="9"/>
      <c r="W26" s="4"/>
    </row>
    <row r="27" spans="1:24" ht="17.399999999999999" x14ac:dyDescent="0.3">
      <c r="B27" s="275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/>
      <c r="P27" s="39" t="s">
        <v>132</v>
      </c>
      <c r="Q27" s="42"/>
      <c r="R27" s="239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4"/>
      <c r="I28" s="265"/>
      <c r="J28" s="313"/>
      <c r="K28" s="47"/>
      <c r="L28" s="14"/>
      <c r="M28" s="12"/>
      <c r="N28" s="12"/>
      <c r="O28" s="46">
        <f>O26+O27</f>
        <v>0.96750000000000003</v>
      </c>
      <c r="P28" s="14"/>
      <c r="Q28" s="14"/>
      <c r="R28" s="237">
        <v>40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J29" s="313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39">
        <f>O28</f>
        <v>0.96750000000000003</v>
      </c>
      <c r="M30" s="12">
        <v>3500</v>
      </c>
      <c r="N30" s="12">
        <f t="shared" ref="N30:N35" si="3">L30*M30</f>
        <v>3386.25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I31" s="265"/>
      <c r="J31" s="47"/>
      <c r="K31" s="47"/>
      <c r="L31" s="249">
        <v>0.15</v>
      </c>
      <c r="M31" s="12">
        <v>30000</v>
      </c>
      <c r="N31" s="12">
        <f t="shared" si="3"/>
        <v>4500</v>
      </c>
      <c r="O31" s="39" t="s">
        <v>154</v>
      </c>
      <c r="P31" s="42"/>
      <c r="Q31" s="14"/>
      <c r="R31" s="239"/>
      <c r="S31" s="14"/>
      <c r="T31" s="9"/>
      <c r="W31" s="4"/>
    </row>
    <row r="32" spans="1:24" s="230" customFormat="1" ht="17.399999999999999" x14ac:dyDescent="0.35">
      <c r="B32" s="24" t="s">
        <v>153</v>
      </c>
      <c r="I32" s="262"/>
      <c r="J32" s="47"/>
      <c r="K32" s="250"/>
      <c r="L32" s="14"/>
      <c r="M32" s="250">
        <v>150000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146</v>
      </c>
      <c r="C33"/>
      <c r="D33"/>
      <c r="E33"/>
      <c r="F33"/>
      <c r="I33" s="262"/>
      <c r="J33" s="312"/>
      <c r="K33" s="250"/>
      <c r="L33" s="14">
        <v>0.7</v>
      </c>
      <c r="M33" s="250">
        <v>28212</v>
      </c>
      <c r="N33" s="12">
        <f t="shared" si="3"/>
        <v>19748.399999999998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9" t="s">
        <v>127</v>
      </c>
      <c r="C34"/>
      <c r="D34"/>
      <c r="E34"/>
      <c r="F34" s="229" t="s">
        <v>16</v>
      </c>
      <c r="I34" s="262"/>
      <c r="J34" s="312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1.83</v>
      </c>
      <c r="R34" s="237"/>
      <c r="S34" s="237"/>
    </row>
    <row r="35" spans="2:23" s="230" customFormat="1" ht="17.399999999999999" x14ac:dyDescent="0.35">
      <c r="I35" s="302"/>
      <c r="J35" s="47"/>
      <c r="K35" s="250"/>
      <c r="L35" s="266">
        <f>L24</f>
        <v>2.15</v>
      </c>
      <c r="M35" s="12">
        <v>1500</v>
      </c>
      <c r="N35" s="12">
        <f t="shared" si="3"/>
        <v>3225</v>
      </c>
      <c r="O35" s="14" t="s">
        <v>24</v>
      </c>
      <c r="P35" s="14"/>
      <c r="Q35">
        <v>3.66</v>
      </c>
      <c r="R35"/>
      <c r="S35" s="237">
        <v>1500</v>
      </c>
      <c r="W35" s="231"/>
    </row>
    <row r="36" spans="2:23" s="230" customFormat="1" ht="17.399999999999999" x14ac:dyDescent="0.35">
      <c r="I36" s="265"/>
      <c r="J36" s="47"/>
      <c r="K36" s="250"/>
      <c r="L36" s="14"/>
      <c r="M36" s="12"/>
      <c r="N36" s="12">
        <f>SUM(N30:N35)</f>
        <v>30859.649999999998</v>
      </c>
      <c r="O36" s="39" t="s">
        <v>25</v>
      </c>
      <c r="P36" s="14"/>
      <c r="Q36">
        <f>Q34*Q35</f>
        <v>6.6978000000000009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68410</v>
      </c>
      <c r="K37" s="250"/>
      <c r="L37" s="254" t="s">
        <v>35</v>
      </c>
      <c r="M37" s="12"/>
      <c r="N37" s="255">
        <f>N36*2.2</f>
        <v>67891.23</v>
      </c>
      <c r="O37" s="14" t="s">
        <v>142</v>
      </c>
      <c r="P37" s="14"/>
      <c r="Q37" s="46">
        <f>O26/Q36</f>
        <v>0.1444504165546896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57487.394957983197</v>
      </c>
      <c r="K38" s="250"/>
      <c r="L38" s="14"/>
      <c r="M38" s="12"/>
      <c r="N38" s="12">
        <f>N37/O26</f>
        <v>70171.813953488367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0.21147540983606558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45379</v>
      </c>
    </row>
    <row r="6" spans="2:31" ht="16.2" thickBot="1" x14ac:dyDescent="0.35">
      <c r="B6" s="140" t="s">
        <v>2</v>
      </c>
      <c r="C6" s="139" t="str">
        <f>'2229'!C10</f>
        <v>ALFOMBRAS PAMIR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3" t="s">
        <v>100</v>
      </c>
      <c r="I7" s="324"/>
      <c r="J7" s="324"/>
      <c r="K7" s="325"/>
      <c r="N7" s="75"/>
      <c r="O7" s="32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10887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-1442.1112834541054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70891.23</v>
      </c>
      <c r="E11" s="132">
        <f>D11*0.19</f>
        <v>13469.333699999999</v>
      </c>
      <c r="F11" s="131">
        <f>E11+D11</f>
        <v>84360.563699999999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104547.88871654589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37720.340787439614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86547.888716545887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33170.889212560382</v>
      </c>
      <c r="E13" s="221">
        <f>(D11/D12)-1</f>
        <v>0.8793899662647231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77547.888716545887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38547.888716545895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62238.562299275363</v>
      </c>
      <c r="F15" s="216">
        <f>E15-D12</f>
        <v>24518.221511835749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38547.888716545895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78547.888716545887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4500</v>
      </c>
      <c r="E19" s="123">
        <f>D19*0.19</f>
        <v>855</v>
      </c>
      <c r="F19" s="120">
        <f>SUM(D19:E19)</f>
        <v>5355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3386.25</v>
      </c>
      <c r="E20" s="121">
        <f>D20*0.19</f>
        <v>643.38750000000005</v>
      </c>
      <c r="F20" s="120">
        <f>SUM(D20:E20)</f>
        <v>4029.6374999999998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7886.25</v>
      </c>
      <c r="E21" s="116">
        <f>SUM(E18:E20)</f>
        <v>1498.3875</v>
      </c>
      <c r="F21" s="115">
        <f>SUM(F18:F20)</f>
        <v>9384.6375000000007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11970.946199999998</v>
      </c>
    </row>
    <row r="41" spans="2:16" ht="15" thickBot="1" x14ac:dyDescent="0.35">
      <c r="H41" s="326" t="s">
        <v>62</v>
      </c>
      <c r="I41" s="327"/>
      <c r="J41" s="327"/>
      <c r="K41" s="327"/>
      <c r="L41" s="327"/>
      <c r="M41" s="32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70891.23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7886.25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33170.889212560382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33170.889212560382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2024-03-28T13:51:54Z</cp:lastPrinted>
  <dcterms:created xsi:type="dcterms:W3CDTF">2013-03-18T13:35:42Z</dcterms:created>
  <dcterms:modified xsi:type="dcterms:W3CDTF">2024-03-28T13:52:13Z</dcterms:modified>
</cp:coreProperties>
</file>