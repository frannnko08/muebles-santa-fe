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ABEC2D67-7B8D-4CCA-B127-66EAC2DE2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EPCION" sheetId="6" r:id="rId1"/>
    <sheet name="escritorio" sheetId="5" r:id="rId2"/>
    <sheet name="cubiertas" sheetId="4" r:id="rId3"/>
    <sheet name="puertas" sheetId="1" r:id="rId4"/>
    <sheet name="COSTOS" sheetId="3" r:id="rId5"/>
  </sheets>
  <definedNames>
    <definedName name="_xlnm.Print_Area" localSheetId="2">cubiertas!$B$1:$I$37</definedName>
    <definedName name="_xlnm.Print_Area" localSheetId="1">escritorio!$B$1:$I$38</definedName>
    <definedName name="_xlnm.Print_Area" localSheetId="3">puertas!$B$1:$I$105</definedName>
    <definedName name="_xlnm.Print_Area" localSheetId="0">RECEPCION!$B$1:$I$37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8" i="6" l="1"/>
  <c r="K40" i="6"/>
  <c r="U38" i="6"/>
  <c r="S38" i="6"/>
  <c r="P37" i="6"/>
  <c r="P36" i="6"/>
  <c r="P35" i="6"/>
  <c r="P34" i="6"/>
  <c r="P33" i="6"/>
  <c r="O23" i="6"/>
  <c r="N23" i="6"/>
  <c r="U23" i="6" s="1"/>
  <c r="M23" i="6"/>
  <c r="L23" i="6"/>
  <c r="I23" i="6"/>
  <c r="O22" i="6"/>
  <c r="N22" i="6"/>
  <c r="M22" i="6"/>
  <c r="P22" i="6" s="1"/>
  <c r="L22" i="6"/>
  <c r="U22" i="6" s="1"/>
  <c r="I22" i="6"/>
  <c r="O21" i="6"/>
  <c r="N21" i="6"/>
  <c r="M21" i="6"/>
  <c r="P21" i="6" s="1"/>
  <c r="L21" i="6"/>
  <c r="I21" i="6"/>
  <c r="N20" i="6"/>
  <c r="L20" i="6"/>
  <c r="I23" i="5"/>
  <c r="I24" i="5"/>
  <c r="T28" i="5"/>
  <c r="T27" i="5"/>
  <c r="T26" i="5"/>
  <c r="T25" i="5"/>
  <c r="U25" i="5"/>
  <c r="U22" i="5"/>
  <c r="U23" i="5"/>
  <c r="U24" i="5"/>
  <c r="Q30" i="5"/>
  <c r="Q28" i="5"/>
  <c r="L23" i="5"/>
  <c r="M23" i="5"/>
  <c r="P23" i="5" s="1"/>
  <c r="N23" i="5"/>
  <c r="O23" i="5"/>
  <c r="L24" i="5"/>
  <c r="M24" i="5"/>
  <c r="N24" i="5"/>
  <c r="O24" i="5"/>
  <c r="T24" i="5"/>
  <c r="Q21" i="6" l="1"/>
  <c r="U21" i="6"/>
  <c r="U24" i="6" s="1"/>
  <c r="Q22" i="6"/>
  <c r="I26" i="6"/>
  <c r="I27" i="6" s="1"/>
  <c r="I28" i="6" s="1"/>
  <c r="T23" i="6"/>
  <c r="T21" i="6"/>
  <c r="T22" i="6"/>
  <c r="T24" i="6" s="1"/>
  <c r="P23" i="6"/>
  <c r="Q23" i="6" s="1"/>
  <c r="Q27" i="6" s="1"/>
  <c r="Q28" i="6" s="1"/>
  <c r="P24" i="5"/>
  <c r="Q24" i="5" s="1"/>
  <c r="T23" i="5"/>
  <c r="Q23" i="5"/>
  <c r="T49" i="5"/>
  <c r="K41" i="5"/>
  <c r="U39" i="5"/>
  <c r="S39" i="5"/>
  <c r="P38" i="5"/>
  <c r="P37" i="5"/>
  <c r="P36" i="5"/>
  <c r="P35" i="5"/>
  <c r="P34" i="5"/>
  <c r="O22" i="5"/>
  <c r="N22" i="5"/>
  <c r="M22" i="5"/>
  <c r="T22" i="5" s="1"/>
  <c r="L22" i="5"/>
  <c r="I22" i="5"/>
  <c r="O21" i="5"/>
  <c r="N21" i="5"/>
  <c r="U21" i="5" s="1"/>
  <c r="M21" i="5"/>
  <c r="L21" i="5"/>
  <c r="I21" i="5"/>
  <c r="N20" i="5"/>
  <c r="L20" i="5"/>
  <c r="L22" i="4"/>
  <c r="M22" i="4"/>
  <c r="N22" i="4"/>
  <c r="O22" i="4"/>
  <c r="I22" i="4"/>
  <c r="O21" i="4"/>
  <c r="L21" i="4"/>
  <c r="T48" i="4"/>
  <c r="K40" i="4"/>
  <c r="U38" i="4"/>
  <c r="S38" i="4"/>
  <c r="P37" i="4"/>
  <c r="P36" i="4"/>
  <c r="P35" i="4"/>
  <c r="P34" i="4"/>
  <c r="P33" i="4"/>
  <c r="N21" i="4"/>
  <c r="M21" i="4"/>
  <c r="M23" i="4" s="1"/>
  <c r="I21" i="4"/>
  <c r="N20" i="4"/>
  <c r="L20" i="4"/>
  <c r="L15" i="6" l="1"/>
  <c r="T25" i="6"/>
  <c r="T26" i="6"/>
  <c r="T27" i="6" s="1"/>
  <c r="Q29" i="6"/>
  <c r="Q30" i="6" s="1"/>
  <c r="M32" i="6" s="1"/>
  <c r="P32" i="6" s="1"/>
  <c r="P38" i="6" s="1"/>
  <c r="P39" i="6" s="1"/>
  <c r="U39" i="6"/>
  <c r="S39" i="6"/>
  <c r="P21" i="5"/>
  <c r="Q21" i="5" s="1"/>
  <c r="I27" i="5"/>
  <c r="L15" i="5" s="1"/>
  <c r="T21" i="5"/>
  <c r="P22" i="5"/>
  <c r="Q22" i="5" s="1"/>
  <c r="T22" i="4"/>
  <c r="P22" i="4"/>
  <c r="Q22" i="4" s="1"/>
  <c r="T21" i="4"/>
  <c r="U21" i="4"/>
  <c r="P21" i="4"/>
  <c r="Q21" i="4" s="1"/>
  <c r="I26" i="4"/>
  <c r="P40" i="6" l="1"/>
  <c r="R20" i="6" s="1"/>
  <c r="P41" i="6"/>
  <c r="Q29" i="5"/>
  <c r="U40" i="5" s="1"/>
  <c r="I28" i="5"/>
  <c r="I29" i="5" s="1"/>
  <c r="Q27" i="4"/>
  <c r="Q28" i="4" s="1"/>
  <c r="U23" i="4"/>
  <c r="T23" i="4"/>
  <c r="I27" i="4"/>
  <c r="I28" i="4" s="1"/>
  <c r="L15" i="4"/>
  <c r="R21" i="6" l="1"/>
  <c r="S21" i="6" s="1"/>
  <c r="R22" i="6"/>
  <c r="S22" i="6" s="1"/>
  <c r="R23" i="6"/>
  <c r="S23" i="6" s="1"/>
  <c r="Q31" i="5"/>
  <c r="M33" i="5" s="1"/>
  <c r="P33" i="5" s="1"/>
  <c r="P39" i="5" s="1"/>
  <c r="P40" i="5" s="1"/>
  <c r="S40" i="5"/>
  <c r="T24" i="4"/>
  <c r="T25" i="4" s="1"/>
  <c r="T26" i="4" s="1"/>
  <c r="S39" i="4"/>
  <c r="Q30" i="4"/>
  <c r="U39" i="4"/>
  <c r="S24" i="6" l="1"/>
  <c r="P41" i="5"/>
  <c r="R20" i="5" s="1"/>
  <c r="P42" i="5"/>
  <c r="M32" i="4"/>
  <c r="P32" i="4" s="1"/>
  <c r="P38" i="4" s="1"/>
  <c r="P39" i="4" s="1"/>
  <c r="R22" i="5" l="1"/>
  <c r="S22" i="5" s="1"/>
  <c r="R24" i="5"/>
  <c r="S24" i="5" s="1"/>
  <c r="R23" i="5"/>
  <c r="S23" i="5" s="1"/>
  <c r="R21" i="5"/>
  <c r="S21" i="5" s="1"/>
  <c r="P40" i="4"/>
  <c r="R20" i="4" s="1"/>
  <c r="P41" i="4"/>
  <c r="S25" i="5" l="1"/>
  <c r="R21" i="4"/>
  <c r="S21" i="4" s="1"/>
  <c r="R22" i="4"/>
  <c r="S22" i="4" s="1"/>
  <c r="S24" i="4" l="1"/>
  <c r="S116" i="1" l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T106" i="1"/>
  <c r="T89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21" i="1"/>
  <c r="S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21" i="1"/>
  <c r="M23" i="1"/>
  <c r="M24" i="1"/>
  <c r="O24" i="1"/>
  <c r="M25" i="1"/>
  <c r="M26" i="1"/>
  <c r="M27" i="1"/>
  <c r="O27" i="1" s="1"/>
  <c r="P27" i="1" s="1"/>
  <c r="M28" i="1"/>
  <c r="M29" i="1"/>
  <c r="M30" i="1"/>
  <c r="M31" i="1"/>
  <c r="O31" i="1"/>
  <c r="P31" i="1" s="1"/>
  <c r="M32" i="1"/>
  <c r="O32" i="1" s="1"/>
  <c r="M33" i="1"/>
  <c r="M34" i="1"/>
  <c r="O34" i="1" s="1"/>
  <c r="M35" i="1"/>
  <c r="O35" i="1"/>
  <c r="P35" i="1" s="1"/>
  <c r="M36" i="1"/>
  <c r="M37" i="1"/>
  <c r="M38" i="1"/>
  <c r="M39" i="1"/>
  <c r="O39" i="1" s="1"/>
  <c r="P39" i="1" s="1"/>
  <c r="M40" i="1"/>
  <c r="M41" i="1"/>
  <c r="M42" i="1"/>
  <c r="O42" i="1"/>
  <c r="M43" i="1"/>
  <c r="O43" i="1" s="1"/>
  <c r="P43" i="1" s="1"/>
  <c r="M44" i="1"/>
  <c r="M45" i="1"/>
  <c r="M46" i="1"/>
  <c r="M47" i="1"/>
  <c r="O47" i="1"/>
  <c r="P47" i="1" s="1"/>
  <c r="M48" i="1"/>
  <c r="O48" i="1" s="1"/>
  <c r="M49" i="1"/>
  <c r="M50" i="1"/>
  <c r="O50" i="1"/>
  <c r="M51" i="1"/>
  <c r="O51" i="1"/>
  <c r="P51" i="1" s="1"/>
  <c r="M52" i="1"/>
  <c r="M53" i="1"/>
  <c r="M54" i="1"/>
  <c r="M55" i="1"/>
  <c r="O55" i="1"/>
  <c r="P55" i="1" s="1"/>
  <c r="M56" i="1"/>
  <c r="O56" i="1" s="1"/>
  <c r="M57" i="1"/>
  <c r="M58" i="1"/>
  <c r="O58" i="1" s="1"/>
  <c r="M59" i="1"/>
  <c r="M60" i="1"/>
  <c r="M61" i="1"/>
  <c r="M62" i="1"/>
  <c r="M63" i="1"/>
  <c r="O63" i="1"/>
  <c r="P63" i="1" s="1"/>
  <c r="M64" i="1"/>
  <c r="M65" i="1"/>
  <c r="M66" i="1"/>
  <c r="M67" i="1"/>
  <c r="O67" i="1"/>
  <c r="P67" i="1" s="1"/>
  <c r="M68" i="1"/>
  <c r="O68" i="1" s="1"/>
  <c r="M69" i="1"/>
  <c r="M70" i="1"/>
  <c r="O70" i="1" s="1"/>
  <c r="M71" i="1"/>
  <c r="M72" i="1"/>
  <c r="O72" i="1" s="1"/>
  <c r="M73" i="1"/>
  <c r="M74" i="1"/>
  <c r="M75" i="1"/>
  <c r="O75" i="1"/>
  <c r="P75" i="1" s="1"/>
  <c r="M76" i="1"/>
  <c r="O76" i="1"/>
  <c r="P76" i="1" s="1"/>
  <c r="M77" i="1"/>
  <c r="M78" i="1"/>
  <c r="M79" i="1"/>
  <c r="O79" i="1"/>
  <c r="P79" i="1" s="1"/>
  <c r="M80" i="1"/>
  <c r="O80" i="1"/>
  <c r="M81" i="1"/>
  <c r="M82" i="1"/>
  <c r="M83" i="1"/>
  <c r="O83" i="1" s="1"/>
  <c r="P83" i="1" s="1"/>
  <c r="M84" i="1"/>
  <c r="M85" i="1"/>
  <c r="M86" i="1"/>
  <c r="M87" i="1"/>
  <c r="O87" i="1"/>
  <c r="P87" i="1" s="1"/>
  <c r="M88" i="1"/>
  <c r="M89" i="1"/>
  <c r="I22" i="1"/>
  <c r="I94" i="1" l="1"/>
  <c r="T91" i="1"/>
  <c r="S91" i="1"/>
  <c r="O77" i="1"/>
  <c r="O45" i="1"/>
  <c r="O53" i="1"/>
  <c r="O41" i="1"/>
  <c r="O37" i="1"/>
  <c r="O85" i="1"/>
  <c r="O81" i="1"/>
  <c r="O29" i="1"/>
  <c r="P29" i="1" s="1"/>
  <c r="O25" i="1"/>
  <c r="O86" i="1"/>
  <c r="O82" i="1"/>
  <c r="P82" i="1" s="1"/>
  <c r="O73" i="1"/>
  <c r="P73" i="1" s="1"/>
  <c r="O69" i="1"/>
  <c r="O64" i="1"/>
  <c r="O59" i="1"/>
  <c r="P59" i="1" s="1"/>
  <c r="O49" i="1"/>
  <c r="P49" i="1" s="1"/>
  <c r="O44" i="1"/>
  <c r="O40" i="1"/>
  <c r="O26" i="1"/>
  <c r="P26" i="1" s="1"/>
  <c r="O74" i="1"/>
  <c r="P74" i="1" s="1"/>
  <c r="O65" i="1"/>
  <c r="O23" i="1"/>
  <c r="P23" i="1" s="1"/>
  <c r="O89" i="1"/>
  <c r="P89" i="1" s="1"/>
  <c r="O84" i="1"/>
  <c r="P84" i="1" s="1"/>
  <c r="O78" i="1"/>
  <c r="O71" i="1"/>
  <c r="P71" i="1" s="1"/>
  <c r="O66" i="1"/>
  <c r="P66" i="1" s="1"/>
  <c r="O61" i="1"/>
  <c r="O57" i="1"/>
  <c r="O52" i="1"/>
  <c r="O38" i="1"/>
  <c r="P38" i="1" s="1"/>
  <c r="O33" i="1"/>
  <c r="P33" i="1" s="1"/>
  <c r="O28" i="1"/>
  <c r="P72" i="1"/>
  <c r="O60" i="1"/>
  <c r="P60" i="1" s="1"/>
  <c r="O54" i="1"/>
  <c r="O88" i="1"/>
  <c r="P80" i="1"/>
  <c r="O62" i="1"/>
  <c r="P62" i="1" s="1"/>
  <c r="O46" i="1"/>
  <c r="P46" i="1" s="1"/>
  <c r="O36" i="1"/>
  <c r="O30" i="1"/>
  <c r="P30" i="1" s="1"/>
  <c r="P78" i="1"/>
  <c r="P64" i="1"/>
  <c r="P58" i="1"/>
  <c r="P54" i="1"/>
  <c r="P48" i="1"/>
  <c r="P37" i="1"/>
  <c r="P32" i="1"/>
  <c r="P85" i="1"/>
  <c r="P70" i="1"/>
  <c r="P65" i="1"/>
  <c r="P50" i="1"/>
  <c r="P44" i="1"/>
  <c r="P28" i="1"/>
  <c r="P24" i="1"/>
  <c r="P53" i="1"/>
  <c r="P88" i="1"/>
  <c r="P61" i="1"/>
  <c r="P56" i="1"/>
  <c r="P45" i="1"/>
  <c r="P40" i="1"/>
  <c r="P36" i="1"/>
  <c r="P34" i="1"/>
  <c r="P81" i="1"/>
  <c r="P69" i="1"/>
  <c r="P86" i="1"/>
  <c r="P77" i="1"/>
  <c r="P68" i="1"/>
  <c r="P57" i="1"/>
  <c r="P52" i="1"/>
  <c r="P42" i="1"/>
  <c r="P41" i="1"/>
  <c r="P25" i="1"/>
  <c r="K108" i="1"/>
  <c r="S92" i="1" l="1"/>
  <c r="S93" i="1" s="1"/>
  <c r="S94" i="1" s="1"/>
  <c r="M22" i="1"/>
  <c r="O22" i="1" l="1"/>
  <c r="P22" i="1" s="1"/>
  <c r="M21" i="1" l="1"/>
  <c r="O21" i="1" l="1"/>
  <c r="P21" i="1" s="1"/>
  <c r="P95" i="1" s="1"/>
  <c r="O101" i="1"/>
  <c r="P96" i="1" l="1"/>
  <c r="T107" i="1" l="1"/>
  <c r="R107" i="1"/>
  <c r="N20" i="1"/>
  <c r="L20" i="1"/>
  <c r="O102" i="1" l="1"/>
  <c r="R106" i="1"/>
  <c r="O10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105" i="1"/>
  <c r="O104" i="1"/>
  <c r="F18" i="3" l="1"/>
  <c r="P98" i="1" l="1"/>
  <c r="M100" i="1" s="1"/>
  <c r="O100" i="1" l="1"/>
  <c r="O106" i="1" l="1"/>
  <c r="O107" i="1" s="1"/>
  <c r="D20" i="3"/>
  <c r="E20" i="3" s="1"/>
  <c r="E21" i="3" s="1"/>
  <c r="O109" i="1" l="1"/>
  <c r="D21" i="3"/>
  <c r="M43" i="3" s="1"/>
  <c r="D12" i="3" s="1"/>
  <c r="F20" i="3"/>
  <c r="F21" i="3" s="1"/>
  <c r="O108" i="1" l="1"/>
  <c r="Q20" i="1" s="1"/>
  <c r="E15" i="3"/>
  <c r="Q48" i="1" l="1"/>
  <c r="R48" i="1" s="1"/>
  <c r="Q32" i="1"/>
  <c r="R32" i="1" s="1"/>
  <c r="Q65" i="1"/>
  <c r="R65" i="1" s="1"/>
  <c r="Q28" i="1"/>
  <c r="R28" i="1" s="1"/>
  <c r="Q60" i="1"/>
  <c r="R60" i="1" s="1"/>
  <c r="Q88" i="1"/>
  <c r="R88" i="1" s="1"/>
  <c r="Q61" i="1"/>
  <c r="R61" i="1" s="1"/>
  <c r="Q40" i="1"/>
  <c r="R40" i="1" s="1"/>
  <c r="Q81" i="1"/>
  <c r="R81" i="1" s="1"/>
  <c r="Q77" i="1"/>
  <c r="R77" i="1" s="1"/>
  <c r="Q68" i="1"/>
  <c r="R68" i="1" s="1"/>
  <c r="Q52" i="1"/>
  <c r="R52" i="1" s="1"/>
  <c r="Q41" i="1"/>
  <c r="R41" i="1" s="1"/>
  <c r="Q87" i="1"/>
  <c r="R87" i="1" s="1"/>
  <c r="Q71" i="1"/>
  <c r="R71" i="1" s="1"/>
  <c r="Q55" i="1"/>
  <c r="R55" i="1" s="1"/>
  <c r="Q39" i="1"/>
  <c r="R39" i="1" s="1"/>
  <c r="Q23" i="1"/>
  <c r="R23" i="1" s="1"/>
  <c r="Q80" i="1"/>
  <c r="R80" i="1" s="1"/>
  <c r="Q78" i="1"/>
  <c r="R78" i="1" s="1"/>
  <c r="Q58" i="1"/>
  <c r="R58" i="1" s="1"/>
  <c r="Q82" i="1"/>
  <c r="R82" i="1" s="1"/>
  <c r="Q49" i="1"/>
  <c r="R49" i="1" s="1"/>
  <c r="Q38" i="1"/>
  <c r="R38" i="1" s="1"/>
  <c r="Q66" i="1"/>
  <c r="R66" i="1" s="1"/>
  <c r="Q46" i="1"/>
  <c r="R46" i="1" s="1"/>
  <c r="Q34" i="1"/>
  <c r="R34" i="1" s="1"/>
  <c r="Q29" i="1"/>
  <c r="R29" i="1" s="1"/>
  <c r="Q26" i="1"/>
  <c r="R26" i="1" s="1"/>
  <c r="Q83" i="1"/>
  <c r="R83" i="1" s="1"/>
  <c r="Q67" i="1"/>
  <c r="R67" i="1" s="1"/>
  <c r="Q51" i="1"/>
  <c r="R51" i="1" s="1"/>
  <c r="Q35" i="1"/>
  <c r="R35" i="1" s="1"/>
  <c r="Q72" i="1"/>
  <c r="R72" i="1" s="1"/>
  <c r="Q64" i="1"/>
  <c r="R64" i="1" s="1"/>
  <c r="Q44" i="1"/>
  <c r="R44" i="1" s="1"/>
  <c r="Q24" i="1"/>
  <c r="R24" i="1" s="1"/>
  <c r="Q53" i="1"/>
  <c r="R53" i="1" s="1"/>
  <c r="Q56" i="1"/>
  <c r="R56" i="1" s="1"/>
  <c r="Q36" i="1"/>
  <c r="R36" i="1" s="1"/>
  <c r="Q69" i="1"/>
  <c r="R69" i="1" s="1"/>
  <c r="Q79" i="1"/>
  <c r="R79" i="1" s="1"/>
  <c r="Q63" i="1"/>
  <c r="R63" i="1" s="1"/>
  <c r="Q47" i="1"/>
  <c r="R47" i="1" s="1"/>
  <c r="Q31" i="1"/>
  <c r="R31" i="1" s="1"/>
  <c r="Q84" i="1"/>
  <c r="R84" i="1" s="1"/>
  <c r="Q76" i="1"/>
  <c r="R76" i="1" s="1"/>
  <c r="Q54" i="1"/>
  <c r="R54" i="1" s="1"/>
  <c r="Q37" i="1"/>
  <c r="R37" i="1" s="1"/>
  <c r="Q85" i="1"/>
  <c r="R85" i="1" s="1"/>
  <c r="Q70" i="1"/>
  <c r="R70" i="1" s="1"/>
  <c r="Q50" i="1"/>
  <c r="R50" i="1" s="1"/>
  <c r="Q33" i="1"/>
  <c r="R33" i="1" s="1"/>
  <c r="Q73" i="1"/>
  <c r="R73" i="1" s="1"/>
  <c r="Q62" i="1"/>
  <c r="R62" i="1" s="1"/>
  <c r="Q45" i="1"/>
  <c r="R45" i="1" s="1"/>
  <c r="Q30" i="1"/>
  <c r="R30" i="1" s="1"/>
  <c r="Q89" i="1"/>
  <c r="R89" i="1" s="1"/>
  <c r="Q86" i="1"/>
  <c r="R86" i="1" s="1"/>
  <c r="Q74" i="1"/>
  <c r="R74" i="1" s="1"/>
  <c r="Q57" i="1"/>
  <c r="R57" i="1" s="1"/>
  <c r="Q42" i="1"/>
  <c r="R42" i="1" s="1"/>
  <c r="Q25" i="1"/>
  <c r="R25" i="1" s="1"/>
  <c r="Q75" i="1"/>
  <c r="R75" i="1" s="1"/>
  <c r="Q59" i="1"/>
  <c r="R59" i="1" s="1"/>
  <c r="Q43" i="1"/>
  <c r="R43" i="1" s="1"/>
  <c r="Q27" i="1"/>
  <c r="R27" i="1" s="1"/>
  <c r="Q22" i="1"/>
  <c r="Q21" i="1"/>
  <c r="F15" i="3"/>
  <c r="R22" i="1" l="1"/>
  <c r="R21" i="1"/>
  <c r="I21" i="1" s="1"/>
  <c r="L15" i="1" l="1"/>
  <c r="I95" i="1" l="1"/>
  <c r="I9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<sst xmlns="http://schemas.openxmlformats.org/spreadsheetml/2006/main" count="742" uniqueCount="204">
  <si>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</si>
  <si>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</si>
  <si>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</si>
  <si>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</si>
  <si>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</si>
  <si>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</si>
  <si>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</si>
  <si>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</si>
  <si>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</si>
  <si>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</si>
  <si>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</si>
  <si>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</si>
  <si>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</si>
  <si>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</si>
  <si>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</si>
  <si>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</si>
  <si>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</si>
  <si>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</si>
  <si>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</si>
  <si>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</si>
  <si>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</si>
  <si>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</si>
  <si>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</si>
  <si>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</si>
  <si>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</si>
  <si>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</si>
  <si>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</si>
  <si>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</si>
  <si>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</si>
  <si>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</si>
  <si>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</si>
  <si>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</si>
  <si>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</si>
  <si>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</si>
  <si>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</si>
  <si>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</si>
  <si>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</si>
  <si>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</si>
  <si>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</si>
  <si>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</si>
  <si>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</si>
  <si>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</si>
  <si>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</si>
  <si>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</si>
  <si>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</si>
  <si>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</si>
  <si>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</si>
  <si>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</si>
  <si>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</si>
  <si>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</si>
  <si>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</si>
  <si>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</si>
  <si>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</si>
  <si>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</si>
  <si>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</si>
  <si>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</si>
  <si>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</si>
  <si>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</si>
  <si>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</si>
  <si>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</si>
  <si>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</si>
  <si>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</si>
  <si>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</si>
  <si>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</si>
  <si>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</si>
  <si>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</si>
  <si>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</si>
  <si>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</si>
  <si>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</si>
  <si>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</si>
  <si>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</si>
  <si>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</si>
  <si>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</si>
  <si>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</si>
  <si>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</si>
  <si>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</si>
  <si>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</si>
  <si>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</si>
  <si>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</si>
  <si>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</si>
  <si>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</si>
  <si>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</si>
  <si>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</si>
  <si>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</si>
  <si>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</si>
  <si>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</si>
  <si>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</si>
  <si>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</si>
  <si>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</si>
  <si>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</si>
  <si>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</si>
  <si>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</si>
  <si>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</si>
  <si>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</si>
  <si>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</si>
  <si>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</si>
  <si>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</si>
  <si>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</si>
  <si>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</si>
  <si>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</si>
  <si>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</si>
  <si>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</si>
  <si>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</si>
  <si>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</si>
  <si>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</si>
  <si>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</si>
  <si>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</si>
  <si>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</si>
  <si>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</si>
  <si>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</si>
  <si>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</si>
  <si>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</si>
  <si>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</si>
  <si>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</si>
  <si>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</si>
  <si>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</si>
  <si>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</si>
  <si>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</si>
  <si>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</si>
  <si>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</si>
  <si>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</si>
  <si>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</si>
  <si>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</si>
  <si>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</si>
  <si>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</si>
  <si>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</si>
  <si>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</si>
  <si>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</si>
  <si>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</si>
  <si>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</si>
  <si>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</si>
  <si>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</si>
  <si>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</si>
  <si>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</si>
  <si>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</si>
  <si>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</si>
  <si>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</si>
  <si>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</si>
  <si>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</si>
  <si>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</si>
  <si>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</si>
  <si>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</si>
  <si>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</si>
  <si>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</si>
  <si>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</si>
  <si>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</si>
  <si>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</si>
  <si>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</si>
  <si>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</si>
  <si>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</si>
  <si>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</si>
  <si>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</si>
  <si>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</si>
  <si>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ABONO 50%, SALDO C/E</t>
  </si>
  <si>
    <t>CONSTRUCTORA BIECSA LTDA</t>
  </si>
  <si>
    <t>76.110.601-5</t>
  </si>
  <si>
    <t>FRANCISCO ZURITA</t>
  </si>
  <si>
    <t>+56956629251</t>
  </si>
  <si>
    <t>10 DIAS HABILES</t>
  </si>
  <si>
    <t>N° 10779</t>
  </si>
  <si>
    <t>ENCHAPE RECTO 2 CARAS</t>
  </si>
  <si>
    <t>MUEBLE</t>
  </si>
  <si>
    <t>VAINILLA 2109 MT</t>
  </si>
  <si>
    <t>M4</t>
  </si>
  <si>
    <t>MINT 2236 MT</t>
  </si>
  <si>
    <t>BLEEN 2224 MT</t>
  </si>
  <si>
    <t>M5</t>
  </si>
  <si>
    <t>M6</t>
  </si>
  <si>
    <t>M3</t>
  </si>
  <si>
    <t>M2</t>
  </si>
  <si>
    <t xml:space="preserve">M6 </t>
  </si>
  <si>
    <t>M11</t>
  </si>
  <si>
    <t>M12</t>
  </si>
  <si>
    <t>CARBON</t>
  </si>
  <si>
    <t>CARBON 2192 MT</t>
  </si>
  <si>
    <t>M14</t>
  </si>
  <si>
    <t>M17</t>
  </si>
  <si>
    <t>M22</t>
  </si>
  <si>
    <t>E1</t>
  </si>
  <si>
    <t>M3a</t>
  </si>
  <si>
    <t>M8</t>
  </si>
  <si>
    <t>M7</t>
  </si>
  <si>
    <t>M13</t>
  </si>
  <si>
    <t>M16</t>
  </si>
  <si>
    <t>M18</t>
  </si>
  <si>
    <t>M20</t>
  </si>
  <si>
    <t>M15</t>
  </si>
  <si>
    <t>M21</t>
  </si>
  <si>
    <t>MINT</t>
  </si>
  <si>
    <t>BLEEN</t>
  </si>
  <si>
    <t>VAINILLA</t>
  </si>
  <si>
    <t>LAMINAS</t>
  </si>
  <si>
    <t>MDF</t>
  </si>
  <si>
    <t>TAPACANTO</t>
  </si>
  <si>
    <t>MDF18MM</t>
  </si>
  <si>
    <t>CUB C/R R6</t>
  </si>
  <si>
    <t>LAMINADO</t>
  </si>
  <si>
    <t>LAMINA 153X366</t>
  </si>
  <si>
    <t>TAPACANTO PVC REGRUESO</t>
  </si>
  <si>
    <t>DESFONDADOS</t>
  </si>
  <si>
    <t>CUB C/R R7</t>
  </si>
  <si>
    <t>GREY 27199 ANTIHUELLAS</t>
  </si>
  <si>
    <t>BALANCE</t>
  </si>
  <si>
    <t>E/R 2 CARAS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</si>
</sst>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99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8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41" fontId="3" fillId="0" borderId="0" xfId="4" applyFont="1" applyFill="1" applyBorder="1" applyAlignment="1">
      <alignment horizontal="right"/>
    </xf>
    <xf numFmtId="41" fontId="3" fillId="0" borderId="0" xfId="4" applyFont="1" applyFill="1" applyBorder="1" applyAlignment="1">
      <alignment horizontal="center"/>
    </xf>
    <xf numFmtId="169" fontId="3" fillId="0" borderId="0" xfId="2" applyNumberFormat="1" applyFont="1" applyFill="1" applyBorder="1" applyAlignment="1">
      <alignment horizontal="center"/>
    </xf>
    <xf numFmtId="171" fontId="3" fillId="0" borderId="0" xfId="0" applyNumberFormat="1" applyFont="1" applyAlignment="1">
      <alignment horizontal="center"/>
    </xf>
    <xf numFmtId="167" fontId="0" fillId="21" borderId="0" xfId="0" applyNumberFormat="1" applyFill="1"/>
    <xf numFmtId="166" fontId="3" fillId="21" borderId="0" xfId="0" applyNumberFormat="1" applyFont="1" applyFill="1"/>
    <xf numFmtId="166" fontId="3" fillId="21" borderId="0" xfId="0" applyNumberFormat="1" applyFont="1" applyFill="1" applyAlignment="1">
      <alignment horizontal="center"/>
    </xf>
    <xf numFmtId="169" fontId="3" fillId="21" borderId="0" xfId="0" applyNumberFormat="1" applyFont="1" applyFill="1" applyAlignment="1">
      <alignment horizontal="center"/>
    </xf>
    <xf numFmtId="41" fontId="3" fillId="21" borderId="0" xfId="4" applyFont="1" applyFill="1" applyBorder="1" applyAlignment="1">
      <alignment horizontal="right"/>
    </xf>
    <xf numFmtId="41" fontId="3" fillId="21" borderId="0" xfId="4" applyFont="1" applyFill="1" applyBorder="1" applyAlignment="1">
      <alignment horizontal="center"/>
    </xf>
    <xf numFmtId="169" fontId="3" fillId="21" borderId="0" xfId="2" applyNumberFormat="1" applyFont="1" applyFill="1" applyBorder="1" applyAlignment="1">
      <alignment horizontal="center"/>
    </xf>
    <xf numFmtId="171" fontId="3" fillId="21" borderId="0" xfId="0" applyNumberFormat="1" applyFont="1" applyFill="1" applyAlignment="1">
      <alignment horizontal="center"/>
    </xf>
    <xf numFmtId="167" fontId="0" fillId="22" borderId="0" xfId="0" applyNumberFormat="1" applyFill="1"/>
    <xf numFmtId="166" fontId="3" fillId="22" borderId="0" xfId="0" applyNumberFormat="1" applyFont="1" applyFill="1"/>
    <xf numFmtId="166" fontId="3" fillId="22" borderId="0" xfId="0" applyNumberFormat="1" applyFont="1" applyFill="1" applyAlignment="1">
      <alignment horizontal="center"/>
    </xf>
    <xf numFmtId="169" fontId="3" fillId="22" borderId="0" xfId="0" applyNumberFormat="1" applyFont="1" applyFill="1" applyAlignment="1">
      <alignment horizontal="center"/>
    </xf>
    <xf numFmtId="41" fontId="3" fillId="22" borderId="0" xfId="4" applyFont="1" applyFill="1" applyBorder="1" applyAlignment="1">
      <alignment horizontal="right"/>
    </xf>
    <xf numFmtId="41" fontId="3" fillId="22" borderId="0" xfId="4" applyFont="1" applyFill="1" applyBorder="1" applyAlignment="1">
      <alignment horizontal="center"/>
    </xf>
    <xf numFmtId="169" fontId="3" fillId="22" borderId="0" xfId="2" applyNumberFormat="1" applyFont="1" applyFill="1" applyBorder="1" applyAlignment="1">
      <alignment horizontal="center"/>
    </xf>
    <xf numFmtId="171" fontId="3" fillId="22" borderId="0" xfId="0" applyNumberFormat="1" applyFont="1" applyFill="1" applyAlignment="1">
      <alignment horizontal="center"/>
    </xf>
    <xf numFmtId="167" fontId="0" fillId="23" borderId="0" xfId="0" applyNumberFormat="1" applyFill="1"/>
    <xf numFmtId="166" fontId="3" fillId="23" borderId="0" xfId="0" applyNumberFormat="1" applyFont="1" applyFill="1"/>
    <xf numFmtId="166" fontId="3" fillId="23" borderId="0" xfId="0" applyNumberFormat="1" applyFont="1" applyFill="1" applyAlignment="1">
      <alignment horizontal="center"/>
    </xf>
    <xf numFmtId="169" fontId="3" fillId="23" borderId="0" xfId="0" applyNumberFormat="1" applyFont="1" applyFill="1" applyAlignment="1">
      <alignment horizontal="center"/>
    </xf>
    <xf numFmtId="41" fontId="3" fillId="23" borderId="0" xfId="4" applyFont="1" applyFill="1" applyBorder="1" applyAlignment="1">
      <alignment horizontal="right"/>
    </xf>
    <xf numFmtId="41" fontId="3" fillId="23" borderId="0" xfId="4" applyFont="1" applyFill="1" applyBorder="1" applyAlignment="1">
      <alignment horizontal="center"/>
    </xf>
    <xf numFmtId="169" fontId="3" fillId="23" borderId="0" xfId="2" applyNumberFormat="1" applyFont="1" applyFill="1" applyBorder="1" applyAlignment="1">
      <alignment horizontal="center"/>
    </xf>
    <xf numFmtId="171" fontId="3" fillId="23" borderId="0" xfId="0" applyNumberFormat="1" applyFont="1" applyFill="1" applyAlignment="1">
      <alignment horizontal="center"/>
    </xf>
    <xf numFmtId="167" fontId="0" fillId="23" borderId="0" xfId="0" applyNumberFormat="1" applyFill="1" applyAlignment="1">
      <alignment horizontal="center"/>
    </xf>
    <xf numFmtId="1" fontId="3" fillId="0" borderId="0" xfId="0" applyNumberFormat="1" applyFont="1" applyAlignment="1">
      <alignment horizontal="center"/>
    </xf>
    <xf numFmtId="167" fontId="0" fillId="21" borderId="0" xfId="0" applyNumberFormat="1" applyFill="1" applyAlignment="1">
      <alignment horizontal="center"/>
    </xf>
    <xf numFmtId="167" fontId="0" fillId="18" borderId="0" xfId="0" applyNumberFormat="1" applyFill="1" applyAlignment="1">
      <alignment horizontal="center"/>
    </xf>
    <xf numFmtId="169" fontId="2" fillId="0" borderId="0" xfId="2" applyNumberFormat="1" applyFont="1" applyFill="1" applyBorder="1"/>
    <xf numFmtId="167" fontId="2" fillId="0" borderId="0" xfId="0" applyNumberFormat="1" applyFont="1"/>
    <xf numFmtId="41" fontId="3" fillId="0" borderId="0" xfId="4" applyFont="1"/>
    <xf numFmtId="41" fontId="3" fillId="0" borderId="0" xfId="4" applyFont="1" applyFill="1" applyBorder="1" applyAlignment="1">
      <alignment horizontal="center" vertical="center"/>
    </xf>
    <xf numFmtId="41" fontId="3" fillId="0" borderId="0" xfId="0" applyNumberFormat="1" applyFont="1"/>
    <xf numFmtId="166" fontId="32" fillId="3" borderId="6" xfId="0" applyNumberFormat="1" applyFont="1" applyFill="1" applyBorder="1" applyAlignment="1">
      <alignment horizontal="center" vertical="center"/>
    </xf>
    <xf numFmtId="166" fontId="32" fillId="3" borderId="1" xfId="0" applyNumberFormat="1" applyFont="1" applyFill="1" applyBorder="1" applyAlignment="1">
      <alignment horizontal="center" vertical="center"/>
    </xf>
    <xf numFmtId="166" fontId="32" fillId="3" borderId="42" xfId="0" applyNumberFormat="1" applyFont="1" applyFill="1" applyBorder="1" applyAlignment="1">
      <alignment horizontal="center" vertical="center"/>
    </xf>
    <xf numFmtId="166" fontId="32" fillId="3" borderId="4" xfId="0" applyNumberFormat="1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00FFCC"/>
      <color rgb="FF00CC99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30</xdr:row>
      <xdr:rowOff>28575</xdr:rowOff>
    </xdr:from>
    <xdr:to>
      <xdr:col>9</xdr:col>
      <xdr:colOff>100890</xdr:colOff>
      <xdr:row>33</xdr:row>
      <xdr:rowOff>28576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8BCB2A0-E073-4CD5-BFEF-2CE700CB2EED}"/>
            </a:ext>
          </a:extLst>
        </xdr:cNvPr>
        <xdr:cNvSpPr/>
      </xdr:nvSpPr>
      <xdr:spPr>
        <a:xfrm>
          <a:off x="7195185" y="6429375"/>
          <a:ext cx="2110665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32</xdr:row>
      <xdr:rowOff>154305</xdr:rowOff>
    </xdr:from>
    <xdr:to>
      <xdr:col>8</xdr:col>
      <xdr:colOff>853440</xdr:colOff>
      <xdr:row>32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684927DC-469F-44EE-8C2E-DBC139A5DCDB}"/>
            </a:ext>
          </a:extLst>
        </xdr:cNvPr>
        <xdr:cNvCxnSpPr/>
      </xdr:nvCxnSpPr>
      <xdr:spPr>
        <a:xfrm>
          <a:off x="7408545" y="699706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6</xdr:col>
      <xdr:colOff>1714500</xdr:colOff>
      <xdr:row>33</xdr:row>
      <xdr:rowOff>19050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ECC63E3-50D7-4ED9-ABC6-91BC008FBFE3}"/>
            </a:ext>
          </a:extLst>
        </xdr:cNvPr>
        <xdr:cNvSpPr/>
      </xdr:nvSpPr>
      <xdr:spPr>
        <a:xfrm>
          <a:off x="390525" y="6410325"/>
          <a:ext cx="6551295" cy="67246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6</xdr:col>
      <xdr:colOff>1764030</xdr:colOff>
      <xdr:row>28</xdr:row>
      <xdr:rowOff>102870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E148EE6B-441A-4B8F-9D7B-382431567414}"/>
            </a:ext>
          </a:extLst>
        </xdr:cNvPr>
        <xdr:cNvSpPr/>
      </xdr:nvSpPr>
      <xdr:spPr>
        <a:xfrm>
          <a:off x="548640" y="5229225"/>
          <a:ext cx="644271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VALOR POR MT2,  COLOR X DEFINIR,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20MM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5FAACC-7627-4932-AE09-61288FAE6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30480"/>
          <a:ext cx="1518044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31</xdr:row>
      <xdr:rowOff>28575</xdr:rowOff>
    </xdr:from>
    <xdr:to>
      <xdr:col>9</xdr:col>
      <xdr:colOff>100890</xdr:colOff>
      <xdr:row>34</xdr:row>
      <xdr:rowOff>28576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EFA2A64-0E2C-4F0F-A0A5-5A89A10EE60A}"/>
            </a:ext>
          </a:extLst>
        </xdr:cNvPr>
        <xdr:cNvSpPr/>
      </xdr:nvSpPr>
      <xdr:spPr>
        <a:xfrm>
          <a:off x="7195185" y="6208395"/>
          <a:ext cx="2110665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33</xdr:row>
      <xdr:rowOff>154305</xdr:rowOff>
    </xdr:from>
    <xdr:to>
      <xdr:col>8</xdr:col>
      <xdr:colOff>853440</xdr:colOff>
      <xdr:row>33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CA54E7F8-610A-4C85-BEFB-965E59D59DBA}"/>
            </a:ext>
          </a:extLst>
        </xdr:cNvPr>
        <xdr:cNvCxnSpPr/>
      </xdr:nvCxnSpPr>
      <xdr:spPr>
        <a:xfrm>
          <a:off x="7408545" y="677608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6</xdr:col>
      <xdr:colOff>1714500</xdr:colOff>
      <xdr:row>34</xdr:row>
      <xdr:rowOff>19050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8CB3C6F-8CAD-4036-A375-11AA205CFA03}"/>
            </a:ext>
          </a:extLst>
        </xdr:cNvPr>
        <xdr:cNvSpPr/>
      </xdr:nvSpPr>
      <xdr:spPr>
        <a:xfrm>
          <a:off x="390525" y="6189345"/>
          <a:ext cx="6551295" cy="67246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25</xdr:row>
      <xdr:rowOff>169545</xdr:rowOff>
    </xdr:from>
    <xdr:to>
      <xdr:col>6</xdr:col>
      <xdr:colOff>1764030</xdr:colOff>
      <xdr:row>29</xdr:row>
      <xdr:rowOff>102870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63A7DC4A-F86A-44A3-80AF-A056EB89C8F3}"/>
            </a:ext>
          </a:extLst>
        </xdr:cNvPr>
        <xdr:cNvSpPr/>
      </xdr:nvSpPr>
      <xdr:spPr>
        <a:xfrm>
          <a:off x="548640" y="5008245"/>
          <a:ext cx="644271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VALOR POR MT2,  COLOR X DEFINIR,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20MM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0FC35FE-3256-4DE0-BAB8-79D79A9E6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30480"/>
          <a:ext cx="1518044" cy="11487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30</xdr:row>
      <xdr:rowOff>28575</xdr:rowOff>
    </xdr:from>
    <xdr:to>
      <xdr:col>9</xdr:col>
      <xdr:colOff>100890</xdr:colOff>
      <xdr:row>33</xdr:row>
      <xdr:rowOff>28576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CF5D7A5-8FDE-47FA-9D90-F8FE2BDB7E0B}"/>
            </a:ext>
          </a:extLst>
        </xdr:cNvPr>
        <xdr:cNvSpPr/>
      </xdr:nvSpPr>
      <xdr:spPr>
        <a:xfrm>
          <a:off x="7195185" y="21235035"/>
          <a:ext cx="2110665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32</xdr:row>
      <xdr:rowOff>154305</xdr:rowOff>
    </xdr:from>
    <xdr:to>
      <xdr:col>8</xdr:col>
      <xdr:colOff>853440</xdr:colOff>
      <xdr:row>32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05B60F6-F566-4BE5-950D-639D65E8BB32}"/>
            </a:ext>
          </a:extLst>
        </xdr:cNvPr>
        <xdr:cNvCxnSpPr/>
      </xdr:nvCxnSpPr>
      <xdr:spPr>
        <a:xfrm>
          <a:off x="7408545" y="2180272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6</xdr:col>
      <xdr:colOff>1714500</xdr:colOff>
      <xdr:row>33</xdr:row>
      <xdr:rowOff>19050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D4BA61B-D9B0-4B4B-A984-C7874D256E38}"/>
            </a:ext>
          </a:extLst>
        </xdr:cNvPr>
        <xdr:cNvSpPr/>
      </xdr:nvSpPr>
      <xdr:spPr>
        <a:xfrm>
          <a:off x="390525" y="21215985"/>
          <a:ext cx="6551295" cy="67246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6</xdr:col>
      <xdr:colOff>1764030</xdr:colOff>
      <xdr:row>28</xdr:row>
      <xdr:rowOff>102870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EDFF64F7-C80B-4312-B0BF-903378BECB27}"/>
            </a:ext>
          </a:extLst>
        </xdr:cNvPr>
        <xdr:cNvSpPr/>
      </xdr:nvSpPr>
      <xdr:spPr>
        <a:xfrm>
          <a:off x="548640" y="20034885"/>
          <a:ext cx="644271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VALOR POR MT2,  COLOR X DEFINIR,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20MM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8AEBBD6-EA43-4708-B851-627F3D451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30480"/>
          <a:ext cx="1518044" cy="11487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98</xdr:row>
      <xdr:rowOff>28575</xdr:rowOff>
    </xdr:from>
    <xdr:to>
      <xdr:col>9</xdr:col>
      <xdr:colOff>100890</xdr:colOff>
      <xdr:row>101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100</xdr:row>
      <xdr:rowOff>154305</xdr:rowOff>
    </xdr:from>
    <xdr:to>
      <xdr:col>8</xdr:col>
      <xdr:colOff>853440</xdr:colOff>
      <xdr:row>100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98</xdr:row>
      <xdr:rowOff>9525</xdr:rowOff>
    </xdr:from>
    <xdr:to>
      <xdr:col>6</xdr:col>
      <xdr:colOff>1714500</xdr:colOff>
      <xdr:row>101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92</xdr:row>
      <xdr:rowOff>169545</xdr:rowOff>
    </xdr:from>
    <xdr:to>
      <xdr:col>6</xdr:col>
      <xdr:colOff>1764030</xdr:colOff>
      <xdr:row>96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VALOR POR MT2,  COLOR X DEFINIR,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20MM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topmobilichile.cl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8EE7-7454-4526-B2E5-E79F20CC1EA8}">
  <sheetPr>
    <pageSetUpPr fitToPage="1"/>
  </sheetPr>
  <dimension ref="B2:Z583"/>
  <sheetViews>
    <sheetView tabSelected="1" topLeftCell="H14" zoomScale="98" zoomScaleNormal="98" workbookViewId="0">
      <selection activeCell="H24" sqref="H24"/>
    </sheetView>
  </sheetViews>
  <sheetFormatPr baseColWidth="10" defaultRowHeight="14.4" x14ac:dyDescent="0.3"/>
  <cols>
    <col min="1" max="1" width="6" customWidth="1"/>
    <col min="2" max="2" width="10.5546875" customWidth="1"/>
    <col min="3" max="3" width="27.44140625" customWidth="1"/>
    <col min="4" max="4" width="11.109375" customWidth="1"/>
    <col min="5" max="6" width="10.5546875" customWidth="1"/>
    <col min="7" max="7" width="28.5546875" customWidth="1"/>
    <col min="8" max="8" width="14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8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0" t="s">
        <v>141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8" t="s">
        <v>137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8" t="s">
        <v>142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8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8" t="s">
        <v>15</v>
      </c>
      <c r="P6" s="33" t="s">
        <v>20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8" t="s">
        <v>124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298" t="s">
        <v>126</v>
      </c>
      <c r="C8" s="299"/>
      <c r="D8" s="317" t="s">
        <v>159</v>
      </c>
      <c r="G8" s="58"/>
      <c r="K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41" t="s">
        <v>2</v>
      </c>
      <c r="C10" s="276" t="s">
        <v>154</v>
      </c>
      <c r="D10" s="242"/>
      <c r="E10" s="242"/>
      <c r="F10" s="242"/>
      <c r="G10" s="243" t="s">
        <v>0</v>
      </c>
      <c r="H10" s="274">
        <v>45376</v>
      </c>
      <c r="I10" s="244"/>
      <c r="K10" s="1"/>
      <c r="S10" s="2"/>
      <c r="T10" s="3"/>
      <c r="U10" s="3"/>
      <c r="V10" s="4"/>
      <c r="W10" s="2"/>
      <c r="X10" s="3"/>
    </row>
    <row r="11" spans="2:25" ht="16.8" x14ac:dyDescent="0.4">
      <c r="B11" s="285" t="s">
        <v>12</v>
      </c>
      <c r="C11" s="307" t="s">
        <v>155</v>
      </c>
      <c r="G11" t="s">
        <v>123</v>
      </c>
      <c r="H11" s="286" t="s">
        <v>158</v>
      </c>
      <c r="I11" s="287"/>
      <c r="R11" s="19"/>
      <c r="S11" s="25" t="s">
        <v>19</v>
      </c>
      <c r="T11" s="19"/>
    </row>
    <row r="12" spans="2:25" ht="16.8" x14ac:dyDescent="0.4">
      <c r="B12" s="245" t="s">
        <v>144</v>
      </c>
      <c r="C12" s="307"/>
      <c r="D12" s="246"/>
      <c r="E12" s="246"/>
      <c r="F12" s="246"/>
      <c r="G12" s="246" t="s">
        <v>127</v>
      </c>
      <c r="H12" s="275" t="s">
        <v>134</v>
      </c>
      <c r="I12" s="247"/>
      <c r="R12" s="19"/>
      <c r="S12" s="25"/>
      <c r="T12" s="19"/>
    </row>
    <row r="13" spans="2:25" x14ac:dyDescent="0.3">
      <c r="B13" s="245" t="s">
        <v>145</v>
      </c>
      <c r="C13" t="s">
        <v>156</v>
      </c>
      <c r="D13" s="246"/>
      <c r="E13" s="246"/>
      <c r="F13" s="246"/>
      <c r="G13" s="246"/>
      <c r="H13" s="275"/>
      <c r="I13" s="247"/>
      <c r="M13">
        <v>32.979999999999997</v>
      </c>
      <c r="N13" t="s">
        <v>17</v>
      </c>
      <c r="R13" s="19"/>
      <c r="S13" s="25"/>
      <c r="T13" s="19"/>
    </row>
    <row r="14" spans="2:25" x14ac:dyDescent="0.3">
      <c r="B14" s="285" t="s">
        <v>138</v>
      </c>
      <c r="C14" s="303"/>
      <c r="G14" s="29" t="s">
        <v>135</v>
      </c>
      <c r="H14" s="288" t="s">
        <v>134</v>
      </c>
      <c r="I14" s="287"/>
      <c r="K14" s="29"/>
      <c r="R14" s="20"/>
      <c r="S14" s="26" t="s">
        <v>18</v>
      </c>
      <c r="T14" s="20"/>
    </row>
    <row r="15" spans="2:25" ht="15.6" x14ac:dyDescent="0.3">
      <c r="B15" s="245" t="s">
        <v>4</v>
      </c>
      <c r="C15" s="320" t="s">
        <v>157</v>
      </c>
      <c r="D15" s="292"/>
      <c r="E15" s="246"/>
      <c r="F15" s="246"/>
      <c r="G15" s="246" t="s">
        <v>133</v>
      </c>
      <c r="H15" s="293" t="s">
        <v>134</v>
      </c>
      <c r="I15" s="247"/>
      <c r="L15" s="18">
        <f>I26/M13</f>
        <v>20349.878714372349</v>
      </c>
    </row>
    <row r="16" spans="2:25" ht="16.8" x14ac:dyDescent="0.4">
      <c r="B16" s="289" t="s">
        <v>3</v>
      </c>
      <c r="C16" s="307"/>
      <c r="G16" s="290" t="s">
        <v>128</v>
      </c>
      <c r="H16" s="291" t="s">
        <v>153</v>
      </c>
      <c r="I16" s="287"/>
    </row>
    <row r="17" spans="2:26" ht="15" thickBot="1" x14ac:dyDescent="0.35">
      <c r="B17" s="294" t="s">
        <v>13</v>
      </c>
      <c r="C17" s="295" t="s">
        <v>151</v>
      </c>
      <c r="D17" s="296"/>
      <c r="E17" s="297"/>
      <c r="F17" s="297"/>
      <c r="G17" s="368" t="s">
        <v>152</v>
      </c>
      <c r="H17" s="368"/>
      <c r="I17" s="369"/>
      <c r="J17" s="260"/>
      <c r="U17" s="6"/>
      <c r="V17" s="6"/>
    </row>
    <row r="18" spans="2:26" ht="15.75" customHeight="1" thickBot="1" x14ac:dyDescent="0.35">
      <c r="J18" s="47"/>
      <c r="K18" s="5"/>
      <c r="O18" t="s">
        <v>196</v>
      </c>
      <c r="W18" s="9"/>
      <c r="Y18" s="6"/>
      <c r="Z18" s="6"/>
    </row>
    <row r="19" spans="2:26" ht="13.5" customHeight="1" x14ac:dyDescent="0.3">
      <c r="B19" s="370" t="s">
        <v>146</v>
      </c>
      <c r="C19" s="371"/>
      <c r="D19" s="371"/>
      <c r="E19" s="371"/>
      <c r="F19" s="371"/>
      <c r="G19" s="371"/>
      <c r="H19" s="371"/>
      <c r="I19" s="372"/>
      <c r="J19" s="261"/>
      <c r="K19" s="5"/>
      <c r="L19" s="249"/>
      <c r="M19" s="14">
        <v>0.02</v>
      </c>
      <c r="N19" s="14">
        <v>0.02</v>
      </c>
      <c r="O19" s="14">
        <v>0.13</v>
      </c>
      <c r="P19" s="14"/>
      <c r="Q19" s="250" t="s">
        <v>6</v>
      </c>
      <c r="R19" s="36" t="s">
        <v>21</v>
      </c>
      <c r="S19" s="37" t="s">
        <v>199</v>
      </c>
      <c r="T19" s="10" t="s">
        <v>136</v>
      </c>
      <c r="V19" s="9"/>
      <c r="W19" s="9"/>
      <c r="Y19" s="6"/>
      <c r="Z19" s="6"/>
    </row>
    <row r="20" spans="2:26" ht="18" thickBot="1" x14ac:dyDescent="0.35">
      <c r="B20" s="318" t="s">
        <v>7</v>
      </c>
      <c r="C20" s="312" t="s">
        <v>1</v>
      </c>
      <c r="D20" s="312" t="s">
        <v>10</v>
      </c>
      <c r="E20" s="312" t="s">
        <v>11</v>
      </c>
      <c r="F20" s="312" t="s">
        <v>161</v>
      </c>
      <c r="G20" s="312" t="s">
        <v>8</v>
      </c>
      <c r="H20" s="312" t="s">
        <v>5</v>
      </c>
      <c r="I20" s="313" t="s">
        <v>6</v>
      </c>
      <c r="J20" s="262"/>
      <c r="K20" s="47"/>
      <c r="L20" s="265" t="str">
        <f t="shared" ref="L20" si="0">B20</f>
        <v>UNIDAD</v>
      </c>
      <c r="M20" s="264" t="s">
        <v>130</v>
      </c>
      <c r="N20" s="39" t="str">
        <f>E20</f>
        <v>ANCHO</v>
      </c>
      <c r="O20" s="39"/>
      <c r="P20" s="258" t="s">
        <v>131</v>
      </c>
      <c r="Q20" s="256" t="s">
        <v>17</v>
      </c>
      <c r="R20" s="251">
        <f>P40</f>
        <v>162658.01767273498</v>
      </c>
      <c r="S20" s="255">
        <v>20000</v>
      </c>
      <c r="T20" s="38" t="s">
        <v>130</v>
      </c>
      <c r="U20" s="43" t="s">
        <v>11</v>
      </c>
      <c r="V20" s="9"/>
      <c r="Y20" s="4"/>
    </row>
    <row r="21" spans="2:26" ht="17.399999999999999" x14ac:dyDescent="0.3">
      <c r="B21" s="319">
        <v>1</v>
      </c>
      <c r="C21" s="308" t="s">
        <v>203</v>
      </c>
      <c r="D21" s="309">
        <v>2.2999999999999998</v>
      </c>
      <c r="E21" s="309">
        <v>0.6</v>
      </c>
      <c r="F21" s="363" t="s">
        <v>169</v>
      </c>
      <c r="G21" s="308" t="s">
        <v>162</v>
      </c>
      <c r="H21" s="310">
        <v>253967</v>
      </c>
      <c r="I21" s="311">
        <f t="shared" ref="I21:I23" si="1">H21*B21</f>
        <v>253967</v>
      </c>
      <c r="J21" s="262"/>
      <c r="K21" s="47"/>
      <c r="L21" s="47">
        <f>B21</f>
        <v>1</v>
      </c>
      <c r="M21" s="39">
        <f>D21+M$19</f>
        <v>2.3199999999999998</v>
      </c>
      <c r="N21" s="39">
        <f>E21+N$19</f>
        <v>0.62</v>
      </c>
      <c r="O21" s="39">
        <f>E21+O$19</f>
        <v>0.73</v>
      </c>
      <c r="P21" s="264">
        <f>M21*N21</f>
        <v>1.4383999999999999</v>
      </c>
      <c r="Q21" s="223">
        <f>P21*L21</f>
        <v>1.4383999999999999</v>
      </c>
      <c r="R21" s="326">
        <f>R$20*P21</f>
        <v>233967.29262046196</v>
      </c>
      <c r="S21" s="327">
        <f>R21+S$20</f>
        <v>253967.29262046196</v>
      </c>
      <c r="T21" s="328">
        <f>M21*L21*2</f>
        <v>4.6399999999999997</v>
      </c>
      <c r="U21" s="329">
        <f>N21*L21*2</f>
        <v>1.24</v>
      </c>
      <c r="V21" s="9"/>
      <c r="Y21" s="4"/>
    </row>
    <row r="22" spans="2:26" ht="17.399999999999999" x14ac:dyDescent="0.3">
      <c r="B22" s="319">
        <v>1</v>
      </c>
      <c r="C22" s="308" t="s">
        <v>203</v>
      </c>
      <c r="D22" s="309">
        <v>2.5</v>
      </c>
      <c r="E22" s="309">
        <v>0.6</v>
      </c>
      <c r="F22" s="363" t="s">
        <v>169</v>
      </c>
      <c r="G22" s="308" t="s">
        <v>201</v>
      </c>
      <c r="H22" s="310">
        <v>274137</v>
      </c>
      <c r="I22" s="311">
        <f t="shared" si="1"/>
        <v>274137</v>
      </c>
      <c r="J22" s="262"/>
      <c r="L22" s="47">
        <f>B22</f>
        <v>1</v>
      </c>
      <c r="M22" s="39">
        <f>D22+M$19</f>
        <v>2.52</v>
      </c>
      <c r="N22" s="39">
        <f>E22+N$19</f>
        <v>0.62</v>
      </c>
      <c r="O22" s="39">
        <f>E22+O$19</f>
        <v>0.73</v>
      </c>
      <c r="P22" s="264">
        <f>M22*N22</f>
        <v>1.5624</v>
      </c>
      <c r="Q22" s="223">
        <f>P22*L22</f>
        <v>1.5624</v>
      </c>
      <c r="R22" s="326">
        <f>R$20*P22</f>
        <v>254136.88681188112</v>
      </c>
      <c r="S22" s="327">
        <f>R22+S$20</f>
        <v>274136.88681188109</v>
      </c>
      <c r="T22" s="328">
        <f>M22*L22*2</f>
        <v>5.04</v>
      </c>
      <c r="U22" s="329">
        <f t="shared" ref="U22:U23" si="2">N22*L22*2</f>
        <v>1.24</v>
      </c>
      <c r="V22" s="9"/>
      <c r="Y22" s="4"/>
    </row>
    <row r="23" spans="2:26" ht="17.399999999999999" x14ac:dyDescent="0.3">
      <c r="B23" s="319">
        <v>1</v>
      </c>
      <c r="C23" s="319" t="s">
        <v>203</v>
      </c>
      <c r="D23" s="324">
        <v>1.2</v>
      </c>
      <c r="E23" s="324">
        <v>0.6</v>
      </c>
      <c r="F23" s="363" t="s">
        <v>169</v>
      </c>
      <c r="G23" s="367" t="s">
        <v>201</v>
      </c>
      <c r="H23" s="322">
        <v>143035</v>
      </c>
      <c r="I23" s="311">
        <f t="shared" si="1"/>
        <v>143035</v>
      </c>
      <c r="J23" s="262"/>
      <c r="L23" s="47">
        <f t="shared" ref="L23" si="3">B23</f>
        <v>1</v>
      </c>
      <c r="M23" s="39">
        <f t="shared" ref="M23:N23" si="4">D23+M$19</f>
        <v>1.22</v>
      </c>
      <c r="N23" s="39">
        <f t="shared" si="4"/>
        <v>0.62</v>
      </c>
      <c r="O23" s="39">
        <f t="shared" ref="O23" si="5">E23+O$19</f>
        <v>0.73</v>
      </c>
      <c r="P23" s="264">
        <f t="shared" ref="P23" si="6">M23*N23</f>
        <v>0.75639999999999996</v>
      </c>
      <c r="Q23" s="223">
        <f t="shared" ref="Q23" si="7">P23*L23</f>
        <v>0.75639999999999996</v>
      </c>
      <c r="R23" s="326">
        <f t="shared" ref="R23" si="8">R$20*P23</f>
        <v>123034.52456765673</v>
      </c>
      <c r="S23" s="327">
        <f t="shared" ref="S23" si="9">R23+S$20</f>
        <v>143034.52456765674</v>
      </c>
      <c r="T23" s="328">
        <f t="shared" ref="T23" si="10">M23*L23*2</f>
        <v>2.44</v>
      </c>
      <c r="U23" s="329">
        <f t="shared" si="2"/>
        <v>1.24</v>
      </c>
      <c r="V23" s="9"/>
      <c r="Y23" s="4"/>
    </row>
    <row r="24" spans="2:26" ht="17.399999999999999" x14ac:dyDescent="0.3">
      <c r="B24" s="283"/>
      <c r="C24" s="283"/>
      <c r="D24" s="284"/>
      <c r="E24" s="284"/>
      <c r="F24" s="284"/>
      <c r="G24" s="283"/>
      <c r="H24" s="314"/>
      <c r="I24" s="314"/>
      <c r="J24" s="262"/>
      <c r="L24" s="316"/>
      <c r="M24" s="355"/>
      <c r="N24" s="264"/>
      <c r="O24" s="264"/>
      <c r="P24" s="264"/>
      <c r="Q24" s="223"/>
      <c r="R24" s="326"/>
      <c r="S24" s="327">
        <f>SUM(S21:S23)</f>
        <v>671138.70399999968</v>
      </c>
      <c r="T24" s="328">
        <f>SUM(T21:T23)</f>
        <v>12.12</v>
      </c>
      <c r="U24" s="46">
        <f>SUM(U21:U23)</f>
        <v>3.7199999999999998</v>
      </c>
      <c r="V24" s="9"/>
      <c r="Y24" s="4"/>
    </row>
    <row r="25" spans="2:26" ht="18" thickBot="1" x14ac:dyDescent="0.35">
      <c r="B25" s="283"/>
      <c r="C25" s="283"/>
      <c r="D25" s="284"/>
      <c r="E25" s="284"/>
      <c r="F25" s="284"/>
      <c r="G25" s="283"/>
      <c r="H25" s="262"/>
      <c r="I25" s="231"/>
      <c r="J25" s="231"/>
      <c r="K25" s="47"/>
      <c r="L25" s="316"/>
      <c r="M25" s="355"/>
      <c r="N25" s="264"/>
      <c r="O25" s="264"/>
      <c r="P25" s="264"/>
      <c r="Q25" s="223"/>
      <c r="R25" s="326"/>
      <c r="S25" s="327"/>
      <c r="T25" s="328">
        <f>T24+U24</f>
        <v>15.84</v>
      </c>
      <c r="U25" s="14"/>
      <c r="V25" s="9"/>
      <c r="Y25" s="4"/>
    </row>
    <row r="26" spans="2:26" ht="17.399999999999999" x14ac:dyDescent="0.3">
      <c r="B26" s="283"/>
      <c r="C26" s="283"/>
      <c r="D26" s="284"/>
      <c r="E26" s="284"/>
      <c r="F26" s="284"/>
      <c r="G26" s="283"/>
      <c r="H26" s="305" t="s">
        <v>29</v>
      </c>
      <c r="I26" s="306">
        <f>SUM(I21:I25)</f>
        <v>671139</v>
      </c>
      <c r="J26" s="262"/>
      <c r="K26" s="47"/>
      <c r="L26" s="316"/>
      <c r="M26" s="355"/>
      <c r="N26" s="264"/>
      <c r="O26" s="264"/>
      <c r="P26" s="264"/>
      <c r="Q26" s="223"/>
      <c r="R26" s="326"/>
      <c r="S26" s="327"/>
      <c r="T26" s="328">
        <f>T25*20%</f>
        <v>3.1680000000000001</v>
      </c>
      <c r="U26" s="14"/>
      <c r="V26" s="9"/>
      <c r="Y26" s="4"/>
    </row>
    <row r="27" spans="2:26" ht="17.399999999999999" x14ac:dyDescent="0.3">
      <c r="B27" s="277"/>
      <c r="C27" s="280"/>
      <c r="D27" s="281"/>
      <c r="E27" s="281"/>
      <c r="F27" s="281"/>
      <c r="G27" s="282"/>
      <c r="H27" s="304" t="s">
        <v>51</v>
      </c>
      <c r="I27" s="301">
        <f>I26*0.19</f>
        <v>127516.41</v>
      </c>
      <c r="J27" s="262"/>
      <c r="K27" s="47"/>
      <c r="L27" s="47"/>
      <c r="M27" s="39"/>
      <c r="N27" s="12"/>
      <c r="O27" s="12"/>
      <c r="P27" s="12"/>
      <c r="Q27" s="252">
        <f>SUM(Q21:Q23)</f>
        <v>3.7572000000000001</v>
      </c>
      <c r="R27" s="14"/>
      <c r="S27" s="12"/>
      <c r="T27" s="237">
        <f>T25+T26</f>
        <v>19.007999999999999</v>
      </c>
      <c r="U27" s="14"/>
      <c r="V27" s="9"/>
      <c r="Y27" s="4"/>
    </row>
    <row r="28" spans="2:26" ht="18" thickBot="1" x14ac:dyDescent="0.35">
      <c r="B28" s="273"/>
      <c r="C28" s="279"/>
      <c r="D28" s="269"/>
      <c r="E28" s="269"/>
      <c r="F28" s="269"/>
      <c r="G28" s="270"/>
      <c r="H28" s="278" t="s">
        <v>6</v>
      </c>
      <c r="I28" s="302">
        <f>I26+I27</f>
        <v>798655.41</v>
      </c>
      <c r="J28" s="262"/>
      <c r="K28" s="47"/>
      <c r="L28" s="47"/>
      <c r="M28" s="39"/>
      <c r="N28" s="12"/>
      <c r="O28" s="12"/>
      <c r="P28" s="12"/>
      <c r="Q28" s="252">
        <f>Q27</f>
        <v>3.7572000000000001</v>
      </c>
      <c r="R28" s="14"/>
      <c r="S28" s="12"/>
      <c r="T28" s="237"/>
      <c r="U28" s="14"/>
      <c r="V28" s="9"/>
      <c r="Y28" s="4"/>
    </row>
    <row r="29" spans="2:26" ht="17.399999999999999" x14ac:dyDescent="0.3">
      <c r="B29" s="273"/>
      <c r="C29" s="268"/>
      <c r="D29" s="269"/>
      <c r="E29" s="269"/>
      <c r="F29" s="269"/>
      <c r="G29" s="270"/>
      <c r="J29" s="262"/>
      <c r="K29" s="47"/>
      <c r="L29" s="47"/>
      <c r="M29" s="14"/>
      <c r="N29" s="12"/>
      <c r="O29" s="12"/>
      <c r="P29" s="12"/>
      <c r="Q29" s="39">
        <f>Q28*20%</f>
        <v>0.75144000000000011</v>
      </c>
      <c r="R29" s="39" t="s">
        <v>129</v>
      </c>
      <c r="S29" s="42"/>
      <c r="T29" s="238"/>
      <c r="U29" s="14"/>
      <c r="V29" s="9"/>
      <c r="Y29" s="4"/>
    </row>
    <row r="30" spans="2:26" ht="17.399999999999999" x14ac:dyDescent="0.3">
      <c r="B30" s="268"/>
      <c r="C30" s="268"/>
      <c r="D30" s="269"/>
      <c r="E30" s="269"/>
      <c r="F30" s="269"/>
      <c r="G30" s="270"/>
      <c r="H30" s="271"/>
      <c r="I30" s="272"/>
      <c r="J30" s="262"/>
      <c r="K30" s="316"/>
      <c r="L30" s="47"/>
      <c r="M30" s="14"/>
      <c r="N30" s="12"/>
      <c r="O30" s="12"/>
      <c r="P30" s="12"/>
      <c r="Q30" s="46">
        <f>Q28+Q29</f>
        <v>4.5086399999999998</v>
      </c>
      <c r="R30" s="14"/>
      <c r="S30" s="14"/>
      <c r="T30" s="236">
        <v>40</v>
      </c>
      <c r="U30" s="14"/>
      <c r="V30" s="9"/>
      <c r="Y30" s="4"/>
    </row>
    <row r="31" spans="2:26" ht="17.399999999999999" x14ac:dyDescent="0.35">
      <c r="B31" s="266"/>
      <c r="C31" s="229"/>
      <c r="D31" s="229"/>
      <c r="E31" s="231"/>
      <c r="F31" s="231"/>
      <c r="G31" s="232"/>
      <c r="H31" s="229"/>
      <c r="I31" s="272"/>
      <c r="J31" s="262"/>
      <c r="K31" s="316"/>
      <c r="L31" s="47"/>
      <c r="M31" s="14"/>
      <c r="N31" s="14"/>
      <c r="O31" s="14"/>
      <c r="P31" s="14"/>
      <c r="Q31" s="14"/>
      <c r="R31" s="14"/>
      <c r="S31" s="14"/>
      <c r="T31" s="236"/>
      <c r="U31" s="14"/>
      <c r="V31" s="9"/>
      <c r="Y31" s="4"/>
    </row>
    <row r="32" spans="2:26" ht="17.399999999999999" x14ac:dyDescent="0.35">
      <c r="B32" s="233"/>
      <c r="C32" s="234"/>
      <c r="D32" s="235"/>
      <c r="E32" s="233"/>
      <c r="F32" s="233"/>
      <c r="G32" s="229"/>
      <c r="H32" s="229"/>
      <c r="J32" s="262"/>
      <c r="K32" s="47"/>
      <c r="L32" s="47"/>
      <c r="M32" s="39">
        <f>Q30*2</f>
        <v>9.0172799999999995</v>
      </c>
      <c r="N32" s="12">
        <v>3500</v>
      </c>
      <c r="O32" s="12"/>
      <c r="P32" s="12">
        <f t="shared" ref="P32:P37" si="11">M32*N32</f>
        <v>31560.48</v>
      </c>
      <c r="Q32" s="14" t="s">
        <v>22</v>
      </c>
      <c r="R32" s="14" t="s">
        <v>23</v>
      </c>
      <c r="S32" s="14"/>
      <c r="T32" s="239"/>
      <c r="U32" s="14"/>
      <c r="V32" s="9"/>
      <c r="Y32" s="4"/>
    </row>
    <row r="33" spans="2:25" ht="17.399999999999999" x14ac:dyDescent="0.35">
      <c r="B33" s="229"/>
      <c r="C33" s="229"/>
      <c r="D33" s="229"/>
      <c r="E33" s="229"/>
      <c r="F33" s="229"/>
      <c r="G33" s="229"/>
      <c r="H33" s="229"/>
      <c r="J33" s="262"/>
      <c r="K33" s="47"/>
      <c r="L33" s="47"/>
      <c r="M33" s="248">
        <v>2</v>
      </c>
      <c r="N33" s="12">
        <v>45000</v>
      </c>
      <c r="O33" s="12"/>
      <c r="P33" s="12">
        <f t="shared" si="11"/>
        <v>90000</v>
      </c>
      <c r="Q33" s="39" t="s">
        <v>194</v>
      </c>
      <c r="R33" s="42"/>
      <c r="S33" s="14"/>
      <c r="T33" s="238"/>
      <c r="U33" s="14"/>
      <c r="V33" s="9"/>
      <c r="Y33" s="4"/>
    </row>
    <row r="34" spans="2:25" s="229" customFormat="1" ht="17.399999999999999" x14ac:dyDescent="0.35">
      <c r="J34" s="259"/>
      <c r="K34" s="47"/>
      <c r="L34" s="249"/>
      <c r="M34" s="14">
        <v>2</v>
      </c>
      <c r="N34" s="249">
        <v>19000</v>
      </c>
      <c r="O34" s="249"/>
      <c r="P34" s="12">
        <f t="shared" si="11"/>
        <v>38000</v>
      </c>
      <c r="Q34" s="39" t="s">
        <v>202</v>
      </c>
      <c r="R34" s="42"/>
      <c r="T34" s="238"/>
      <c r="U34" s="358"/>
      <c r="X34" s="230"/>
    </row>
    <row r="35" spans="2:25" s="229" customFormat="1" ht="17.399999999999999" x14ac:dyDescent="0.35">
      <c r="B35" s="24" t="s">
        <v>150</v>
      </c>
      <c r="J35" s="259"/>
      <c r="K35" s="315"/>
      <c r="L35" s="249"/>
      <c r="M35" s="14">
        <v>2</v>
      </c>
      <c r="N35" s="249">
        <v>33076</v>
      </c>
      <c r="O35" s="249"/>
      <c r="P35" s="12">
        <f t="shared" si="11"/>
        <v>66152</v>
      </c>
      <c r="Q35" s="14" t="s">
        <v>140</v>
      </c>
      <c r="R35" s="17"/>
      <c r="T35" s="236"/>
      <c r="U35" s="358"/>
      <c r="X35" s="230"/>
    </row>
    <row r="36" spans="2:25" s="229" customFormat="1" ht="17.399999999999999" x14ac:dyDescent="0.35">
      <c r="B36" s="24" t="s">
        <v>143</v>
      </c>
      <c r="C36"/>
      <c r="D36"/>
      <c r="E36"/>
      <c r="F36"/>
      <c r="G36"/>
      <c r="J36" s="259"/>
      <c r="K36" s="315"/>
      <c r="L36" s="249"/>
      <c r="M36" s="248">
        <v>20</v>
      </c>
      <c r="N36" s="249">
        <v>2000</v>
      </c>
      <c r="O36" s="249"/>
      <c r="P36" s="12">
        <f t="shared" si="11"/>
        <v>40000</v>
      </c>
      <c r="Q36" s="14" t="s">
        <v>198</v>
      </c>
      <c r="R36" s="14"/>
      <c r="S36" s="229">
        <v>1.22</v>
      </c>
      <c r="T36" s="236"/>
      <c r="U36" s="236">
        <v>3.05</v>
      </c>
    </row>
    <row r="37" spans="2:25" s="229" customFormat="1" ht="17.399999999999999" x14ac:dyDescent="0.35">
      <c r="B37" s="29" t="s">
        <v>125</v>
      </c>
      <c r="C37"/>
      <c r="D37"/>
      <c r="E37"/>
      <c r="F37"/>
      <c r="G37" s="228" t="s">
        <v>16</v>
      </c>
      <c r="J37" s="300"/>
      <c r="K37" s="47"/>
      <c r="L37" s="249"/>
      <c r="M37" s="263"/>
      <c r="N37" s="12">
        <v>1500</v>
      </c>
      <c r="O37" s="12"/>
      <c r="P37" s="12">
        <f t="shared" si="11"/>
        <v>0</v>
      </c>
      <c r="Q37" s="14" t="s">
        <v>24</v>
      </c>
      <c r="R37" s="14"/>
      <c r="S37">
        <v>2.44</v>
      </c>
      <c r="T37"/>
      <c r="U37" s="236">
        <v>1.23</v>
      </c>
      <c r="Y37" s="230"/>
    </row>
    <row r="38" spans="2:25" s="229" customFormat="1" ht="17.399999999999999" x14ac:dyDescent="0.35">
      <c r="K38" s="47"/>
      <c r="L38" s="249"/>
      <c r="M38" s="14"/>
      <c r="N38" s="12"/>
      <c r="O38" s="12"/>
      <c r="P38" s="12">
        <f>SUM(P32:P37)</f>
        <v>265712.48</v>
      </c>
      <c r="Q38" s="39" t="s">
        <v>25</v>
      </c>
      <c r="R38" s="14"/>
      <c r="S38">
        <f>S36*S37</f>
        <v>2.9767999999999999</v>
      </c>
      <c r="T38"/>
      <c r="U38" s="236">
        <f>U36*U37</f>
        <v>3.7514999999999996</v>
      </c>
      <c r="Y38" s="230"/>
    </row>
    <row r="39" spans="2:25" s="229" customFormat="1" ht="17.399999999999999" x14ac:dyDescent="0.35">
      <c r="K39" s="47">
        <v>39360</v>
      </c>
      <c r="L39" s="249"/>
      <c r="M39" s="253" t="s">
        <v>33</v>
      </c>
      <c r="N39" s="12"/>
      <c r="O39" s="12"/>
      <c r="P39" s="254">
        <f>P38*2.3</f>
        <v>611138.70399999991</v>
      </c>
      <c r="Q39" s="14" t="s">
        <v>139</v>
      </c>
      <c r="R39" s="14"/>
      <c r="S39" s="46">
        <f>Q28/S38</f>
        <v>1.2621607094866971</v>
      </c>
      <c r="T39"/>
      <c r="U39" s="359">
        <f>Q28/U38</f>
        <v>1.0015193922431029</v>
      </c>
    </row>
    <row r="40" spans="2:25" s="229" customFormat="1" ht="17.399999999999999" x14ac:dyDescent="0.35">
      <c r="H40"/>
      <c r="I40" s="257"/>
      <c r="J40" s="257"/>
      <c r="K40" s="47">
        <f>K39/1.19</f>
        <v>33075.63025210084</v>
      </c>
      <c r="L40" s="249"/>
      <c r="M40" s="14"/>
      <c r="N40" s="12"/>
      <c r="O40" s="12"/>
      <c r="P40" s="12">
        <f>P39/Q28</f>
        <v>162658.01767273498</v>
      </c>
      <c r="Q40" s="45" t="s">
        <v>26</v>
      </c>
      <c r="R40" s="14"/>
      <c r="S40" s="14"/>
      <c r="T40"/>
      <c r="U40" s="236"/>
    </row>
    <row r="41" spans="2:25" s="229" customFormat="1" ht="17.399999999999999" x14ac:dyDescent="0.35">
      <c r="H41"/>
      <c r="K41" s="47"/>
      <c r="L41" s="249"/>
      <c r="M41" s="13"/>
      <c r="N41" s="14"/>
      <c r="O41" s="14"/>
      <c r="P41" s="17">
        <f>P39/P38</f>
        <v>2.2999999999999998</v>
      </c>
      <c r="Q41" s="15"/>
      <c r="R41"/>
      <c r="S41"/>
      <c r="T41"/>
      <c r="U41" s="236"/>
    </row>
    <row r="42" spans="2:25" s="229" customFormat="1" ht="17.399999999999999" x14ac:dyDescent="0.35">
      <c r="H42" s="23"/>
      <c r="K42" s="47"/>
      <c r="L42" s="12"/>
      <c r="U42" s="236"/>
    </row>
    <row r="43" spans="2:25" s="229" customFormat="1" ht="17.399999999999999" x14ac:dyDescent="0.35">
      <c r="B43"/>
      <c r="C43" s="227"/>
      <c r="D43" s="22"/>
      <c r="E43" s="22"/>
      <c r="F43" s="22"/>
      <c r="G43" s="21"/>
      <c r="H43" s="23"/>
      <c r="K43" s="47"/>
      <c r="L43" s="12"/>
      <c r="M43" s="316"/>
      <c r="N43" s="264" t="s">
        <v>115</v>
      </c>
      <c r="O43" s="264"/>
      <c r="P43" s="264" t="s">
        <v>191</v>
      </c>
      <c r="Q43" s="264" t="s">
        <v>192</v>
      </c>
      <c r="R43" s="223" t="s">
        <v>22</v>
      </c>
      <c r="S43" s="326" t="s">
        <v>193</v>
      </c>
      <c r="T43" s="326" t="s">
        <v>115</v>
      </c>
      <c r="U43" s="236"/>
    </row>
    <row r="44" spans="2:25" ht="14.4" customHeight="1" x14ac:dyDescent="0.3">
      <c r="K44" s="47"/>
      <c r="L44" s="12"/>
      <c r="M44" s="354" t="s">
        <v>188</v>
      </c>
      <c r="N44" s="355">
        <v>50890</v>
      </c>
      <c r="O44" s="355"/>
      <c r="P44" s="355">
        <v>6</v>
      </c>
      <c r="Q44" s="264">
        <v>3</v>
      </c>
      <c r="R44" s="223">
        <v>15.661</v>
      </c>
      <c r="S44" s="326">
        <v>70</v>
      </c>
      <c r="T44" s="360">
        <v>1399760</v>
      </c>
    </row>
    <row r="45" spans="2:25" x14ac:dyDescent="0.3">
      <c r="K45" s="47"/>
      <c r="L45" s="249"/>
      <c r="M45" s="356" t="s">
        <v>189</v>
      </c>
      <c r="N45" s="355">
        <v>68410</v>
      </c>
      <c r="O45" s="355"/>
      <c r="P45" s="355">
        <v>10</v>
      </c>
      <c r="Q45" s="264">
        <v>5</v>
      </c>
      <c r="R45" s="223">
        <v>32.905999999999999</v>
      </c>
      <c r="S45" s="326">
        <v>120</v>
      </c>
      <c r="T45" s="360">
        <v>1847202</v>
      </c>
    </row>
    <row r="46" spans="2:25" x14ac:dyDescent="0.3">
      <c r="L46" s="249"/>
      <c r="M46" s="357" t="s">
        <v>173</v>
      </c>
      <c r="N46" s="355">
        <v>49780</v>
      </c>
      <c r="O46" s="355"/>
      <c r="P46" s="355">
        <v>6</v>
      </c>
      <c r="Q46" s="264">
        <v>2</v>
      </c>
      <c r="R46" s="223">
        <v>14.571999999999999</v>
      </c>
      <c r="S46" s="326">
        <v>50</v>
      </c>
      <c r="T46" s="360">
        <v>901353</v>
      </c>
      <c r="U46" s="267"/>
    </row>
    <row r="47" spans="2:25" x14ac:dyDescent="0.3">
      <c r="L47" s="249"/>
      <c r="M47" s="316" t="s">
        <v>190</v>
      </c>
      <c r="N47" s="355">
        <v>39060</v>
      </c>
      <c r="O47" s="355"/>
      <c r="P47" s="355">
        <v>33</v>
      </c>
      <c r="Q47" s="264">
        <v>15.141</v>
      </c>
      <c r="R47" s="223">
        <v>112.309</v>
      </c>
      <c r="S47" s="361">
        <v>464.81799999999998</v>
      </c>
      <c r="T47" s="360">
        <v>5626077</v>
      </c>
    </row>
    <row r="48" spans="2:25" ht="15" customHeight="1" x14ac:dyDescent="0.3">
      <c r="T48" s="362">
        <f>SUM(T44:T47)</f>
        <v>9774392</v>
      </c>
    </row>
    <row r="53" spans="16:21" x14ac:dyDescent="0.3">
      <c r="T53" s="18"/>
      <c r="U53" s="18"/>
    </row>
    <row r="54" spans="16:21" x14ac:dyDescent="0.3">
      <c r="T54" s="18"/>
      <c r="U54" s="18"/>
    </row>
    <row r="55" spans="16:21" x14ac:dyDescent="0.3">
      <c r="T55" s="18"/>
      <c r="U55" s="18"/>
    </row>
    <row r="56" spans="16:21" x14ac:dyDescent="0.3">
      <c r="T56" s="18"/>
      <c r="U56" s="18"/>
    </row>
    <row r="57" spans="16:21" x14ac:dyDescent="0.3">
      <c r="T57" s="18"/>
      <c r="U57" s="18"/>
    </row>
    <row r="58" spans="16:21" x14ac:dyDescent="0.3">
      <c r="T58" s="18"/>
      <c r="U58" s="18"/>
    </row>
    <row r="59" spans="16:21" x14ac:dyDescent="0.3">
      <c r="T59" s="18"/>
      <c r="U59" s="18"/>
    </row>
    <row r="60" spans="16:21" x14ac:dyDescent="0.3">
      <c r="T60" s="18"/>
      <c r="U60" s="18"/>
    </row>
    <row r="61" spans="16:21" x14ac:dyDescent="0.3">
      <c r="T61" s="18"/>
      <c r="U61" s="18"/>
    </row>
    <row r="64" spans="16:21" x14ac:dyDescent="0.3">
      <c r="P64" s="43"/>
    </row>
    <row r="65" spans="3:16" x14ac:dyDescent="0.3">
      <c r="P65" s="43"/>
    </row>
    <row r="66" spans="3:16" x14ac:dyDescent="0.3">
      <c r="P66" s="6"/>
    </row>
    <row r="67" spans="3:16" x14ac:dyDescent="0.3">
      <c r="P67" s="6"/>
    </row>
    <row r="75" spans="3:16" x14ac:dyDescent="0.3">
      <c r="C75" t="s">
        <v>147</v>
      </c>
    </row>
    <row r="76" spans="3:16" x14ac:dyDescent="0.3">
      <c r="C76" t="s">
        <v>146</v>
      </c>
    </row>
    <row r="79" spans="3:16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G17:I17"/>
    <mergeCell ref="B19:I19"/>
  </mergeCells>
  <hyperlinks>
    <hyperlink ref="G37" r:id="rId1" xr:uid="{E6BDD346-5DF1-42E3-8315-72B5EFBDCDFF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0F37-67B9-47BE-9D0D-B6EC364E683C}">
  <sheetPr>
    <pageSetUpPr fitToPage="1"/>
  </sheetPr>
  <dimension ref="B2:Z584"/>
  <sheetViews>
    <sheetView topLeftCell="E18" zoomScale="98" zoomScaleNormal="98" workbookViewId="0">
      <selection activeCell="J27" sqref="J27"/>
    </sheetView>
  </sheetViews>
  <sheetFormatPr baseColWidth="10" defaultRowHeight="14.4" x14ac:dyDescent="0.3"/>
  <cols>
    <col min="1" max="1" width="6" customWidth="1"/>
    <col min="2" max="2" width="10.5546875" customWidth="1"/>
    <col min="3" max="3" width="27.44140625" customWidth="1"/>
    <col min="4" max="4" width="11.109375" customWidth="1"/>
    <col min="5" max="6" width="10.5546875" customWidth="1"/>
    <col min="7" max="7" width="28.5546875" customWidth="1"/>
    <col min="8" max="8" width="14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8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0" t="s">
        <v>141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8" t="s">
        <v>137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8" t="s">
        <v>142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8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8" t="s">
        <v>15</v>
      </c>
      <c r="P6" s="33" t="s">
        <v>20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8" t="s">
        <v>124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298" t="s">
        <v>126</v>
      </c>
      <c r="C8" s="299"/>
      <c r="D8" s="317" t="s">
        <v>159</v>
      </c>
      <c r="G8" s="58"/>
      <c r="K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41" t="s">
        <v>2</v>
      </c>
      <c r="C10" s="276" t="s">
        <v>154</v>
      </c>
      <c r="D10" s="242"/>
      <c r="E10" s="242"/>
      <c r="F10" s="242"/>
      <c r="G10" s="243" t="s">
        <v>0</v>
      </c>
      <c r="H10" s="274">
        <v>45376</v>
      </c>
      <c r="I10" s="244"/>
      <c r="K10" s="1"/>
      <c r="S10" s="2"/>
      <c r="T10" s="3"/>
      <c r="U10" s="3"/>
      <c r="V10" s="4"/>
      <c r="W10" s="2"/>
      <c r="X10" s="3"/>
    </row>
    <row r="11" spans="2:25" ht="16.8" x14ac:dyDescent="0.4">
      <c r="B11" s="285" t="s">
        <v>12</v>
      </c>
      <c r="C11" s="307" t="s">
        <v>155</v>
      </c>
      <c r="G11" t="s">
        <v>123</v>
      </c>
      <c r="H11" s="286" t="s">
        <v>158</v>
      </c>
      <c r="I11" s="287"/>
      <c r="R11" s="19"/>
      <c r="S11" s="25" t="s">
        <v>19</v>
      </c>
      <c r="T11" s="19"/>
    </row>
    <row r="12" spans="2:25" ht="16.8" x14ac:dyDescent="0.4">
      <c r="B12" s="245" t="s">
        <v>144</v>
      </c>
      <c r="C12" s="307"/>
      <c r="D12" s="246"/>
      <c r="E12" s="246"/>
      <c r="F12" s="246"/>
      <c r="G12" s="246" t="s">
        <v>127</v>
      </c>
      <c r="H12" s="275" t="s">
        <v>134</v>
      </c>
      <c r="I12" s="247"/>
      <c r="R12" s="19"/>
      <c r="S12" s="25"/>
      <c r="T12" s="19"/>
    </row>
    <row r="13" spans="2:25" x14ac:dyDescent="0.3">
      <c r="B13" s="245" t="s">
        <v>145</v>
      </c>
      <c r="C13" t="s">
        <v>156</v>
      </c>
      <c r="D13" s="246"/>
      <c r="E13" s="246"/>
      <c r="F13" s="246"/>
      <c r="G13" s="246"/>
      <c r="H13" s="275"/>
      <c r="I13" s="247"/>
      <c r="M13">
        <v>32.979999999999997</v>
      </c>
      <c r="N13" t="s">
        <v>17</v>
      </c>
      <c r="R13" s="19"/>
      <c r="S13" s="25"/>
      <c r="T13" s="19"/>
    </row>
    <row r="14" spans="2:25" x14ac:dyDescent="0.3">
      <c r="B14" s="285" t="s">
        <v>138</v>
      </c>
      <c r="C14" s="303"/>
      <c r="G14" s="29" t="s">
        <v>135</v>
      </c>
      <c r="H14" s="288" t="s">
        <v>134</v>
      </c>
      <c r="I14" s="287"/>
      <c r="K14" s="29"/>
      <c r="R14" s="20"/>
      <c r="S14" s="26" t="s">
        <v>18</v>
      </c>
      <c r="T14" s="20"/>
    </row>
    <row r="15" spans="2:25" ht="15.6" x14ac:dyDescent="0.3">
      <c r="B15" s="245" t="s">
        <v>4</v>
      </c>
      <c r="C15" s="320" t="s">
        <v>157</v>
      </c>
      <c r="D15" s="292"/>
      <c r="E15" s="246"/>
      <c r="F15" s="246"/>
      <c r="G15" s="246" t="s">
        <v>133</v>
      </c>
      <c r="H15" s="293" t="s">
        <v>134</v>
      </c>
      <c r="I15" s="247"/>
      <c r="L15" s="18">
        <f>I27/M13</f>
        <v>20989.357186173442</v>
      </c>
    </row>
    <row r="16" spans="2:25" ht="16.8" x14ac:dyDescent="0.4">
      <c r="B16" s="289" t="s">
        <v>3</v>
      </c>
      <c r="C16" s="307"/>
      <c r="G16" s="290" t="s">
        <v>128</v>
      </c>
      <c r="H16" s="291" t="s">
        <v>153</v>
      </c>
      <c r="I16" s="287"/>
    </row>
    <row r="17" spans="2:26" ht="15" thickBot="1" x14ac:dyDescent="0.35">
      <c r="B17" s="294" t="s">
        <v>13</v>
      </c>
      <c r="C17" s="295" t="s">
        <v>151</v>
      </c>
      <c r="D17" s="296"/>
      <c r="E17" s="297"/>
      <c r="F17" s="297"/>
      <c r="G17" s="368" t="s">
        <v>152</v>
      </c>
      <c r="H17" s="368"/>
      <c r="I17" s="369"/>
      <c r="J17" s="260"/>
      <c r="U17" s="6"/>
      <c r="V17" s="6"/>
    </row>
    <row r="18" spans="2:26" ht="15.75" customHeight="1" thickBot="1" x14ac:dyDescent="0.35">
      <c r="J18" s="47"/>
      <c r="K18" s="5"/>
      <c r="O18" t="s">
        <v>196</v>
      </c>
      <c r="W18" s="9"/>
      <c r="Y18" s="6"/>
      <c r="Z18" s="6"/>
    </row>
    <row r="19" spans="2:26" ht="13.5" customHeight="1" x14ac:dyDescent="0.3">
      <c r="B19" s="370" t="s">
        <v>146</v>
      </c>
      <c r="C19" s="371"/>
      <c r="D19" s="371"/>
      <c r="E19" s="371"/>
      <c r="F19" s="371"/>
      <c r="G19" s="371"/>
      <c r="H19" s="371"/>
      <c r="I19" s="372"/>
      <c r="J19" s="261"/>
      <c r="K19" s="5"/>
      <c r="L19" s="249"/>
      <c r="M19" s="14">
        <v>0.02</v>
      </c>
      <c r="N19" s="14">
        <v>0.02</v>
      </c>
      <c r="O19" s="14">
        <v>0.13</v>
      </c>
      <c r="P19" s="14"/>
      <c r="Q19" s="250" t="s">
        <v>6</v>
      </c>
      <c r="R19" s="36" t="s">
        <v>21</v>
      </c>
      <c r="S19" s="37" t="s">
        <v>199</v>
      </c>
      <c r="T19" s="10" t="s">
        <v>136</v>
      </c>
      <c r="V19" s="9"/>
      <c r="W19" s="9"/>
      <c r="Y19" s="6"/>
      <c r="Z19" s="6"/>
    </row>
    <row r="20" spans="2:26" ht="18" thickBot="1" x14ac:dyDescent="0.35">
      <c r="B20" s="318" t="s">
        <v>7</v>
      </c>
      <c r="C20" s="312" t="s">
        <v>1</v>
      </c>
      <c r="D20" s="312" t="s">
        <v>10</v>
      </c>
      <c r="E20" s="312" t="s">
        <v>11</v>
      </c>
      <c r="F20" s="312" t="s">
        <v>161</v>
      </c>
      <c r="G20" s="312" t="s">
        <v>8</v>
      </c>
      <c r="H20" s="312" t="s">
        <v>5</v>
      </c>
      <c r="I20" s="313" t="s">
        <v>6</v>
      </c>
      <c r="J20" s="262"/>
      <c r="K20" s="47"/>
      <c r="L20" s="265" t="str">
        <f t="shared" ref="L20" si="0">B20</f>
        <v>UNIDAD</v>
      </c>
      <c r="M20" s="264" t="s">
        <v>130</v>
      </c>
      <c r="N20" s="39" t="str">
        <f>E20</f>
        <v>ANCHO</v>
      </c>
      <c r="O20" s="39"/>
      <c r="P20" s="258" t="s">
        <v>131</v>
      </c>
      <c r="Q20" s="256" t="s">
        <v>17</v>
      </c>
      <c r="R20" s="251">
        <f>P41</f>
        <v>231799.17613206117</v>
      </c>
      <c r="S20" s="255">
        <v>20000</v>
      </c>
      <c r="T20" s="38" t="s">
        <v>130</v>
      </c>
      <c r="U20" s="43" t="s">
        <v>11</v>
      </c>
      <c r="V20" s="9"/>
      <c r="Y20" s="4"/>
    </row>
    <row r="21" spans="2:26" ht="17.399999999999999" x14ac:dyDescent="0.3">
      <c r="B21" s="319">
        <v>1</v>
      </c>
      <c r="C21" s="308" t="s">
        <v>203</v>
      </c>
      <c r="D21" s="309">
        <v>0.73</v>
      </c>
      <c r="E21" s="309">
        <v>0.6</v>
      </c>
      <c r="F21" s="363" t="s">
        <v>178</v>
      </c>
      <c r="G21" s="308" t="s">
        <v>201</v>
      </c>
      <c r="H21" s="310">
        <v>127787</v>
      </c>
      <c r="I21" s="311">
        <f t="shared" ref="I21:I24" si="1">H21*B21</f>
        <v>127787</v>
      </c>
      <c r="J21" s="262"/>
      <c r="K21" s="47"/>
      <c r="L21" s="47">
        <f>B21</f>
        <v>1</v>
      </c>
      <c r="M21" s="39">
        <f>D21+M$19</f>
        <v>0.75</v>
      </c>
      <c r="N21" s="39">
        <f>E21+N$19</f>
        <v>0.62</v>
      </c>
      <c r="O21" s="39">
        <f>E21+O$19</f>
        <v>0.73</v>
      </c>
      <c r="P21" s="264">
        <f>M21*N21</f>
        <v>0.46499999999999997</v>
      </c>
      <c r="Q21" s="223">
        <f>P21*L21</f>
        <v>0.46499999999999997</v>
      </c>
      <c r="R21" s="326">
        <f>R$20*P21</f>
        <v>107786.61690140843</v>
      </c>
      <c r="S21" s="327">
        <f>R21+S$20</f>
        <v>127786.61690140843</v>
      </c>
      <c r="T21" s="328">
        <f>M21*L21*2</f>
        <v>1.5</v>
      </c>
      <c r="U21" s="329">
        <f>N21*L21*2</f>
        <v>1.24</v>
      </c>
      <c r="V21" s="9"/>
      <c r="Y21" s="4"/>
    </row>
    <row r="22" spans="2:26" ht="17.399999999999999" x14ac:dyDescent="0.3">
      <c r="B22" s="319">
        <v>1</v>
      </c>
      <c r="C22" s="308" t="s">
        <v>203</v>
      </c>
      <c r="D22" s="309">
        <v>1.4</v>
      </c>
      <c r="E22" s="309">
        <v>0.6</v>
      </c>
      <c r="F22" s="363" t="s">
        <v>178</v>
      </c>
      <c r="G22" s="308" t="s">
        <v>201</v>
      </c>
      <c r="H22" s="310">
        <v>224076</v>
      </c>
      <c r="I22" s="311">
        <f t="shared" si="1"/>
        <v>224076</v>
      </c>
      <c r="J22" s="262"/>
      <c r="L22" s="47">
        <f>B22</f>
        <v>1</v>
      </c>
      <c r="M22" s="39">
        <f>D22+M$19</f>
        <v>1.42</v>
      </c>
      <c r="N22" s="39">
        <f>E22+N$19</f>
        <v>0.62</v>
      </c>
      <c r="O22" s="39">
        <f>E22+O$19</f>
        <v>0.73</v>
      </c>
      <c r="P22" s="264">
        <f>M22*N22</f>
        <v>0.88039999999999996</v>
      </c>
      <c r="Q22" s="223">
        <f>P22*L22</f>
        <v>0.88039999999999996</v>
      </c>
      <c r="R22" s="326">
        <f>R$20*P22</f>
        <v>204075.99466666664</v>
      </c>
      <c r="S22" s="327">
        <f>R22+S$20</f>
        <v>224075.99466666664</v>
      </c>
      <c r="T22" s="328">
        <f>M22*L22*2</f>
        <v>2.84</v>
      </c>
      <c r="U22" s="329">
        <f t="shared" ref="U22:U24" si="2">N22*L22*2</f>
        <v>1.24</v>
      </c>
      <c r="V22" s="9"/>
      <c r="Y22" s="4"/>
    </row>
    <row r="23" spans="2:26" ht="17.399999999999999" x14ac:dyDescent="0.3">
      <c r="B23" s="319">
        <v>1</v>
      </c>
      <c r="C23" s="319" t="s">
        <v>203</v>
      </c>
      <c r="D23" s="324">
        <v>0.8</v>
      </c>
      <c r="E23" s="324">
        <v>0.6</v>
      </c>
      <c r="F23" s="366" t="s">
        <v>178</v>
      </c>
      <c r="G23" s="367" t="s">
        <v>201</v>
      </c>
      <c r="H23" s="322">
        <v>137847</v>
      </c>
      <c r="I23" s="311">
        <f t="shared" si="1"/>
        <v>137847</v>
      </c>
      <c r="J23" s="262"/>
      <c r="L23" s="47">
        <f t="shared" ref="L23:L24" si="3">B23</f>
        <v>1</v>
      </c>
      <c r="M23" s="39">
        <f t="shared" ref="M23:M24" si="4">D23+M$19</f>
        <v>0.82000000000000006</v>
      </c>
      <c r="N23" s="39">
        <f t="shared" ref="N23:N24" si="5">E23+N$19</f>
        <v>0.62</v>
      </c>
      <c r="O23" s="39">
        <f t="shared" ref="O23:O24" si="6">E23+O$19</f>
        <v>0.73</v>
      </c>
      <c r="P23" s="264">
        <f t="shared" ref="P23:P24" si="7">M23*N23</f>
        <v>0.50840000000000007</v>
      </c>
      <c r="Q23" s="223">
        <f t="shared" ref="Q23:Q24" si="8">P23*L23</f>
        <v>0.50840000000000007</v>
      </c>
      <c r="R23" s="326">
        <f t="shared" ref="R23:R24" si="9">R$20*P23</f>
        <v>117846.70114553992</v>
      </c>
      <c r="S23" s="327">
        <f t="shared" ref="S23:S24" si="10">R23+S$20</f>
        <v>137846.70114553993</v>
      </c>
      <c r="T23" s="328">
        <f t="shared" ref="T23:T24" si="11">M23*L23*2</f>
        <v>1.6400000000000001</v>
      </c>
      <c r="U23" s="329">
        <f t="shared" si="2"/>
        <v>1.24</v>
      </c>
      <c r="V23" s="9"/>
      <c r="Y23" s="4"/>
    </row>
    <row r="24" spans="2:26" ht="17.399999999999999" x14ac:dyDescent="0.3">
      <c r="B24" s="319">
        <v>1</v>
      </c>
      <c r="C24" s="319" t="s">
        <v>203</v>
      </c>
      <c r="D24" s="321">
        <v>1.25</v>
      </c>
      <c r="E24" s="321">
        <v>0.6</v>
      </c>
      <c r="F24" s="364" t="s">
        <v>178</v>
      </c>
      <c r="G24" s="319" t="s">
        <v>201</v>
      </c>
      <c r="H24" s="322">
        <v>202519</v>
      </c>
      <c r="I24" s="311">
        <f t="shared" si="1"/>
        <v>202519</v>
      </c>
      <c r="J24" s="262"/>
      <c r="L24" s="47">
        <f t="shared" si="3"/>
        <v>1</v>
      </c>
      <c r="M24" s="39">
        <f t="shared" si="4"/>
        <v>1.27</v>
      </c>
      <c r="N24" s="39">
        <f t="shared" si="5"/>
        <v>0.62</v>
      </c>
      <c r="O24" s="39">
        <f t="shared" si="6"/>
        <v>0.73</v>
      </c>
      <c r="P24" s="264">
        <f t="shared" si="7"/>
        <v>0.78739999999999999</v>
      </c>
      <c r="Q24" s="223">
        <f t="shared" si="8"/>
        <v>0.78739999999999999</v>
      </c>
      <c r="R24" s="326">
        <f t="shared" si="9"/>
        <v>182518.67128638495</v>
      </c>
      <c r="S24" s="327">
        <f t="shared" si="10"/>
        <v>202518.67128638495</v>
      </c>
      <c r="T24" s="328">
        <f t="shared" si="11"/>
        <v>2.54</v>
      </c>
      <c r="U24" s="329">
        <f t="shared" si="2"/>
        <v>1.24</v>
      </c>
      <c r="V24" s="9"/>
      <c r="Y24" s="4"/>
    </row>
    <row r="25" spans="2:26" ht="17.399999999999999" x14ac:dyDescent="0.3">
      <c r="B25" s="283"/>
      <c r="C25" s="283"/>
      <c r="D25" s="284"/>
      <c r="E25" s="284"/>
      <c r="F25" s="284"/>
      <c r="G25" s="283"/>
      <c r="H25" s="314"/>
      <c r="I25" s="314"/>
      <c r="J25" s="262"/>
      <c r="L25" s="316"/>
      <c r="M25" s="355"/>
      <c r="N25" s="264"/>
      <c r="O25" s="264"/>
      <c r="P25" s="264"/>
      <c r="Q25" s="223"/>
      <c r="R25" s="326"/>
      <c r="S25" s="327">
        <f>SUM(S21:S24)</f>
        <v>692227.98399999994</v>
      </c>
      <c r="T25" s="328">
        <f>SUM(T21:T24)</f>
        <v>8.52</v>
      </c>
      <c r="U25" s="46">
        <f>SUM(U21:U24)</f>
        <v>4.96</v>
      </c>
      <c r="V25" s="9"/>
      <c r="Y25" s="4"/>
    </row>
    <row r="26" spans="2:26" ht="18" thickBot="1" x14ac:dyDescent="0.35">
      <c r="B26" s="283"/>
      <c r="C26" s="283"/>
      <c r="D26" s="284"/>
      <c r="E26" s="284"/>
      <c r="F26" s="284"/>
      <c r="G26" s="283"/>
      <c r="H26" s="262"/>
      <c r="I26" s="231"/>
      <c r="J26" s="231"/>
      <c r="K26" s="47"/>
      <c r="L26" s="316"/>
      <c r="M26" s="355"/>
      <c r="N26" s="264"/>
      <c r="O26" s="264"/>
      <c r="P26" s="264"/>
      <c r="Q26" s="223"/>
      <c r="R26" s="326"/>
      <c r="S26" s="327"/>
      <c r="T26" s="328">
        <f>T25+U25</f>
        <v>13.48</v>
      </c>
      <c r="U26" s="14"/>
      <c r="V26" s="9"/>
      <c r="Y26" s="4"/>
    </row>
    <row r="27" spans="2:26" ht="17.399999999999999" x14ac:dyDescent="0.3">
      <c r="B27" s="283"/>
      <c r="C27" s="283"/>
      <c r="D27" s="284"/>
      <c r="E27" s="284"/>
      <c r="F27" s="284"/>
      <c r="G27" s="283"/>
      <c r="H27" s="305" t="s">
        <v>29</v>
      </c>
      <c r="I27" s="306">
        <f>SUM(I21:I26)</f>
        <v>692229</v>
      </c>
      <c r="J27" s="262"/>
      <c r="K27" s="47"/>
      <c r="L27" s="316"/>
      <c r="M27" s="355"/>
      <c r="N27" s="264"/>
      <c r="O27" s="264"/>
      <c r="P27" s="264"/>
      <c r="Q27" s="223"/>
      <c r="R27" s="326"/>
      <c r="S27" s="327"/>
      <c r="T27" s="328">
        <f>T26*20%</f>
        <v>2.6960000000000002</v>
      </c>
      <c r="U27" s="14"/>
      <c r="V27" s="9"/>
      <c r="Y27" s="4"/>
    </row>
    <row r="28" spans="2:26" ht="17.399999999999999" x14ac:dyDescent="0.3">
      <c r="B28" s="277"/>
      <c r="C28" s="280"/>
      <c r="D28" s="281"/>
      <c r="E28" s="281"/>
      <c r="F28" s="281"/>
      <c r="G28" s="282"/>
      <c r="H28" s="304" t="s">
        <v>51</v>
      </c>
      <c r="I28" s="301">
        <f>I27*0.19</f>
        <v>131523.51</v>
      </c>
      <c r="J28" s="262"/>
      <c r="K28" s="47"/>
      <c r="L28" s="47"/>
      <c r="M28" s="39"/>
      <c r="N28" s="12"/>
      <c r="O28" s="12"/>
      <c r="P28" s="12"/>
      <c r="Q28" s="252">
        <f>SUM(Q21:Q24)</f>
        <v>2.6412</v>
      </c>
      <c r="R28" s="14"/>
      <c r="S28" s="12"/>
      <c r="T28" s="237">
        <f>T26+T27</f>
        <v>16.176000000000002</v>
      </c>
      <c r="U28" s="14"/>
      <c r="V28" s="9"/>
      <c r="Y28" s="4"/>
    </row>
    <row r="29" spans="2:26" ht="18" thickBot="1" x14ac:dyDescent="0.35">
      <c r="B29" s="273"/>
      <c r="C29" s="279"/>
      <c r="D29" s="269"/>
      <c r="E29" s="269"/>
      <c r="F29" s="269"/>
      <c r="G29" s="270"/>
      <c r="H29" s="278" t="s">
        <v>6</v>
      </c>
      <c r="I29" s="302">
        <f>I27+I28</f>
        <v>823752.51</v>
      </c>
      <c r="J29" s="262"/>
      <c r="K29" s="47"/>
      <c r="L29" s="47"/>
      <c r="M29" s="39"/>
      <c r="N29" s="12"/>
      <c r="O29" s="12"/>
      <c r="P29" s="12"/>
      <c r="Q29" s="252">
        <f>Q28</f>
        <v>2.6412</v>
      </c>
      <c r="R29" s="14"/>
      <c r="S29" s="12"/>
      <c r="T29" s="237"/>
      <c r="U29" s="14"/>
      <c r="V29" s="9"/>
      <c r="Y29" s="4"/>
    </row>
    <row r="30" spans="2:26" ht="17.399999999999999" x14ac:dyDescent="0.3">
      <c r="B30" s="273"/>
      <c r="C30" s="268"/>
      <c r="D30" s="269"/>
      <c r="E30" s="269"/>
      <c r="F30" s="269"/>
      <c r="G30" s="270"/>
      <c r="J30" s="262"/>
      <c r="K30" s="47"/>
      <c r="L30" s="47"/>
      <c r="M30" s="14"/>
      <c r="N30" s="12"/>
      <c r="O30" s="12"/>
      <c r="P30" s="12"/>
      <c r="Q30" s="39">
        <f>Q29*20%</f>
        <v>0.52824000000000004</v>
      </c>
      <c r="R30" s="39" t="s">
        <v>129</v>
      </c>
      <c r="S30" s="42"/>
      <c r="T30" s="238"/>
      <c r="U30" s="14"/>
      <c r="V30" s="9"/>
      <c r="Y30" s="4"/>
    </row>
    <row r="31" spans="2:26" ht="17.399999999999999" x14ac:dyDescent="0.3">
      <c r="B31" s="268"/>
      <c r="C31" s="268"/>
      <c r="D31" s="269"/>
      <c r="E31" s="269"/>
      <c r="F31" s="269"/>
      <c r="G31" s="270"/>
      <c r="H31" s="271"/>
      <c r="I31" s="272"/>
      <c r="J31" s="262"/>
      <c r="K31" s="316"/>
      <c r="L31" s="47"/>
      <c r="M31" s="14"/>
      <c r="N31" s="12"/>
      <c r="O31" s="12"/>
      <c r="P31" s="12"/>
      <c r="Q31" s="46">
        <f>Q29+Q30</f>
        <v>3.1694399999999998</v>
      </c>
      <c r="R31" s="14"/>
      <c r="S31" s="14"/>
      <c r="T31" s="236">
        <v>40</v>
      </c>
      <c r="U31" s="14"/>
      <c r="V31" s="9"/>
      <c r="Y31" s="4"/>
    </row>
    <row r="32" spans="2:26" ht="17.399999999999999" x14ac:dyDescent="0.35">
      <c r="B32" s="266"/>
      <c r="C32" s="229"/>
      <c r="D32" s="229"/>
      <c r="E32" s="231"/>
      <c r="F32" s="231"/>
      <c r="G32" s="232"/>
      <c r="H32" s="229"/>
      <c r="I32" s="272"/>
      <c r="J32" s="262"/>
      <c r="K32" s="316"/>
      <c r="L32" s="47"/>
      <c r="M32" s="14"/>
      <c r="N32" s="14"/>
      <c r="O32" s="14"/>
      <c r="P32" s="14"/>
      <c r="Q32" s="14"/>
      <c r="R32" s="14"/>
      <c r="S32" s="14"/>
      <c r="T32" s="236"/>
      <c r="U32" s="14"/>
      <c r="V32" s="9"/>
      <c r="Y32" s="4"/>
    </row>
    <row r="33" spans="2:25" ht="17.399999999999999" x14ac:dyDescent="0.35">
      <c r="B33" s="233"/>
      <c r="C33" s="234"/>
      <c r="D33" s="235"/>
      <c r="E33" s="233"/>
      <c r="F33" s="233"/>
      <c r="G33" s="229"/>
      <c r="H33" s="229"/>
      <c r="J33" s="262"/>
      <c r="K33" s="47"/>
      <c r="L33" s="47"/>
      <c r="M33" s="39">
        <f>Q31*2</f>
        <v>6.3388799999999996</v>
      </c>
      <c r="N33" s="12">
        <v>3500</v>
      </c>
      <c r="O33" s="12"/>
      <c r="P33" s="12">
        <f t="shared" ref="P33:P38" si="12">M33*N33</f>
        <v>22186.079999999998</v>
      </c>
      <c r="Q33" s="14" t="s">
        <v>22</v>
      </c>
      <c r="R33" s="14" t="s">
        <v>23</v>
      </c>
      <c r="S33" s="14"/>
      <c r="T33" s="239"/>
      <c r="U33" s="14"/>
      <c r="V33" s="9"/>
      <c r="Y33" s="4"/>
    </row>
    <row r="34" spans="2:25" ht="17.399999999999999" x14ac:dyDescent="0.35">
      <c r="B34" s="229"/>
      <c r="C34" s="229"/>
      <c r="D34" s="229"/>
      <c r="E34" s="229"/>
      <c r="F34" s="229"/>
      <c r="G34" s="229"/>
      <c r="H34" s="229"/>
      <c r="J34" s="262"/>
      <c r="K34" s="47"/>
      <c r="L34" s="47"/>
      <c r="M34" s="248">
        <v>1</v>
      </c>
      <c r="N34" s="12">
        <v>45000</v>
      </c>
      <c r="O34" s="12"/>
      <c r="P34" s="12">
        <f t="shared" si="12"/>
        <v>45000</v>
      </c>
      <c r="Q34" s="39" t="s">
        <v>194</v>
      </c>
      <c r="R34" s="42"/>
      <c r="S34" s="14"/>
      <c r="T34" s="238"/>
      <c r="U34" s="14"/>
      <c r="V34" s="9"/>
      <c r="Y34" s="4"/>
    </row>
    <row r="35" spans="2:25" s="229" customFormat="1" ht="17.399999999999999" x14ac:dyDescent="0.35">
      <c r="J35" s="259"/>
      <c r="K35" s="47"/>
      <c r="L35" s="249"/>
      <c r="M35" s="14">
        <v>1</v>
      </c>
      <c r="N35" s="249">
        <v>19000</v>
      </c>
      <c r="O35" s="249"/>
      <c r="P35" s="12">
        <f t="shared" si="12"/>
        <v>19000</v>
      </c>
      <c r="Q35" s="39" t="s">
        <v>202</v>
      </c>
      <c r="R35" s="42"/>
      <c r="T35" s="238"/>
      <c r="U35" s="358"/>
      <c r="X35" s="230"/>
    </row>
    <row r="36" spans="2:25" s="229" customFormat="1" ht="17.399999999999999" x14ac:dyDescent="0.35">
      <c r="B36" s="24" t="s">
        <v>150</v>
      </c>
      <c r="J36" s="259"/>
      <c r="K36" s="315"/>
      <c r="L36" s="249"/>
      <c r="M36" s="14">
        <v>1</v>
      </c>
      <c r="N36" s="249">
        <v>140000</v>
      </c>
      <c r="O36" s="249"/>
      <c r="P36" s="12">
        <f t="shared" si="12"/>
        <v>140000</v>
      </c>
      <c r="Q36" s="14" t="s">
        <v>140</v>
      </c>
      <c r="R36" s="17"/>
      <c r="T36" s="236"/>
      <c r="U36" s="358"/>
      <c r="X36" s="230"/>
    </row>
    <row r="37" spans="2:25" s="229" customFormat="1" ht="17.399999999999999" x14ac:dyDescent="0.35">
      <c r="B37" s="24" t="s">
        <v>143</v>
      </c>
      <c r="C37"/>
      <c r="D37"/>
      <c r="E37"/>
      <c r="F37"/>
      <c r="G37"/>
      <c r="J37" s="259"/>
      <c r="K37" s="315"/>
      <c r="L37" s="249"/>
      <c r="M37" s="248">
        <v>20</v>
      </c>
      <c r="N37" s="249">
        <v>2000</v>
      </c>
      <c r="O37" s="249"/>
      <c r="P37" s="12">
        <f t="shared" si="12"/>
        <v>40000</v>
      </c>
      <c r="Q37" s="14" t="s">
        <v>198</v>
      </c>
      <c r="R37" s="14"/>
      <c r="S37" s="229">
        <v>1.22</v>
      </c>
      <c r="T37" s="236"/>
      <c r="U37" s="236">
        <v>3.05</v>
      </c>
    </row>
    <row r="38" spans="2:25" s="229" customFormat="1" ht="17.399999999999999" x14ac:dyDescent="0.35">
      <c r="B38" s="29" t="s">
        <v>125</v>
      </c>
      <c r="C38"/>
      <c r="D38"/>
      <c r="E38"/>
      <c r="F38"/>
      <c r="G38" s="228" t="s">
        <v>16</v>
      </c>
      <c r="J38" s="300"/>
      <c r="K38" s="47"/>
      <c r="L38" s="249"/>
      <c r="M38" s="263"/>
      <c r="N38" s="12">
        <v>1500</v>
      </c>
      <c r="O38" s="12"/>
      <c r="P38" s="12">
        <f t="shared" si="12"/>
        <v>0</v>
      </c>
      <c r="Q38" s="14" t="s">
        <v>24</v>
      </c>
      <c r="R38" s="14"/>
      <c r="S38">
        <v>2.44</v>
      </c>
      <c r="T38"/>
      <c r="U38" s="236">
        <v>1.23</v>
      </c>
      <c r="Y38" s="230"/>
    </row>
    <row r="39" spans="2:25" s="229" customFormat="1" ht="17.399999999999999" x14ac:dyDescent="0.35">
      <c r="K39" s="47"/>
      <c r="L39" s="249"/>
      <c r="M39" s="14"/>
      <c r="N39" s="12"/>
      <c r="O39" s="12"/>
      <c r="P39" s="12">
        <f>SUM(P33:P38)</f>
        <v>266186.08</v>
      </c>
      <c r="Q39" s="39" t="s">
        <v>25</v>
      </c>
      <c r="R39" s="14"/>
      <c r="S39">
        <f>S37*S38</f>
        <v>2.9767999999999999</v>
      </c>
      <c r="T39"/>
      <c r="U39" s="236">
        <f>U37*U38</f>
        <v>3.7514999999999996</v>
      </c>
      <c r="Y39" s="230"/>
    </row>
    <row r="40" spans="2:25" s="229" customFormat="1" ht="17.399999999999999" x14ac:dyDescent="0.35">
      <c r="K40" s="47">
        <v>39360</v>
      </c>
      <c r="L40" s="249"/>
      <c r="M40" s="253" t="s">
        <v>33</v>
      </c>
      <c r="N40" s="12"/>
      <c r="O40" s="12"/>
      <c r="P40" s="254">
        <f>P39*2.3</f>
        <v>612227.98399999994</v>
      </c>
      <c r="Q40" s="14" t="s">
        <v>139</v>
      </c>
      <c r="R40" s="14"/>
      <c r="S40" s="46">
        <f>Q29/S39</f>
        <v>0.88726148884708411</v>
      </c>
      <c r="T40"/>
      <c r="U40" s="359">
        <f>Q29/U39</f>
        <v>0.70403838464614166</v>
      </c>
    </row>
    <row r="41" spans="2:25" s="229" customFormat="1" ht="17.399999999999999" x14ac:dyDescent="0.35">
      <c r="H41"/>
      <c r="I41" s="257"/>
      <c r="J41" s="257"/>
      <c r="K41" s="47">
        <f>K40/1.19</f>
        <v>33075.63025210084</v>
      </c>
      <c r="L41" s="249"/>
      <c r="M41" s="14"/>
      <c r="N41" s="12"/>
      <c r="O41" s="12"/>
      <c r="P41" s="12">
        <f>P40/Q29</f>
        <v>231799.17613206117</v>
      </c>
      <c r="Q41" s="45" t="s">
        <v>26</v>
      </c>
      <c r="R41" s="14"/>
      <c r="S41" s="14"/>
      <c r="T41"/>
      <c r="U41" s="236"/>
    </row>
    <row r="42" spans="2:25" s="229" customFormat="1" ht="17.399999999999999" x14ac:dyDescent="0.35">
      <c r="H42"/>
      <c r="K42" s="47"/>
      <c r="L42" s="249"/>
      <c r="M42" s="13"/>
      <c r="N42" s="14"/>
      <c r="O42" s="14"/>
      <c r="P42" s="17">
        <f>P40/P39</f>
        <v>2.2999999999999998</v>
      </c>
      <c r="Q42" s="15"/>
      <c r="R42"/>
      <c r="S42"/>
      <c r="T42"/>
      <c r="U42" s="236"/>
    </row>
    <row r="43" spans="2:25" s="229" customFormat="1" ht="17.399999999999999" x14ac:dyDescent="0.35">
      <c r="H43" s="23"/>
      <c r="K43" s="47"/>
      <c r="L43" s="12"/>
      <c r="U43" s="236"/>
    </row>
    <row r="44" spans="2:25" s="229" customFormat="1" ht="17.399999999999999" x14ac:dyDescent="0.35">
      <c r="B44"/>
      <c r="C44" s="227"/>
      <c r="D44" s="22"/>
      <c r="E44" s="22"/>
      <c r="F44" s="22"/>
      <c r="G44" s="21"/>
      <c r="H44" s="23"/>
      <c r="K44" s="47"/>
      <c r="L44" s="12"/>
      <c r="M44" s="316"/>
      <c r="N44" s="264" t="s">
        <v>115</v>
      </c>
      <c r="O44" s="264"/>
      <c r="P44" s="264" t="s">
        <v>191</v>
      </c>
      <c r="Q44" s="264" t="s">
        <v>192</v>
      </c>
      <c r="R44" s="223" t="s">
        <v>22</v>
      </c>
      <c r="S44" s="326" t="s">
        <v>193</v>
      </c>
      <c r="T44" s="326" t="s">
        <v>115</v>
      </c>
      <c r="U44" s="236"/>
    </row>
    <row r="45" spans="2:25" ht="14.4" customHeight="1" x14ac:dyDescent="0.3">
      <c r="K45" s="47"/>
      <c r="L45" s="12"/>
      <c r="M45" s="354" t="s">
        <v>188</v>
      </c>
      <c r="N45" s="355">
        <v>50890</v>
      </c>
      <c r="O45" s="355"/>
      <c r="P45" s="355">
        <v>6</v>
      </c>
      <c r="Q45" s="264">
        <v>3</v>
      </c>
      <c r="R45" s="223">
        <v>15.661</v>
      </c>
      <c r="S45" s="326">
        <v>70</v>
      </c>
      <c r="T45" s="360">
        <v>1399760</v>
      </c>
    </row>
    <row r="46" spans="2:25" x14ac:dyDescent="0.3">
      <c r="K46" s="47"/>
      <c r="L46" s="249"/>
      <c r="M46" s="356" t="s">
        <v>189</v>
      </c>
      <c r="N46" s="355">
        <v>68410</v>
      </c>
      <c r="O46" s="355"/>
      <c r="P46" s="355">
        <v>10</v>
      </c>
      <c r="Q46" s="264">
        <v>5</v>
      </c>
      <c r="R46" s="223">
        <v>32.905999999999999</v>
      </c>
      <c r="S46" s="326">
        <v>120</v>
      </c>
      <c r="T46" s="360">
        <v>1847202</v>
      </c>
    </row>
    <row r="47" spans="2:25" x14ac:dyDescent="0.3">
      <c r="L47" s="249"/>
      <c r="M47" s="357" t="s">
        <v>173</v>
      </c>
      <c r="N47" s="355">
        <v>49780</v>
      </c>
      <c r="O47" s="355"/>
      <c r="P47" s="355">
        <v>6</v>
      </c>
      <c r="Q47" s="264">
        <v>2</v>
      </c>
      <c r="R47" s="223">
        <v>14.571999999999999</v>
      </c>
      <c r="S47" s="326">
        <v>50</v>
      </c>
      <c r="T47" s="360">
        <v>901353</v>
      </c>
      <c r="U47" s="267"/>
    </row>
    <row r="48" spans="2:25" x14ac:dyDescent="0.3">
      <c r="L48" s="249"/>
      <c r="M48" s="316" t="s">
        <v>190</v>
      </c>
      <c r="N48" s="355">
        <v>39060</v>
      </c>
      <c r="O48" s="355"/>
      <c r="P48" s="355">
        <v>33</v>
      </c>
      <c r="Q48" s="264">
        <v>15.141</v>
      </c>
      <c r="R48" s="223">
        <v>112.309</v>
      </c>
      <c r="S48" s="361">
        <v>464.81799999999998</v>
      </c>
      <c r="T48" s="360">
        <v>5626077</v>
      </c>
    </row>
    <row r="49" spans="20:21" ht="15" customHeight="1" x14ac:dyDescent="0.3">
      <c r="T49" s="362">
        <f>SUM(T45:T48)</f>
        <v>9774392</v>
      </c>
    </row>
    <row r="54" spans="20:21" x14ac:dyDescent="0.3">
      <c r="T54" s="18"/>
      <c r="U54" s="18"/>
    </row>
    <row r="55" spans="20:21" x14ac:dyDescent="0.3">
      <c r="T55" s="18"/>
      <c r="U55" s="18"/>
    </row>
    <row r="56" spans="20:21" x14ac:dyDescent="0.3">
      <c r="T56" s="18"/>
      <c r="U56" s="18"/>
    </row>
    <row r="57" spans="20:21" x14ac:dyDescent="0.3">
      <c r="T57" s="18"/>
      <c r="U57" s="18"/>
    </row>
    <row r="58" spans="20:21" x14ac:dyDescent="0.3">
      <c r="T58" s="18"/>
      <c r="U58" s="18"/>
    </row>
    <row r="59" spans="20:21" x14ac:dyDescent="0.3">
      <c r="T59" s="18"/>
      <c r="U59" s="18"/>
    </row>
    <row r="60" spans="20:21" x14ac:dyDescent="0.3">
      <c r="T60" s="18"/>
      <c r="U60" s="18"/>
    </row>
    <row r="61" spans="20:21" x14ac:dyDescent="0.3">
      <c r="T61" s="18"/>
      <c r="U61" s="18"/>
    </row>
    <row r="62" spans="20:21" x14ac:dyDescent="0.3">
      <c r="T62" s="18"/>
      <c r="U62" s="18"/>
    </row>
    <row r="65" spans="3:16" x14ac:dyDescent="0.3">
      <c r="P65" s="43"/>
    </row>
    <row r="66" spans="3:16" x14ac:dyDescent="0.3">
      <c r="P66" s="43"/>
    </row>
    <row r="67" spans="3:16" x14ac:dyDescent="0.3">
      <c r="P67" s="6"/>
    </row>
    <row r="68" spans="3:16" x14ac:dyDescent="0.3">
      <c r="P68" s="6"/>
    </row>
    <row r="76" spans="3:16" x14ac:dyDescent="0.3">
      <c r="C76" t="s">
        <v>147</v>
      </c>
    </row>
    <row r="77" spans="3:16" x14ac:dyDescent="0.3">
      <c r="C77" t="s">
        <v>146</v>
      </c>
    </row>
    <row r="80" spans="3:16" x14ac:dyDescent="0.3">
      <c r="C80" t="s">
        <v>146</v>
      </c>
    </row>
    <row r="157" spans="3:3" x14ac:dyDescent="0.3">
      <c r="C157" t="s">
        <v>146</v>
      </c>
    </row>
    <row r="158" spans="3:3" x14ac:dyDescent="0.3">
      <c r="C158" t="s">
        <v>148</v>
      </c>
    </row>
    <row r="159" spans="3:3" x14ac:dyDescent="0.3">
      <c r="C159" t="s">
        <v>149</v>
      </c>
    </row>
    <row r="584" spans="3:3" x14ac:dyDescent="0.3">
      <c r="C584" t="s">
        <v>146</v>
      </c>
    </row>
  </sheetData>
  <mergeCells count="2">
    <mergeCell ref="G17:I17"/>
    <mergeCell ref="B19:I19"/>
  </mergeCells>
  <hyperlinks>
    <hyperlink ref="G38" r:id="rId1" xr:uid="{9F6FCB9D-17E6-4AB7-B5CC-2494BC517B14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E95B-4534-44D8-B9DC-44321C27DEC9}">
  <sheetPr>
    <pageSetUpPr fitToPage="1"/>
  </sheetPr>
  <dimension ref="B2:Z583"/>
  <sheetViews>
    <sheetView topLeftCell="D10" zoomScale="98" zoomScaleNormal="98" workbookViewId="0">
      <selection activeCell="M38" sqref="M38"/>
    </sheetView>
  </sheetViews>
  <sheetFormatPr baseColWidth="10" defaultRowHeight="14.4" x14ac:dyDescent="0.3"/>
  <cols>
    <col min="1" max="1" width="6" customWidth="1"/>
    <col min="2" max="2" width="10.5546875" customWidth="1"/>
    <col min="3" max="3" width="27.44140625" customWidth="1"/>
    <col min="4" max="4" width="11.109375" customWidth="1"/>
    <col min="5" max="6" width="10.5546875" customWidth="1"/>
    <col min="7" max="7" width="28.5546875" customWidth="1"/>
    <col min="8" max="8" width="14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8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0" t="s">
        <v>141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8" t="s">
        <v>137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8" t="s">
        <v>142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8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8" t="s">
        <v>15</v>
      </c>
      <c r="P6" s="33" t="s">
        <v>20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8" t="s">
        <v>124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298" t="s">
        <v>126</v>
      </c>
      <c r="C8" s="299"/>
      <c r="D8" s="317" t="s">
        <v>159</v>
      </c>
      <c r="G8" s="58"/>
      <c r="K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41" t="s">
        <v>2</v>
      </c>
      <c r="C10" s="276" t="s">
        <v>154</v>
      </c>
      <c r="D10" s="242"/>
      <c r="E10" s="242"/>
      <c r="F10" s="242"/>
      <c r="G10" s="243" t="s">
        <v>0</v>
      </c>
      <c r="H10" s="274">
        <v>45376</v>
      </c>
      <c r="I10" s="244"/>
      <c r="K10" s="1"/>
      <c r="S10" s="2"/>
      <c r="T10" s="3"/>
      <c r="U10" s="3"/>
      <c r="V10" s="4"/>
      <c r="W10" s="2"/>
      <c r="X10" s="3"/>
    </row>
    <row r="11" spans="2:25" ht="16.8" x14ac:dyDescent="0.4">
      <c r="B11" s="285" t="s">
        <v>12</v>
      </c>
      <c r="C11" s="307" t="s">
        <v>155</v>
      </c>
      <c r="G11" t="s">
        <v>123</v>
      </c>
      <c r="H11" s="286" t="s">
        <v>158</v>
      </c>
      <c r="I11" s="287"/>
      <c r="R11" s="19"/>
      <c r="S11" s="25" t="s">
        <v>19</v>
      </c>
      <c r="T11" s="19"/>
    </row>
    <row r="12" spans="2:25" ht="16.8" x14ac:dyDescent="0.4">
      <c r="B12" s="245" t="s">
        <v>144</v>
      </c>
      <c r="C12" s="307"/>
      <c r="D12" s="246"/>
      <c r="E12" s="246"/>
      <c r="F12" s="246"/>
      <c r="G12" s="246" t="s">
        <v>127</v>
      </c>
      <c r="H12" s="275" t="s">
        <v>134</v>
      </c>
      <c r="I12" s="247"/>
      <c r="R12" s="19"/>
      <c r="S12" s="25"/>
      <c r="T12" s="19"/>
    </row>
    <row r="13" spans="2:25" x14ac:dyDescent="0.3">
      <c r="B13" s="245" t="s">
        <v>145</v>
      </c>
      <c r="C13" t="s">
        <v>156</v>
      </c>
      <c r="D13" s="246"/>
      <c r="E13" s="246"/>
      <c r="F13" s="246"/>
      <c r="G13" s="246"/>
      <c r="H13" s="275"/>
      <c r="I13" s="247"/>
      <c r="M13">
        <v>32.979999999999997</v>
      </c>
      <c r="N13" t="s">
        <v>17</v>
      </c>
      <c r="R13" s="19"/>
      <c r="S13" s="25"/>
      <c r="T13" s="19"/>
    </row>
    <row r="14" spans="2:25" x14ac:dyDescent="0.3">
      <c r="B14" s="285" t="s">
        <v>138</v>
      </c>
      <c r="C14" s="303"/>
      <c r="G14" s="29" t="s">
        <v>135</v>
      </c>
      <c r="H14" s="288" t="s">
        <v>134</v>
      </c>
      <c r="I14" s="287"/>
      <c r="K14" s="29"/>
      <c r="R14" s="20"/>
      <c r="S14" s="26" t="s">
        <v>18</v>
      </c>
      <c r="T14" s="20"/>
    </row>
    <row r="15" spans="2:25" ht="15.6" x14ac:dyDescent="0.3">
      <c r="B15" s="245" t="s">
        <v>4</v>
      </c>
      <c r="C15" s="320" t="s">
        <v>157</v>
      </c>
      <c r="D15" s="292"/>
      <c r="E15" s="246"/>
      <c r="F15" s="246"/>
      <c r="G15" s="246" t="s">
        <v>133</v>
      </c>
      <c r="H15" s="293" t="s">
        <v>134</v>
      </c>
      <c r="I15" s="247"/>
      <c r="L15" s="18">
        <f>I26/M13</f>
        <v>6988.9630078835662</v>
      </c>
    </row>
    <row r="16" spans="2:25" ht="16.8" x14ac:dyDescent="0.4">
      <c r="B16" s="289" t="s">
        <v>3</v>
      </c>
      <c r="C16" s="307"/>
      <c r="G16" s="290" t="s">
        <v>128</v>
      </c>
      <c r="H16" s="291" t="s">
        <v>153</v>
      </c>
      <c r="I16" s="287"/>
    </row>
    <row r="17" spans="2:26" ht="15" thickBot="1" x14ac:dyDescent="0.35">
      <c r="B17" s="294" t="s">
        <v>13</v>
      </c>
      <c r="C17" s="295" t="s">
        <v>151</v>
      </c>
      <c r="D17" s="296"/>
      <c r="E17" s="297"/>
      <c r="F17" s="297"/>
      <c r="G17" s="368" t="s">
        <v>152</v>
      </c>
      <c r="H17" s="368"/>
      <c r="I17" s="369"/>
      <c r="J17" s="260"/>
      <c r="U17" s="6"/>
      <c r="V17" s="6"/>
    </row>
    <row r="18" spans="2:26" ht="15.75" customHeight="1" thickBot="1" x14ac:dyDescent="0.35">
      <c r="J18" s="47"/>
      <c r="K18" s="5"/>
      <c r="O18" t="s">
        <v>196</v>
      </c>
      <c r="W18" s="9"/>
      <c r="Y18" s="6"/>
      <c r="Z18" s="6"/>
    </row>
    <row r="19" spans="2:26" ht="13.5" customHeight="1" x14ac:dyDescent="0.3">
      <c r="B19" s="370" t="s">
        <v>146</v>
      </c>
      <c r="C19" s="371"/>
      <c r="D19" s="371"/>
      <c r="E19" s="371"/>
      <c r="F19" s="371"/>
      <c r="G19" s="371"/>
      <c r="H19" s="371"/>
      <c r="I19" s="372"/>
      <c r="J19" s="261"/>
      <c r="K19" s="5"/>
      <c r="L19" s="249"/>
      <c r="M19" s="14">
        <v>0.05</v>
      </c>
      <c r="N19" s="14"/>
      <c r="O19" s="14">
        <v>0.13</v>
      </c>
      <c r="P19" s="14"/>
      <c r="Q19" s="250" t="s">
        <v>6</v>
      </c>
      <c r="R19" s="36" t="s">
        <v>21</v>
      </c>
      <c r="S19" s="37" t="s">
        <v>199</v>
      </c>
      <c r="T19" s="10" t="s">
        <v>136</v>
      </c>
      <c r="V19" s="9"/>
      <c r="W19" s="9"/>
      <c r="Y19" s="6"/>
      <c r="Z19" s="6"/>
    </row>
    <row r="20" spans="2:26" ht="18" thickBot="1" x14ac:dyDescent="0.35">
      <c r="B20" s="318" t="s">
        <v>7</v>
      </c>
      <c r="C20" s="312" t="s">
        <v>1</v>
      </c>
      <c r="D20" s="312" t="s">
        <v>10</v>
      </c>
      <c r="E20" s="312" t="s">
        <v>11</v>
      </c>
      <c r="F20" s="312" t="s">
        <v>161</v>
      </c>
      <c r="G20" s="312" t="s">
        <v>8</v>
      </c>
      <c r="H20" s="312" t="s">
        <v>5</v>
      </c>
      <c r="I20" s="313" t="s">
        <v>6</v>
      </c>
      <c r="J20" s="262"/>
      <c r="K20" s="47"/>
      <c r="L20" s="265" t="str">
        <f t="shared" ref="L20" si="0">B20</f>
        <v>UNIDAD</v>
      </c>
      <c r="M20" s="264" t="s">
        <v>130</v>
      </c>
      <c r="N20" s="39" t="str">
        <f>E20</f>
        <v>ANCHO</v>
      </c>
      <c r="O20" s="39"/>
      <c r="P20" s="258" t="s">
        <v>131</v>
      </c>
      <c r="Q20" s="256" t="s">
        <v>17</v>
      </c>
      <c r="R20" s="251">
        <f>P40</f>
        <v>142083.62745098039</v>
      </c>
      <c r="S20" s="255">
        <v>20000</v>
      </c>
      <c r="T20" s="38" t="s">
        <v>130</v>
      </c>
      <c r="U20" s="43" t="s">
        <v>11</v>
      </c>
      <c r="V20" s="9"/>
      <c r="Y20" s="4"/>
    </row>
    <row r="21" spans="2:26" ht="17.399999999999999" x14ac:dyDescent="0.3">
      <c r="B21" s="319">
        <v>1</v>
      </c>
      <c r="C21" s="308" t="s">
        <v>195</v>
      </c>
      <c r="D21" s="309">
        <v>1.65</v>
      </c>
      <c r="E21" s="309">
        <v>0.6</v>
      </c>
      <c r="F21" s="363" t="s">
        <v>163</v>
      </c>
      <c r="G21" s="308" t="s">
        <v>162</v>
      </c>
      <c r="H21" s="310">
        <v>230496</v>
      </c>
      <c r="I21" s="311">
        <f t="shared" ref="I21" si="1">H21*B21</f>
        <v>230496</v>
      </c>
      <c r="J21" s="262"/>
      <c r="K21" s="47"/>
      <c r="L21" s="47">
        <f>B21</f>
        <v>1</v>
      </c>
      <c r="M21" s="39">
        <f>D21+M$19</f>
        <v>1.7</v>
      </c>
      <c r="N21" s="39">
        <f>E21+N$19</f>
        <v>0.6</v>
      </c>
      <c r="O21" s="39">
        <f>E21+O$19</f>
        <v>0.73</v>
      </c>
      <c r="P21" s="264">
        <f>M21*N21</f>
        <v>1.02</v>
      </c>
      <c r="Q21" s="223">
        <f>P21*L21</f>
        <v>1.02</v>
      </c>
      <c r="R21" s="326">
        <f>R$20*P21</f>
        <v>144925.29999999999</v>
      </c>
      <c r="S21" s="327">
        <f>R21+S$20</f>
        <v>164925.29999999999</v>
      </c>
      <c r="T21" s="328">
        <f>M21*L21*2</f>
        <v>3.4</v>
      </c>
      <c r="U21" s="329">
        <f>N21*L21*2</f>
        <v>1.2</v>
      </c>
      <c r="V21" s="9"/>
      <c r="Y21" s="4"/>
    </row>
    <row r="22" spans="2:26" ht="17.399999999999999" x14ac:dyDescent="0.3">
      <c r="B22" s="319"/>
      <c r="C22" s="308" t="s">
        <v>200</v>
      </c>
      <c r="D22" s="309">
        <v>5</v>
      </c>
      <c r="E22" s="309">
        <v>0.6</v>
      </c>
      <c r="F22" s="363" t="s">
        <v>166</v>
      </c>
      <c r="G22" s="308" t="s">
        <v>162</v>
      </c>
      <c r="H22" s="310">
        <v>230497</v>
      </c>
      <c r="I22" s="311">
        <f t="shared" ref="I22" si="2">H22*B22</f>
        <v>0</v>
      </c>
      <c r="J22" s="262"/>
      <c r="L22" s="47">
        <f>B22</f>
        <v>0</v>
      </c>
      <c r="M22" s="39">
        <f>D22+M$19</f>
        <v>5.05</v>
      </c>
      <c r="N22" s="39">
        <f>E22+N$19</f>
        <v>0.6</v>
      </c>
      <c r="O22" s="39">
        <f>E22+O$19</f>
        <v>0.73</v>
      </c>
      <c r="P22" s="264">
        <f>M22*N22</f>
        <v>3.03</v>
      </c>
      <c r="Q22" s="223">
        <f>P22*L22</f>
        <v>0</v>
      </c>
      <c r="R22" s="326">
        <f>R$20*P22</f>
        <v>430513.39117647056</v>
      </c>
      <c r="S22" s="327">
        <f>R22+S$20</f>
        <v>450513.39117647056</v>
      </c>
      <c r="T22" s="328">
        <f>M22*L22*2</f>
        <v>0</v>
      </c>
      <c r="U22" s="14"/>
      <c r="V22" s="9"/>
      <c r="Y22" s="4"/>
    </row>
    <row r="23" spans="2:26" ht="17.399999999999999" x14ac:dyDescent="0.3">
      <c r="B23" s="283"/>
      <c r="C23" s="283"/>
      <c r="D23" s="284"/>
      <c r="E23" s="284"/>
      <c r="F23" s="284"/>
      <c r="G23" s="283"/>
      <c r="H23" s="314"/>
      <c r="I23" s="314"/>
      <c r="J23" s="262"/>
      <c r="L23" s="316"/>
      <c r="M23" s="355">
        <f>SUM(M21:M22)</f>
        <v>6.75</v>
      </c>
      <c r="N23" s="264"/>
      <c r="O23" s="264"/>
      <c r="P23" s="264"/>
      <c r="Q23" s="223"/>
      <c r="R23" s="326"/>
      <c r="S23" s="327"/>
      <c r="T23" s="328">
        <f>SUM(T21:T22)</f>
        <v>3.4</v>
      </c>
      <c r="U23" s="46">
        <f>SUM(U21:U22)</f>
        <v>1.2</v>
      </c>
      <c r="V23" s="9"/>
      <c r="Y23" s="4"/>
    </row>
    <row r="24" spans="2:26" ht="17.399999999999999" x14ac:dyDescent="0.3">
      <c r="B24" s="283"/>
      <c r="C24" s="283"/>
      <c r="D24" s="284"/>
      <c r="E24" s="284"/>
      <c r="F24" s="284"/>
      <c r="G24" s="283"/>
      <c r="H24" s="314"/>
      <c r="I24" s="314"/>
      <c r="J24" s="262"/>
      <c r="L24" s="316"/>
      <c r="M24" s="355"/>
      <c r="N24" s="264"/>
      <c r="O24" s="264"/>
      <c r="P24" s="264"/>
      <c r="Q24" s="223"/>
      <c r="R24" s="326"/>
      <c r="S24" s="327">
        <f>SUM(S21:S23)</f>
        <v>615438.6911764706</v>
      </c>
      <c r="T24" s="328">
        <f>T23+U23</f>
        <v>4.5999999999999996</v>
      </c>
      <c r="U24" s="14"/>
      <c r="V24" s="9"/>
      <c r="Y24" s="4"/>
    </row>
    <row r="25" spans="2:26" ht="18" thickBot="1" x14ac:dyDescent="0.35">
      <c r="B25" s="283"/>
      <c r="C25" s="283"/>
      <c r="D25" s="284"/>
      <c r="E25" s="284"/>
      <c r="F25" s="284"/>
      <c r="G25" s="283"/>
      <c r="H25" s="262"/>
      <c r="I25" s="231"/>
      <c r="J25" s="231"/>
      <c r="K25" s="47"/>
      <c r="L25" s="316"/>
      <c r="M25" s="355"/>
      <c r="N25" s="264"/>
      <c r="O25" s="264"/>
      <c r="P25" s="264"/>
      <c r="Q25" s="223"/>
      <c r="R25" s="326"/>
      <c r="S25" s="327"/>
      <c r="T25" s="328">
        <f>T24*20%</f>
        <v>0.91999999999999993</v>
      </c>
      <c r="U25" s="14"/>
      <c r="V25" s="9"/>
      <c r="Y25" s="4"/>
    </row>
    <row r="26" spans="2:26" ht="17.399999999999999" x14ac:dyDescent="0.3">
      <c r="B26" s="283"/>
      <c r="C26" s="283"/>
      <c r="D26" s="284"/>
      <c r="E26" s="284"/>
      <c r="F26" s="284"/>
      <c r="G26" s="283"/>
      <c r="H26" s="305" t="s">
        <v>29</v>
      </c>
      <c r="I26" s="306">
        <f>SUM(I21:I25)</f>
        <v>230496</v>
      </c>
      <c r="J26" s="262"/>
      <c r="K26" s="47"/>
      <c r="L26" s="316"/>
      <c r="M26" s="355"/>
      <c r="N26" s="264"/>
      <c r="O26" s="264"/>
      <c r="P26" s="264"/>
      <c r="Q26" s="223"/>
      <c r="R26" s="326"/>
      <c r="S26" s="327"/>
      <c r="T26" s="328">
        <f>T24+T25</f>
        <v>5.52</v>
      </c>
      <c r="U26" s="14"/>
      <c r="V26" s="9"/>
      <c r="Y26" s="4"/>
    </row>
    <row r="27" spans="2:26" ht="17.399999999999999" x14ac:dyDescent="0.3">
      <c r="B27" s="277"/>
      <c r="C27" s="280"/>
      <c r="D27" s="281"/>
      <c r="E27" s="281"/>
      <c r="F27" s="281"/>
      <c r="G27" s="282"/>
      <c r="H27" s="304" t="s">
        <v>51</v>
      </c>
      <c r="I27" s="301">
        <f>I26*0.19</f>
        <v>43794.239999999998</v>
      </c>
      <c r="J27" s="262"/>
      <c r="K27" s="47"/>
      <c r="L27" s="47"/>
      <c r="M27" s="39"/>
      <c r="N27" s="12"/>
      <c r="O27" s="12"/>
      <c r="P27" s="12"/>
      <c r="Q27" s="252">
        <f>SUM(Q21:Q22)</f>
        <v>1.02</v>
      </c>
      <c r="R27" s="14"/>
      <c r="S27" s="12"/>
      <c r="T27" s="237"/>
      <c r="U27" s="14"/>
      <c r="V27" s="9"/>
      <c r="Y27" s="4"/>
    </row>
    <row r="28" spans="2:26" ht="18" thickBot="1" x14ac:dyDescent="0.35">
      <c r="B28" s="273"/>
      <c r="C28" s="279"/>
      <c r="D28" s="269"/>
      <c r="E28" s="269"/>
      <c r="F28" s="269"/>
      <c r="G28" s="270"/>
      <c r="H28" s="278" t="s">
        <v>6</v>
      </c>
      <c r="I28" s="302">
        <f>I26+I27</f>
        <v>274290.24</v>
      </c>
      <c r="J28" s="262"/>
      <c r="K28" s="47"/>
      <c r="L28" s="47"/>
      <c r="M28" s="39"/>
      <c r="N28" s="12"/>
      <c r="O28" s="12"/>
      <c r="P28" s="12"/>
      <c r="Q28" s="252">
        <f>Q27</f>
        <v>1.02</v>
      </c>
      <c r="R28" s="14"/>
      <c r="S28" s="12"/>
      <c r="T28" s="237"/>
      <c r="U28" s="14"/>
      <c r="V28" s="9"/>
      <c r="Y28" s="4"/>
    </row>
    <row r="29" spans="2:26" ht="17.399999999999999" x14ac:dyDescent="0.3">
      <c r="B29" s="273"/>
      <c r="C29" s="268"/>
      <c r="D29" s="269"/>
      <c r="E29" s="269"/>
      <c r="F29" s="269"/>
      <c r="G29" s="270"/>
      <c r="J29" s="262"/>
      <c r="K29" s="47"/>
      <c r="L29" s="47"/>
      <c r="M29" s="14"/>
      <c r="N29" s="12"/>
      <c r="O29" s="12"/>
      <c r="P29" s="12"/>
      <c r="Q29" s="39"/>
      <c r="R29" s="39" t="s">
        <v>129</v>
      </c>
      <c r="S29" s="42"/>
      <c r="T29" s="238"/>
      <c r="U29" s="14"/>
      <c r="V29" s="9"/>
      <c r="Y29" s="4"/>
    </row>
    <row r="30" spans="2:26" ht="17.399999999999999" x14ac:dyDescent="0.3">
      <c r="B30" s="268"/>
      <c r="C30" s="268"/>
      <c r="D30" s="269"/>
      <c r="E30" s="269"/>
      <c r="F30" s="269"/>
      <c r="G30" s="270"/>
      <c r="H30" s="271"/>
      <c r="I30" s="272"/>
      <c r="J30" s="262"/>
      <c r="K30" s="316"/>
      <c r="L30" s="47"/>
      <c r="M30" s="14"/>
      <c r="N30" s="12"/>
      <c r="O30" s="12"/>
      <c r="P30" s="12"/>
      <c r="Q30" s="46">
        <f>Q28+Q29</f>
        <v>1.02</v>
      </c>
      <c r="R30" s="14"/>
      <c r="S30" s="14"/>
      <c r="T30" s="236">
        <v>40</v>
      </c>
      <c r="U30" s="14"/>
      <c r="V30" s="9"/>
      <c r="Y30" s="4"/>
    </row>
    <row r="31" spans="2:26" ht="17.399999999999999" x14ac:dyDescent="0.35">
      <c r="B31" s="266"/>
      <c r="C31" s="229"/>
      <c r="D31" s="229"/>
      <c r="E31" s="231"/>
      <c r="F31" s="231"/>
      <c r="G31" s="232"/>
      <c r="H31" s="229"/>
      <c r="I31" s="272"/>
      <c r="J31" s="262"/>
      <c r="K31" s="316"/>
      <c r="L31" s="47"/>
      <c r="M31" s="14"/>
      <c r="N31" s="14"/>
      <c r="O31" s="14"/>
      <c r="P31" s="14"/>
      <c r="Q31" s="14"/>
      <c r="R31" s="14"/>
      <c r="S31" s="14"/>
      <c r="T31" s="236"/>
      <c r="U31" s="14"/>
      <c r="V31" s="9"/>
      <c r="Y31" s="4"/>
    </row>
    <row r="32" spans="2:26" ht="17.399999999999999" x14ac:dyDescent="0.35">
      <c r="B32" s="233"/>
      <c r="C32" s="234"/>
      <c r="D32" s="235"/>
      <c r="E32" s="233"/>
      <c r="F32" s="233"/>
      <c r="G32" s="229"/>
      <c r="H32" s="229"/>
      <c r="J32" s="262"/>
      <c r="K32" s="47"/>
      <c r="L32" s="47"/>
      <c r="M32" s="39">
        <f>Q30</f>
        <v>1.02</v>
      </c>
      <c r="N32" s="12">
        <v>3500</v>
      </c>
      <c r="O32" s="12"/>
      <c r="P32" s="12">
        <f t="shared" ref="P32:P37" si="3">M32*N32</f>
        <v>3570</v>
      </c>
      <c r="Q32" s="14" t="s">
        <v>22</v>
      </c>
      <c r="R32" s="14" t="s">
        <v>23</v>
      </c>
      <c r="S32" s="14"/>
      <c r="T32" s="239"/>
      <c r="U32" s="14"/>
      <c r="V32" s="9"/>
      <c r="Y32" s="4"/>
    </row>
    <row r="33" spans="2:25" ht="17.399999999999999" x14ac:dyDescent="0.35">
      <c r="B33" s="229"/>
      <c r="C33" s="229"/>
      <c r="D33" s="229"/>
      <c r="E33" s="229"/>
      <c r="F33" s="229"/>
      <c r="G33" s="229"/>
      <c r="H33" s="229"/>
      <c r="J33" s="262"/>
      <c r="K33" s="47"/>
      <c r="L33" s="47"/>
      <c r="M33" s="248">
        <v>0.5</v>
      </c>
      <c r="N33" s="12">
        <v>45000</v>
      </c>
      <c r="O33" s="12"/>
      <c r="P33" s="12">
        <f t="shared" si="3"/>
        <v>22500</v>
      </c>
      <c r="Q33" s="39" t="s">
        <v>194</v>
      </c>
      <c r="R33" s="42"/>
      <c r="S33" s="14"/>
      <c r="T33" s="238"/>
      <c r="U33" s="14"/>
      <c r="V33" s="9"/>
      <c r="Y33" s="4"/>
    </row>
    <row r="34" spans="2:25" s="229" customFormat="1" ht="17.399999999999999" x14ac:dyDescent="0.35">
      <c r="J34" s="259"/>
      <c r="K34" s="47"/>
      <c r="L34" s="249"/>
      <c r="M34" s="14"/>
      <c r="N34" s="249">
        <v>50580</v>
      </c>
      <c r="O34" s="249"/>
      <c r="P34" s="12">
        <f t="shared" si="3"/>
        <v>0</v>
      </c>
      <c r="Q34" s="39" t="s">
        <v>197</v>
      </c>
      <c r="R34" s="42"/>
      <c r="T34" s="238"/>
      <c r="U34" s="358"/>
      <c r="X34" s="230"/>
    </row>
    <row r="35" spans="2:25" s="229" customFormat="1" ht="17.399999999999999" x14ac:dyDescent="0.35">
      <c r="B35" s="24" t="s">
        <v>150</v>
      </c>
      <c r="J35" s="259"/>
      <c r="K35" s="315"/>
      <c r="L35" s="249"/>
      <c r="M35" s="14">
        <v>1</v>
      </c>
      <c r="N35" s="249">
        <v>33100</v>
      </c>
      <c r="O35" s="249"/>
      <c r="P35" s="12">
        <f t="shared" si="3"/>
        <v>33100</v>
      </c>
      <c r="Q35" s="14" t="s">
        <v>140</v>
      </c>
      <c r="R35" s="17"/>
      <c r="T35" s="236"/>
      <c r="U35" s="358"/>
      <c r="X35" s="230"/>
    </row>
    <row r="36" spans="2:25" s="229" customFormat="1" ht="17.399999999999999" x14ac:dyDescent="0.35">
      <c r="B36" s="24" t="s">
        <v>143</v>
      </c>
      <c r="C36"/>
      <c r="D36"/>
      <c r="E36"/>
      <c r="F36"/>
      <c r="G36"/>
      <c r="J36" s="259"/>
      <c r="K36" s="315"/>
      <c r="L36" s="249"/>
      <c r="M36" s="248">
        <v>1.67</v>
      </c>
      <c r="N36" s="249">
        <v>800</v>
      </c>
      <c r="O36" s="249"/>
      <c r="P36" s="12">
        <f t="shared" si="3"/>
        <v>1336</v>
      </c>
      <c r="Q36" s="14" t="s">
        <v>198</v>
      </c>
      <c r="R36" s="14"/>
      <c r="S36" s="229">
        <v>1.22</v>
      </c>
      <c r="T36" s="236"/>
      <c r="U36" s="236">
        <v>3.05</v>
      </c>
    </row>
    <row r="37" spans="2:25" s="229" customFormat="1" ht="17.399999999999999" x14ac:dyDescent="0.35">
      <c r="B37" s="29" t="s">
        <v>125</v>
      </c>
      <c r="C37"/>
      <c r="D37"/>
      <c r="E37"/>
      <c r="F37"/>
      <c r="G37" s="228" t="s">
        <v>16</v>
      </c>
      <c r="J37" s="300"/>
      <c r="K37" s="47"/>
      <c r="L37" s="249"/>
      <c r="M37" s="263">
        <v>1.67</v>
      </c>
      <c r="N37" s="12">
        <v>1500</v>
      </c>
      <c r="O37" s="12"/>
      <c r="P37" s="12">
        <f t="shared" si="3"/>
        <v>2505</v>
      </c>
      <c r="Q37" s="14" t="s">
        <v>24</v>
      </c>
      <c r="R37" s="14"/>
      <c r="S37">
        <v>2.44</v>
      </c>
      <c r="T37"/>
      <c r="U37" s="236">
        <v>1.23</v>
      </c>
      <c r="Y37" s="230"/>
    </row>
    <row r="38" spans="2:25" s="229" customFormat="1" ht="17.399999999999999" x14ac:dyDescent="0.35">
      <c r="K38" s="47"/>
      <c r="L38" s="249"/>
      <c r="M38" s="14"/>
      <c r="N38" s="12"/>
      <c r="O38" s="12"/>
      <c r="P38" s="12">
        <f>SUM(P32:P37)</f>
        <v>63011</v>
      </c>
      <c r="Q38" s="39" t="s">
        <v>25</v>
      </c>
      <c r="R38" s="14"/>
      <c r="S38">
        <f>S36*S37</f>
        <v>2.9767999999999999</v>
      </c>
      <c r="T38"/>
      <c r="U38" s="236">
        <f>U36*U37</f>
        <v>3.7514999999999996</v>
      </c>
      <c r="Y38" s="230"/>
    </row>
    <row r="39" spans="2:25" s="229" customFormat="1" ht="17.399999999999999" x14ac:dyDescent="0.35">
      <c r="K39" s="47">
        <v>39360</v>
      </c>
      <c r="L39" s="249"/>
      <c r="M39" s="253" t="s">
        <v>33</v>
      </c>
      <c r="N39" s="12"/>
      <c r="O39" s="12"/>
      <c r="P39" s="254">
        <f>P38*2.3</f>
        <v>144925.29999999999</v>
      </c>
      <c r="Q39" s="14" t="s">
        <v>139</v>
      </c>
      <c r="R39" s="14"/>
      <c r="S39" s="46">
        <f>Q28/S38</f>
        <v>0.34264982531577537</v>
      </c>
      <c r="T39"/>
      <c r="U39" s="359">
        <f>Q28/U38</f>
        <v>0.27189124350259897</v>
      </c>
    </row>
    <row r="40" spans="2:25" s="229" customFormat="1" ht="17.399999999999999" x14ac:dyDescent="0.35">
      <c r="H40"/>
      <c r="I40" s="257"/>
      <c r="J40" s="257"/>
      <c r="K40" s="47">
        <f>K39/1.19</f>
        <v>33075.63025210084</v>
      </c>
      <c r="L40" s="249"/>
      <c r="M40" s="14"/>
      <c r="N40" s="12"/>
      <c r="O40" s="12"/>
      <c r="P40" s="12">
        <f>P39/Q28</f>
        <v>142083.62745098039</v>
      </c>
      <c r="Q40" s="45" t="s">
        <v>26</v>
      </c>
      <c r="R40" s="14"/>
      <c r="S40" s="14"/>
      <c r="T40"/>
      <c r="U40" s="236"/>
    </row>
    <row r="41" spans="2:25" s="229" customFormat="1" ht="17.399999999999999" x14ac:dyDescent="0.35">
      <c r="H41"/>
      <c r="K41" s="47"/>
      <c r="L41" s="249"/>
      <c r="M41" s="13"/>
      <c r="N41" s="14"/>
      <c r="O41" s="14"/>
      <c r="P41" s="17">
        <f>P39/P38</f>
        <v>2.2999999999999998</v>
      </c>
      <c r="Q41" s="15"/>
      <c r="R41"/>
      <c r="S41"/>
      <c r="T41"/>
      <c r="U41" s="236"/>
    </row>
    <row r="42" spans="2:25" s="229" customFormat="1" ht="17.399999999999999" x14ac:dyDescent="0.35">
      <c r="H42" s="23"/>
      <c r="K42" s="47"/>
      <c r="L42" s="12"/>
      <c r="U42" s="236"/>
    </row>
    <row r="43" spans="2:25" s="229" customFormat="1" ht="17.399999999999999" x14ac:dyDescent="0.35">
      <c r="B43"/>
      <c r="C43" s="227"/>
      <c r="D43" s="22"/>
      <c r="E43" s="22"/>
      <c r="F43" s="22"/>
      <c r="G43" s="21"/>
      <c r="H43" s="23"/>
      <c r="K43" s="47"/>
      <c r="L43" s="12"/>
      <c r="M43" s="316"/>
      <c r="N43" s="264" t="s">
        <v>115</v>
      </c>
      <c r="O43" s="264"/>
      <c r="P43" s="264" t="s">
        <v>191</v>
      </c>
      <c r="Q43" s="264" t="s">
        <v>192</v>
      </c>
      <c r="R43" s="223" t="s">
        <v>22</v>
      </c>
      <c r="S43" s="326" t="s">
        <v>193</v>
      </c>
      <c r="T43" s="326" t="s">
        <v>115</v>
      </c>
      <c r="U43" s="236"/>
    </row>
    <row r="44" spans="2:25" ht="14.4" customHeight="1" x14ac:dyDescent="0.3">
      <c r="K44" s="47"/>
      <c r="L44" s="12"/>
      <c r="M44" s="354" t="s">
        <v>188</v>
      </c>
      <c r="N44" s="355">
        <v>50890</v>
      </c>
      <c r="O44" s="355"/>
      <c r="P44" s="355">
        <v>6</v>
      </c>
      <c r="Q44" s="264">
        <v>3</v>
      </c>
      <c r="R44" s="223">
        <v>15.661</v>
      </c>
      <c r="S44" s="326">
        <v>70</v>
      </c>
      <c r="T44" s="360">
        <v>1399760</v>
      </c>
    </row>
    <row r="45" spans="2:25" x14ac:dyDescent="0.3">
      <c r="K45" s="47"/>
      <c r="L45" s="249"/>
      <c r="M45" s="356" t="s">
        <v>189</v>
      </c>
      <c r="N45" s="355">
        <v>68410</v>
      </c>
      <c r="O45" s="355"/>
      <c r="P45" s="355">
        <v>10</v>
      </c>
      <c r="Q45" s="264">
        <v>5</v>
      </c>
      <c r="R45" s="223">
        <v>32.905999999999999</v>
      </c>
      <c r="S45" s="326">
        <v>120</v>
      </c>
      <c r="T45" s="360">
        <v>1847202</v>
      </c>
    </row>
    <row r="46" spans="2:25" x14ac:dyDescent="0.3">
      <c r="L46" s="249"/>
      <c r="M46" s="357" t="s">
        <v>173</v>
      </c>
      <c r="N46" s="355">
        <v>49780</v>
      </c>
      <c r="O46" s="355"/>
      <c r="P46" s="355">
        <v>6</v>
      </c>
      <c r="Q46" s="264">
        <v>2</v>
      </c>
      <c r="R46" s="223">
        <v>14.571999999999999</v>
      </c>
      <c r="S46" s="326">
        <v>50</v>
      </c>
      <c r="T46" s="360">
        <v>901353</v>
      </c>
      <c r="U46" s="267"/>
    </row>
    <row r="47" spans="2:25" x14ac:dyDescent="0.3">
      <c r="L47" s="249"/>
      <c r="M47" s="316" t="s">
        <v>190</v>
      </c>
      <c r="N47" s="355">
        <v>39060</v>
      </c>
      <c r="O47" s="355"/>
      <c r="P47" s="355">
        <v>33</v>
      </c>
      <c r="Q47" s="264">
        <v>15.141</v>
      </c>
      <c r="R47" s="223">
        <v>112.309</v>
      </c>
      <c r="S47" s="361">
        <v>464.81799999999998</v>
      </c>
      <c r="T47" s="360">
        <v>5626077</v>
      </c>
    </row>
    <row r="48" spans="2:25" ht="15" customHeight="1" x14ac:dyDescent="0.3">
      <c r="T48" s="362">
        <f>SUM(T44:T47)</f>
        <v>9774392</v>
      </c>
    </row>
    <row r="53" spans="16:21" x14ac:dyDescent="0.3">
      <c r="T53" s="18"/>
      <c r="U53" s="18"/>
    </row>
    <row r="54" spans="16:21" x14ac:dyDescent="0.3">
      <c r="T54" s="18"/>
      <c r="U54" s="18"/>
    </row>
    <row r="55" spans="16:21" x14ac:dyDescent="0.3">
      <c r="T55" s="18"/>
      <c r="U55" s="18"/>
    </row>
    <row r="56" spans="16:21" x14ac:dyDescent="0.3">
      <c r="T56" s="18"/>
      <c r="U56" s="18"/>
    </row>
    <row r="57" spans="16:21" x14ac:dyDescent="0.3">
      <c r="T57" s="18"/>
      <c r="U57" s="18"/>
    </row>
    <row r="58" spans="16:21" x14ac:dyDescent="0.3">
      <c r="T58" s="18"/>
      <c r="U58" s="18"/>
    </row>
    <row r="59" spans="16:21" x14ac:dyDescent="0.3">
      <c r="T59" s="18"/>
      <c r="U59" s="18"/>
    </row>
    <row r="60" spans="16:21" x14ac:dyDescent="0.3">
      <c r="T60" s="18"/>
      <c r="U60" s="18"/>
    </row>
    <row r="61" spans="16:21" x14ac:dyDescent="0.3">
      <c r="T61" s="18"/>
      <c r="U61" s="18"/>
    </row>
    <row r="64" spans="16:21" x14ac:dyDescent="0.3">
      <c r="P64" s="43"/>
    </row>
    <row r="65" spans="3:16" x14ac:dyDescent="0.3">
      <c r="P65" s="43"/>
    </row>
    <row r="66" spans="3:16" x14ac:dyDescent="0.3">
      <c r="P66" s="6"/>
    </row>
    <row r="67" spans="3:16" x14ac:dyDescent="0.3">
      <c r="P67" s="6"/>
    </row>
    <row r="75" spans="3:16" x14ac:dyDescent="0.3">
      <c r="C75" t="s">
        <v>147</v>
      </c>
    </row>
    <row r="76" spans="3:16" x14ac:dyDescent="0.3">
      <c r="C76" t="s">
        <v>146</v>
      </c>
    </row>
    <row r="79" spans="3:16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G17:I17"/>
    <mergeCell ref="B19:I19"/>
  </mergeCells>
  <phoneticPr fontId="34" type="noConversion"/>
  <hyperlinks>
    <hyperlink ref="G37" r:id="rId1" xr:uid="{CB03B9A7-D7C8-450B-B82A-1269D643BABF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651"/>
  <sheetViews>
    <sheetView topLeftCell="A48" zoomScale="98" zoomScaleNormal="98" workbookViewId="0">
      <selection activeCell="F52" sqref="F52:F53"/>
    </sheetView>
  </sheetViews>
  <sheetFormatPr baseColWidth="10" defaultRowHeight="14.4" x14ac:dyDescent="0.3"/>
  <cols>
    <col min="1" max="1" width="6" customWidth="1"/>
    <col min="2" max="2" width="10.5546875" customWidth="1"/>
    <col min="3" max="3" width="27.44140625" customWidth="1"/>
    <col min="4" max="4" width="11.109375" customWidth="1"/>
    <col min="5" max="6" width="10.5546875" customWidth="1"/>
    <col min="7" max="7" width="28.5546875" customWidth="1"/>
    <col min="8" max="8" width="14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8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G2" s="240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G3" s="58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G4" s="58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G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G6" s="58" t="s">
        <v>15</v>
      </c>
      <c r="O6" s="33" t="s">
        <v>20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G7" s="58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8" t="s">
        <v>126</v>
      </c>
      <c r="C8" s="299"/>
      <c r="D8" s="317" t="s">
        <v>159</v>
      </c>
      <c r="G8" s="58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41" t="s">
        <v>2</v>
      </c>
      <c r="C10" s="276" t="s">
        <v>154</v>
      </c>
      <c r="D10" s="242"/>
      <c r="E10" s="242"/>
      <c r="F10" s="242"/>
      <c r="G10" s="243" t="s">
        <v>0</v>
      </c>
      <c r="H10" s="274">
        <v>45376</v>
      </c>
      <c r="I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285" t="s">
        <v>12</v>
      </c>
      <c r="C11" s="307" t="s">
        <v>155</v>
      </c>
      <c r="G11" t="s">
        <v>123</v>
      </c>
      <c r="H11" s="286" t="s">
        <v>158</v>
      </c>
      <c r="I11" s="287"/>
      <c r="Q11" s="19"/>
      <c r="R11" s="25" t="s">
        <v>19</v>
      </c>
      <c r="S11" s="19"/>
    </row>
    <row r="12" spans="2:24" ht="16.8" x14ac:dyDescent="0.4">
      <c r="B12" s="245" t="s">
        <v>144</v>
      </c>
      <c r="C12" s="307"/>
      <c r="D12" s="246"/>
      <c r="E12" s="246"/>
      <c r="F12" s="246"/>
      <c r="G12" s="246" t="s">
        <v>127</v>
      </c>
      <c r="H12" s="275" t="s">
        <v>134</v>
      </c>
      <c r="I12" s="247"/>
      <c r="Q12" s="19"/>
      <c r="R12" s="25"/>
      <c r="S12" s="19"/>
    </row>
    <row r="13" spans="2:24" x14ac:dyDescent="0.3">
      <c r="B13" s="245" t="s">
        <v>145</v>
      </c>
      <c r="C13" t="s">
        <v>156</v>
      </c>
      <c r="D13" s="246"/>
      <c r="E13" s="246"/>
      <c r="F13" s="246"/>
      <c r="G13" s="246"/>
      <c r="H13" s="275"/>
      <c r="I13" s="247"/>
      <c r="M13">
        <v>32.979999999999997</v>
      </c>
      <c r="N13" t="s">
        <v>17</v>
      </c>
      <c r="Q13" s="19"/>
      <c r="R13" s="25"/>
      <c r="S13" s="19"/>
    </row>
    <row r="14" spans="2:24" x14ac:dyDescent="0.3">
      <c r="B14" s="285" t="s">
        <v>138</v>
      </c>
      <c r="C14" s="303"/>
      <c r="G14" s="29" t="s">
        <v>135</v>
      </c>
      <c r="H14" s="288" t="s">
        <v>134</v>
      </c>
      <c r="I14" s="287"/>
      <c r="K14" s="29"/>
      <c r="Q14" s="20"/>
      <c r="R14" s="26" t="s">
        <v>18</v>
      </c>
      <c r="S14" s="20"/>
    </row>
    <row r="15" spans="2:24" ht="15.6" x14ac:dyDescent="0.3">
      <c r="B15" s="245" t="s">
        <v>4</v>
      </c>
      <c r="C15" s="320" t="s">
        <v>157</v>
      </c>
      <c r="D15" s="292"/>
      <c r="E15" s="246"/>
      <c r="F15" s="246"/>
      <c r="G15" s="246" t="s">
        <v>133</v>
      </c>
      <c r="H15" s="293" t="s">
        <v>134</v>
      </c>
      <c r="I15" s="247"/>
      <c r="L15" s="18">
        <f>I94/M13</f>
        <v>296373.31716191635</v>
      </c>
    </row>
    <row r="16" spans="2:24" ht="16.8" x14ac:dyDescent="0.4">
      <c r="B16" s="289" t="s">
        <v>3</v>
      </c>
      <c r="C16" s="307"/>
      <c r="G16" s="290" t="s">
        <v>128</v>
      </c>
      <c r="H16" s="291" t="s">
        <v>153</v>
      </c>
      <c r="I16" s="287"/>
    </row>
    <row r="17" spans="2:25" ht="15" thickBot="1" x14ac:dyDescent="0.35">
      <c r="B17" s="294" t="s">
        <v>13</v>
      </c>
      <c r="C17" s="295" t="s">
        <v>151</v>
      </c>
      <c r="D17" s="296"/>
      <c r="E17" s="297"/>
      <c r="F17" s="297"/>
      <c r="G17" s="368" t="s">
        <v>152</v>
      </c>
      <c r="H17" s="368"/>
      <c r="I17" s="369"/>
      <c r="J17" s="260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x14ac:dyDescent="0.3">
      <c r="B19" s="370" t="s">
        <v>146</v>
      </c>
      <c r="C19" s="371"/>
      <c r="D19" s="371"/>
      <c r="E19" s="371"/>
      <c r="F19" s="371"/>
      <c r="G19" s="371"/>
      <c r="H19" s="371"/>
      <c r="I19" s="372"/>
      <c r="J19" s="261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21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8" thickBot="1" x14ac:dyDescent="0.35">
      <c r="B20" s="318" t="s">
        <v>7</v>
      </c>
      <c r="C20" s="312" t="s">
        <v>1</v>
      </c>
      <c r="D20" s="312" t="s">
        <v>10</v>
      </c>
      <c r="E20" s="312" t="s">
        <v>11</v>
      </c>
      <c r="F20" s="312" t="s">
        <v>161</v>
      </c>
      <c r="G20" s="312" t="s">
        <v>8</v>
      </c>
      <c r="H20" s="312" t="s">
        <v>5</v>
      </c>
      <c r="I20" s="313" t="s">
        <v>6</v>
      </c>
      <c r="J20" s="262"/>
      <c r="K20" s="47"/>
      <c r="L20" s="265" t="str">
        <f t="shared" ref="L20" si="0">B20</f>
        <v>UNIDAD</v>
      </c>
      <c r="M20" s="264" t="s">
        <v>130</v>
      </c>
      <c r="N20" s="39" t="str">
        <f>E20</f>
        <v>ANCHO</v>
      </c>
      <c r="O20" s="258" t="s">
        <v>131</v>
      </c>
      <c r="P20" s="256" t="s">
        <v>17</v>
      </c>
      <c r="Q20" s="251">
        <f>O108</f>
        <v>118349.22468835513</v>
      </c>
      <c r="R20" s="255">
        <v>5000</v>
      </c>
      <c r="S20" s="38" t="s">
        <v>130</v>
      </c>
      <c r="T20" s="43" t="s">
        <v>11</v>
      </c>
      <c r="U20" s="9"/>
      <c r="X20" s="4"/>
    </row>
    <row r="21" spans="2:25" ht="17.399999999999999" x14ac:dyDescent="0.3">
      <c r="B21" s="319">
        <v>7</v>
      </c>
      <c r="C21" s="308" t="s">
        <v>160</v>
      </c>
      <c r="D21" s="309">
        <v>0.95</v>
      </c>
      <c r="E21" s="309">
        <v>0.36899999999999999</v>
      </c>
      <c r="F21" s="363" t="s">
        <v>163</v>
      </c>
      <c r="G21" s="308" t="s">
        <v>162</v>
      </c>
      <c r="H21" s="310">
        <v>38000</v>
      </c>
      <c r="I21" s="311">
        <f t="shared" ref="I21" si="1">H21*B21</f>
        <v>266000</v>
      </c>
      <c r="J21" s="262"/>
      <c r="K21" s="47">
        <v>7</v>
      </c>
      <c r="L21" s="47"/>
      <c r="M21" s="39">
        <f>D21+M$19</f>
        <v>0.97</v>
      </c>
      <c r="N21" s="39">
        <f>E21+N$19</f>
        <v>0.38900000000000001</v>
      </c>
      <c r="O21" s="264">
        <f>M21*N21</f>
        <v>0.37733</v>
      </c>
      <c r="P21" s="223">
        <f>O21*L21</f>
        <v>0</v>
      </c>
      <c r="Q21" s="326">
        <f>Q$20*O21</f>
        <v>44656.712951657042</v>
      </c>
      <c r="R21" s="327">
        <f>Q21+R$20</f>
        <v>49656.712951657042</v>
      </c>
      <c r="S21" s="328">
        <f>M21*L21*2</f>
        <v>0</v>
      </c>
      <c r="T21" s="329">
        <f>N21*L21*2</f>
        <v>0</v>
      </c>
      <c r="U21" s="9"/>
      <c r="X21" s="4"/>
    </row>
    <row r="22" spans="2:25" ht="17.399999999999999" x14ac:dyDescent="0.3">
      <c r="B22" s="319">
        <v>7</v>
      </c>
      <c r="C22" s="308" t="s">
        <v>160</v>
      </c>
      <c r="D22" s="309">
        <v>0.56000000000000005</v>
      </c>
      <c r="E22" s="309">
        <v>0.36899999999999999</v>
      </c>
      <c r="F22" s="363" t="s">
        <v>163</v>
      </c>
      <c r="G22" s="308" t="s">
        <v>162</v>
      </c>
      <c r="H22" s="310">
        <v>24732</v>
      </c>
      <c r="I22" s="311">
        <f t="shared" ref="I22:I85" si="2">H22*B22</f>
        <v>173124</v>
      </c>
      <c r="J22" s="262"/>
      <c r="K22">
        <v>7</v>
      </c>
      <c r="L22" s="47"/>
      <c r="M22" s="39">
        <f>D22+M$19</f>
        <v>0.58000000000000007</v>
      </c>
      <c r="N22" s="39">
        <f t="shared" ref="N22:N85" si="3">E22+N$19</f>
        <v>0.38900000000000001</v>
      </c>
      <c r="O22" s="264">
        <f>M22*N22</f>
        <v>0.22562000000000004</v>
      </c>
      <c r="P22" s="223">
        <f>O22*L22</f>
        <v>0</v>
      </c>
      <c r="Q22" s="326">
        <f>Q$20*O22</f>
        <v>26701.952074186687</v>
      </c>
      <c r="R22" s="327">
        <f>Q22+R$20</f>
        <v>31701.952074186687</v>
      </c>
      <c r="S22" s="328">
        <f t="shared" ref="S22:S85" si="4">M22*L22*2</f>
        <v>0</v>
      </c>
      <c r="T22" s="329">
        <f t="shared" ref="T22:T85" si="5">N22*L22*2</f>
        <v>0</v>
      </c>
      <c r="U22" s="9"/>
      <c r="X22" s="4"/>
    </row>
    <row r="23" spans="2:25" ht="17.399999999999999" x14ac:dyDescent="0.3">
      <c r="B23" s="319">
        <v>2</v>
      </c>
      <c r="C23" s="319" t="s">
        <v>160</v>
      </c>
      <c r="D23" s="321">
        <v>0.95</v>
      </c>
      <c r="E23" s="321">
        <v>0.36899999999999999</v>
      </c>
      <c r="F23" s="363" t="s">
        <v>163</v>
      </c>
      <c r="G23" s="319" t="s">
        <v>164</v>
      </c>
      <c r="H23" s="322">
        <v>51528</v>
      </c>
      <c r="I23" s="311">
        <f t="shared" si="2"/>
        <v>103056</v>
      </c>
      <c r="J23" s="262"/>
      <c r="K23">
        <v>2</v>
      </c>
      <c r="L23" s="346"/>
      <c r="M23" s="347">
        <f t="shared" ref="M23:M86" si="6">D23+M$19</f>
        <v>0.97</v>
      </c>
      <c r="N23" s="347">
        <f t="shared" si="3"/>
        <v>0.38900000000000001</v>
      </c>
      <c r="O23" s="348">
        <f t="shared" ref="O23:O86" si="7">M23*N23</f>
        <v>0.37733</v>
      </c>
      <c r="P23" s="349">
        <f t="shared" ref="P23:P86" si="8">O23*L23</f>
        <v>0</v>
      </c>
      <c r="Q23" s="350">
        <f t="shared" ref="Q23:Q86" si="9">Q$20*O23</f>
        <v>44656.712951657042</v>
      </c>
      <c r="R23" s="351">
        <f t="shared" ref="R23:R86" si="10">Q23+R$20</f>
        <v>49656.712951657042</v>
      </c>
      <c r="S23" s="352">
        <f t="shared" si="4"/>
        <v>0</v>
      </c>
      <c r="T23" s="353">
        <f t="shared" si="5"/>
        <v>0</v>
      </c>
      <c r="U23" s="9"/>
      <c r="X23" s="4"/>
    </row>
    <row r="24" spans="2:25" ht="17.399999999999999" x14ac:dyDescent="0.3">
      <c r="B24" s="319">
        <v>2</v>
      </c>
      <c r="C24" s="319" t="s">
        <v>160</v>
      </c>
      <c r="D24" s="321">
        <v>0.56000000000000005</v>
      </c>
      <c r="E24" s="321">
        <v>0.36899999999999999</v>
      </c>
      <c r="F24" s="363" t="s">
        <v>163</v>
      </c>
      <c r="G24" s="319" t="s">
        <v>165</v>
      </c>
      <c r="H24" s="322">
        <v>32308</v>
      </c>
      <c r="I24" s="311">
        <f t="shared" si="2"/>
        <v>64616</v>
      </c>
      <c r="J24" s="262"/>
      <c r="K24">
        <v>2</v>
      </c>
      <c r="L24" s="330"/>
      <c r="M24" s="331">
        <f t="shared" si="6"/>
        <v>0.58000000000000007</v>
      </c>
      <c r="N24" s="331">
        <f t="shared" si="3"/>
        <v>0.38900000000000001</v>
      </c>
      <c r="O24" s="332">
        <f t="shared" si="7"/>
        <v>0.22562000000000004</v>
      </c>
      <c r="P24" s="333">
        <f t="shared" si="8"/>
        <v>0</v>
      </c>
      <c r="Q24" s="334">
        <f t="shared" si="9"/>
        <v>26701.952074186687</v>
      </c>
      <c r="R24" s="335">
        <f t="shared" si="10"/>
        <v>31701.952074186687</v>
      </c>
      <c r="S24" s="336">
        <f t="shared" si="4"/>
        <v>0</v>
      </c>
      <c r="T24" s="337">
        <f t="shared" si="5"/>
        <v>0</v>
      </c>
      <c r="U24" s="9"/>
      <c r="X24" s="4"/>
    </row>
    <row r="25" spans="2:25" ht="17.399999999999999" x14ac:dyDescent="0.3">
      <c r="B25" s="319">
        <v>2</v>
      </c>
      <c r="C25" s="319" t="s">
        <v>160</v>
      </c>
      <c r="D25" s="321">
        <v>0.56000000000000005</v>
      </c>
      <c r="E25" s="321">
        <v>0.375</v>
      </c>
      <c r="F25" s="364" t="s">
        <v>168</v>
      </c>
      <c r="G25" s="319" t="s">
        <v>165</v>
      </c>
      <c r="H25" s="322">
        <v>32729</v>
      </c>
      <c r="I25" s="311">
        <f t="shared" si="2"/>
        <v>65458</v>
      </c>
      <c r="J25" s="262"/>
      <c r="K25">
        <v>2</v>
      </c>
      <c r="L25" s="330"/>
      <c r="M25" s="331">
        <f t="shared" si="6"/>
        <v>0.58000000000000007</v>
      </c>
      <c r="N25" s="331">
        <f t="shared" si="3"/>
        <v>0.39500000000000002</v>
      </c>
      <c r="O25" s="332">
        <f t="shared" si="7"/>
        <v>0.22910000000000003</v>
      </c>
      <c r="P25" s="333">
        <f t="shared" si="8"/>
        <v>0</v>
      </c>
      <c r="Q25" s="334">
        <f t="shared" si="9"/>
        <v>27113.807376102162</v>
      </c>
      <c r="R25" s="335">
        <f t="shared" si="10"/>
        <v>32113.807376102162</v>
      </c>
      <c r="S25" s="336">
        <f t="shared" si="4"/>
        <v>0</v>
      </c>
      <c r="T25" s="337">
        <f t="shared" si="5"/>
        <v>0</v>
      </c>
      <c r="U25" s="9"/>
      <c r="X25" s="4"/>
    </row>
    <row r="26" spans="2:25" ht="17.399999999999999" x14ac:dyDescent="0.3">
      <c r="B26" s="319">
        <v>6</v>
      </c>
      <c r="C26" s="319" t="s">
        <v>160</v>
      </c>
      <c r="D26" s="321">
        <v>0.56000000000000005</v>
      </c>
      <c r="E26" s="321">
        <v>0.375</v>
      </c>
      <c r="F26" s="364" t="s">
        <v>168</v>
      </c>
      <c r="G26" s="319" t="s">
        <v>162</v>
      </c>
      <c r="H26" s="322">
        <v>25036</v>
      </c>
      <c r="I26" s="311">
        <f t="shared" si="2"/>
        <v>150216</v>
      </c>
      <c r="J26" s="262"/>
      <c r="K26">
        <v>6</v>
      </c>
      <c r="L26" s="47"/>
      <c r="M26" s="39">
        <f t="shared" si="6"/>
        <v>0.58000000000000007</v>
      </c>
      <c r="N26" s="39">
        <f t="shared" si="3"/>
        <v>0.39500000000000002</v>
      </c>
      <c r="O26" s="264">
        <f t="shared" si="7"/>
        <v>0.22910000000000003</v>
      </c>
      <c r="P26" s="223">
        <f t="shared" si="8"/>
        <v>0</v>
      </c>
      <c r="Q26" s="326">
        <f t="shared" si="9"/>
        <v>27113.807376102162</v>
      </c>
      <c r="R26" s="327">
        <f t="shared" si="10"/>
        <v>32113.807376102162</v>
      </c>
      <c r="S26" s="328">
        <f t="shared" si="4"/>
        <v>0</v>
      </c>
      <c r="T26" s="329">
        <f t="shared" si="5"/>
        <v>0</v>
      </c>
      <c r="U26" s="9"/>
      <c r="X26" s="4"/>
    </row>
    <row r="27" spans="2:25" ht="17.399999999999999" x14ac:dyDescent="0.3">
      <c r="B27" s="319">
        <v>3</v>
      </c>
      <c r="C27" s="319" t="s">
        <v>160</v>
      </c>
      <c r="D27" s="321">
        <v>0.7</v>
      </c>
      <c r="E27" s="321">
        <v>0.46</v>
      </c>
      <c r="F27" s="321" t="s">
        <v>169</v>
      </c>
      <c r="G27" s="319" t="s">
        <v>162</v>
      </c>
      <c r="H27" s="322">
        <v>35225</v>
      </c>
      <c r="I27" s="311">
        <f t="shared" si="2"/>
        <v>105675</v>
      </c>
      <c r="J27" s="262"/>
      <c r="K27">
        <v>3</v>
      </c>
      <c r="L27" s="47"/>
      <c r="M27" s="39">
        <f t="shared" si="6"/>
        <v>0.72</v>
      </c>
      <c r="N27" s="39">
        <f t="shared" si="3"/>
        <v>0.48000000000000004</v>
      </c>
      <c r="O27" s="264">
        <f t="shared" si="7"/>
        <v>0.34560000000000002</v>
      </c>
      <c r="P27" s="223">
        <f t="shared" si="8"/>
        <v>0</v>
      </c>
      <c r="Q27" s="326">
        <f t="shared" si="9"/>
        <v>40901.492052295536</v>
      </c>
      <c r="R27" s="327">
        <f t="shared" si="10"/>
        <v>45901.492052295536</v>
      </c>
      <c r="S27" s="328">
        <f t="shared" si="4"/>
        <v>0</v>
      </c>
      <c r="T27" s="329">
        <f t="shared" si="5"/>
        <v>0</v>
      </c>
      <c r="U27" s="9"/>
      <c r="X27" s="4"/>
    </row>
    <row r="28" spans="2:25" ht="17.399999999999999" x14ac:dyDescent="0.3">
      <c r="B28" s="319">
        <v>10</v>
      </c>
      <c r="C28" s="319" t="s">
        <v>160</v>
      </c>
      <c r="D28" s="321">
        <v>0.88</v>
      </c>
      <c r="E28" s="321">
        <v>0.31</v>
      </c>
      <c r="F28" s="364" t="s">
        <v>167</v>
      </c>
      <c r="G28" s="319" t="s">
        <v>162</v>
      </c>
      <c r="H28" s="322">
        <v>30975</v>
      </c>
      <c r="I28" s="311">
        <f t="shared" si="2"/>
        <v>309750</v>
      </c>
      <c r="J28" s="262"/>
      <c r="K28">
        <v>10</v>
      </c>
      <c r="L28" s="47"/>
      <c r="M28" s="39">
        <f t="shared" si="6"/>
        <v>0.9</v>
      </c>
      <c r="N28" s="39">
        <f t="shared" si="3"/>
        <v>0.33</v>
      </c>
      <c r="O28" s="264">
        <f t="shared" si="7"/>
        <v>0.29700000000000004</v>
      </c>
      <c r="P28" s="223">
        <f t="shared" si="8"/>
        <v>0</v>
      </c>
      <c r="Q28" s="326">
        <f t="shared" si="9"/>
        <v>35149.719732441481</v>
      </c>
      <c r="R28" s="327">
        <f t="shared" si="10"/>
        <v>40149.719732441481</v>
      </c>
      <c r="S28" s="328">
        <f t="shared" si="4"/>
        <v>0</v>
      </c>
      <c r="T28" s="329">
        <f t="shared" si="5"/>
        <v>0</v>
      </c>
      <c r="U28" s="9"/>
      <c r="X28" s="4"/>
    </row>
    <row r="29" spans="2:25" ht="17.399999999999999" x14ac:dyDescent="0.3">
      <c r="B29" s="319">
        <v>2</v>
      </c>
      <c r="C29" s="319" t="s">
        <v>160</v>
      </c>
      <c r="D29" s="321">
        <v>0.88</v>
      </c>
      <c r="E29" s="321">
        <v>0.31</v>
      </c>
      <c r="F29" s="364" t="s">
        <v>170</v>
      </c>
      <c r="G29" s="319" t="s">
        <v>165</v>
      </c>
      <c r="H29" s="322">
        <v>40948</v>
      </c>
      <c r="I29" s="311">
        <f t="shared" si="2"/>
        <v>81896</v>
      </c>
      <c r="J29" s="262"/>
      <c r="K29">
        <v>2</v>
      </c>
      <c r="L29" s="330"/>
      <c r="M29" s="331">
        <f t="shared" si="6"/>
        <v>0.9</v>
      </c>
      <c r="N29" s="331">
        <f t="shared" si="3"/>
        <v>0.33</v>
      </c>
      <c r="O29" s="332">
        <f t="shared" si="7"/>
        <v>0.29700000000000004</v>
      </c>
      <c r="P29" s="333">
        <f t="shared" si="8"/>
        <v>0</v>
      </c>
      <c r="Q29" s="334">
        <f t="shared" si="9"/>
        <v>35149.719732441481</v>
      </c>
      <c r="R29" s="335">
        <f t="shared" si="10"/>
        <v>40149.719732441481</v>
      </c>
      <c r="S29" s="336">
        <f t="shared" si="4"/>
        <v>0</v>
      </c>
      <c r="T29" s="337">
        <f t="shared" si="5"/>
        <v>0</v>
      </c>
      <c r="U29" s="9"/>
      <c r="X29" s="4"/>
    </row>
    <row r="30" spans="2:25" ht="17.399999999999999" x14ac:dyDescent="0.3">
      <c r="B30" s="319">
        <v>2</v>
      </c>
      <c r="C30" s="319" t="s">
        <v>160</v>
      </c>
      <c r="D30" s="321">
        <v>0.88</v>
      </c>
      <c r="E30" s="321">
        <v>0.31</v>
      </c>
      <c r="F30" s="364" t="s">
        <v>167</v>
      </c>
      <c r="G30" s="319" t="s">
        <v>164</v>
      </c>
      <c r="H30" s="322">
        <v>41623</v>
      </c>
      <c r="I30" s="311">
        <f t="shared" si="2"/>
        <v>83246</v>
      </c>
      <c r="J30" s="262"/>
      <c r="K30">
        <v>2</v>
      </c>
      <c r="L30" s="346"/>
      <c r="M30" s="347">
        <f t="shared" si="6"/>
        <v>0.9</v>
      </c>
      <c r="N30" s="347">
        <f t="shared" si="3"/>
        <v>0.33</v>
      </c>
      <c r="O30" s="348">
        <f t="shared" si="7"/>
        <v>0.29700000000000004</v>
      </c>
      <c r="P30" s="349">
        <f t="shared" si="8"/>
        <v>0</v>
      </c>
      <c r="Q30" s="350">
        <f t="shared" si="9"/>
        <v>35149.719732441481</v>
      </c>
      <c r="R30" s="351">
        <f t="shared" si="10"/>
        <v>40149.719732441481</v>
      </c>
      <c r="S30" s="352">
        <f t="shared" si="4"/>
        <v>0</v>
      </c>
      <c r="T30" s="353">
        <f t="shared" si="5"/>
        <v>0</v>
      </c>
      <c r="U30" s="9"/>
      <c r="X30" s="4"/>
    </row>
    <row r="31" spans="2:25" ht="17.399999999999999" x14ac:dyDescent="0.3">
      <c r="B31" s="319">
        <v>2</v>
      </c>
      <c r="C31" s="319" t="s">
        <v>160</v>
      </c>
      <c r="D31" s="321">
        <v>0.95</v>
      </c>
      <c r="E31" s="321">
        <v>0.36399999999999999</v>
      </c>
      <c r="F31" s="364" t="s">
        <v>171</v>
      </c>
      <c r="G31" s="319" t="s">
        <v>164</v>
      </c>
      <c r="H31" s="322">
        <v>50930</v>
      </c>
      <c r="I31" s="311">
        <f t="shared" si="2"/>
        <v>101860</v>
      </c>
      <c r="J31" s="262"/>
      <c r="K31">
        <v>2</v>
      </c>
      <c r="L31" s="346"/>
      <c r="M31" s="347">
        <f t="shared" si="6"/>
        <v>0.97</v>
      </c>
      <c r="N31" s="347">
        <f t="shared" si="3"/>
        <v>0.38400000000000001</v>
      </c>
      <c r="O31" s="348">
        <f t="shared" si="7"/>
        <v>0.37247999999999998</v>
      </c>
      <c r="P31" s="349">
        <f t="shared" si="8"/>
        <v>0</v>
      </c>
      <c r="Q31" s="350">
        <f t="shared" si="9"/>
        <v>44082.719211918513</v>
      </c>
      <c r="R31" s="351">
        <f t="shared" si="10"/>
        <v>49082.719211918513</v>
      </c>
      <c r="S31" s="352">
        <f t="shared" si="4"/>
        <v>0</v>
      </c>
      <c r="T31" s="353">
        <f t="shared" si="5"/>
        <v>0</v>
      </c>
      <c r="U31" s="9"/>
      <c r="X31" s="4"/>
    </row>
    <row r="32" spans="2:25" ht="17.399999999999999" x14ac:dyDescent="0.3">
      <c r="B32" s="319">
        <v>2</v>
      </c>
      <c r="C32" s="319" t="s">
        <v>160</v>
      </c>
      <c r="D32" s="321">
        <v>0.95</v>
      </c>
      <c r="E32" s="321">
        <v>0.36399999999999999</v>
      </c>
      <c r="F32" s="364" t="s">
        <v>171</v>
      </c>
      <c r="G32" s="319" t="s">
        <v>162</v>
      </c>
      <c r="H32" s="322">
        <v>37576</v>
      </c>
      <c r="I32" s="311">
        <f t="shared" si="2"/>
        <v>75152</v>
      </c>
      <c r="J32" s="262"/>
      <c r="K32">
        <v>2</v>
      </c>
      <c r="L32" s="47"/>
      <c r="M32" s="39">
        <f t="shared" si="6"/>
        <v>0.97</v>
      </c>
      <c r="N32" s="39">
        <f t="shared" si="3"/>
        <v>0.38400000000000001</v>
      </c>
      <c r="O32" s="264">
        <f t="shared" si="7"/>
        <v>0.37247999999999998</v>
      </c>
      <c r="P32" s="223">
        <f t="shared" si="8"/>
        <v>0</v>
      </c>
      <c r="Q32" s="326">
        <f t="shared" si="9"/>
        <v>44082.719211918513</v>
      </c>
      <c r="R32" s="327">
        <f t="shared" si="10"/>
        <v>49082.719211918513</v>
      </c>
      <c r="S32" s="328">
        <f t="shared" si="4"/>
        <v>0</v>
      </c>
      <c r="T32" s="329">
        <f t="shared" si="5"/>
        <v>0</v>
      </c>
      <c r="U32" s="9"/>
      <c r="X32" s="4"/>
    </row>
    <row r="33" spans="2:24" ht="17.399999999999999" x14ac:dyDescent="0.3">
      <c r="B33" s="319">
        <v>2</v>
      </c>
      <c r="C33" s="319" t="s">
        <v>160</v>
      </c>
      <c r="D33" s="321">
        <v>0.56000000000000005</v>
      </c>
      <c r="E33" s="321">
        <v>0.36399999999999999</v>
      </c>
      <c r="F33" s="364" t="s">
        <v>171</v>
      </c>
      <c r="G33" s="319" t="s">
        <v>165</v>
      </c>
      <c r="H33" s="322">
        <v>31957</v>
      </c>
      <c r="I33" s="311">
        <f t="shared" si="2"/>
        <v>63914</v>
      </c>
      <c r="J33" s="262"/>
      <c r="K33">
        <v>2</v>
      </c>
      <c r="L33" s="330"/>
      <c r="M33" s="331">
        <f t="shared" si="6"/>
        <v>0.58000000000000007</v>
      </c>
      <c r="N33" s="331">
        <f t="shared" si="3"/>
        <v>0.38400000000000001</v>
      </c>
      <c r="O33" s="332">
        <f t="shared" si="7"/>
        <v>0.22272000000000003</v>
      </c>
      <c r="P33" s="333">
        <f t="shared" si="8"/>
        <v>0</v>
      </c>
      <c r="Q33" s="334">
        <f t="shared" si="9"/>
        <v>26358.739322590456</v>
      </c>
      <c r="R33" s="335">
        <f t="shared" si="10"/>
        <v>31358.739322590456</v>
      </c>
      <c r="S33" s="336">
        <f t="shared" si="4"/>
        <v>0</v>
      </c>
      <c r="T33" s="337">
        <f t="shared" si="5"/>
        <v>0</v>
      </c>
      <c r="U33" s="9"/>
      <c r="X33" s="4"/>
    </row>
    <row r="34" spans="2:24" ht="17.399999999999999" x14ac:dyDescent="0.3">
      <c r="B34" s="319">
        <v>2</v>
      </c>
      <c r="C34" s="319" t="s">
        <v>160</v>
      </c>
      <c r="D34" s="321">
        <v>0.56000000000000005</v>
      </c>
      <c r="E34" s="321">
        <v>0.36399999999999999</v>
      </c>
      <c r="F34" s="364" t="s">
        <v>171</v>
      </c>
      <c r="G34" s="319" t="s">
        <v>162</v>
      </c>
      <c r="H34" s="322">
        <v>24478</v>
      </c>
      <c r="I34" s="311">
        <f t="shared" si="2"/>
        <v>48956</v>
      </c>
      <c r="J34" s="262"/>
      <c r="K34">
        <v>2</v>
      </c>
      <c r="L34" s="47"/>
      <c r="M34" s="39">
        <f t="shared" si="6"/>
        <v>0.58000000000000007</v>
      </c>
      <c r="N34" s="39">
        <f t="shared" si="3"/>
        <v>0.38400000000000001</v>
      </c>
      <c r="O34" s="264">
        <f t="shared" si="7"/>
        <v>0.22272000000000003</v>
      </c>
      <c r="P34" s="223">
        <f t="shared" si="8"/>
        <v>0</v>
      </c>
      <c r="Q34" s="326">
        <f t="shared" si="9"/>
        <v>26358.739322590456</v>
      </c>
      <c r="R34" s="327">
        <f t="shared" si="10"/>
        <v>31358.739322590456</v>
      </c>
      <c r="S34" s="328">
        <f t="shared" si="4"/>
        <v>0</v>
      </c>
      <c r="T34" s="329">
        <f t="shared" si="5"/>
        <v>0</v>
      </c>
      <c r="U34" s="9"/>
      <c r="X34" s="4"/>
    </row>
    <row r="35" spans="2:24" ht="17.399999999999999" x14ac:dyDescent="0.3">
      <c r="B35" s="319">
        <v>3</v>
      </c>
      <c r="C35" s="319" t="s">
        <v>160</v>
      </c>
      <c r="D35" s="321">
        <v>0.95</v>
      </c>
      <c r="E35" s="321">
        <v>0.34</v>
      </c>
      <c r="F35" s="364" t="s">
        <v>172</v>
      </c>
      <c r="G35" s="319" t="s">
        <v>162</v>
      </c>
      <c r="H35" s="322">
        <v>35540</v>
      </c>
      <c r="I35" s="311">
        <f t="shared" si="2"/>
        <v>106620</v>
      </c>
      <c r="J35" s="262"/>
      <c r="K35">
        <v>3</v>
      </c>
      <c r="L35" s="47"/>
      <c r="M35" s="39">
        <f t="shared" si="6"/>
        <v>0.97</v>
      </c>
      <c r="N35" s="39">
        <f t="shared" si="3"/>
        <v>0.36000000000000004</v>
      </c>
      <c r="O35" s="264">
        <f t="shared" si="7"/>
        <v>0.34920000000000001</v>
      </c>
      <c r="P35" s="223">
        <f t="shared" si="8"/>
        <v>0</v>
      </c>
      <c r="Q35" s="326">
        <f t="shared" si="9"/>
        <v>41327.549261173612</v>
      </c>
      <c r="R35" s="327">
        <f t="shared" si="10"/>
        <v>46327.549261173612</v>
      </c>
      <c r="S35" s="328">
        <f t="shared" si="4"/>
        <v>0</v>
      </c>
      <c r="T35" s="329">
        <f t="shared" si="5"/>
        <v>0</v>
      </c>
      <c r="U35" s="9"/>
      <c r="X35" s="4"/>
    </row>
    <row r="36" spans="2:24" ht="17.399999999999999" x14ac:dyDescent="0.3">
      <c r="B36" s="319">
        <v>3</v>
      </c>
      <c r="C36" s="319" t="s">
        <v>160</v>
      </c>
      <c r="D36" s="321">
        <v>0.56000000000000005</v>
      </c>
      <c r="E36" s="321">
        <v>0.34</v>
      </c>
      <c r="F36" s="364" t="s">
        <v>172</v>
      </c>
      <c r="G36" s="319" t="s">
        <v>162</v>
      </c>
      <c r="H36" s="322">
        <v>23261</v>
      </c>
      <c r="I36" s="311">
        <f t="shared" si="2"/>
        <v>69783</v>
      </c>
      <c r="J36" s="262"/>
      <c r="K36">
        <v>3</v>
      </c>
      <c r="L36" s="47"/>
      <c r="M36" s="39">
        <f t="shared" si="6"/>
        <v>0.58000000000000007</v>
      </c>
      <c r="N36" s="39">
        <f t="shared" si="3"/>
        <v>0.36000000000000004</v>
      </c>
      <c r="O36" s="264">
        <f t="shared" si="7"/>
        <v>0.20880000000000004</v>
      </c>
      <c r="P36" s="223">
        <f t="shared" si="8"/>
        <v>0</v>
      </c>
      <c r="Q36" s="326">
        <f t="shared" si="9"/>
        <v>24711.318114928556</v>
      </c>
      <c r="R36" s="327">
        <f t="shared" si="10"/>
        <v>29711.318114928556</v>
      </c>
      <c r="S36" s="328">
        <f t="shared" si="4"/>
        <v>0</v>
      </c>
      <c r="T36" s="329">
        <f t="shared" si="5"/>
        <v>0</v>
      </c>
      <c r="U36" s="9"/>
      <c r="X36" s="4"/>
    </row>
    <row r="37" spans="2:24" ht="17.399999999999999" x14ac:dyDescent="0.3">
      <c r="B37" s="319">
        <v>1</v>
      </c>
      <c r="C37" s="319" t="s">
        <v>160</v>
      </c>
      <c r="D37" s="321">
        <v>0.95</v>
      </c>
      <c r="E37" s="321">
        <v>0.36599999999999999</v>
      </c>
      <c r="F37" s="364" t="s">
        <v>172</v>
      </c>
      <c r="G37" s="319" t="s">
        <v>162</v>
      </c>
      <c r="H37" s="322">
        <v>37746</v>
      </c>
      <c r="I37" s="311">
        <f t="shared" si="2"/>
        <v>37746</v>
      </c>
      <c r="J37" s="262"/>
      <c r="K37">
        <v>1</v>
      </c>
      <c r="L37" s="47"/>
      <c r="M37" s="39">
        <f t="shared" si="6"/>
        <v>0.97</v>
      </c>
      <c r="N37" s="39">
        <f t="shared" si="3"/>
        <v>0.38600000000000001</v>
      </c>
      <c r="O37" s="264">
        <f t="shared" si="7"/>
        <v>0.37441999999999998</v>
      </c>
      <c r="P37" s="223">
        <f t="shared" si="8"/>
        <v>0</v>
      </c>
      <c r="Q37" s="326">
        <f t="shared" si="9"/>
        <v>44312.316707813923</v>
      </c>
      <c r="R37" s="327">
        <f t="shared" si="10"/>
        <v>49312.316707813923</v>
      </c>
      <c r="S37" s="328">
        <f t="shared" si="4"/>
        <v>0</v>
      </c>
      <c r="T37" s="329">
        <f t="shared" si="5"/>
        <v>0</v>
      </c>
      <c r="U37" s="9"/>
      <c r="X37" s="4"/>
    </row>
    <row r="38" spans="2:24" ht="17.399999999999999" x14ac:dyDescent="0.3">
      <c r="B38" s="319">
        <v>2</v>
      </c>
      <c r="C38" s="319" t="s">
        <v>160</v>
      </c>
      <c r="D38" s="321">
        <v>0.95</v>
      </c>
      <c r="E38" s="321">
        <v>0.36599999999999999</v>
      </c>
      <c r="F38" s="364" t="s">
        <v>172</v>
      </c>
      <c r="G38" s="319" t="s">
        <v>164</v>
      </c>
      <c r="H38" s="322">
        <v>51169</v>
      </c>
      <c r="I38" s="311">
        <f t="shared" si="2"/>
        <v>102338</v>
      </c>
      <c r="J38" s="262"/>
      <c r="K38">
        <v>2</v>
      </c>
      <c r="L38" s="346"/>
      <c r="M38" s="347">
        <f t="shared" si="6"/>
        <v>0.97</v>
      </c>
      <c r="N38" s="347">
        <f t="shared" si="3"/>
        <v>0.38600000000000001</v>
      </c>
      <c r="O38" s="348">
        <f t="shared" si="7"/>
        <v>0.37441999999999998</v>
      </c>
      <c r="P38" s="349">
        <f t="shared" si="8"/>
        <v>0</v>
      </c>
      <c r="Q38" s="350">
        <f t="shared" si="9"/>
        <v>44312.316707813923</v>
      </c>
      <c r="R38" s="351">
        <f t="shared" si="10"/>
        <v>49312.316707813923</v>
      </c>
      <c r="S38" s="352">
        <f t="shared" si="4"/>
        <v>0</v>
      </c>
      <c r="T38" s="353">
        <f t="shared" si="5"/>
        <v>0</v>
      </c>
      <c r="U38" s="9"/>
      <c r="X38" s="4"/>
    </row>
    <row r="39" spans="2:24" ht="17.399999999999999" x14ac:dyDescent="0.3">
      <c r="B39" s="319">
        <v>1</v>
      </c>
      <c r="C39" s="319" t="s">
        <v>160</v>
      </c>
      <c r="D39" s="321">
        <v>0.56000000000000005</v>
      </c>
      <c r="E39" s="321">
        <v>0.36599999999999999</v>
      </c>
      <c r="F39" s="364" t="s">
        <v>172</v>
      </c>
      <c r="G39" s="319" t="s">
        <v>162</v>
      </c>
      <c r="H39" s="322">
        <v>24580</v>
      </c>
      <c r="I39" s="311">
        <f t="shared" si="2"/>
        <v>24580</v>
      </c>
      <c r="J39" s="262"/>
      <c r="K39">
        <v>1</v>
      </c>
      <c r="L39" s="47"/>
      <c r="M39" s="39">
        <f t="shared" si="6"/>
        <v>0.58000000000000007</v>
      </c>
      <c r="N39" s="39">
        <f t="shared" si="3"/>
        <v>0.38600000000000001</v>
      </c>
      <c r="O39" s="264">
        <f t="shared" si="7"/>
        <v>0.22388000000000002</v>
      </c>
      <c r="P39" s="223">
        <f t="shared" si="8"/>
        <v>0</v>
      </c>
      <c r="Q39" s="326">
        <f t="shared" si="9"/>
        <v>26496.024423228948</v>
      </c>
      <c r="R39" s="327">
        <f t="shared" si="10"/>
        <v>31496.024423228948</v>
      </c>
      <c r="S39" s="328">
        <f t="shared" si="4"/>
        <v>0</v>
      </c>
      <c r="T39" s="329">
        <f t="shared" si="5"/>
        <v>0</v>
      </c>
      <c r="U39" s="9"/>
      <c r="X39" s="4"/>
    </row>
    <row r="40" spans="2:24" ht="17.399999999999999" x14ac:dyDescent="0.3">
      <c r="B40" s="319">
        <v>2</v>
      </c>
      <c r="C40" s="319" t="s">
        <v>160</v>
      </c>
      <c r="D40" s="321">
        <v>0.56000000000000005</v>
      </c>
      <c r="E40" s="321">
        <v>0.36599999999999999</v>
      </c>
      <c r="F40" s="364" t="s">
        <v>172</v>
      </c>
      <c r="G40" s="319" t="s">
        <v>165</v>
      </c>
      <c r="H40" s="322">
        <v>32097</v>
      </c>
      <c r="I40" s="311">
        <f t="shared" si="2"/>
        <v>64194</v>
      </c>
      <c r="J40" s="262"/>
      <c r="K40">
        <v>2</v>
      </c>
      <c r="L40" s="330"/>
      <c r="M40" s="331">
        <f t="shared" si="6"/>
        <v>0.58000000000000007</v>
      </c>
      <c r="N40" s="331">
        <f t="shared" si="3"/>
        <v>0.38600000000000001</v>
      </c>
      <c r="O40" s="332">
        <f t="shared" si="7"/>
        <v>0.22388000000000002</v>
      </c>
      <c r="P40" s="333">
        <f t="shared" si="8"/>
        <v>0</v>
      </c>
      <c r="Q40" s="334">
        <f t="shared" si="9"/>
        <v>26496.024423228948</v>
      </c>
      <c r="R40" s="335">
        <f t="shared" si="10"/>
        <v>31496.024423228948</v>
      </c>
      <c r="S40" s="336">
        <f t="shared" si="4"/>
        <v>0</v>
      </c>
      <c r="T40" s="337">
        <f t="shared" si="5"/>
        <v>0</v>
      </c>
      <c r="U40" s="9"/>
      <c r="X40" s="4"/>
    </row>
    <row r="41" spans="2:24" ht="17.399999999999999" x14ac:dyDescent="0.3">
      <c r="B41" s="319">
        <v>1</v>
      </c>
      <c r="C41" s="319" t="s">
        <v>160</v>
      </c>
      <c r="D41" s="321">
        <v>1.35</v>
      </c>
      <c r="E41" s="321">
        <v>0.6</v>
      </c>
      <c r="F41" s="364" t="s">
        <v>172</v>
      </c>
      <c r="G41" s="319" t="s">
        <v>174</v>
      </c>
      <c r="H41" s="322">
        <v>105526</v>
      </c>
      <c r="I41" s="311">
        <f t="shared" si="2"/>
        <v>105526</v>
      </c>
      <c r="J41" s="262"/>
      <c r="K41">
        <v>1</v>
      </c>
      <c r="L41" s="338">
        <v>1</v>
      </c>
      <c r="M41" s="339">
        <f t="shared" si="6"/>
        <v>1.37</v>
      </c>
      <c r="N41" s="339">
        <f t="shared" si="3"/>
        <v>0.62</v>
      </c>
      <c r="O41" s="340">
        <f t="shared" si="7"/>
        <v>0.84940000000000004</v>
      </c>
      <c r="P41" s="341">
        <f t="shared" si="8"/>
        <v>0.84940000000000004</v>
      </c>
      <c r="Q41" s="342">
        <f t="shared" si="9"/>
        <v>100525.83145028885</v>
      </c>
      <c r="R41" s="343">
        <f t="shared" si="10"/>
        <v>105525.83145028885</v>
      </c>
      <c r="S41" s="344">
        <f t="shared" si="4"/>
        <v>2.74</v>
      </c>
      <c r="T41" s="345">
        <f t="shared" si="5"/>
        <v>1.24</v>
      </c>
      <c r="U41" s="9"/>
      <c r="X41" s="4"/>
    </row>
    <row r="42" spans="2:24" ht="17.399999999999999" x14ac:dyDescent="0.3">
      <c r="B42" s="319">
        <v>2</v>
      </c>
      <c r="C42" s="319" t="s">
        <v>160</v>
      </c>
      <c r="D42" s="321">
        <v>2.5</v>
      </c>
      <c r="E42" s="321">
        <v>0.57999999999999996</v>
      </c>
      <c r="F42" s="364" t="s">
        <v>172</v>
      </c>
      <c r="G42" s="319" t="s">
        <v>174</v>
      </c>
      <c r="H42" s="322">
        <v>183944</v>
      </c>
      <c r="I42" s="311">
        <f t="shared" si="2"/>
        <v>367888</v>
      </c>
      <c r="J42" s="262"/>
      <c r="K42">
        <v>2</v>
      </c>
      <c r="L42" s="338">
        <v>2</v>
      </c>
      <c r="M42" s="339">
        <f t="shared" si="6"/>
        <v>2.52</v>
      </c>
      <c r="N42" s="339">
        <f t="shared" si="3"/>
        <v>0.6</v>
      </c>
      <c r="O42" s="340">
        <f t="shared" si="7"/>
        <v>1.512</v>
      </c>
      <c r="P42" s="341">
        <f t="shared" si="8"/>
        <v>3.024</v>
      </c>
      <c r="Q42" s="342">
        <f t="shared" si="9"/>
        <v>178944.02772879295</v>
      </c>
      <c r="R42" s="343">
        <f t="shared" si="10"/>
        <v>183944.02772879295</v>
      </c>
      <c r="S42" s="344">
        <f t="shared" si="4"/>
        <v>10.08</v>
      </c>
      <c r="T42" s="345">
        <f t="shared" si="5"/>
        <v>2.4</v>
      </c>
      <c r="U42" s="9"/>
      <c r="X42" s="4"/>
    </row>
    <row r="43" spans="2:24" ht="17.399999999999999" x14ac:dyDescent="0.3">
      <c r="B43" s="319">
        <v>3</v>
      </c>
      <c r="C43" s="319" t="s">
        <v>160</v>
      </c>
      <c r="D43" s="321">
        <v>0.57999999999999996</v>
      </c>
      <c r="E43" s="321">
        <v>0.57999999999999996</v>
      </c>
      <c r="F43" s="364" t="s">
        <v>172</v>
      </c>
      <c r="G43" s="319" t="s">
        <v>174</v>
      </c>
      <c r="H43" s="322">
        <v>47606</v>
      </c>
      <c r="I43" s="311">
        <f t="shared" si="2"/>
        <v>142818</v>
      </c>
      <c r="J43" s="262"/>
      <c r="K43">
        <v>3</v>
      </c>
      <c r="L43" s="338">
        <v>3</v>
      </c>
      <c r="M43" s="339">
        <f t="shared" si="6"/>
        <v>0.6</v>
      </c>
      <c r="N43" s="339">
        <f t="shared" si="3"/>
        <v>0.6</v>
      </c>
      <c r="O43" s="340">
        <f t="shared" si="7"/>
        <v>0.36</v>
      </c>
      <c r="P43" s="341">
        <f t="shared" si="8"/>
        <v>1.08</v>
      </c>
      <c r="Q43" s="342">
        <f t="shared" si="9"/>
        <v>42605.720887807845</v>
      </c>
      <c r="R43" s="343">
        <f t="shared" si="10"/>
        <v>47605.720887807845</v>
      </c>
      <c r="S43" s="344">
        <f t="shared" si="4"/>
        <v>3.5999999999999996</v>
      </c>
      <c r="T43" s="345">
        <f t="shared" si="5"/>
        <v>3.5999999999999996</v>
      </c>
      <c r="U43" s="9"/>
      <c r="X43" s="4"/>
    </row>
    <row r="44" spans="2:24" ht="17.399999999999999" x14ac:dyDescent="0.3">
      <c r="B44" s="319">
        <v>1</v>
      </c>
      <c r="C44" s="319" t="s">
        <v>160</v>
      </c>
      <c r="D44" s="321">
        <v>2.5</v>
      </c>
      <c r="E44" s="321">
        <v>0.6</v>
      </c>
      <c r="F44" s="364" t="s">
        <v>172</v>
      </c>
      <c r="G44" s="319" t="s">
        <v>174</v>
      </c>
      <c r="H44" s="322">
        <v>189909</v>
      </c>
      <c r="I44" s="311">
        <f t="shared" si="2"/>
        <v>189909</v>
      </c>
      <c r="J44" s="262"/>
      <c r="K44">
        <v>1</v>
      </c>
      <c r="L44" s="338">
        <v>1</v>
      </c>
      <c r="M44" s="339">
        <f t="shared" si="6"/>
        <v>2.52</v>
      </c>
      <c r="N44" s="339">
        <f t="shared" si="3"/>
        <v>0.62</v>
      </c>
      <c r="O44" s="340">
        <f t="shared" si="7"/>
        <v>1.5624</v>
      </c>
      <c r="P44" s="341">
        <f t="shared" si="8"/>
        <v>1.5624</v>
      </c>
      <c r="Q44" s="342">
        <f t="shared" si="9"/>
        <v>184908.82865308606</v>
      </c>
      <c r="R44" s="343">
        <f t="shared" si="10"/>
        <v>189908.82865308606</v>
      </c>
      <c r="S44" s="344">
        <f t="shared" si="4"/>
        <v>5.04</v>
      </c>
      <c r="T44" s="345">
        <f t="shared" si="5"/>
        <v>1.24</v>
      </c>
      <c r="U44" s="9"/>
      <c r="X44" s="4"/>
    </row>
    <row r="45" spans="2:24" ht="17.399999999999999" x14ac:dyDescent="0.3">
      <c r="B45" s="319">
        <v>2</v>
      </c>
      <c r="C45" s="319" t="s">
        <v>160</v>
      </c>
      <c r="D45" s="321">
        <v>0.57999999999999996</v>
      </c>
      <c r="E45" s="321">
        <v>0.57999999999999996</v>
      </c>
      <c r="F45" s="364" t="s">
        <v>172</v>
      </c>
      <c r="G45" s="319" t="s">
        <v>174</v>
      </c>
      <c r="H45" s="322">
        <v>47606</v>
      </c>
      <c r="I45" s="311">
        <f t="shared" si="2"/>
        <v>95212</v>
      </c>
      <c r="J45" s="262"/>
      <c r="K45">
        <v>2</v>
      </c>
      <c r="L45" s="338">
        <v>2</v>
      </c>
      <c r="M45" s="339">
        <f t="shared" si="6"/>
        <v>0.6</v>
      </c>
      <c r="N45" s="339">
        <f t="shared" si="3"/>
        <v>0.6</v>
      </c>
      <c r="O45" s="340">
        <f t="shared" si="7"/>
        <v>0.36</v>
      </c>
      <c r="P45" s="341">
        <f t="shared" si="8"/>
        <v>0.72</v>
      </c>
      <c r="Q45" s="342">
        <f t="shared" si="9"/>
        <v>42605.720887807845</v>
      </c>
      <c r="R45" s="343">
        <f t="shared" si="10"/>
        <v>47605.720887807845</v>
      </c>
      <c r="S45" s="344">
        <f t="shared" si="4"/>
        <v>2.4</v>
      </c>
      <c r="T45" s="345">
        <f t="shared" si="5"/>
        <v>2.4</v>
      </c>
      <c r="U45" s="9"/>
      <c r="X45" s="4"/>
    </row>
    <row r="46" spans="2:24" ht="17.399999999999999" x14ac:dyDescent="0.3">
      <c r="B46" s="319">
        <v>3</v>
      </c>
      <c r="C46" s="319" t="s">
        <v>160</v>
      </c>
      <c r="D46" s="321">
        <v>0.95</v>
      </c>
      <c r="E46" s="321">
        <v>0.36</v>
      </c>
      <c r="F46" s="364" t="s">
        <v>175</v>
      </c>
      <c r="G46" s="319" t="s">
        <v>162</v>
      </c>
      <c r="H46" s="322">
        <v>37237</v>
      </c>
      <c r="I46" s="311">
        <f t="shared" si="2"/>
        <v>111711</v>
      </c>
      <c r="J46" s="262"/>
      <c r="K46">
        <v>3</v>
      </c>
      <c r="L46" s="47"/>
      <c r="M46" s="39">
        <f t="shared" si="6"/>
        <v>0.97</v>
      </c>
      <c r="N46" s="39">
        <f t="shared" si="3"/>
        <v>0.38</v>
      </c>
      <c r="O46" s="264">
        <f t="shared" si="7"/>
        <v>0.36859999999999998</v>
      </c>
      <c r="P46" s="223">
        <f t="shared" si="8"/>
        <v>0</v>
      </c>
      <c r="Q46" s="326">
        <f t="shared" si="9"/>
        <v>43623.5242201277</v>
      </c>
      <c r="R46" s="327">
        <f t="shared" si="10"/>
        <v>48623.5242201277</v>
      </c>
      <c r="S46" s="328">
        <f t="shared" si="4"/>
        <v>0</v>
      </c>
      <c r="T46" s="329">
        <f t="shared" si="5"/>
        <v>0</v>
      </c>
      <c r="U46" s="9"/>
      <c r="X46" s="4"/>
    </row>
    <row r="47" spans="2:24" ht="17.399999999999999" x14ac:dyDescent="0.3">
      <c r="B47" s="319">
        <v>2</v>
      </c>
      <c r="C47" s="319" t="s">
        <v>160</v>
      </c>
      <c r="D47" s="321">
        <v>0.95</v>
      </c>
      <c r="E47" s="321">
        <v>0.36</v>
      </c>
      <c r="F47" s="364" t="s">
        <v>175</v>
      </c>
      <c r="G47" s="319" t="s">
        <v>164</v>
      </c>
      <c r="H47" s="322">
        <v>50452</v>
      </c>
      <c r="I47" s="311">
        <f t="shared" si="2"/>
        <v>100904</v>
      </c>
      <c r="J47" s="262"/>
      <c r="K47">
        <v>2</v>
      </c>
      <c r="L47" s="346"/>
      <c r="M47" s="347">
        <f t="shared" si="6"/>
        <v>0.97</v>
      </c>
      <c r="N47" s="347">
        <f t="shared" si="3"/>
        <v>0.38</v>
      </c>
      <c r="O47" s="348">
        <f t="shared" si="7"/>
        <v>0.36859999999999998</v>
      </c>
      <c r="P47" s="349">
        <f t="shared" si="8"/>
        <v>0</v>
      </c>
      <c r="Q47" s="350">
        <f t="shared" si="9"/>
        <v>43623.5242201277</v>
      </c>
      <c r="R47" s="351">
        <f t="shared" si="10"/>
        <v>48623.5242201277</v>
      </c>
      <c r="S47" s="352">
        <f t="shared" si="4"/>
        <v>0</v>
      </c>
      <c r="T47" s="353">
        <f t="shared" si="5"/>
        <v>0</v>
      </c>
      <c r="U47" s="9"/>
      <c r="X47" s="4"/>
    </row>
    <row r="48" spans="2:24" ht="17.399999999999999" x14ac:dyDescent="0.3">
      <c r="B48" s="319">
        <v>2</v>
      </c>
      <c r="C48" s="319" t="s">
        <v>160</v>
      </c>
      <c r="D48" s="321">
        <v>0.56000000000000005</v>
      </c>
      <c r="E48" s="321">
        <v>0.29799999999999999</v>
      </c>
      <c r="F48" s="364" t="s">
        <v>175</v>
      </c>
      <c r="G48" s="319" t="s">
        <v>162</v>
      </c>
      <c r="H48" s="322">
        <v>21130</v>
      </c>
      <c r="I48" s="311">
        <f t="shared" si="2"/>
        <v>42260</v>
      </c>
      <c r="J48" s="262"/>
      <c r="K48">
        <v>2</v>
      </c>
      <c r="L48" s="47"/>
      <c r="M48" s="39">
        <f t="shared" si="6"/>
        <v>0.58000000000000007</v>
      </c>
      <c r="N48" s="39">
        <f t="shared" si="3"/>
        <v>0.318</v>
      </c>
      <c r="O48" s="264">
        <f t="shared" si="7"/>
        <v>0.18444000000000002</v>
      </c>
      <c r="P48" s="223">
        <f t="shared" si="8"/>
        <v>0</v>
      </c>
      <c r="Q48" s="326">
        <f t="shared" si="9"/>
        <v>21828.331001520222</v>
      </c>
      <c r="R48" s="327">
        <f t="shared" si="10"/>
        <v>26828.331001520222</v>
      </c>
      <c r="S48" s="328">
        <f t="shared" si="4"/>
        <v>0</v>
      </c>
      <c r="T48" s="329">
        <f t="shared" si="5"/>
        <v>0</v>
      </c>
      <c r="U48" s="9"/>
      <c r="X48" s="4"/>
    </row>
    <row r="49" spans="2:24" ht="17.399999999999999" x14ac:dyDescent="0.3">
      <c r="B49" s="319">
        <v>2</v>
      </c>
      <c r="C49" s="319" t="s">
        <v>160</v>
      </c>
      <c r="D49" s="321">
        <v>0.56000000000000005</v>
      </c>
      <c r="E49" s="321">
        <v>0.373</v>
      </c>
      <c r="F49" s="364" t="s">
        <v>175</v>
      </c>
      <c r="G49" s="319" t="s">
        <v>165</v>
      </c>
      <c r="H49" s="322">
        <v>32589</v>
      </c>
      <c r="I49" s="311">
        <f t="shared" si="2"/>
        <v>65178</v>
      </c>
      <c r="J49" s="262"/>
      <c r="K49">
        <v>2</v>
      </c>
      <c r="L49" s="330"/>
      <c r="M49" s="331">
        <f t="shared" si="6"/>
        <v>0.58000000000000007</v>
      </c>
      <c r="N49" s="331">
        <f t="shared" si="3"/>
        <v>0.39300000000000002</v>
      </c>
      <c r="O49" s="332">
        <f t="shared" si="7"/>
        <v>0.22794000000000003</v>
      </c>
      <c r="P49" s="333">
        <f t="shared" si="8"/>
        <v>0</v>
      </c>
      <c r="Q49" s="334">
        <f t="shared" si="9"/>
        <v>26976.522275463671</v>
      </c>
      <c r="R49" s="335">
        <f t="shared" si="10"/>
        <v>31976.522275463671</v>
      </c>
      <c r="S49" s="336">
        <f t="shared" si="4"/>
        <v>0</v>
      </c>
      <c r="T49" s="337">
        <f t="shared" si="5"/>
        <v>0</v>
      </c>
      <c r="U49" s="9"/>
      <c r="X49" s="4"/>
    </row>
    <row r="50" spans="2:24" ht="17.399999999999999" x14ac:dyDescent="0.3">
      <c r="B50" s="319">
        <v>1</v>
      </c>
      <c r="C50" s="319" t="s">
        <v>160</v>
      </c>
      <c r="D50" s="321">
        <v>0.95</v>
      </c>
      <c r="E50" s="321">
        <v>0.3</v>
      </c>
      <c r="F50" s="364" t="s">
        <v>176</v>
      </c>
      <c r="G50" s="319" t="s">
        <v>162</v>
      </c>
      <c r="H50" s="322">
        <v>32147</v>
      </c>
      <c r="I50" s="311">
        <f t="shared" si="2"/>
        <v>32147</v>
      </c>
      <c r="J50" s="262"/>
      <c r="K50">
        <v>1</v>
      </c>
      <c r="L50" s="47"/>
      <c r="M50" s="39">
        <f t="shared" si="6"/>
        <v>0.97</v>
      </c>
      <c r="N50" s="39">
        <f t="shared" si="3"/>
        <v>0.32</v>
      </c>
      <c r="O50" s="264">
        <f t="shared" si="7"/>
        <v>0.31040000000000001</v>
      </c>
      <c r="P50" s="223">
        <f t="shared" si="8"/>
        <v>0</v>
      </c>
      <c r="Q50" s="326">
        <f t="shared" si="9"/>
        <v>36735.599343265436</v>
      </c>
      <c r="R50" s="327">
        <f t="shared" si="10"/>
        <v>41735.599343265436</v>
      </c>
      <c r="S50" s="328">
        <f t="shared" si="4"/>
        <v>0</v>
      </c>
      <c r="T50" s="329">
        <f t="shared" si="5"/>
        <v>0</v>
      </c>
      <c r="U50" s="9"/>
      <c r="X50" s="4"/>
    </row>
    <row r="51" spans="2:24" ht="17.399999999999999" x14ac:dyDescent="0.3">
      <c r="B51" s="319">
        <v>4</v>
      </c>
      <c r="C51" s="319" t="s">
        <v>160</v>
      </c>
      <c r="D51" s="321">
        <v>2.35</v>
      </c>
      <c r="E51" s="321">
        <v>0.48</v>
      </c>
      <c r="F51" s="364" t="s">
        <v>177</v>
      </c>
      <c r="G51" s="319" t="s">
        <v>162</v>
      </c>
      <c r="H51" s="322">
        <v>108636</v>
      </c>
      <c r="I51" s="311">
        <f t="shared" si="2"/>
        <v>434544</v>
      </c>
      <c r="J51" s="262"/>
      <c r="K51">
        <v>4</v>
      </c>
      <c r="L51" s="47"/>
      <c r="M51" s="39">
        <f t="shared" si="6"/>
        <v>2.37</v>
      </c>
      <c r="N51" s="39">
        <f t="shared" si="3"/>
        <v>0.5</v>
      </c>
      <c r="O51" s="264">
        <f t="shared" si="7"/>
        <v>1.1850000000000001</v>
      </c>
      <c r="P51" s="223">
        <f t="shared" si="8"/>
        <v>0</v>
      </c>
      <c r="Q51" s="326">
        <f t="shared" si="9"/>
        <v>140243.83125570082</v>
      </c>
      <c r="R51" s="327">
        <f t="shared" si="10"/>
        <v>145243.83125570082</v>
      </c>
      <c r="S51" s="328">
        <f t="shared" si="4"/>
        <v>0</v>
      </c>
      <c r="T51" s="329">
        <f t="shared" si="5"/>
        <v>0</v>
      </c>
      <c r="U51" s="9"/>
      <c r="X51" s="4"/>
    </row>
    <row r="52" spans="2:24" ht="17.399999999999999" x14ac:dyDescent="0.3">
      <c r="B52" s="319">
        <v>10</v>
      </c>
      <c r="C52" s="319" t="s">
        <v>160</v>
      </c>
      <c r="D52" s="321">
        <v>0.64</v>
      </c>
      <c r="E52" s="321">
        <v>0.5</v>
      </c>
      <c r="F52" s="364" t="s">
        <v>178</v>
      </c>
      <c r="G52" s="319" t="s">
        <v>162</v>
      </c>
      <c r="H52" s="322">
        <v>35015</v>
      </c>
      <c r="I52" s="311">
        <f t="shared" si="2"/>
        <v>350150</v>
      </c>
      <c r="J52" s="262"/>
      <c r="K52">
        <v>10</v>
      </c>
      <c r="L52" s="47"/>
      <c r="M52" s="39">
        <f t="shared" si="6"/>
        <v>0.66</v>
      </c>
      <c r="N52" s="39">
        <f t="shared" si="3"/>
        <v>0.52</v>
      </c>
      <c r="O52" s="264">
        <f t="shared" si="7"/>
        <v>0.34320000000000001</v>
      </c>
      <c r="P52" s="223">
        <f t="shared" si="8"/>
        <v>0</v>
      </c>
      <c r="Q52" s="326">
        <f t="shared" si="9"/>
        <v>40617.453913043479</v>
      </c>
      <c r="R52" s="327">
        <f t="shared" si="10"/>
        <v>45617.453913043479</v>
      </c>
      <c r="S52" s="328">
        <f t="shared" si="4"/>
        <v>0</v>
      </c>
      <c r="T52" s="329">
        <f t="shared" si="5"/>
        <v>0</v>
      </c>
      <c r="U52" s="9"/>
      <c r="X52" s="4"/>
    </row>
    <row r="53" spans="2:24" ht="17.399999999999999" x14ac:dyDescent="0.3">
      <c r="B53" s="319">
        <v>10</v>
      </c>
      <c r="C53" s="319" t="s">
        <v>160</v>
      </c>
      <c r="D53" s="321">
        <v>1.8</v>
      </c>
      <c r="E53" s="321">
        <v>0.55000000000000004</v>
      </c>
      <c r="F53" s="364" t="s">
        <v>178</v>
      </c>
      <c r="G53" s="319" t="s">
        <v>165</v>
      </c>
      <c r="H53" s="322">
        <v>130562</v>
      </c>
      <c r="I53" s="311">
        <f t="shared" si="2"/>
        <v>1305620</v>
      </c>
      <c r="J53" s="262"/>
      <c r="K53">
        <v>10</v>
      </c>
      <c r="L53" s="330"/>
      <c r="M53" s="331">
        <f t="shared" si="6"/>
        <v>1.82</v>
      </c>
      <c r="N53" s="331">
        <f t="shared" si="3"/>
        <v>0.57000000000000006</v>
      </c>
      <c r="O53" s="332">
        <f t="shared" si="7"/>
        <v>1.0374000000000001</v>
      </c>
      <c r="P53" s="333">
        <f t="shared" si="8"/>
        <v>0</v>
      </c>
      <c r="Q53" s="334">
        <f t="shared" si="9"/>
        <v>122775.48569169962</v>
      </c>
      <c r="R53" s="335">
        <f t="shared" si="10"/>
        <v>127775.48569169962</v>
      </c>
      <c r="S53" s="336">
        <f t="shared" si="4"/>
        <v>0</v>
      </c>
      <c r="T53" s="337">
        <f t="shared" si="5"/>
        <v>0</v>
      </c>
      <c r="U53" s="9"/>
      <c r="X53" s="4"/>
    </row>
    <row r="54" spans="2:24" ht="17.399999999999999" x14ac:dyDescent="0.3">
      <c r="B54" s="319">
        <v>4</v>
      </c>
      <c r="C54" s="319" t="s">
        <v>160</v>
      </c>
      <c r="D54" s="321">
        <v>0.95</v>
      </c>
      <c r="E54" s="321">
        <v>0.34499999999999997</v>
      </c>
      <c r="F54" s="364" t="s">
        <v>179</v>
      </c>
      <c r="G54" s="319" t="s">
        <v>162</v>
      </c>
      <c r="H54" s="322">
        <v>35964</v>
      </c>
      <c r="I54" s="311">
        <f t="shared" si="2"/>
        <v>143856</v>
      </c>
      <c r="J54" s="262"/>
      <c r="K54">
        <v>4</v>
      </c>
      <c r="L54" s="47"/>
      <c r="M54" s="39">
        <f t="shared" si="6"/>
        <v>0.97</v>
      </c>
      <c r="N54" s="39">
        <f t="shared" si="3"/>
        <v>0.36499999999999999</v>
      </c>
      <c r="O54" s="264">
        <f t="shared" si="7"/>
        <v>0.35404999999999998</v>
      </c>
      <c r="P54" s="223">
        <f t="shared" si="8"/>
        <v>0</v>
      </c>
      <c r="Q54" s="326">
        <f t="shared" si="9"/>
        <v>41901.543000912126</v>
      </c>
      <c r="R54" s="327">
        <f t="shared" si="10"/>
        <v>46901.543000912126</v>
      </c>
      <c r="S54" s="328">
        <f t="shared" si="4"/>
        <v>0</v>
      </c>
      <c r="T54" s="329">
        <f t="shared" si="5"/>
        <v>0</v>
      </c>
      <c r="U54" s="9"/>
      <c r="X54" s="4"/>
    </row>
    <row r="55" spans="2:24" ht="17.399999999999999" x14ac:dyDescent="0.3">
      <c r="B55" s="319">
        <v>2</v>
      </c>
      <c r="C55" s="319" t="s">
        <v>160</v>
      </c>
      <c r="D55" s="321">
        <v>0.95</v>
      </c>
      <c r="E55" s="321">
        <v>0.34499999999999997</v>
      </c>
      <c r="F55" s="364" t="s">
        <v>179</v>
      </c>
      <c r="G55" s="319" t="s">
        <v>164</v>
      </c>
      <c r="H55" s="322">
        <v>48657</v>
      </c>
      <c r="I55" s="311">
        <f t="shared" si="2"/>
        <v>97314</v>
      </c>
      <c r="J55" s="262"/>
      <c r="K55">
        <v>2</v>
      </c>
      <c r="L55" s="346"/>
      <c r="M55" s="347">
        <f t="shared" si="6"/>
        <v>0.97</v>
      </c>
      <c r="N55" s="347">
        <f t="shared" si="3"/>
        <v>0.36499999999999999</v>
      </c>
      <c r="O55" s="348">
        <f t="shared" si="7"/>
        <v>0.35404999999999998</v>
      </c>
      <c r="P55" s="349">
        <f t="shared" si="8"/>
        <v>0</v>
      </c>
      <c r="Q55" s="350">
        <f t="shared" si="9"/>
        <v>41901.543000912126</v>
      </c>
      <c r="R55" s="351">
        <f t="shared" si="10"/>
        <v>46901.543000912126</v>
      </c>
      <c r="S55" s="352">
        <f t="shared" si="4"/>
        <v>0</v>
      </c>
      <c r="T55" s="353">
        <f t="shared" si="5"/>
        <v>0</v>
      </c>
      <c r="U55" s="9"/>
      <c r="X55" s="4"/>
    </row>
    <row r="56" spans="2:24" ht="17.399999999999999" x14ac:dyDescent="0.3">
      <c r="B56" s="319">
        <v>2</v>
      </c>
      <c r="C56" s="319" t="s">
        <v>160</v>
      </c>
      <c r="D56" s="321">
        <v>0.56000000000000005</v>
      </c>
      <c r="E56" s="321">
        <v>0.34499999999999997</v>
      </c>
      <c r="F56" s="364" t="s">
        <v>179</v>
      </c>
      <c r="G56" s="319" t="s">
        <v>165</v>
      </c>
      <c r="H56" s="322">
        <v>30623</v>
      </c>
      <c r="I56" s="311">
        <f t="shared" si="2"/>
        <v>61246</v>
      </c>
      <c r="J56" s="262"/>
      <c r="K56">
        <v>2</v>
      </c>
      <c r="L56" s="330"/>
      <c r="M56" s="331">
        <f t="shared" si="6"/>
        <v>0.58000000000000007</v>
      </c>
      <c r="N56" s="331">
        <f t="shared" si="3"/>
        <v>0.36499999999999999</v>
      </c>
      <c r="O56" s="332">
        <f t="shared" si="7"/>
        <v>0.21170000000000003</v>
      </c>
      <c r="P56" s="333">
        <f t="shared" si="8"/>
        <v>0</v>
      </c>
      <c r="Q56" s="334">
        <f t="shared" si="9"/>
        <v>25054.530866524783</v>
      </c>
      <c r="R56" s="335">
        <f t="shared" si="10"/>
        <v>30054.530866524783</v>
      </c>
      <c r="S56" s="336">
        <f t="shared" si="4"/>
        <v>0</v>
      </c>
      <c r="T56" s="337">
        <f t="shared" si="5"/>
        <v>0</v>
      </c>
      <c r="U56" s="9"/>
      <c r="X56" s="4"/>
    </row>
    <row r="57" spans="2:24" ht="17.399999999999999" x14ac:dyDescent="0.3">
      <c r="B57" s="319">
        <v>6</v>
      </c>
      <c r="C57" s="319" t="s">
        <v>160</v>
      </c>
      <c r="D57" s="321">
        <v>0.56000000000000005</v>
      </c>
      <c r="E57" s="321">
        <v>0.34499999999999997</v>
      </c>
      <c r="F57" s="364" t="s">
        <v>179</v>
      </c>
      <c r="G57" s="319" t="s">
        <v>162</v>
      </c>
      <c r="H57" s="322">
        <v>23515</v>
      </c>
      <c r="I57" s="311">
        <f t="shared" si="2"/>
        <v>141090</v>
      </c>
      <c r="J57" s="262"/>
      <c r="K57">
        <v>6</v>
      </c>
      <c r="L57" s="47"/>
      <c r="M57" s="39">
        <f t="shared" si="6"/>
        <v>0.58000000000000007</v>
      </c>
      <c r="N57" s="39">
        <f t="shared" si="3"/>
        <v>0.36499999999999999</v>
      </c>
      <c r="O57" s="264">
        <f t="shared" si="7"/>
        <v>0.21170000000000003</v>
      </c>
      <c r="P57" s="223">
        <f t="shared" si="8"/>
        <v>0</v>
      </c>
      <c r="Q57" s="326">
        <f t="shared" si="9"/>
        <v>25054.530866524783</v>
      </c>
      <c r="R57" s="327">
        <f t="shared" si="10"/>
        <v>30054.530866524783</v>
      </c>
      <c r="S57" s="328">
        <f t="shared" si="4"/>
        <v>0</v>
      </c>
      <c r="T57" s="329">
        <f t="shared" si="5"/>
        <v>0</v>
      </c>
      <c r="U57" s="9"/>
      <c r="X57" s="4"/>
    </row>
    <row r="58" spans="2:24" ht="17.399999999999999" x14ac:dyDescent="0.3">
      <c r="B58" s="319">
        <v>11</v>
      </c>
      <c r="C58" s="319" t="s">
        <v>160</v>
      </c>
      <c r="D58" s="321">
        <v>2.4500000000000002</v>
      </c>
      <c r="E58" s="321">
        <v>0.435</v>
      </c>
      <c r="F58" s="364" t="s">
        <v>169</v>
      </c>
      <c r="G58" s="319" t="s">
        <v>162</v>
      </c>
      <c r="H58" s="322">
        <v>103288</v>
      </c>
      <c r="I58" s="311">
        <f t="shared" si="2"/>
        <v>1136168</v>
      </c>
      <c r="J58" s="262"/>
      <c r="K58">
        <v>11</v>
      </c>
      <c r="L58" s="47"/>
      <c r="M58" s="39">
        <f t="shared" si="6"/>
        <v>2.4700000000000002</v>
      </c>
      <c r="N58" s="39">
        <f t="shared" si="3"/>
        <v>0.45500000000000002</v>
      </c>
      <c r="O58" s="264">
        <f t="shared" si="7"/>
        <v>1.1238500000000002</v>
      </c>
      <c r="P58" s="223">
        <f t="shared" si="8"/>
        <v>0</v>
      </c>
      <c r="Q58" s="326">
        <f t="shared" si="9"/>
        <v>133006.77616600794</v>
      </c>
      <c r="R58" s="327">
        <f t="shared" si="10"/>
        <v>138006.77616600794</v>
      </c>
      <c r="S58" s="328">
        <f t="shared" si="4"/>
        <v>0</v>
      </c>
      <c r="T58" s="329">
        <f t="shared" si="5"/>
        <v>0</v>
      </c>
      <c r="U58" s="9"/>
      <c r="X58" s="4"/>
    </row>
    <row r="59" spans="2:24" ht="17.399999999999999" x14ac:dyDescent="0.3">
      <c r="B59" s="319">
        <v>1</v>
      </c>
      <c r="C59" s="319" t="s">
        <v>160</v>
      </c>
      <c r="D59" s="321">
        <v>1.85</v>
      </c>
      <c r="E59" s="321">
        <v>0.435</v>
      </c>
      <c r="F59" s="364" t="s">
        <v>169</v>
      </c>
      <c r="G59" s="319" t="s">
        <v>162</v>
      </c>
      <c r="H59" s="322">
        <v>79412</v>
      </c>
      <c r="I59" s="311">
        <f t="shared" si="2"/>
        <v>79412</v>
      </c>
      <c r="J59" s="262"/>
      <c r="K59">
        <v>1</v>
      </c>
      <c r="L59" s="47"/>
      <c r="M59" s="39">
        <f t="shared" si="6"/>
        <v>1.87</v>
      </c>
      <c r="N59" s="39">
        <f t="shared" si="3"/>
        <v>0.45500000000000002</v>
      </c>
      <c r="O59" s="264">
        <f t="shared" si="7"/>
        <v>0.85085000000000011</v>
      </c>
      <c r="P59" s="223">
        <f t="shared" si="8"/>
        <v>0</v>
      </c>
      <c r="Q59" s="326">
        <f t="shared" si="9"/>
        <v>100697.43782608697</v>
      </c>
      <c r="R59" s="327">
        <f t="shared" si="10"/>
        <v>105697.43782608697</v>
      </c>
      <c r="S59" s="328">
        <f t="shared" si="4"/>
        <v>0</v>
      </c>
      <c r="T59" s="329">
        <f t="shared" si="5"/>
        <v>0</v>
      </c>
      <c r="U59" s="9"/>
      <c r="X59" s="4"/>
    </row>
    <row r="60" spans="2:24" ht="17.399999999999999" x14ac:dyDescent="0.3">
      <c r="B60" s="319">
        <v>2</v>
      </c>
      <c r="C60" s="319" t="s">
        <v>160</v>
      </c>
      <c r="D60" s="321">
        <v>0.65</v>
      </c>
      <c r="E60" s="321">
        <v>0.57999999999999996</v>
      </c>
      <c r="F60" s="364" t="s">
        <v>169</v>
      </c>
      <c r="G60" s="319" t="s">
        <v>162</v>
      </c>
      <c r="H60" s="322">
        <v>40158</v>
      </c>
      <c r="I60" s="311">
        <f t="shared" si="2"/>
        <v>80316</v>
      </c>
      <c r="J60" s="262"/>
      <c r="K60">
        <v>2</v>
      </c>
      <c r="L60" s="47"/>
      <c r="M60" s="39">
        <f t="shared" si="6"/>
        <v>0.67</v>
      </c>
      <c r="N60" s="39">
        <f t="shared" si="3"/>
        <v>0.6</v>
      </c>
      <c r="O60" s="264">
        <f t="shared" si="7"/>
        <v>0.40200000000000002</v>
      </c>
      <c r="P60" s="223">
        <f t="shared" si="8"/>
        <v>0</v>
      </c>
      <c r="Q60" s="326">
        <f t="shared" si="9"/>
        <v>47576.388324718762</v>
      </c>
      <c r="R60" s="327">
        <f t="shared" si="10"/>
        <v>52576.388324718762</v>
      </c>
      <c r="S60" s="328">
        <f t="shared" si="4"/>
        <v>0</v>
      </c>
      <c r="T60" s="329">
        <f t="shared" si="5"/>
        <v>0</v>
      </c>
      <c r="U60" s="9"/>
      <c r="X60" s="4"/>
    </row>
    <row r="61" spans="2:24" ht="17.399999999999999" x14ac:dyDescent="0.3">
      <c r="B61" s="319">
        <v>2</v>
      </c>
      <c r="C61" s="319" t="s">
        <v>160</v>
      </c>
      <c r="D61" s="321">
        <v>0.57999999999999996</v>
      </c>
      <c r="E61" s="321">
        <v>0.435</v>
      </c>
      <c r="F61" s="364" t="s">
        <v>169</v>
      </c>
      <c r="G61" s="319" t="s">
        <v>162</v>
      </c>
      <c r="H61" s="322">
        <v>28876</v>
      </c>
      <c r="I61" s="311">
        <f t="shared" si="2"/>
        <v>57752</v>
      </c>
      <c r="J61" s="262"/>
      <c r="K61">
        <v>2</v>
      </c>
      <c r="L61" s="47"/>
      <c r="M61" s="39">
        <f t="shared" si="6"/>
        <v>0.6</v>
      </c>
      <c r="N61" s="39">
        <f t="shared" si="3"/>
        <v>0.45500000000000002</v>
      </c>
      <c r="O61" s="264">
        <f t="shared" si="7"/>
        <v>0.27300000000000002</v>
      </c>
      <c r="P61" s="223">
        <f t="shared" si="8"/>
        <v>0</v>
      </c>
      <c r="Q61" s="326">
        <f t="shared" si="9"/>
        <v>32309.338339920952</v>
      </c>
      <c r="R61" s="327">
        <f t="shared" si="10"/>
        <v>37309.338339920956</v>
      </c>
      <c r="S61" s="328">
        <f t="shared" si="4"/>
        <v>0</v>
      </c>
      <c r="T61" s="329">
        <f t="shared" si="5"/>
        <v>0</v>
      </c>
      <c r="U61" s="9"/>
      <c r="X61" s="4"/>
    </row>
    <row r="62" spans="2:24" ht="17.399999999999999" x14ac:dyDescent="0.3">
      <c r="B62" s="319">
        <v>4</v>
      </c>
      <c r="C62" s="319" t="s">
        <v>160</v>
      </c>
      <c r="D62" s="321">
        <v>0.95</v>
      </c>
      <c r="E62" s="321">
        <v>0.375</v>
      </c>
      <c r="F62" s="364" t="s">
        <v>166</v>
      </c>
      <c r="G62" s="319" t="s">
        <v>162</v>
      </c>
      <c r="H62" s="322">
        <v>38509</v>
      </c>
      <c r="I62" s="311">
        <f t="shared" si="2"/>
        <v>154036</v>
      </c>
      <c r="J62" s="262"/>
      <c r="K62">
        <v>4</v>
      </c>
      <c r="L62" s="47"/>
      <c r="M62" s="39">
        <f t="shared" si="6"/>
        <v>0.97</v>
      </c>
      <c r="N62" s="39">
        <f t="shared" si="3"/>
        <v>0.39500000000000002</v>
      </c>
      <c r="O62" s="264">
        <f t="shared" si="7"/>
        <v>0.38314999999999999</v>
      </c>
      <c r="P62" s="223">
        <f t="shared" si="8"/>
        <v>0</v>
      </c>
      <c r="Q62" s="326">
        <f t="shared" si="9"/>
        <v>45345.505439343266</v>
      </c>
      <c r="R62" s="327">
        <f t="shared" si="10"/>
        <v>50345.505439343266</v>
      </c>
      <c r="S62" s="328">
        <f t="shared" si="4"/>
        <v>0</v>
      </c>
      <c r="T62" s="329">
        <f t="shared" si="5"/>
        <v>0</v>
      </c>
      <c r="U62" s="9"/>
      <c r="X62" s="4"/>
    </row>
    <row r="63" spans="2:24" ht="17.399999999999999" x14ac:dyDescent="0.3">
      <c r="B63" s="319">
        <v>2</v>
      </c>
      <c r="C63" s="319" t="s">
        <v>160</v>
      </c>
      <c r="D63" s="321">
        <v>0.95</v>
      </c>
      <c r="E63" s="321">
        <v>0.375</v>
      </c>
      <c r="F63" s="364" t="s">
        <v>166</v>
      </c>
      <c r="G63" s="319" t="s">
        <v>164</v>
      </c>
      <c r="H63" s="322">
        <v>52246</v>
      </c>
      <c r="I63" s="311">
        <f t="shared" si="2"/>
        <v>104492</v>
      </c>
      <c r="J63" s="262"/>
      <c r="K63">
        <v>2</v>
      </c>
      <c r="L63" s="346"/>
      <c r="M63" s="347">
        <f t="shared" si="6"/>
        <v>0.97</v>
      </c>
      <c r="N63" s="347">
        <f t="shared" si="3"/>
        <v>0.39500000000000002</v>
      </c>
      <c r="O63" s="348">
        <f t="shared" si="7"/>
        <v>0.38314999999999999</v>
      </c>
      <c r="P63" s="349">
        <f t="shared" si="8"/>
        <v>0</v>
      </c>
      <c r="Q63" s="350">
        <f t="shared" si="9"/>
        <v>45345.505439343266</v>
      </c>
      <c r="R63" s="351">
        <f t="shared" si="10"/>
        <v>50345.505439343266</v>
      </c>
      <c r="S63" s="352">
        <f t="shared" si="4"/>
        <v>0</v>
      </c>
      <c r="T63" s="353">
        <f t="shared" si="5"/>
        <v>0</v>
      </c>
      <c r="U63" s="9"/>
      <c r="X63" s="4"/>
    </row>
    <row r="64" spans="2:24" ht="17.399999999999999" x14ac:dyDescent="0.3">
      <c r="B64" s="319">
        <v>4</v>
      </c>
      <c r="C64" s="319" t="s">
        <v>160</v>
      </c>
      <c r="D64" s="321">
        <v>0.56000000000000005</v>
      </c>
      <c r="E64" s="321">
        <v>0.375</v>
      </c>
      <c r="F64" s="364" t="s">
        <v>166</v>
      </c>
      <c r="G64" s="319" t="s">
        <v>162</v>
      </c>
      <c r="H64" s="322">
        <v>25036</v>
      </c>
      <c r="I64" s="311">
        <f t="shared" si="2"/>
        <v>100144</v>
      </c>
      <c r="J64" s="262"/>
      <c r="K64">
        <v>4</v>
      </c>
      <c r="L64" s="47"/>
      <c r="M64" s="39">
        <f t="shared" si="6"/>
        <v>0.58000000000000007</v>
      </c>
      <c r="N64" s="39">
        <f t="shared" si="3"/>
        <v>0.39500000000000002</v>
      </c>
      <c r="O64" s="264">
        <f t="shared" si="7"/>
        <v>0.22910000000000003</v>
      </c>
      <c r="P64" s="223">
        <f t="shared" si="8"/>
        <v>0</v>
      </c>
      <c r="Q64" s="326">
        <f t="shared" si="9"/>
        <v>27113.807376102162</v>
      </c>
      <c r="R64" s="327">
        <f t="shared" si="10"/>
        <v>32113.807376102162</v>
      </c>
      <c r="S64" s="328">
        <f t="shared" si="4"/>
        <v>0</v>
      </c>
      <c r="T64" s="329">
        <f t="shared" si="5"/>
        <v>0</v>
      </c>
      <c r="U64" s="9"/>
      <c r="X64" s="4"/>
    </row>
    <row r="65" spans="2:24" ht="17.399999999999999" x14ac:dyDescent="0.3">
      <c r="B65" s="319">
        <v>2</v>
      </c>
      <c r="C65" s="319" t="s">
        <v>160</v>
      </c>
      <c r="D65" s="321">
        <v>0.56000000000000005</v>
      </c>
      <c r="E65" s="321">
        <v>0.375</v>
      </c>
      <c r="F65" s="364" t="s">
        <v>166</v>
      </c>
      <c r="G65" s="319" t="s">
        <v>165</v>
      </c>
      <c r="H65" s="322">
        <v>32729</v>
      </c>
      <c r="I65" s="311">
        <f t="shared" si="2"/>
        <v>65458</v>
      </c>
      <c r="J65" s="262"/>
      <c r="K65">
        <v>2</v>
      </c>
      <c r="L65" s="330"/>
      <c r="M65" s="331">
        <f t="shared" si="6"/>
        <v>0.58000000000000007</v>
      </c>
      <c r="N65" s="331">
        <f t="shared" si="3"/>
        <v>0.39500000000000002</v>
      </c>
      <c r="O65" s="332">
        <f t="shared" si="7"/>
        <v>0.22910000000000003</v>
      </c>
      <c r="P65" s="333">
        <f t="shared" si="8"/>
        <v>0</v>
      </c>
      <c r="Q65" s="334">
        <f t="shared" si="9"/>
        <v>27113.807376102162</v>
      </c>
      <c r="R65" s="335">
        <f t="shared" si="10"/>
        <v>32113.807376102162</v>
      </c>
      <c r="S65" s="336">
        <f t="shared" si="4"/>
        <v>0</v>
      </c>
      <c r="T65" s="337">
        <f t="shared" si="5"/>
        <v>0</v>
      </c>
      <c r="U65" s="9"/>
      <c r="X65" s="4"/>
    </row>
    <row r="66" spans="2:24" ht="17.399999999999999" x14ac:dyDescent="0.3">
      <c r="B66" s="319">
        <v>2</v>
      </c>
      <c r="C66" s="319" t="s">
        <v>160</v>
      </c>
      <c r="D66" s="321">
        <v>0.95</v>
      </c>
      <c r="E66" s="321">
        <v>0.41699999999999998</v>
      </c>
      <c r="F66" s="364" t="s">
        <v>180</v>
      </c>
      <c r="G66" s="319" t="s">
        <v>162</v>
      </c>
      <c r="H66" s="322">
        <v>42072</v>
      </c>
      <c r="I66" s="311">
        <f t="shared" si="2"/>
        <v>84144</v>
      </c>
      <c r="J66" s="262"/>
      <c r="K66">
        <v>2</v>
      </c>
      <c r="L66" s="47"/>
      <c r="M66" s="39">
        <f t="shared" si="6"/>
        <v>0.97</v>
      </c>
      <c r="N66" s="39">
        <f t="shared" si="3"/>
        <v>0.437</v>
      </c>
      <c r="O66" s="264">
        <f t="shared" si="7"/>
        <v>0.42388999999999999</v>
      </c>
      <c r="P66" s="223">
        <f t="shared" si="8"/>
        <v>0</v>
      </c>
      <c r="Q66" s="326">
        <f t="shared" si="9"/>
        <v>50167.052853146852</v>
      </c>
      <c r="R66" s="327">
        <f t="shared" si="10"/>
        <v>55167.052853146852</v>
      </c>
      <c r="S66" s="328">
        <f t="shared" si="4"/>
        <v>0</v>
      </c>
      <c r="T66" s="329">
        <f t="shared" si="5"/>
        <v>0</v>
      </c>
      <c r="U66" s="9"/>
      <c r="X66" s="4"/>
    </row>
    <row r="67" spans="2:24" ht="17.399999999999999" x14ac:dyDescent="0.3">
      <c r="B67" s="319">
        <v>2</v>
      </c>
      <c r="C67" s="319" t="s">
        <v>160</v>
      </c>
      <c r="D67" s="321">
        <v>0.56000000000000005</v>
      </c>
      <c r="E67" s="321">
        <v>0.41699999999999998</v>
      </c>
      <c r="F67" s="364" t="s">
        <v>180</v>
      </c>
      <c r="G67" s="319" t="s">
        <v>165</v>
      </c>
      <c r="H67" s="322">
        <v>35678</v>
      </c>
      <c r="I67" s="311">
        <f t="shared" si="2"/>
        <v>71356</v>
      </c>
      <c r="J67" s="262"/>
      <c r="K67">
        <v>2</v>
      </c>
      <c r="L67" s="330"/>
      <c r="M67" s="331">
        <f t="shared" si="6"/>
        <v>0.58000000000000007</v>
      </c>
      <c r="N67" s="331">
        <f t="shared" si="3"/>
        <v>0.437</v>
      </c>
      <c r="O67" s="332">
        <f t="shared" si="7"/>
        <v>0.25346000000000002</v>
      </c>
      <c r="P67" s="333">
        <f t="shared" si="8"/>
        <v>0</v>
      </c>
      <c r="Q67" s="334">
        <f t="shared" si="9"/>
        <v>29996.794489510492</v>
      </c>
      <c r="R67" s="335">
        <f t="shared" si="10"/>
        <v>34996.794489510488</v>
      </c>
      <c r="S67" s="336">
        <f t="shared" si="4"/>
        <v>0</v>
      </c>
      <c r="T67" s="337">
        <f t="shared" si="5"/>
        <v>0</v>
      </c>
      <c r="U67" s="9"/>
      <c r="X67" s="4"/>
    </row>
    <row r="68" spans="2:24" ht="17.399999999999999" x14ac:dyDescent="0.3">
      <c r="B68" s="319">
        <v>5</v>
      </c>
      <c r="C68" s="319" t="s">
        <v>160</v>
      </c>
      <c r="D68" s="321">
        <v>0.57999999999999996</v>
      </c>
      <c r="E68" s="321">
        <v>0.34499999999999997</v>
      </c>
      <c r="F68" s="364" t="s">
        <v>181</v>
      </c>
      <c r="G68" s="319" t="s">
        <v>162</v>
      </c>
      <c r="H68" s="322">
        <v>24153</v>
      </c>
      <c r="I68" s="311">
        <f t="shared" si="2"/>
        <v>120765</v>
      </c>
      <c r="J68" s="262"/>
      <c r="K68">
        <v>5</v>
      </c>
      <c r="L68" s="47"/>
      <c r="M68" s="39">
        <f t="shared" si="6"/>
        <v>0.6</v>
      </c>
      <c r="N68" s="39">
        <f t="shared" si="3"/>
        <v>0.36499999999999999</v>
      </c>
      <c r="O68" s="264">
        <f t="shared" si="7"/>
        <v>0.219</v>
      </c>
      <c r="P68" s="223">
        <f t="shared" si="8"/>
        <v>0</v>
      </c>
      <c r="Q68" s="326">
        <f t="shared" si="9"/>
        <v>25918.480206749773</v>
      </c>
      <c r="R68" s="327">
        <f t="shared" si="10"/>
        <v>30918.480206749773</v>
      </c>
      <c r="S68" s="328">
        <f t="shared" si="4"/>
        <v>0</v>
      </c>
      <c r="T68" s="329">
        <f t="shared" si="5"/>
        <v>0</v>
      </c>
      <c r="U68" s="9"/>
      <c r="X68" s="4"/>
    </row>
    <row r="69" spans="2:24" ht="17.399999999999999" x14ac:dyDescent="0.3">
      <c r="B69" s="319">
        <v>3</v>
      </c>
      <c r="C69" s="319" t="s">
        <v>160</v>
      </c>
      <c r="D69" s="321">
        <v>0.56000000000000005</v>
      </c>
      <c r="E69" s="321">
        <v>0.34499999999999997</v>
      </c>
      <c r="F69" s="364" t="s">
        <v>181</v>
      </c>
      <c r="G69" s="319" t="s">
        <v>162</v>
      </c>
      <c r="H69" s="322">
        <v>23515</v>
      </c>
      <c r="I69" s="311">
        <f t="shared" si="2"/>
        <v>70545</v>
      </c>
      <c r="J69" s="262"/>
      <c r="K69">
        <v>3</v>
      </c>
      <c r="L69" s="47"/>
      <c r="M69" s="39">
        <f t="shared" si="6"/>
        <v>0.58000000000000007</v>
      </c>
      <c r="N69" s="39">
        <f t="shared" si="3"/>
        <v>0.36499999999999999</v>
      </c>
      <c r="O69" s="264">
        <f t="shared" si="7"/>
        <v>0.21170000000000003</v>
      </c>
      <c r="P69" s="223">
        <f t="shared" si="8"/>
        <v>0</v>
      </c>
      <c r="Q69" s="326">
        <f t="shared" si="9"/>
        <v>25054.530866524783</v>
      </c>
      <c r="R69" s="327">
        <f t="shared" si="10"/>
        <v>30054.530866524783</v>
      </c>
      <c r="S69" s="328">
        <f t="shared" si="4"/>
        <v>0</v>
      </c>
      <c r="T69" s="329">
        <f t="shared" si="5"/>
        <v>0</v>
      </c>
      <c r="U69" s="9"/>
      <c r="X69" s="4"/>
    </row>
    <row r="70" spans="2:24" ht="17.399999999999999" x14ac:dyDescent="0.3">
      <c r="B70" s="319">
        <v>2</v>
      </c>
      <c r="C70" s="319" t="s">
        <v>160</v>
      </c>
      <c r="D70" s="321">
        <v>0.56000000000000005</v>
      </c>
      <c r="E70" s="321">
        <v>0.34499999999999997</v>
      </c>
      <c r="F70" s="364" t="s">
        <v>181</v>
      </c>
      <c r="G70" s="319" t="s">
        <v>164</v>
      </c>
      <c r="H70" s="322">
        <v>31104</v>
      </c>
      <c r="I70" s="311">
        <f t="shared" si="2"/>
        <v>62208</v>
      </c>
      <c r="J70" s="262"/>
      <c r="K70">
        <v>2</v>
      </c>
      <c r="L70" s="346"/>
      <c r="M70" s="347">
        <f t="shared" si="6"/>
        <v>0.58000000000000007</v>
      </c>
      <c r="N70" s="347">
        <f t="shared" si="3"/>
        <v>0.36499999999999999</v>
      </c>
      <c r="O70" s="348">
        <f t="shared" si="7"/>
        <v>0.21170000000000003</v>
      </c>
      <c r="P70" s="349">
        <f t="shared" si="8"/>
        <v>0</v>
      </c>
      <c r="Q70" s="350">
        <f t="shared" si="9"/>
        <v>25054.530866524783</v>
      </c>
      <c r="R70" s="351">
        <f t="shared" si="10"/>
        <v>30054.530866524783</v>
      </c>
      <c r="S70" s="352">
        <f t="shared" si="4"/>
        <v>0</v>
      </c>
      <c r="T70" s="353">
        <f t="shared" si="5"/>
        <v>0</v>
      </c>
      <c r="U70" s="9"/>
      <c r="X70" s="4"/>
    </row>
    <row r="71" spans="2:24" ht="17.399999999999999" x14ac:dyDescent="0.3">
      <c r="B71" s="319">
        <v>1</v>
      </c>
      <c r="C71" s="319" t="s">
        <v>160</v>
      </c>
      <c r="D71" s="321">
        <v>0.57999999999999996</v>
      </c>
      <c r="E71" s="321">
        <v>0.34499999999999997</v>
      </c>
      <c r="F71" s="364" t="s">
        <v>181</v>
      </c>
      <c r="G71" s="319" t="s">
        <v>165</v>
      </c>
      <c r="H71" s="322">
        <v>31507</v>
      </c>
      <c r="I71" s="311">
        <f t="shared" si="2"/>
        <v>31507</v>
      </c>
      <c r="J71" s="262"/>
      <c r="K71">
        <v>1</v>
      </c>
      <c r="L71" s="330"/>
      <c r="M71" s="331">
        <f t="shared" si="6"/>
        <v>0.6</v>
      </c>
      <c r="N71" s="331">
        <f t="shared" si="3"/>
        <v>0.36499999999999999</v>
      </c>
      <c r="O71" s="332">
        <f t="shared" si="7"/>
        <v>0.219</v>
      </c>
      <c r="P71" s="333">
        <f t="shared" si="8"/>
        <v>0</v>
      </c>
      <c r="Q71" s="334">
        <f t="shared" si="9"/>
        <v>25918.480206749773</v>
      </c>
      <c r="R71" s="335">
        <f t="shared" si="10"/>
        <v>30918.480206749773</v>
      </c>
      <c r="S71" s="336">
        <f t="shared" si="4"/>
        <v>0</v>
      </c>
      <c r="T71" s="337">
        <f t="shared" si="5"/>
        <v>0</v>
      </c>
      <c r="U71" s="9"/>
      <c r="X71" s="4"/>
    </row>
    <row r="72" spans="2:24" ht="17.399999999999999" x14ac:dyDescent="0.3">
      <c r="B72" s="319">
        <v>1</v>
      </c>
      <c r="C72" s="319" t="s">
        <v>160</v>
      </c>
      <c r="D72" s="321">
        <v>0.56000000000000005</v>
      </c>
      <c r="E72" s="321">
        <v>0.34499999999999997</v>
      </c>
      <c r="F72" s="364" t="s">
        <v>181</v>
      </c>
      <c r="G72" s="319" t="s">
        <v>165</v>
      </c>
      <c r="H72" s="322">
        <v>30623</v>
      </c>
      <c r="I72" s="311">
        <f t="shared" si="2"/>
        <v>30623</v>
      </c>
      <c r="J72" s="262"/>
      <c r="K72">
        <v>1</v>
      </c>
      <c r="L72" s="330"/>
      <c r="M72" s="331">
        <f t="shared" si="6"/>
        <v>0.58000000000000007</v>
      </c>
      <c r="N72" s="331">
        <f t="shared" si="3"/>
        <v>0.36499999999999999</v>
      </c>
      <c r="O72" s="332">
        <f t="shared" si="7"/>
        <v>0.21170000000000003</v>
      </c>
      <c r="P72" s="333">
        <f t="shared" si="8"/>
        <v>0</v>
      </c>
      <c r="Q72" s="334">
        <f t="shared" si="9"/>
        <v>25054.530866524783</v>
      </c>
      <c r="R72" s="335">
        <f t="shared" si="10"/>
        <v>30054.530866524783</v>
      </c>
      <c r="S72" s="336">
        <f t="shared" si="4"/>
        <v>0</v>
      </c>
      <c r="T72" s="337">
        <f t="shared" si="5"/>
        <v>0</v>
      </c>
      <c r="U72" s="9"/>
      <c r="X72" s="4"/>
    </row>
    <row r="73" spans="2:24" ht="17.399999999999999" x14ac:dyDescent="0.3">
      <c r="B73" s="319">
        <v>5</v>
      </c>
      <c r="C73" s="319" t="s">
        <v>160</v>
      </c>
      <c r="D73" s="321">
        <v>0.95</v>
      </c>
      <c r="E73" s="321">
        <v>0.39700000000000002</v>
      </c>
      <c r="F73" s="364" t="s">
        <v>182</v>
      </c>
      <c r="G73" s="319" t="s">
        <v>162</v>
      </c>
      <c r="H73" s="322">
        <v>40375</v>
      </c>
      <c r="I73" s="311">
        <f t="shared" si="2"/>
        <v>201875</v>
      </c>
      <c r="J73" s="262"/>
      <c r="K73">
        <v>5</v>
      </c>
      <c r="L73" s="47"/>
      <c r="M73" s="39">
        <f t="shared" si="6"/>
        <v>0.97</v>
      </c>
      <c r="N73" s="39">
        <f t="shared" si="3"/>
        <v>0.41700000000000004</v>
      </c>
      <c r="O73" s="264">
        <f t="shared" si="7"/>
        <v>0.40449000000000002</v>
      </c>
      <c r="P73" s="223">
        <f t="shared" si="8"/>
        <v>0</v>
      </c>
      <c r="Q73" s="326">
        <f t="shared" si="9"/>
        <v>47871.077894192764</v>
      </c>
      <c r="R73" s="327">
        <f t="shared" si="10"/>
        <v>52871.077894192764</v>
      </c>
      <c r="S73" s="328">
        <f t="shared" si="4"/>
        <v>0</v>
      </c>
      <c r="T73" s="329">
        <f t="shared" si="5"/>
        <v>0</v>
      </c>
      <c r="U73" s="9"/>
      <c r="X73" s="4"/>
    </row>
    <row r="74" spans="2:24" ht="17.399999999999999" x14ac:dyDescent="0.3">
      <c r="B74" s="319">
        <v>5</v>
      </c>
      <c r="C74" s="319" t="s">
        <v>160</v>
      </c>
      <c r="D74" s="321">
        <v>0.56000000000000005</v>
      </c>
      <c r="E74" s="321">
        <v>0.34699999999999998</v>
      </c>
      <c r="F74" s="364" t="s">
        <v>182</v>
      </c>
      <c r="G74" s="319" t="s">
        <v>162</v>
      </c>
      <c r="H74" s="322">
        <v>23616</v>
      </c>
      <c r="I74" s="311">
        <f t="shared" si="2"/>
        <v>118080</v>
      </c>
      <c r="J74" s="262"/>
      <c r="K74">
        <v>5</v>
      </c>
      <c r="L74" s="47"/>
      <c r="M74" s="39">
        <f t="shared" si="6"/>
        <v>0.58000000000000007</v>
      </c>
      <c r="N74" s="39">
        <f t="shared" si="3"/>
        <v>0.36699999999999999</v>
      </c>
      <c r="O74" s="264">
        <f t="shared" si="7"/>
        <v>0.21286000000000002</v>
      </c>
      <c r="P74" s="223">
        <f t="shared" si="8"/>
        <v>0</v>
      </c>
      <c r="Q74" s="326">
        <f t="shared" si="9"/>
        <v>25191.815967163275</v>
      </c>
      <c r="R74" s="327">
        <f t="shared" si="10"/>
        <v>30191.815967163275</v>
      </c>
      <c r="S74" s="328">
        <f t="shared" si="4"/>
        <v>0</v>
      </c>
      <c r="T74" s="329">
        <f t="shared" si="5"/>
        <v>0</v>
      </c>
      <c r="U74" s="9"/>
      <c r="X74" s="4"/>
    </row>
    <row r="75" spans="2:24" ht="17.399999999999999" x14ac:dyDescent="0.3">
      <c r="B75" s="319">
        <v>2</v>
      </c>
      <c r="C75" s="319" t="s">
        <v>160</v>
      </c>
      <c r="D75" s="321">
        <v>0.95</v>
      </c>
      <c r="E75" s="321">
        <v>0.33800000000000002</v>
      </c>
      <c r="F75" s="364" t="s">
        <v>182</v>
      </c>
      <c r="G75" s="319" t="s">
        <v>162</v>
      </c>
      <c r="H75" s="322">
        <v>35370</v>
      </c>
      <c r="I75" s="311">
        <f t="shared" si="2"/>
        <v>70740</v>
      </c>
      <c r="J75" s="262"/>
      <c r="K75">
        <v>2</v>
      </c>
      <c r="L75" s="47"/>
      <c r="M75" s="39">
        <f t="shared" si="6"/>
        <v>0.97</v>
      </c>
      <c r="N75" s="39">
        <f t="shared" si="3"/>
        <v>0.35800000000000004</v>
      </c>
      <c r="O75" s="264">
        <f t="shared" si="7"/>
        <v>0.34726000000000001</v>
      </c>
      <c r="P75" s="223">
        <f t="shared" si="8"/>
        <v>0</v>
      </c>
      <c r="Q75" s="326">
        <f t="shared" si="9"/>
        <v>41097.951765278201</v>
      </c>
      <c r="R75" s="327">
        <f t="shared" si="10"/>
        <v>46097.951765278201</v>
      </c>
      <c r="S75" s="328">
        <f t="shared" si="4"/>
        <v>0</v>
      </c>
      <c r="T75" s="329">
        <f t="shared" si="5"/>
        <v>0</v>
      </c>
      <c r="U75" s="9"/>
      <c r="X75" s="4"/>
    </row>
    <row r="76" spans="2:24" ht="17.399999999999999" x14ac:dyDescent="0.3">
      <c r="B76" s="319">
        <v>1</v>
      </c>
      <c r="C76" s="319" t="s">
        <v>160</v>
      </c>
      <c r="D76" s="321">
        <v>0.56000000000000005</v>
      </c>
      <c r="E76" s="321">
        <v>0.36599999999999999</v>
      </c>
      <c r="F76" s="364" t="s">
        <v>182</v>
      </c>
      <c r="G76" s="319" t="s">
        <v>162</v>
      </c>
      <c r="H76" s="322">
        <v>24580</v>
      </c>
      <c r="I76" s="311">
        <f t="shared" si="2"/>
        <v>24580</v>
      </c>
      <c r="J76" s="262"/>
      <c r="K76">
        <v>1</v>
      </c>
      <c r="L76" s="47"/>
      <c r="M76" s="39">
        <f t="shared" si="6"/>
        <v>0.58000000000000007</v>
      </c>
      <c r="N76" s="39">
        <f t="shared" si="3"/>
        <v>0.38600000000000001</v>
      </c>
      <c r="O76" s="264">
        <f t="shared" si="7"/>
        <v>0.22388000000000002</v>
      </c>
      <c r="P76" s="223">
        <f t="shared" si="8"/>
        <v>0</v>
      </c>
      <c r="Q76" s="326">
        <f t="shared" si="9"/>
        <v>26496.024423228948</v>
      </c>
      <c r="R76" s="327">
        <f t="shared" si="10"/>
        <v>31496.024423228948</v>
      </c>
      <c r="S76" s="328">
        <f t="shared" si="4"/>
        <v>0</v>
      </c>
      <c r="T76" s="329">
        <f t="shared" si="5"/>
        <v>0</v>
      </c>
      <c r="U76" s="9"/>
      <c r="X76" s="4"/>
    </row>
    <row r="77" spans="2:24" ht="17.399999999999999" x14ac:dyDescent="0.3">
      <c r="B77" s="319">
        <v>2</v>
      </c>
      <c r="C77" s="319" t="s">
        <v>160</v>
      </c>
      <c r="D77" s="321">
        <v>0.95</v>
      </c>
      <c r="E77" s="321">
        <v>0.36699999999999999</v>
      </c>
      <c r="F77" s="364" t="s">
        <v>182</v>
      </c>
      <c r="G77" s="319" t="s">
        <v>164</v>
      </c>
      <c r="H77" s="322">
        <v>51289</v>
      </c>
      <c r="I77" s="311">
        <f t="shared" si="2"/>
        <v>102578</v>
      </c>
      <c r="J77" s="262"/>
      <c r="K77">
        <v>2</v>
      </c>
      <c r="L77" s="346"/>
      <c r="M77" s="347">
        <f t="shared" si="6"/>
        <v>0.97</v>
      </c>
      <c r="N77" s="347">
        <f t="shared" si="3"/>
        <v>0.38700000000000001</v>
      </c>
      <c r="O77" s="348">
        <f t="shared" si="7"/>
        <v>0.37539</v>
      </c>
      <c r="P77" s="349">
        <f t="shared" si="8"/>
        <v>0</v>
      </c>
      <c r="Q77" s="350">
        <f t="shared" si="9"/>
        <v>44427.115455761632</v>
      </c>
      <c r="R77" s="351">
        <f t="shared" si="10"/>
        <v>49427.115455761632</v>
      </c>
      <c r="S77" s="352">
        <f t="shared" si="4"/>
        <v>0</v>
      </c>
      <c r="T77" s="353">
        <f t="shared" si="5"/>
        <v>0</v>
      </c>
      <c r="U77" s="9"/>
      <c r="X77" s="4"/>
    </row>
    <row r="78" spans="2:24" ht="17.399999999999999" x14ac:dyDescent="0.3">
      <c r="B78" s="319">
        <v>2</v>
      </c>
      <c r="C78" s="319" t="s">
        <v>160</v>
      </c>
      <c r="D78" s="321">
        <v>0.56000000000000005</v>
      </c>
      <c r="E78" s="321">
        <v>0.36699999999999999</v>
      </c>
      <c r="F78" s="364" t="s">
        <v>182</v>
      </c>
      <c r="G78" s="319" t="s">
        <v>165</v>
      </c>
      <c r="H78" s="322">
        <v>32168</v>
      </c>
      <c r="I78" s="311">
        <f t="shared" si="2"/>
        <v>64336</v>
      </c>
      <c r="J78" s="262"/>
      <c r="K78">
        <v>2</v>
      </c>
      <c r="L78" s="330"/>
      <c r="M78" s="331">
        <f t="shared" si="6"/>
        <v>0.58000000000000007</v>
      </c>
      <c r="N78" s="331">
        <f t="shared" si="3"/>
        <v>0.38700000000000001</v>
      </c>
      <c r="O78" s="332">
        <f t="shared" si="7"/>
        <v>0.22446000000000002</v>
      </c>
      <c r="P78" s="333">
        <f t="shared" si="8"/>
        <v>0</v>
      </c>
      <c r="Q78" s="334">
        <f t="shared" si="9"/>
        <v>26564.666973548196</v>
      </c>
      <c r="R78" s="335">
        <f t="shared" si="10"/>
        <v>31564.666973548196</v>
      </c>
      <c r="S78" s="336">
        <f t="shared" si="4"/>
        <v>0</v>
      </c>
      <c r="T78" s="337">
        <f t="shared" si="5"/>
        <v>0</v>
      </c>
      <c r="U78" s="9"/>
      <c r="X78" s="4"/>
    </row>
    <row r="79" spans="2:24" ht="17.399999999999999" x14ac:dyDescent="0.3">
      <c r="B79" s="323">
        <v>2</v>
      </c>
      <c r="C79" s="323" t="s">
        <v>160</v>
      </c>
      <c r="D79" s="324">
        <v>1.2</v>
      </c>
      <c r="E79" s="324">
        <v>0.3</v>
      </c>
      <c r="F79" s="365" t="s">
        <v>183</v>
      </c>
      <c r="G79" s="323" t="s">
        <v>162</v>
      </c>
      <c r="H79" s="325">
        <v>39143</v>
      </c>
      <c r="I79" s="311">
        <f t="shared" si="2"/>
        <v>78286</v>
      </c>
      <c r="J79" s="262"/>
      <c r="K79">
        <v>2</v>
      </c>
      <c r="L79" s="47"/>
      <c r="M79" s="39">
        <f t="shared" si="6"/>
        <v>1.22</v>
      </c>
      <c r="N79" s="39">
        <f t="shared" si="3"/>
        <v>0.32</v>
      </c>
      <c r="O79" s="264">
        <f t="shared" si="7"/>
        <v>0.39040000000000002</v>
      </c>
      <c r="P79" s="223">
        <f t="shared" si="8"/>
        <v>0</v>
      </c>
      <c r="Q79" s="326">
        <f t="shared" si="9"/>
        <v>46203.537318333845</v>
      </c>
      <c r="R79" s="327">
        <f t="shared" si="10"/>
        <v>51203.537318333845</v>
      </c>
      <c r="S79" s="328">
        <f t="shared" si="4"/>
        <v>0</v>
      </c>
      <c r="T79" s="329">
        <f t="shared" si="5"/>
        <v>0</v>
      </c>
      <c r="U79" s="9"/>
      <c r="X79" s="4"/>
    </row>
    <row r="80" spans="2:24" ht="17.399999999999999" x14ac:dyDescent="0.3">
      <c r="B80" s="319">
        <v>6</v>
      </c>
      <c r="C80" s="319" t="s">
        <v>160</v>
      </c>
      <c r="D80" s="321">
        <v>0.95</v>
      </c>
      <c r="E80" s="321">
        <v>0.38100000000000001</v>
      </c>
      <c r="F80" s="364" t="s">
        <v>184</v>
      </c>
      <c r="G80" s="319" t="s">
        <v>162</v>
      </c>
      <c r="H80" s="322">
        <v>39018</v>
      </c>
      <c r="I80" s="311">
        <f t="shared" si="2"/>
        <v>234108</v>
      </c>
      <c r="J80" s="262"/>
      <c r="K80">
        <v>6</v>
      </c>
      <c r="L80" s="47"/>
      <c r="M80" s="39">
        <f t="shared" si="6"/>
        <v>0.97</v>
      </c>
      <c r="N80" s="39">
        <f t="shared" si="3"/>
        <v>0.40100000000000002</v>
      </c>
      <c r="O80" s="264">
        <f t="shared" si="7"/>
        <v>0.38897000000000004</v>
      </c>
      <c r="P80" s="223">
        <f t="shared" si="8"/>
        <v>0</v>
      </c>
      <c r="Q80" s="326">
        <f t="shared" si="9"/>
        <v>46034.297927029496</v>
      </c>
      <c r="R80" s="327">
        <f t="shared" si="10"/>
        <v>51034.297927029496</v>
      </c>
      <c r="S80" s="328">
        <f t="shared" si="4"/>
        <v>0</v>
      </c>
      <c r="T80" s="329">
        <f t="shared" si="5"/>
        <v>0</v>
      </c>
      <c r="U80" s="9"/>
      <c r="X80" s="4"/>
    </row>
    <row r="81" spans="2:24" ht="17.399999999999999" x14ac:dyDescent="0.3">
      <c r="B81" s="319">
        <v>2</v>
      </c>
      <c r="C81" s="319" t="s">
        <v>160</v>
      </c>
      <c r="D81" s="321">
        <v>0.95</v>
      </c>
      <c r="E81" s="321">
        <v>0.38100000000000001</v>
      </c>
      <c r="F81" s="364" t="s">
        <v>184</v>
      </c>
      <c r="G81" s="319" t="s">
        <v>164</v>
      </c>
      <c r="H81" s="322">
        <v>52963</v>
      </c>
      <c r="I81" s="311">
        <f t="shared" si="2"/>
        <v>105926</v>
      </c>
      <c r="J81" s="262"/>
      <c r="K81">
        <v>2</v>
      </c>
      <c r="L81" s="346"/>
      <c r="M81" s="347">
        <f t="shared" si="6"/>
        <v>0.97</v>
      </c>
      <c r="N81" s="347">
        <f t="shared" si="3"/>
        <v>0.40100000000000002</v>
      </c>
      <c r="O81" s="348">
        <f t="shared" si="7"/>
        <v>0.38897000000000004</v>
      </c>
      <c r="P81" s="349">
        <f t="shared" si="8"/>
        <v>0</v>
      </c>
      <c r="Q81" s="350">
        <f t="shared" si="9"/>
        <v>46034.297927029496</v>
      </c>
      <c r="R81" s="351">
        <f t="shared" si="10"/>
        <v>51034.297927029496</v>
      </c>
      <c r="S81" s="352">
        <f t="shared" si="4"/>
        <v>0</v>
      </c>
      <c r="T81" s="353">
        <f t="shared" si="5"/>
        <v>0</v>
      </c>
      <c r="U81" s="9"/>
      <c r="X81" s="4"/>
    </row>
    <row r="82" spans="2:24" ht="17.399999999999999" x14ac:dyDescent="0.3">
      <c r="B82" s="319">
        <v>6</v>
      </c>
      <c r="C82" s="319" t="s">
        <v>160</v>
      </c>
      <c r="D82" s="321">
        <v>0.56000000000000005</v>
      </c>
      <c r="E82" s="321">
        <v>0.38100000000000001</v>
      </c>
      <c r="F82" s="364" t="s">
        <v>184</v>
      </c>
      <c r="G82" s="319" t="s">
        <v>162</v>
      </c>
      <c r="H82" s="322">
        <v>25341</v>
      </c>
      <c r="I82" s="311">
        <f t="shared" si="2"/>
        <v>152046</v>
      </c>
      <c r="J82" s="262"/>
      <c r="K82">
        <v>6</v>
      </c>
      <c r="L82" s="47"/>
      <c r="M82" s="39">
        <f t="shared" si="6"/>
        <v>0.58000000000000007</v>
      </c>
      <c r="N82" s="39">
        <f t="shared" si="3"/>
        <v>0.40100000000000002</v>
      </c>
      <c r="O82" s="264">
        <f t="shared" si="7"/>
        <v>0.23258000000000004</v>
      </c>
      <c r="P82" s="223">
        <f t="shared" si="8"/>
        <v>0</v>
      </c>
      <c r="Q82" s="326">
        <f t="shared" si="9"/>
        <v>27525.662678017641</v>
      </c>
      <c r="R82" s="327">
        <f t="shared" si="10"/>
        <v>32525.662678017641</v>
      </c>
      <c r="S82" s="328">
        <f t="shared" si="4"/>
        <v>0</v>
      </c>
      <c r="T82" s="329">
        <f t="shared" si="5"/>
        <v>0</v>
      </c>
      <c r="U82" s="9"/>
      <c r="X82" s="4"/>
    </row>
    <row r="83" spans="2:24" ht="17.399999999999999" x14ac:dyDescent="0.3">
      <c r="B83" s="319">
        <v>2</v>
      </c>
      <c r="C83" s="319" t="s">
        <v>160</v>
      </c>
      <c r="D83" s="321">
        <v>0.56000000000000005</v>
      </c>
      <c r="E83" s="321">
        <v>0.38100000000000001</v>
      </c>
      <c r="F83" s="364" t="s">
        <v>184</v>
      </c>
      <c r="G83" s="319" t="s">
        <v>165</v>
      </c>
      <c r="H83" s="322">
        <v>33150</v>
      </c>
      <c r="I83" s="311">
        <f t="shared" si="2"/>
        <v>66300</v>
      </c>
      <c r="J83" s="262"/>
      <c r="K83">
        <v>2</v>
      </c>
      <c r="L83" s="330"/>
      <c r="M83" s="331">
        <f t="shared" si="6"/>
        <v>0.58000000000000007</v>
      </c>
      <c r="N83" s="331">
        <f t="shared" si="3"/>
        <v>0.40100000000000002</v>
      </c>
      <c r="O83" s="332">
        <f t="shared" si="7"/>
        <v>0.23258000000000004</v>
      </c>
      <c r="P83" s="333">
        <f t="shared" si="8"/>
        <v>0</v>
      </c>
      <c r="Q83" s="334">
        <f t="shared" si="9"/>
        <v>27525.662678017641</v>
      </c>
      <c r="R83" s="335">
        <f t="shared" si="10"/>
        <v>32525.662678017641</v>
      </c>
      <c r="S83" s="336">
        <f t="shared" si="4"/>
        <v>0</v>
      </c>
      <c r="T83" s="337">
        <f t="shared" si="5"/>
        <v>0</v>
      </c>
      <c r="U83" s="9"/>
      <c r="X83" s="4"/>
    </row>
    <row r="84" spans="2:24" ht="17.399999999999999" x14ac:dyDescent="0.3">
      <c r="B84" s="319">
        <v>1</v>
      </c>
      <c r="C84" s="319" t="s">
        <v>160</v>
      </c>
      <c r="D84" s="321">
        <v>1.25</v>
      </c>
      <c r="E84" s="321">
        <v>0.3</v>
      </c>
      <c r="F84" s="364" t="s">
        <v>185</v>
      </c>
      <c r="G84" s="319" t="s">
        <v>162</v>
      </c>
      <c r="H84" s="322">
        <v>40542</v>
      </c>
      <c r="I84" s="311">
        <f t="shared" si="2"/>
        <v>40542</v>
      </c>
      <c r="J84" s="262"/>
      <c r="K84">
        <v>1</v>
      </c>
      <c r="L84" s="47"/>
      <c r="M84" s="39">
        <f t="shared" si="6"/>
        <v>1.27</v>
      </c>
      <c r="N84" s="39">
        <f t="shared" si="3"/>
        <v>0.32</v>
      </c>
      <c r="O84" s="264">
        <f t="shared" si="7"/>
        <v>0.40640000000000004</v>
      </c>
      <c r="P84" s="223">
        <f t="shared" si="8"/>
        <v>0</v>
      </c>
      <c r="Q84" s="326">
        <f t="shared" si="9"/>
        <v>48097.124913347528</v>
      </c>
      <c r="R84" s="327">
        <f t="shared" si="10"/>
        <v>53097.124913347528</v>
      </c>
      <c r="S84" s="328">
        <f t="shared" si="4"/>
        <v>0</v>
      </c>
      <c r="T84" s="329">
        <f t="shared" si="5"/>
        <v>0</v>
      </c>
      <c r="U84" s="9"/>
      <c r="X84" s="4"/>
    </row>
    <row r="85" spans="2:24" ht="17.399999999999999" x14ac:dyDescent="0.3">
      <c r="B85" s="319">
        <v>2</v>
      </c>
      <c r="C85" s="319" t="s">
        <v>160</v>
      </c>
      <c r="D85" s="321">
        <v>0.95</v>
      </c>
      <c r="E85" s="321">
        <v>0.29799999999999999</v>
      </c>
      <c r="F85" s="364" t="s">
        <v>186</v>
      </c>
      <c r="G85" s="319" t="s">
        <v>162</v>
      </c>
      <c r="H85" s="322">
        <v>31977</v>
      </c>
      <c r="I85" s="311">
        <f t="shared" si="2"/>
        <v>63954</v>
      </c>
      <c r="J85" s="262"/>
      <c r="K85">
        <v>2</v>
      </c>
      <c r="L85" s="47"/>
      <c r="M85" s="39">
        <f t="shared" si="6"/>
        <v>0.97</v>
      </c>
      <c r="N85" s="39">
        <f t="shared" si="3"/>
        <v>0.318</v>
      </c>
      <c r="O85" s="264">
        <f t="shared" si="7"/>
        <v>0.30846000000000001</v>
      </c>
      <c r="P85" s="223">
        <f t="shared" si="8"/>
        <v>0</v>
      </c>
      <c r="Q85" s="326">
        <f t="shared" si="9"/>
        <v>36506.001847370026</v>
      </c>
      <c r="R85" s="327">
        <f t="shared" si="10"/>
        <v>41506.001847370026</v>
      </c>
      <c r="S85" s="328">
        <f t="shared" si="4"/>
        <v>0</v>
      </c>
      <c r="T85" s="329">
        <f t="shared" si="5"/>
        <v>0</v>
      </c>
      <c r="U85" s="9"/>
      <c r="X85" s="4"/>
    </row>
    <row r="86" spans="2:24" ht="17.399999999999999" x14ac:dyDescent="0.3">
      <c r="B86" s="319">
        <v>2</v>
      </c>
      <c r="C86" s="319" t="s">
        <v>160</v>
      </c>
      <c r="D86" s="321">
        <v>0.95</v>
      </c>
      <c r="E86" s="321">
        <v>0.40500000000000003</v>
      </c>
      <c r="F86" s="364" t="s">
        <v>187</v>
      </c>
      <c r="G86" s="319" t="s">
        <v>162</v>
      </c>
      <c r="H86" s="322">
        <v>41054</v>
      </c>
      <c r="I86" s="311">
        <f t="shared" ref="I86:I89" si="11">H86*B86</f>
        <v>82108</v>
      </c>
      <c r="J86" s="262"/>
      <c r="K86">
        <v>2</v>
      </c>
      <c r="L86" s="47"/>
      <c r="M86" s="39">
        <f t="shared" si="6"/>
        <v>0.97</v>
      </c>
      <c r="N86" s="39">
        <f t="shared" ref="N86:N89" si="12">E86+N$19</f>
        <v>0.42500000000000004</v>
      </c>
      <c r="O86" s="264">
        <f t="shared" si="7"/>
        <v>0.41225000000000001</v>
      </c>
      <c r="P86" s="223">
        <f t="shared" si="8"/>
        <v>0</v>
      </c>
      <c r="Q86" s="326">
        <f t="shared" si="9"/>
        <v>48789.467877774405</v>
      </c>
      <c r="R86" s="327">
        <f t="shared" si="10"/>
        <v>53789.467877774405</v>
      </c>
      <c r="S86" s="328">
        <f t="shared" ref="S86:S89" si="13">M86*L86*2</f>
        <v>0</v>
      </c>
      <c r="T86" s="329">
        <f t="shared" ref="T86:T88" si="14">N86*L86*2</f>
        <v>0</v>
      </c>
      <c r="U86" s="9"/>
      <c r="X86" s="4"/>
    </row>
    <row r="87" spans="2:24" ht="17.399999999999999" x14ac:dyDescent="0.3">
      <c r="B87" s="319">
        <v>2</v>
      </c>
      <c r="C87" s="319" t="s">
        <v>160</v>
      </c>
      <c r="D87" s="321">
        <v>0.95</v>
      </c>
      <c r="E87" s="321">
        <v>0.40500000000000003</v>
      </c>
      <c r="F87" s="364" t="s">
        <v>187</v>
      </c>
      <c r="G87" s="319" t="s">
        <v>164</v>
      </c>
      <c r="H87" s="322">
        <v>55834</v>
      </c>
      <c r="I87" s="311">
        <f t="shared" si="11"/>
        <v>111668</v>
      </c>
      <c r="J87" s="262"/>
      <c r="K87">
        <v>2</v>
      </c>
      <c r="L87" s="346"/>
      <c r="M87" s="347">
        <f t="shared" ref="M87:M89" si="15">D87+M$19</f>
        <v>0.97</v>
      </c>
      <c r="N87" s="347">
        <f t="shared" si="12"/>
        <v>0.42500000000000004</v>
      </c>
      <c r="O87" s="348">
        <f t="shared" ref="O87:O89" si="16">M87*N87</f>
        <v>0.41225000000000001</v>
      </c>
      <c r="P87" s="349">
        <f t="shared" ref="P87:P89" si="17">O87*L87</f>
        <v>0</v>
      </c>
      <c r="Q87" s="350">
        <f t="shared" ref="Q87:Q89" si="18">Q$20*O87</f>
        <v>48789.467877774405</v>
      </c>
      <c r="R87" s="351">
        <f t="shared" ref="R87:R89" si="19">Q87+R$20</f>
        <v>53789.467877774405</v>
      </c>
      <c r="S87" s="352">
        <f t="shared" si="13"/>
        <v>0</v>
      </c>
      <c r="T87" s="353">
        <f t="shared" si="14"/>
        <v>0</v>
      </c>
      <c r="U87" s="9"/>
      <c r="X87" s="4"/>
    </row>
    <row r="88" spans="2:24" ht="17.399999999999999" x14ac:dyDescent="0.3">
      <c r="B88" s="319">
        <v>2</v>
      </c>
      <c r="C88" s="319" t="s">
        <v>160</v>
      </c>
      <c r="D88" s="321">
        <v>0.56000000000000005</v>
      </c>
      <c r="E88" s="321">
        <v>0.40500000000000003</v>
      </c>
      <c r="F88" s="364" t="s">
        <v>187</v>
      </c>
      <c r="G88" s="319" t="s">
        <v>162</v>
      </c>
      <c r="H88" s="322">
        <v>26558</v>
      </c>
      <c r="I88" s="311">
        <f t="shared" si="11"/>
        <v>53116</v>
      </c>
      <c r="J88" s="262"/>
      <c r="K88">
        <v>2</v>
      </c>
      <c r="L88" s="47"/>
      <c r="M88" s="39">
        <f t="shared" si="15"/>
        <v>0.58000000000000007</v>
      </c>
      <c r="N88" s="39">
        <f t="shared" si="12"/>
        <v>0.42500000000000004</v>
      </c>
      <c r="O88" s="264">
        <f t="shared" si="16"/>
        <v>0.24650000000000005</v>
      </c>
      <c r="P88" s="223">
        <f t="shared" si="17"/>
        <v>0</v>
      </c>
      <c r="Q88" s="326">
        <f t="shared" si="18"/>
        <v>29173.083885679545</v>
      </c>
      <c r="R88" s="327">
        <f t="shared" si="19"/>
        <v>34173.083885679545</v>
      </c>
      <c r="S88" s="328">
        <f t="shared" si="13"/>
        <v>0</v>
      </c>
      <c r="T88" s="329">
        <f t="shared" si="14"/>
        <v>0</v>
      </c>
      <c r="U88" s="9"/>
      <c r="X88" s="4"/>
    </row>
    <row r="89" spans="2:24" ht="17.399999999999999" x14ac:dyDescent="0.3">
      <c r="B89" s="319">
        <v>2</v>
      </c>
      <c r="C89" s="319" t="s">
        <v>160</v>
      </c>
      <c r="D89" s="321">
        <v>0.56000000000000005</v>
      </c>
      <c r="E89" s="321">
        <v>0.40500000000000003</v>
      </c>
      <c r="F89" s="364" t="s">
        <v>187</v>
      </c>
      <c r="G89" s="319" t="s">
        <v>165</v>
      </c>
      <c r="H89" s="322">
        <v>34835</v>
      </c>
      <c r="I89" s="311">
        <f t="shared" si="11"/>
        <v>69670</v>
      </c>
      <c r="J89" s="262"/>
      <c r="K89">
        <v>2</v>
      </c>
      <c r="L89" s="330"/>
      <c r="M89" s="331">
        <f t="shared" si="15"/>
        <v>0.58000000000000007</v>
      </c>
      <c r="N89" s="331">
        <f t="shared" si="12"/>
        <v>0.42500000000000004</v>
      </c>
      <c r="O89" s="332">
        <f t="shared" si="16"/>
        <v>0.24650000000000005</v>
      </c>
      <c r="P89" s="333">
        <f t="shared" si="17"/>
        <v>0</v>
      </c>
      <c r="Q89" s="334">
        <f t="shared" si="18"/>
        <v>29173.083885679545</v>
      </c>
      <c r="R89" s="335">
        <f t="shared" si="19"/>
        <v>34173.083885679545</v>
      </c>
      <c r="S89" s="336">
        <f t="shared" si="13"/>
        <v>0</v>
      </c>
      <c r="T89" s="337">
        <f>N89*L89*2</f>
        <v>0</v>
      </c>
      <c r="U89" s="9"/>
      <c r="X89" s="4"/>
    </row>
    <row r="90" spans="2:24" ht="17.399999999999999" x14ac:dyDescent="0.3">
      <c r="B90" s="283"/>
      <c r="C90" s="283"/>
      <c r="D90" s="284"/>
      <c r="E90" s="284"/>
      <c r="F90" s="284"/>
      <c r="G90" s="283"/>
      <c r="H90" s="314"/>
      <c r="I90" s="314"/>
      <c r="J90" s="262"/>
      <c r="L90" s="316"/>
      <c r="M90" s="264"/>
      <c r="N90" s="264"/>
      <c r="O90" s="264"/>
      <c r="P90" s="223"/>
      <c r="Q90" s="326"/>
      <c r="R90" s="327"/>
      <c r="S90" s="328"/>
      <c r="T90" s="14"/>
      <c r="U90" s="9"/>
      <c r="X90" s="4"/>
    </row>
    <row r="91" spans="2:24" ht="17.399999999999999" x14ac:dyDescent="0.3">
      <c r="B91" s="283"/>
      <c r="C91" s="283"/>
      <c r="D91" s="284"/>
      <c r="E91" s="284"/>
      <c r="F91" s="284"/>
      <c r="G91" s="283"/>
      <c r="H91" s="314"/>
      <c r="I91" s="314"/>
      <c r="J91" s="262"/>
      <c r="L91" s="354" t="s">
        <v>188</v>
      </c>
      <c r="M91" s="355"/>
      <c r="N91" s="264"/>
      <c r="O91" s="264"/>
      <c r="P91" s="223"/>
      <c r="Q91" s="326"/>
      <c r="R91" s="327"/>
      <c r="S91" s="328">
        <f>SUM(S21:S90)</f>
        <v>23.86</v>
      </c>
      <c r="T91" s="46">
        <f>SUM(T21:T90)</f>
        <v>10.879999999999999</v>
      </c>
      <c r="U91" s="9"/>
      <c r="X91" s="4"/>
    </row>
    <row r="92" spans="2:24" ht="17.399999999999999" x14ac:dyDescent="0.3">
      <c r="B92" s="283"/>
      <c r="C92" s="283"/>
      <c r="D92" s="284"/>
      <c r="E92" s="284"/>
      <c r="F92" s="284"/>
      <c r="G92" s="283"/>
      <c r="H92" s="314"/>
      <c r="I92" s="314"/>
      <c r="J92" s="262"/>
      <c r="L92" s="356" t="s">
        <v>189</v>
      </c>
      <c r="M92" s="355"/>
      <c r="N92" s="264"/>
      <c r="O92" s="264"/>
      <c r="P92" s="223"/>
      <c r="Q92" s="326"/>
      <c r="R92" s="327"/>
      <c r="S92" s="328">
        <f>S91+T91</f>
        <v>34.739999999999995</v>
      </c>
      <c r="T92" s="14"/>
      <c r="U92" s="9"/>
      <c r="X92" s="4"/>
    </row>
    <row r="93" spans="2:24" ht="18" thickBot="1" x14ac:dyDescent="0.35">
      <c r="B93" s="283"/>
      <c r="C93" s="283"/>
      <c r="D93" s="284"/>
      <c r="E93" s="284"/>
      <c r="F93" s="284"/>
      <c r="G93" s="283"/>
      <c r="H93" s="262"/>
      <c r="I93" s="231"/>
      <c r="J93" s="231"/>
      <c r="K93" s="47"/>
      <c r="L93" s="357" t="s">
        <v>173</v>
      </c>
      <c r="M93" s="355"/>
      <c r="N93" s="264"/>
      <c r="O93" s="264"/>
      <c r="P93" s="223"/>
      <c r="Q93" s="326"/>
      <c r="R93" s="327"/>
      <c r="S93" s="328">
        <f>S92*20%</f>
        <v>6.9479999999999995</v>
      </c>
      <c r="T93" s="14"/>
      <c r="U93" s="9"/>
      <c r="X93" s="4"/>
    </row>
    <row r="94" spans="2:24" ht="17.399999999999999" x14ac:dyDescent="0.3">
      <c r="B94" s="283"/>
      <c r="C94" s="283"/>
      <c r="D94" s="284"/>
      <c r="E94" s="284"/>
      <c r="F94" s="284"/>
      <c r="G94" s="283"/>
      <c r="H94" s="305" t="s">
        <v>29</v>
      </c>
      <c r="I94" s="306">
        <f>SUM(I21:I93)</f>
        <v>9774392</v>
      </c>
      <c r="J94" s="262"/>
      <c r="K94" s="47"/>
      <c r="L94" s="316"/>
      <c r="M94" s="355"/>
      <c r="N94" s="264"/>
      <c r="O94" s="264"/>
      <c r="P94" s="223"/>
      <c r="Q94" s="326"/>
      <c r="R94" s="327"/>
      <c r="S94" s="328">
        <f>S92+S93</f>
        <v>41.687999999999995</v>
      </c>
      <c r="T94" s="14"/>
      <c r="U94" s="9"/>
      <c r="X94" s="4"/>
    </row>
    <row r="95" spans="2:24" ht="17.399999999999999" x14ac:dyDescent="0.3">
      <c r="B95" s="277"/>
      <c r="C95" s="280"/>
      <c r="D95" s="281"/>
      <c r="E95" s="281"/>
      <c r="F95" s="281"/>
      <c r="G95" s="282"/>
      <c r="H95" s="304" t="s">
        <v>51</v>
      </c>
      <c r="I95" s="301">
        <f>I94*0.19</f>
        <v>1857134.48</v>
      </c>
      <c r="J95" s="262"/>
      <c r="K95" s="47"/>
      <c r="L95" s="47"/>
      <c r="M95" s="39"/>
      <c r="N95" s="12"/>
      <c r="O95" s="12"/>
      <c r="P95" s="252">
        <f>SUM(P21:P89)</f>
        <v>7.2358000000000002</v>
      </c>
      <c r="Q95" s="14"/>
      <c r="R95" s="12"/>
      <c r="S95" s="237"/>
      <c r="T95" s="14"/>
      <c r="U95" s="9"/>
      <c r="X95" s="4"/>
    </row>
    <row r="96" spans="2:24" ht="18" thickBot="1" x14ac:dyDescent="0.35">
      <c r="B96" s="273"/>
      <c r="C96" s="279"/>
      <c r="D96" s="269"/>
      <c r="E96" s="269"/>
      <c r="F96" s="269"/>
      <c r="G96" s="270"/>
      <c r="H96" s="278" t="s">
        <v>6</v>
      </c>
      <c r="I96" s="302">
        <f>I94+I95</f>
        <v>11631526.48</v>
      </c>
      <c r="J96" s="262"/>
      <c r="K96" s="47"/>
      <c r="L96" s="47"/>
      <c r="M96" s="39"/>
      <c r="N96" s="12"/>
      <c r="O96" s="12"/>
      <c r="P96" s="252">
        <f>P95</f>
        <v>7.2358000000000002</v>
      </c>
      <c r="Q96" s="14"/>
      <c r="R96" s="12"/>
      <c r="S96" s="237"/>
      <c r="T96" s="14"/>
      <c r="U96" s="9"/>
      <c r="X96" s="4"/>
    </row>
    <row r="97" spans="2:24" ht="17.399999999999999" x14ac:dyDescent="0.3">
      <c r="B97" s="273"/>
      <c r="C97" s="268"/>
      <c r="D97" s="269"/>
      <c r="E97" s="269"/>
      <c r="F97" s="269"/>
      <c r="G97" s="270"/>
      <c r="J97" s="262"/>
      <c r="K97" s="47"/>
      <c r="L97" s="47"/>
      <c r="M97" s="14"/>
      <c r="N97" s="12"/>
      <c r="O97" s="12"/>
      <c r="P97" s="39"/>
      <c r="Q97" s="39" t="s">
        <v>129</v>
      </c>
      <c r="R97" s="42"/>
      <c r="S97" s="238"/>
      <c r="T97" s="14"/>
      <c r="U97" s="9"/>
      <c r="X97" s="4"/>
    </row>
    <row r="98" spans="2:24" ht="17.399999999999999" x14ac:dyDescent="0.3">
      <c r="B98" s="268"/>
      <c r="C98" s="268"/>
      <c r="D98" s="269"/>
      <c r="E98" s="269"/>
      <c r="F98" s="269"/>
      <c r="G98" s="270"/>
      <c r="H98" s="271"/>
      <c r="I98" s="272"/>
      <c r="J98" s="262"/>
      <c r="K98" s="316"/>
      <c r="L98" s="47"/>
      <c r="M98" s="14"/>
      <c r="N98" s="12"/>
      <c r="O98" s="12"/>
      <c r="P98" s="46">
        <f>P96+P97</f>
        <v>7.2358000000000002</v>
      </c>
      <c r="Q98" s="14"/>
      <c r="R98" s="14"/>
      <c r="S98" s="236">
        <v>40</v>
      </c>
      <c r="T98" s="14"/>
      <c r="U98" s="9"/>
      <c r="X98" s="4"/>
    </row>
    <row r="99" spans="2:24" ht="17.399999999999999" x14ac:dyDescent="0.35">
      <c r="B99" s="266"/>
      <c r="C99" s="229"/>
      <c r="D99" s="229"/>
      <c r="E99" s="231"/>
      <c r="F99" s="231"/>
      <c r="G99" s="232"/>
      <c r="H99" s="229"/>
      <c r="I99" s="272"/>
      <c r="J99" s="262"/>
      <c r="K99" s="316"/>
      <c r="L99" s="47"/>
      <c r="M99" s="14"/>
      <c r="N99" s="14"/>
      <c r="O99" s="14"/>
      <c r="P99" s="14"/>
      <c r="Q99" s="14"/>
      <c r="R99" s="14"/>
      <c r="S99" s="236"/>
      <c r="T99" s="14"/>
      <c r="U99" s="9"/>
      <c r="X99" s="4"/>
    </row>
    <row r="100" spans="2:24" ht="17.399999999999999" x14ac:dyDescent="0.35">
      <c r="B100" s="233"/>
      <c r="C100" s="234"/>
      <c r="D100" s="235"/>
      <c r="E100" s="233"/>
      <c r="F100" s="233"/>
      <c r="G100" s="229"/>
      <c r="H100" s="229"/>
      <c r="J100" s="262"/>
      <c r="K100" s="47"/>
      <c r="L100" s="47"/>
      <c r="M100" s="39">
        <f>P98*2</f>
        <v>14.4716</v>
      </c>
      <c r="N100" s="12">
        <v>3500</v>
      </c>
      <c r="O100" s="12">
        <f t="shared" ref="O100:O105" si="20">M100*N100</f>
        <v>50650.6</v>
      </c>
      <c r="P100" s="14" t="s">
        <v>22</v>
      </c>
      <c r="Q100" s="14" t="s">
        <v>23</v>
      </c>
      <c r="R100" s="14"/>
      <c r="S100" s="239"/>
      <c r="T100" s="14"/>
      <c r="U100" s="9"/>
      <c r="X100" s="4"/>
    </row>
    <row r="101" spans="2:24" ht="17.399999999999999" x14ac:dyDescent="0.35">
      <c r="B101" s="229"/>
      <c r="C101" s="229"/>
      <c r="D101" s="229"/>
      <c r="E101" s="229"/>
      <c r="F101" s="229"/>
      <c r="G101" s="229"/>
      <c r="H101" s="229"/>
      <c r="J101" s="262"/>
      <c r="K101" s="47"/>
      <c r="L101" s="47"/>
      <c r="M101" s="248">
        <v>2</v>
      </c>
      <c r="N101" s="12">
        <v>25000</v>
      </c>
      <c r="O101" s="12">
        <f t="shared" si="20"/>
        <v>50000</v>
      </c>
      <c r="P101" s="39" t="s">
        <v>194</v>
      </c>
      <c r="Q101" s="42"/>
      <c r="R101" s="14"/>
      <c r="S101" s="238"/>
      <c r="T101" s="14"/>
      <c r="U101" s="9"/>
      <c r="X101" s="4"/>
    </row>
    <row r="102" spans="2:24" s="229" customFormat="1" ht="17.399999999999999" x14ac:dyDescent="0.35">
      <c r="J102" s="259"/>
      <c r="K102" s="47"/>
      <c r="L102" s="249"/>
      <c r="M102" s="14">
        <v>50</v>
      </c>
      <c r="N102" s="249">
        <v>750</v>
      </c>
      <c r="O102" s="12">
        <f t="shared" si="20"/>
        <v>37500</v>
      </c>
      <c r="P102" s="39" t="s">
        <v>193</v>
      </c>
      <c r="Q102" s="42"/>
      <c r="S102" s="238"/>
      <c r="T102" s="358"/>
      <c r="W102" s="230"/>
    </row>
    <row r="103" spans="2:24" s="229" customFormat="1" ht="17.399999999999999" x14ac:dyDescent="0.35">
      <c r="B103" s="24" t="s">
        <v>150</v>
      </c>
      <c r="J103" s="259"/>
      <c r="K103" s="315"/>
      <c r="L103" s="249"/>
      <c r="M103" s="14">
        <v>6</v>
      </c>
      <c r="N103" s="249">
        <v>41850</v>
      </c>
      <c r="O103" s="12">
        <f t="shared" si="20"/>
        <v>251100</v>
      </c>
      <c r="P103" s="14" t="s">
        <v>140</v>
      </c>
      <c r="Q103" s="17"/>
      <c r="S103" s="236"/>
      <c r="T103" s="358"/>
      <c r="W103" s="230"/>
    </row>
    <row r="104" spans="2:24" s="229" customFormat="1" ht="17.399999999999999" x14ac:dyDescent="0.35">
      <c r="B104" s="24" t="s">
        <v>143</v>
      </c>
      <c r="C104"/>
      <c r="D104"/>
      <c r="E104"/>
      <c r="F104"/>
      <c r="G104"/>
      <c r="J104" s="259"/>
      <c r="K104" s="315"/>
      <c r="L104" s="249"/>
      <c r="M104" s="248"/>
      <c r="N104" s="249">
        <v>800</v>
      </c>
      <c r="O104" s="12">
        <f t="shared" si="20"/>
        <v>0</v>
      </c>
      <c r="P104" s="14" t="s">
        <v>32</v>
      </c>
      <c r="Q104" s="14"/>
      <c r="R104" s="229">
        <v>1.52</v>
      </c>
      <c r="S104" s="236"/>
      <c r="T104" s="236">
        <v>3.05</v>
      </c>
    </row>
    <row r="105" spans="2:24" s="229" customFormat="1" ht="17.399999999999999" x14ac:dyDescent="0.35">
      <c r="B105" s="29" t="s">
        <v>125</v>
      </c>
      <c r="C105"/>
      <c r="D105"/>
      <c r="E105"/>
      <c r="F105"/>
      <c r="G105" s="228" t="s">
        <v>16</v>
      </c>
      <c r="J105" s="300"/>
      <c r="K105" s="47"/>
      <c r="L105" s="249"/>
      <c r="M105" s="263"/>
      <c r="N105" s="12">
        <v>1500</v>
      </c>
      <c r="O105" s="12">
        <f t="shared" si="20"/>
        <v>0</v>
      </c>
      <c r="P105" s="14" t="s">
        <v>24</v>
      </c>
      <c r="Q105" s="14"/>
      <c r="R105">
        <v>2.44</v>
      </c>
      <c r="S105"/>
      <c r="T105" s="236">
        <v>1.23</v>
      </c>
      <c r="X105" s="230"/>
    </row>
    <row r="106" spans="2:24" s="229" customFormat="1" ht="17.399999999999999" x14ac:dyDescent="0.35">
      <c r="K106" s="47"/>
      <c r="L106" s="249"/>
      <c r="M106" s="14"/>
      <c r="N106" s="12"/>
      <c r="O106" s="12">
        <f>SUM(O100:O105)</f>
        <v>389250.6</v>
      </c>
      <c r="P106" s="39" t="s">
        <v>25</v>
      </c>
      <c r="Q106" s="14"/>
      <c r="R106">
        <f>R104*R105</f>
        <v>3.7088000000000001</v>
      </c>
      <c r="S106"/>
      <c r="T106" s="236">
        <f>T104*T105</f>
        <v>3.7514999999999996</v>
      </c>
      <c r="X106" s="230"/>
    </row>
    <row r="107" spans="2:24" s="229" customFormat="1" ht="17.399999999999999" x14ac:dyDescent="0.35">
      <c r="K107" s="47">
        <v>49780</v>
      </c>
      <c r="L107" s="249"/>
      <c r="M107" s="253" t="s">
        <v>33</v>
      </c>
      <c r="N107" s="12"/>
      <c r="O107" s="254">
        <f>O106*2.2</f>
        <v>856351.32000000007</v>
      </c>
      <c r="P107" s="14" t="s">
        <v>139</v>
      </c>
      <c r="Q107" s="14"/>
      <c r="R107" s="46">
        <f>P96/R106</f>
        <v>1.9509814495254529</v>
      </c>
      <c r="S107"/>
      <c r="T107" s="359">
        <f>P96/T106</f>
        <v>1.9287751566040252</v>
      </c>
    </row>
    <row r="108" spans="2:24" s="229" customFormat="1" ht="17.399999999999999" x14ac:dyDescent="0.35">
      <c r="H108"/>
      <c r="I108" s="257"/>
      <c r="J108" s="257"/>
      <c r="K108" s="47">
        <f>K107/1.19</f>
        <v>41831.932773109249</v>
      </c>
      <c r="L108" s="249"/>
      <c r="M108" s="14"/>
      <c r="N108" s="12"/>
      <c r="O108" s="12">
        <f>O107/P96</f>
        <v>118349.22468835513</v>
      </c>
      <c r="P108" s="45" t="s">
        <v>26</v>
      </c>
      <c r="Q108" s="14"/>
      <c r="R108" s="14"/>
      <c r="S108"/>
      <c r="T108" s="236"/>
    </row>
    <row r="109" spans="2:24" s="229" customFormat="1" ht="17.399999999999999" x14ac:dyDescent="0.35">
      <c r="H109"/>
      <c r="K109" s="47"/>
      <c r="L109" s="249"/>
      <c r="M109" s="13"/>
      <c r="N109" s="14"/>
      <c r="O109" s="17">
        <f>O107/O106</f>
        <v>2.2000000000000002</v>
      </c>
      <c r="P109" s="15"/>
      <c r="Q109"/>
      <c r="R109"/>
      <c r="S109"/>
      <c r="T109" s="236"/>
    </row>
    <row r="110" spans="2:24" s="229" customFormat="1" ht="17.399999999999999" x14ac:dyDescent="0.35">
      <c r="H110" s="23"/>
      <c r="K110" s="47"/>
      <c r="L110" s="12"/>
      <c r="T110" s="236"/>
    </row>
    <row r="111" spans="2:24" s="229" customFormat="1" ht="17.399999999999999" x14ac:dyDescent="0.35">
      <c r="B111"/>
      <c r="C111" s="227"/>
      <c r="D111" s="22"/>
      <c r="E111" s="22"/>
      <c r="F111" s="22"/>
      <c r="G111" s="21"/>
      <c r="H111" s="23"/>
      <c r="K111" s="47"/>
      <c r="L111" s="12"/>
      <c r="M111" s="316"/>
      <c r="N111" s="264" t="s">
        <v>115</v>
      </c>
      <c r="O111" s="264" t="s">
        <v>191</v>
      </c>
      <c r="P111" s="264" t="s">
        <v>192</v>
      </c>
      <c r="Q111" s="223" t="s">
        <v>22</v>
      </c>
      <c r="R111" s="326" t="s">
        <v>193</v>
      </c>
      <c r="S111" s="326" t="s">
        <v>115</v>
      </c>
      <c r="T111" s="236"/>
    </row>
    <row r="112" spans="2:24" ht="14.4" customHeight="1" x14ac:dyDescent="0.3">
      <c r="K112" s="47"/>
      <c r="L112" s="12"/>
      <c r="M112" s="354" t="s">
        <v>188</v>
      </c>
      <c r="N112" s="355">
        <v>50890</v>
      </c>
      <c r="O112" s="355">
        <v>6</v>
      </c>
      <c r="P112" s="264">
        <v>3</v>
      </c>
      <c r="Q112" s="223">
        <v>15.661</v>
      </c>
      <c r="R112" s="326">
        <v>70</v>
      </c>
      <c r="S112" s="360">
        <v>1399760</v>
      </c>
    </row>
    <row r="113" spans="11:20" x14ac:dyDescent="0.3">
      <c r="K113" s="47"/>
      <c r="L113" s="249"/>
      <c r="M113" s="356" t="s">
        <v>189</v>
      </c>
      <c r="N113" s="355">
        <v>68410</v>
      </c>
      <c r="O113" s="355">
        <v>10</v>
      </c>
      <c r="P113" s="264">
        <v>5</v>
      </c>
      <c r="Q113" s="223">
        <v>32.905999999999999</v>
      </c>
      <c r="R113" s="326">
        <v>120</v>
      </c>
      <c r="S113" s="360">
        <v>1847202</v>
      </c>
    </row>
    <row r="114" spans="11:20" x14ac:dyDescent="0.3">
      <c r="L114" s="249"/>
      <c r="M114" s="357" t="s">
        <v>173</v>
      </c>
      <c r="N114" s="355">
        <v>49780</v>
      </c>
      <c r="O114" s="355">
        <v>6</v>
      </c>
      <c r="P114" s="264">
        <v>2</v>
      </c>
      <c r="Q114" s="223">
        <v>14.571999999999999</v>
      </c>
      <c r="R114" s="326">
        <v>50</v>
      </c>
      <c r="S114" s="360">
        <v>901353</v>
      </c>
      <c r="T114" s="267"/>
    </row>
    <row r="115" spans="11:20" x14ac:dyDescent="0.3">
      <c r="L115" s="249"/>
      <c r="M115" s="316" t="s">
        <v>190</v>
      </c>
      <c r="N115" s="355">
        <v>39060</v>
      </c>
      <c r="O115" s="355">
        <v>33</v>
      </c>
      <c r="P115" s="264">
        <v>15.141</v>
      </c>
      <c r="Q115" s="223">
        <v>112.309</v>
      </c>
      <c r="R115" s="361">
        <v>464.81799999999998</v>
      </c>
      <c r="S115" s="360">
        <v>5626077</v>
      </c>
    </row>
    <row r="116" spans="11:20" ht="15" customHeight="1" x14ac:dyDescent="0.3">
      <c r="S116" s="362">
        <f>SUM(S112:S115)</f>
        <v>9774392</v>
      </c>
    </row>
    <row r="121" spans="11:20" x14ac:dyDescent="0.3">
      <c r="S121" s="18"/>
      <c r="T121" s="18"/>
    </row>
    <row r="122" spans="11:20" x14ac:dyDescent="0.3">
      <c r="S122" s="18"/>
      <c r="T122" s="18"/>
    </row>
    <row r="123" spans="11:20" x14ac:dyDescent="0.3">
      <c r="S123" s="18"/>
      <c r="T123" s="18"/>
    </row>
    <row r="124" spans="11:20" x14ac:dyDescent="0.3">
      <c r="S124" s="18"/>
      <c r="T124" s="18"/>
    </row>
    <row r="125" spans="11:20" x14ac:dyDescent="0.3">
      <c r="S125" s="18"/>
      <c r="T125" s="18"/>
    </row>
    <row r="126" spans="11:20" x14ac:dyDescent="0.3">
      <c r="S126" s="18"/>
      <c r="T126" s="18"/>
    </row>
    <row r="127" spans="11:20" x14ac:dyDescent="0.3">
      <c r="S127" s="18"/>
      <c r="T127" s="18"/>
    </row>
    <row r="128" spans="11:20" x14ac:dyDescent="0.3">
      <c r="S128" s="18"/>
      <c r="T128" s="18"/>
    </row>
    <row r="129" spans="3:20" x14ac:dyDescent="0.3">
      <c r="S129" s="18"/>
      <c r="T129" s="18"/>
    </row>
    <row r="132" spans="3:20" x14ac:dyDescent="0.3">
      <c r="O132" s="43"/>
    </row>
    <row r="133" spans="3:20" x14ac:dyDescent="0.3">
      <c r="O133" s="43"/>
    </row>
    <row r="134" spans="3:20" x14ac:dyDescent="0.3">
      <c r="O134" s="6"/>
    </row>
    <row r="135" spans="3:20" x14ac:dyDescent="0.3">
      <c r="O135" s="6"/>
    </row>
    <row r="143" spans="3:20" x14ac:dyDescent="0.3">
      <c r="C143" t="s">
        <v>147</v>
      </c>
    </row>
    <row r="144" spans="3:20" x14ac:dyDescent="0.3">
      <c r="C144" t="s">
        <v>146</v>
      </c>
    </row>
    <row r="147" spans="3:3" x14ac:dyDescent="0.3">
      <c r="C147" t="s">
        <v>146</v>
      </c>
    </row>
    <row r="224" spans="3:3" x14ac:dyDescent="0.3">
      <c r="C224" t="s">
        <v>146</v>
      </c>
    </row>
    <row r="225" spans="3:3" x14ac:dyDescent="0.3">
      <c r="C225" t="s">
        <v>148</v>
      </c>
    </row>
    <row r="226" spans="3:3" x14ac:dyDescent="0.3">
      <c r="C226" t="s">
        <v>149</v>
      </c>
    </row>
    <row r="651" spans="3:3" x14ac:dyDescent="0.3">
      <c r="C651" t="s">
        <v>146</v>
      </c>
    </row>
  </sheetData>
  <mergeCells count="2">
    <mergeCell ref="G17:I17"/>
    <mergeCell ref="B19:I19"/>
  </mergeCells>
  <phoneticPr fontId="34" type="noConversion"/>
  <hyperlinks>
    <hyperlink ref="G10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8"/>
      <c r="D2" s="48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puertas!H10</f>
        <v>45376</v>
      </c>
    </row>
    <row r="6" spans="2:31" ht="16.2" thickBot="1" x14ac:dyDescent="0.35">
      <c r="B6" s="139" t="s">
        <v>2</v>
      </c>
      <c r="C6" s="138" t="str">
        <f>puertas!C10</f>
        <v>CONSTRUCTORA BIECSA LTDA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puertas!#REF!</f>
        <v>#REF!</v>
      </c>
      <c r="D7" s="137"/>
      <c r="E7" s="137"/>
      <c r="F7" s="137"/>
      <c r="H7" s="374" t="s">
        <v>98</v>
      </c>
      <c r="I7" s="375"/>
      <c r="J7" s="375"/>
      <c r="K7" s="376"/>
      <c r="N7" s="74"/>
      <c r="O7" s="373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puertas!D8</f>
        <v>N° 10779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373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8" t="s">
        <v>9</v>
      </c>
      <c r="T9" s="28"/>
      <c r="W9" s="8"/>
      <c r="X9" s="175">
        <f>(E15-D11)/X8</f>
        <v>-1582869.5433667873</v>
      </c>
    </row>
    <row r="10" spans="2:31" ht="16.2" thickBot="1" x14ac:dyDescent="0.35">
      <c r="D10" s="217" t="s">
        <v>29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puertas!I94</f>
        <v>9774392</v>
      </c>
      <c r="E11" s="131">
        <f>D11*0.19</f>
        <v>1857134.48</v>
      </c>
      <c r="F11" s="130">
        <f>E11+D11</f>
        <v>11631526.48</v>
      </c>
      <c r="H11" s="190">
        <v>3</v>
      </c>
      <c r="I11" s="173">
        <v>500</v>
      </c>
      <c r="J11" s="147" t="s">
        <v>24</v>
      </c>
      <c r="K11" s="157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4">
        <v>105990</v>
      </c>
      <c r="W11" s="49">
        <f t="shared" ref="W11:W18" si="1">V11*Q11</f>
        <v>105990</v>
      </c>
      <c r="X11" s="175">
        <f t="shared" ref="X11:X16" si="2">V11+$X$9</f>
        <v>-1476879.5433667873</v>
      </c>
      <c r="Y11" s="174">
        <v>108990</v>
      </c>
      <c r="AA11" s="6"/>
      <c r="AB11" s="6"/>
      <c r="AC11" s="224"/>
      <c r="AD11" s="53"/>
      <c r="AE11" s="221"/>
    </row>
    <row r="12" spans="2:31" ht="16.2" thickBot="1" x14ac:dyDescent="0.35">
      <c r="C12" s="136" t="s">
        <v>97</v>
      </c>
      <c r="D12" s="135">
        <f>SUM(M43:M45)</f>
        <v>167984.69078743961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4">
        <v>87990</v>
      </c>
      <c r="W12" s="49">
        <f t="shared" si="1"/>
        <v>87990</v>
      </c>
      <c r="X12" s="175">
        <f t="shared" si="2"/>
        <v>-1494879.5433667873</v>
      </c>
      <c r="Y12" s="174">
        <v>89990</v>
      </c>
      <c r="Z12" s="2"/>
      <c r="AA12" s="222"/>
      <c r="AB12" s="223"/>
      <c r="AC12" s="224"/>
      <c r="AD12" s="53"/>
      <c r="AE12" s="221"/>
    </row>
    <row r="13" spans="2:31" ht="16.2" thickBot="1" x14ac:dyDescent="0.35">
      <c r="C13" s="211" t="s">
        <v>91</v>
      </c>
      <c r="D13" s="216">
        <f>D11-D12</f>
        <v>9606407.3092125598</v>
      </c>
      <c r="E13" s="220">
        <f>(D11/D12)-1</f>
        <v>57.186207053642065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4">
        <v>78990</v>
      </c>
      <c r="W13" s="49">
        <f t="shared" si="1"/>
        <v>78990</v>
      </c>
      <c r="X13" s="175">
        <f t="shared" si="2"/>
        <v>-1503879.5433667873</v>
      </c>
      <c r="Y13" s="174">
        <v>81990</v>
      </c>
      <c r="Z13" s="2"/>
      <c r="AA13" s="222"/>
      <c r="AB13" s="223"/>
      <c r="AC13" s="224"/>
      <c r="AD13" s="53"/>
      <c r="AE13" s="221"/>
    </row>
    <row r="14" spans="2:31" ht="15" thickBot="1" x14ac:dyDescent="0.35">
      <c r="D14" s="145" t="s">
        <v>122</v>
      </c>
      <c r="E14" s="178" t="s">
        <v>29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4">
        <v>39990</v>
      </c>
      <c r="W14" s="49">
        <f t="shared" si="1"/>
        <v>39990</v>
      </c>
      <c r="X14" s="175">
        <f t="shared" si="2"/>
        <v>-1542879.5433667873</v>
      </c>
      <c r="Y14" s="174">
        <v>39990</v>
      </c>
      <c r="Z14" s="2"/>
      <c r="AA14" s="222"/>
      <c r="AB14" s="223"/>
      <c r="AC14" s="224"/>
      <c r="AD14" s="53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277174.73979927535</v>
      </c>
      <c r="F15" s="215">
        <f>E15-D12</f>
        <v>109190.04901183574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4">
        <v>39990</v>
      </c>
      <c r="W15" s="49">
        <f t="shared" si="1"/>
        <v>39990</v>
      </c>
      <c r="X15" s="175">
        <f t="shared" si="2"/>
        <v>-1542879.5433667873</v>
      </c>
      <c r="Y15" s="174">
        <v>39990</v>
      </c>
      <c r="Z15" s="100"/>
      <c r="AA15" s="100"/>
      <c r="AB15" s="123"/>
      <c r="AD15" s="40"/>
      <c r="AE15" s="41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4">
        <v>79990</v>
      </c>
      <c r="W16" s="49">
        <f t="shared" si="1"/>
        <v>79990</v>
      </c>
      <c r="X16" s="175">
        <f t="shared" si="2"/>
        <v>-1502879.5433667873</v>
      </c>
      <c r="Y16" s="174">
        <v>83990</v>
      </c>
      <c r="Z16" s="100"/>
      <c r="AA16" s="100"/>
      <c r="AB16" s="39"/>
      <c r="AC16" s="39"/>
      <c r="AD16" s="42"/>
      <c r="AE16" s="42"/>
    </row>
    <row r="17" spans="1:31" ht="15" thickBot="1" x14ac:dyDescent="0.35">
      <c r="B17" s="129" t="s">
        <v>88</v>
      </c>
      <c r="C17" s="128" t="s">
        <v>87</v>
      </c>
      <c r="D17" s="128" t="s">
        <v>29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1"/>
      <c r="T17" s="51"/>
      <c r="U17" s="7"/>
      <c r="V17" s="54">
        <v>5000</v>
      </c>
      <c r="W17" s="49">
        <f t="shared" si="1"/>
        <v>30000</v>
      </c>
      <c r="X17" s="105"/>
      <c r="Y17" s="14"/>
      <c r="Z17" s="100"/>
      <c r="AA17" s="100"/>
      <c r="AB17" s="46"/>
    </row>
    <row r="18" spans="1:31" x14ac:dyDescent="0.3">
      <c r="C18" s="124" t="s">
        <v>85</v>
      </c>
      <c r="D18" s="121">
        <f>puertas!O102</f>
        <v>37500</v>
      </c>
      <c r="E18" s="122">
        <f>D18*0.19</f>
        <v>7125</v>
      </c>
      <c r="F18" s="119">
        <f>SUM(D18:E18)</f>
        <v>44625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5"/>
    </row>
    <row r="19" spans="1:31" x14ac:dyDescent="0.3">
      <c r="C19" s="78" t="s">
        <v>31</v>
      </c>
      <c r="D19" s="121">
        <f>puertas!O101</f>
        <v>50000</v>
      </c>
      <c r="E19" s="122">
        <f>D19*0.19</f>
        <v>9500</v>
      </c>
      <c r="F19" s="119">
        <f>SUM(D19:E19)</f>
        <v>59500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30" t="s">
        <v>29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puertas!O100</f>
        <v>50650.6</v>
      </c>
      <c r="E20" s="120">
        <f>D20*0.19</f>
        <v>9623.6139999999996</v>
      </c>
      <c r="F20" s="119">
        <f>SUM(D20:E20)</f>
        <v>60274.214</v>
      </c>
      <c r="H20" s="191">
        <v>1</v>
      </c>
      <c r="I20" s="201"/>
      <c r="J20" s="183" t="s">
        <v>83</v>
      </c>
      <c r="K20" s="157">
        <f t="shared" si="0"/>
        <v>0</v>
      </c>
      <c r="V20" s="31" t="s">
        <v>30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138150.6</v>
      </c>
      <c r="E21" s="115">
        <f>SUM(E18:E20)</f>
        <v>26248.614000000001</v>
      </c>
      <c r="F21" s="114">
        <f>SUM(F18:F20)</f>
        <v>164399.21400000001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9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50" t="s">
        <v>34</v>
      </c>
      <c r="R22" s="50"/>
      <c r="S22" s="50"/>
      <c r="T22" s="50"/>
      <c r="X22" s="95"/>
      <c r="Y22" s="14"/>
      <c r="Z22" s="100"/>
      <c r="AA22" s="100"/>
      <c r="AB22" s="39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27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50" t="s">
        <v>28</v>
      </c>
      <c r="R23" s="50"/>
      <c r="X23" s="103"/>
      <c r="Y23" s="27"/>
      <c r="Z23" s="100"/>
      <c r="AA23" s="100"/>
      <c r="AB23" s="14"/>
      <c r="AC23" s="11"/>
      <c r="AD23" s="43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3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9"/>
      <c r="AD25" s="43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4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5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24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1830885.8659999999</v>
      </c>
    </row>
    <row r="41" spans="2:16" ht="15" thickBot="1" x14ac:dyDescent="0.35">
      <c r="H41" s="377" t="s">
        <v>60</v>
      </c>
      <c r="I41" s="378"/>
      <c r="J41" s="378"/>
      <c r="K41" s="378"/>
      <c r="L41" s="378"/>
      <c r="M41" s="379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9774392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138150.6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9606407.3092125598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9606407.3092125598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RECEPCION</vt:lpstr>
      <vt:lpstr>escritorio</vt:lpstr>
      <vt:lpstr>cubiertas</vt:lpstr>
      <vt:lpstr>puertas</vt:lpstr>
      <vt:lpstr>COSTOS</vt:lpstr>
      <vt:lpstr>cubiertas!Área_de_impresión</vt:lpstr>
      <vt:lpstr>escritorio!Área_de_impresión</vt:lpstr>
      <vt:lpstr>puertas!Área_de_impresión</vt:lpstr>
      <vt:lpstr>RECEPCION!Área_de_impresión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2024-03-22T17:33:34Z</cp:lastPrinted>
  <dcterms:created xsi:type="dcterms:W3CDTF">2013-03-18T13:35:42Z</dcterms:created>
  <dcterms:modified xsi:type="dcterms:W3CDTF">2024-03-26T11:56:44Z</dcterms:modified>
</cp:coreProperties>
</file>