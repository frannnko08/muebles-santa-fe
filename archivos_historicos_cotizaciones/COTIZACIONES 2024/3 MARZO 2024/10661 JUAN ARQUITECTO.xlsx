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3CBA6A14-E145-4EC2-8A9E-D2380B893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H25" i="1"/>
  <c r="K22" i="1"/>
  <c r="L22" i="1"/>
  <c r="R22" i="1" s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N26" i="1" s="1"/>
  <c r="R26" i="1"/>
  <c r="H27" i="1"/>
  <c r="K21" i="1"/>
  <c r="J44" i="1"/>
  <c r="L21" i="1"/>
  <c r="M21" i="1"/>
  <c r="N23" i="1" l="1"/>
  <c r="O26" i="1"/>
  <c r="R23" i="1"/>
  <c r="N22" i="1"/>
  <c r="O22" i="1" s="1"/>
  <c r="O23" i="1"/>
  <c r="N24" i="1"/>
  <c r="O24" i="1" s="1"/>
  <c r="N25" i="1"/>
  <c r="O25" i="1" s="1"/>
  <c r="R25" i="1"/>
  <c r="R24" i="1"/>
  <c r="L29" i="1"/>
  <c r="S21" i="1"/>
  <c r="R21" i="1"/>
  <c r="N21" i="1"/>
  <c r="O21" i="1" s="1"/>
  <c r="U37" i="1"/>
  <c r="U38" i="1" s="1"/>
  <c r="R31" i="1" l="1"/>
  <c r="N36" i="1"/>
  <c r="O31" i="1" l="1"/>
  <c r="O32" i="1" s="1"/>
  <c r="O33" i="1" s="1"/>
  <c r="L35" i="1" s="1"/>
  <c r="M20" i="1"/>
  <c r="K20" i="1"/>
  <c r="N37" i="1" l="1"/>
  <c r="Q41" i="1"/>
  <c r="N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N35" i="1" l="1"/>
  <c r="Q42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P20" i="1" s="1"/>
  <c r="E15" i="3"/>
  <c r="P26" i="1" l="1"/>
  <c r="Q26" i="1" s="1"/>
  <c r="P22" i="1"/>
  <c r="Q22" i="1" s="1"/>
  <c r="H22" i="1" s="1"/>
  <c r="P23" i="1"/>
  <c r="Q23" i="1" s="1"/>
  <c r="H23" i="1" s="1"/>
  <c r="P24" i="1"/>
  <c r="Q24" i="1" s="1"/>
  <c r="H24" i="1" s="1"/>
  <c r="P25" i="1"/>
  <c r="Q25" i="1" s="1"/>
  <c r="H26" i="1"/>
  <c r="P21" i="1"/>
  <c r="F15" i="3"/>
  <c r="Q21" i="1" l="1"/>
  <c r="H21" i="1" s="1"/>
  <c r="H29" i="1" s="1"/>
  <c r="D11" i="3" l="1"/>
  <c r="X9" i="3" s="1"/>
  <c r="X15" i="3" s="1"/>
  <c r="H31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<sst xmlns="http://schemas.openxmlformats.org/spreadsheetml/2006/main" count="241" uniqueCount="180">
  <si>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</si>
  <si>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</si>
  <si>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</si>
  <si>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</si>
  <si>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</si>
  <si>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</si>
  <si>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</si>
  <si>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</si>
  <si>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</si>
  <si>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</si>
  <si>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</si>
  <si>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</si>
  <si>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</si>
  <si>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</si>
  <si>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</si>
  <si>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</si>
  <si>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</si>
  <si>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</si>
  <si>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</si>
  <si>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</si>
  <si>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</si>
  <si>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</si>
  <si>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</si>
  <si>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</si>
  <si>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</si>
  <si>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</si>
  <si>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</si>
  <si>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</si>
  <si>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</si>
  <si>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</si>
  <si>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</si>
  <si>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</si>
  <si>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</si>
  <si>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</si>
  <si>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</si>
  <si>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</si>
  <si>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</si>
  <si>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</si>
  <si>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</si>
  <si>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</si>
  <si>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</si>
  <si>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</si>
  <si>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</si>
  <si>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</si>
  <si>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</si>
  <si>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</si>
  <si>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</si>
  <si>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</si>
  <si>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</si>
  <si>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</si>
  <si>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</si>
  <si>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</si>
  <si>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</si>
  <si>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</si>
  <si>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</si>
  <si>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</si>
  <si>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</si>
  <si>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</si>
  <si>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</si>
  <si>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</si>
  <si>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</si>
  <si>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</si>
  <si>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</si>
  <si>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</si>
  <si>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</si>
  <si>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</si>
  <si>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</si>
  <si>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</si>
  <si>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</si>
  <si>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</si>
  <si>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</si>
  <si>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</si>
  <si>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</si>
  <si>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</si>
  <si>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</si>
  <si>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</si>
  <si>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</si>
  <si>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</si>
  <si>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</si>
  <si>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</si>
  <si>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</si>
  <si>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</si>
  <si>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</si>
  <si>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</si>
  <si>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</si>
  <si>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</si>
  <si>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</si>
  <si>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</si>
  <si>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</si>
  <si>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</si>
  <si>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</si>
  <si>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</si>
  <si>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</si>
  <si>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</si>
  <si>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</si>
  <si>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</si>
  <si>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</si>
  <si>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</si>
  <si>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</si>
  <si>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</si>
  <si>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</si>
  <si>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</si>
  <si>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</si>
  <si>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</si>
  <si>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</si>
  <si>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</si>
  <si>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</si>
  <si>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</si>
  <si>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</si>
  <si>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</si>
  <si>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</si>
  <si>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</si>
  <si>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</si>
  <si>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</si>
  <si>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</si>
  <si>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</si>
  <si>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</si>
  <si>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</si>
  <si>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</si>
  <si>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</si>
  <si>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</si>
  <si>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</si>
  <si>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</si>
  <si>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</si>
  <si>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</si>
  <si>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</si>
  <si>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</si>
  <si>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</si>
  <si>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</si>
  <si>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</si>
  <si>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</si>
  <si>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</si>
  <si>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</si>
  <si>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</si>
  <si>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</si>
  <si>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</si>
  <si>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</si>
  <si>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</si>
  <si>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</si>
  <si>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</si>
  <si>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</si>
  <si>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</si>
  <si>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</si>
  <si>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</si>
  <si>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</si>
  <si>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</si>
  <si>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</si>
  <si>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</si>
  <si>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</si>
  <si>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</si>
  <si>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</si>
  <si>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</si>
  <si>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</si>
  <si>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</si>
  <si>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</si>
  <si>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</si>
  <si>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</si>
  <si>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</si>
  <si>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</si>
  <si>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</si>
  <si>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</si>
  <si>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</si>
  <si>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</si>
  <si>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</si>
  <si>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</si>
  <si>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</si>
  <si>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</si>
  <si>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</si>
  <si>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r>
      <t>  56</t>
    </r>
    <r>
      <rPr>
        <i/>
        <sz val="11"/>
        <color theme="1"/>
        <rFont val="Arial"/>
        <family val="2"/>
      </rPr>
      <t>996559090</t>
    </r>
  </si>
  <si>
    <t>10 DIAS HABILES</t>
  </si>
  <si>
    <t>SI</t>
  </si>
  <si>
    <t>RESPALDO R6</t>
  </si>
  <si>
    <t>SERVICIO DE INSTALACION</t>
  </si>
  <si>
    <t>JUAN GALLEGUILLOS</t>
  </si>
  <si>
    <t>NATURAL NEBULA 4633-60</t>
  </si>
  <si>
    <t>N° 10661</t>
  </si>
  <si>
    <t>CUB SIN RESPALDO R6 FRENTE 4,8CMS</t>
  </si>
  <si>
    <t>NATURAL NEBULA 4633-61</t>
  </si>
  <si>
    <t>NATURAL NEBULA 4633-62</t>
  </si>
  <si>
    <t>CUBIERTA MESA 3 LADOS R6 FRENTE 4,8CMS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</si>
</sst>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i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6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33</xdr:row>
      <xdr:rowOff>26670</xdr:rowOff>
    </xdr:from>
    <xdr:to>
      <xdr:col>7</xdr:col>
      <xdr:colOff>1034435</xdr:colOff>
      <xdr:row>36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28</xdr:row>
      <xdr:rowOff>9525</xdr:rowOff>
    </xdr:from>
    <xdr:to>
      <xdr:col>5</xdr:col>
      <xdr:colOff>1594096</xdr:colOff>
      <xdr:row>31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NO SE INCLUYE SERVICIO DE GASFITERIA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15MM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3" zoomScale="93" zoomScaleNormal="93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3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 t="s">
        <v>175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173</v>
      </c>
      <c r="D10" s="243"/>
      <c r="E10" s="243"/>
      <c r="F10" s="244" t="s">
        <v>0</v>
      </c>
      <c r="G10" s="277">
        <v>45333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170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8" t="s">
        <v>168</v>
      </c>
      <c r="D15" s="295"/>
      <c r="E15" s="247"/>
      <c r="F15" s="247" t="s">
        <v>135</v>
      </c>
      <c r="G15" s="296" t="s">
        <v>170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N43</f>
        <v>106834.9794120806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176</v>
      </c>
      <c r="D21" s="325">
        <v>1.48</v>
      </c>
      <c r="E21" s="325">
        <v>0.53500000000000003</v>
      </c>
      <c r="F21" s="324" t="s">
        <v>174</v>
      </c>
      <c r="G21" s="326">
        <v>87450</v>
      </c>
      <c r="H21" s="327">
        <f>G21*B21</f>
        <v>87450</v>
      </c>
      <c r="I21" s="265"/>
      <c r="J21" s="47"/>
      <c r="K21" s="47">
        <f>B21</f>
        <v>1</v>
      </c>
      <c r="L21" s="39">
        <f t="shared" ref="L21" si="1">D21+L$19</f>
        <v>1.53</v>
      </c>
      <c r="M21" s="39">
        <f t="shared" ref="M21" si="2">E21+M$19</f>
        <v>0.53500000000000003</v>
      </c>
      <c r="N21" s="261">
        <f t="shared" ref="N21" si="3">L21*M21</f>
        <v>0.81855000000000011</v>
      </c>
      <c r="O21" s="259">
        <f t="shared" ref="O21" si="4">N21*K21</f>
        <v>0.81855000000000011</v>
      </c>
      <c r="P21" s="252">
        <f t="shared" ref="P21" si="5">P$20*N21</f>
        <v>87449.772397758585</v>
      </c>
      <c r="Q21" s="258">
        <f t="shared" ref="Q21" si="6">P21+Q$20</f>
        <v>90449.772397758585</v>
      </c>
      <c r="R21" s="309">
        <f>L21*K21*2</f>
        <v>3.06</v>
      </c>
      <c r="S21" s="46">
        <f>M21*K21*2</f>
        <v>1.07</v>
      </c>
      <c r="T21" s="9"/>
      <c r="W21" s="4"/>
    </row>
    <row r="22" spans="2:24" ht="18" thickBot="1" x14ac:dyDescent="0.35">
      <c r="B22" s="323">
        <v>1</v>
      </c>
      <c r="C22" s="324" t="s">
        <v>176</v>
      </c>
      <c r="D22" s="325">
        <v>0.92</v>
      </c>
      <c r="E22" s="325">
        <v>0.56999999999999995</v>
      </c>
      <c r="F22" s="324" t="s">
        <v>177</v>
      </c>
      <c r="G22" s="326">
        <v>59069</v>
      </c>
      <c r="H22" s="327">
        <f>G22*B22</f>
        <v>59069</v>
      </c>
      <c r="I22" s="265"/>
      <c r="J22" s="47"/>
      <c r="K22" s="47">
        <f t="shared" ref="K22:K26" si="7">B22</f>
        <v>1</v>
      </c>
      <c r="L22" s="39">
        <f t="shared" ref="L22:L26" si="8">D22+L$19</f>
        <v>0.97000000000000008</v>
      </c>
      <c r="M22" s="39">
        <f t="shared" ref="M22:M26" si="9">E22+M$19</f>
        <v>0.56999999999999995</v>
      </c>
      <c r="N22" s="261">
        <f t="shared" ref="N22:N26" si="10">L22*M22</f>
        <v>0.55289999999999995</v>
      </c>
      <c r="O22" s="259">
        <f t="shared" ref="O22:O26" si="11">N22*K22</f>
        <v>0.55289999999999995</v>
      </c>
      <c r="P22" s="252">
        <f t="shared" ref="P22:P26" si="12">P$20*N22</f>
        <v>59069.060116939363</v>
      </c>
      <c r="Q22" s="258">
        <f t="shared" ref="Q22:Q26" si="13">P22+Q$20</f>
        <v>62069.060116939363</v>
      </c>
      <c r="R22" s="309">
        <f t="shared" ref="R22:R26" si="14">L22*K22*2</f>
        <v>1.9400000000000002</v>
      </c>
      <c r="S22" s="46"/>
      <c r="T22" s="9"/>
      <c r="W22" s="4"/>
    </row>
    <row r="23" spans="2:24" ht="18" thickBot="1" x14ac:dyDescent="0.35">
      <c r="B23" s="323">
        <v>1</v>
      </c>
      <c r="C23" s="324" t="s">
        <v>176</v>
      </c>
      <c r="D23" s="325">
        <v>0.2</v>
      </c>
      <c r="E23" s="325">
        <v>0.5</v>
      </c>
      <c r="F23" s="324" t="s">
        <v>178</v>
      </c>
      <c r="G23" s="326">
        <v>13354</v>
      </c>
      <c r="H23" s="327">
        <f>G23*B23</f>
        <v>13354</v>
      </c>
      <c r="I23" s="265"/>
      <c r="J23" s="47"/>
      <c r="K23" s="47">
        <f t="shared" si="7"/>
        <v>1</v>
      </c>
      <c r="L23" s="39">
        <f t="shared" si="8"/>
        <v>0.25</v>
      </c>
      <c r="M23" s="39">
        <f t="shared" si="9"/>
        <v>0.5</v>
      </c>
      <c r="N23" s="261">
        <f t="shared" si="10"/>
        <v>0.125</v>
      </c>
      <c r="O23" s="259">
        <f t="shared" si="11"/>
        <v>0.125</v>
      </c>
      <c r="P23" s="252">
        <f t="shared" si="12"/>
        <v>13354.372426510075</v>
      </c>
      <c r="Q23" s="258">
        <f t="shared" si="13"/>
        <v>16354.372426510075</v>
      </c>
      <c r="R23" s="309">
        <f t="shared" si="14"/>
        <v>0.5</v>
      </c>
      <c r="S23" s="46"/>
      <c r="T23" s="9"/>
      <c r="W23" s="4"/>
    </row>
    <row r="24" spans="2:24" ht="18" thickBot="1" x14ac:dyDescent="0.35">
      <c r="B24" s="323">
        <v>1</v>
      </c>
      <c r="C24" s="324" t="s">
        <v>179</v>
      </c>
      <c r="D24" s="325">
        <v>1.524</v>
      </c>
      <c r="E24" s="325">
        <v>0.54</v>
      </c>
      <c r="F24" s="324" t="s">
        <v>174</v>
      </c>
      <c r="G24" s="326">
        <v>90805</v>
      </c>
      <c r="H24" s="327">
        <f t="shared" ref="H24:H26" si="15">G24*B24</f>
        <v>90805</v>
      </c>
      <c r="I24" s="265"/>
      <c r="J24" s="47"/>
      <c r="K24" s="47">
        <f t="shared" si="7"/>
        <v>1</v>
      </c>
      <c r="L24" s="39">
        <f t="shared" si="8"/>
        <v>1.5740000000000001</v>
      </c>
      <c r="M24" s="39">
        <f t="shared" si="9"/>
        <v>0.54</v>
      </c>
      <c r="N24" s="261">
        <f t="shared" si="10"/>
        <v>0.84996000000000005</v>
      </c>
      <c r="O24" s="259">
        <f t="shared" si="11"/>
        <v>0.84996000000000005</v>
      </c>
      <c r="P24" s="252">
        <f t="shared" si="12"/>
        <v>90805.459101092041</v>
      </c>
      <c r="Q24" s="258">
        <f t="shared" si="13"/>
        <v>93805.459101092041</v>
      </c>
      <c r="R24" s="309">
        <f t="shared" si="14"/>
        <v>3.1480000000000001</v>
      </c>
      <c r="S24" s="46"/>
      <c r="T24" s="9"/>
      <c r="W24" s="4"/>
    </row>
    <row r="25" spans="2:24" ht="18" thickBot="1" x14ac:dyDescent="0.35">
      <c r="B25" s="323">
        <v>1</v>
      </c>
      <c r="C25" s="324" t="s">
        <v>171</v>
      </c>
      <c r="D25" s="325">
        <v>2.56</v>
      </c>
      <c r="E25" s="325">
        <v>0.04</v>
      </c>
      <c r="F25" s="324" t="s">
        <v>174</v>
      </c>
      <c r="G25" s="326">
        <v>11154</v>
      </c>
      <c r="H25" s="327">
        <f t="shared" si="15"/>
        <v>11154</v>
      </c>
      <c r="I25" s="265"/>
      <c r="J25" s="47"/>
      <c r="K25" s="47">
        <f t="shared" si="7"/>
        <v>1</v>
      </c>
      <c r="L25" s="39">
        <f t="shared" si="8"/>
        <v>2.61</v>
      </c>
      <c r="M25" s="39">
        <f t="shared" si="9"/>
        <v>0.04</v>
      </c>
      <c r="N25" s="261">
        <f t="shared" si="10"/>
        <v>0.10439999999999999</v>
      </c>
      <c r="O25" s="259">
        <f t="shared" si="11"/>
        <v>0.10439999999999999</v>
      </c>
      <c r="P25" s="252">
        <f t="shared" si="12"/>
        <v>11153.571850621214</v>
      </c>
      <c r="Q25" s="258">
        <f t="shared" si="13"/>
        <v>14153.571850621214</v>
      </c>
      <c r="R25" s="309">
        <f t="shared" si="14"/>
        <v>5.22</v>
      </c>
      <c r="S25" s="46"/>
      <c r="T25" s="9"/>
      <c r="W25" s="4"/>
    </row>
    <row r="26" spans="2:24" ht="18" thickBot="1" x14ac:dyDescent="0.35">
      <c r="B26" s="323">
        <v>1</v>
      </c>
      <c r="C26" s="324" t="s">
        <v>171</v>
      </c>
      <c r="D26" s="325">
        <v>1.52</v>
      </c>
      <c r="E26" s="325">
        <v>0.04</v>
      </c>
      <c r="F26" s="324" t="s">
        <v>174</v>
      </c>
      <c r="G26" s="326">
        <v>6709</v>
      </c>
      <c r="H26" s="327">
        <f t="shared" si="15"/>
        <v>6709</v>
      </c>
      <c r="I26" s="265"/>
      <c r="J26" s="47"/>
      <c r="K26" s="47">
        <f t="shared" si="7"/>
        <v>1</v>
      </c>
      <c r="L26" s="39">
        <f t="shared" si="8"/>
        <v>1.57</v>
      </c>
      <c r="M26" s="39">
        <f t="shared" si="9"/>
        <v>0.04</v>
      </c>
      <c r="N26" s="261">
        <f t="shared" si="10"/>
        <v>6.2800000000000009E-2</v>
      </c>
      <c r="O26" s="259">
        <f t="shared" si="11"/>
        <v>6.2800000000000009E-2</v>
      </c>
      <c r="P26" s="252">
        <f t="shared" si="12"/>
        <v>6709.2367070786631</v>
      </c>
      <c r="Q26" s="258">
        <f t="shared" si="13"/>
        <v>9709.236707078664</v>
      </c>
      <c r="R26" s="309">
        <f t="shared" si="14"/>
        <v>3.14</v>
      </c>
      <c r="S26" s="46"/>
      <c r="T26" s="9"/>
      <c r="W26" s="4"/>
    </row>
    <row r="27" spans="2:24" ht="17.399999999999999" x14ac:dyDescent="0.3">
      <c r="B27" s="323">
        <v>1</v>
      </c>
      <c r="C27" s="324" t="s">
        <v>172</v>
      </c>
      <c r="D27" s="325"/>
      <c r="E27" s="325"/>
      <c r="F27" s="324"/>
      <c r="G27" s="326">
        <v>150000</v>
      </c>
      <c r="H27" s="327">
        <f t="shared" ref="H27" si="16">G27*B27</f>
        <v>150000</v>
      </c>
      <c r="I27" s="265"/>
      <c r="J27" s="47"/>
      <c r="K27" s="47"/>
      <c r="L27" s="39"/>
      <c r="M27" s="39"/>
      <c r="N27" s="261"/>
      <c r="O27" s="259"/>
      <c r="P27" s="252"/>
      <c r="Q27" s="258"/>
      <c r="R27" s="309"/>
      <c r="S27" s="46"/>
      <c r="T27" s="9"/>
      <c r="W27" s="4"/>
    </row>
    <row r="28" spans="2:24" ht="18" thickBot="1" x14ac:dyDescent="0.35">
      <c r="B28" s="286"/>
      <c r="C28" s="286"/>
      <c r="D28" s="287"/>
      <c r="E28" s="287"/>
      <c r="F28" s="286"/>
      <c r="G28" s="265"/>
      <c r="H28" s="233"/>
      <c r="I28" s="233"/>
      <c r="J28" s="47"/>
      <c r="K28" s="47"/>
      <c r="L28" s="39"/>
      <c r="M28" s="39"/>
      <c r="N28" s="261"/>
      <c r="O28" s="259"/>
      <c r="P28" s="252"/>
      <c r="Q28" s="258"/>
      <c r="R28" s="309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10" t="s">
        <v>29</v>
      </c>
      <c r="H29" s="311">
        <f>SUM(H21:H27)</f>
        <v>418541</v>
      </c>
      <c r="I29" s="265"/>
      <c r="J29" s="47"/>
      <c r="K29" s="47"/>
      <c r="L29" s="39">
        <f>SUM(L21:L28)</f>
        <v>8.5039999999999996</v>
      </c>
      <c r="M29" s="39"/>
      <c r="N29" s="261"/>
      <c r="O29" s="259"/>
      <c r="P29" s="252"/>
      <c r="Q29" s="258"/>
      <c r="R29" s="309"/>
      <c r="S29" s="14"/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308" t="s">
        <v>52</v>
      </c>
      <c r="H30" s="305"/>
      <c r="I30" s="265"/>
      <c r="J30" s="47"/>
      <c r="K30" s="47"/>
      <c r="L30" s="39"/>
      <c r="M30" s="12"/>
      <c r="N30" s="12"/>
      <c r="O30" s="253">
        <f>SUM(O21:O26)</f>
        <v>2.5136100000000003</v>
      </c>
      <c r="P30" s="14"/>
      <c r="Q30" s="12"/>
      <c r="R30" s="239"/>
      <c r="S30" s="14"/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306">
        <f>H29+H30</f>
        <v>418541</v>
      </c>
      <c r="I31" s="265"/>
      <c r="J31" s="47"/>
      <c r="K31" s="47"/>
      <c r="L31" s="39"/>
      <c r="M31" s="12"/>
      <c r="N31" s="12"/>
      <c r="O31" s="253">
        <f>O30</f>
        <v>2.5136100000000003</v>
      </c>
      <c r="P31" s="14"/>
      <c r="Q31" s="12"/>
      <c r="R31" s="239">
        <f>SUM(R21:R30)</f>
        <v>17.007999999999999</v>
      </c>
      <c r="S31" s="14"/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/>
      <c r="K32" s="47"/>
      <c r="L32" s="14"/>
      <c r="M32" s="12"/>
      <c r="N32" s="12"/>
      <c r="O32" s="39">
        <f>O31*20%</f>
        <v>0.50272200000000011</v>
      </c>
      <c r="P32" s="39" t="s">
        <v>131</v>
      </c>
      <c r="Q32" s="42"/>
      <c r="R32" s="240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47"/>
      <c r="K33" s="47"/>
      <c r="L33" s="14"/>
      <c r="M33" s="12"/>
      <c r="N33" s="12"/>
      <c r="O33" s="46">
        <f>O31+O32</f>
        <v>3.0163320000000002</v>
      </c>
      <c r="P33" s="14"/>
      <c r="Q33" s="14"/>
      <c r="R33" s="238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3"/>
      <c r="F34" s="234"/>
      <c r="G34" s="230"/>
      <c r="H34" s="275"/>
      <c r="I34" s="265"/>
      <c r="J34" s="47"/>
      <c r="K34" s="47"/>
      <c r="L34" s="14"/>
      <c r="M34" s="14"/>
      <c r="N34" s="14"/>
      <c r="O34" s="14"/>
      <c r="P34" s="14"/>
      <c r="Q34" s="14"/>
      <c r="R34" s="238"/>
      <c r="S34" s="14"/>
      <c r="T34" s="316" t="s">
        <v>22</v>
      </c>
      <c r="U34" s="313" t="s">
        <v>153</v>
      </c>
      <c r="V34" s="317">
        <v>44971</v>
      </c>
      <c r="W34" s="318"/>
    </row>
    <row r="35" spans="2:23" ht="17.399999999999999" x14ac:dyDescent="0.35">
      <c r="B35" s="235"/>
      <c r="C35" s="236"/>
      <c r="D35" s="237"/>
      <c r="E35" s="235"/>
      <c r="F35" s="230"/>
      <c r="G35" s="230"/>
      <c r="I35" s="265"/>
      <c r="J35" s="47"/>
      <c r="K35" s="47"/>
      <c r="L35" s="39">
        <f>O33</f>
        <v>3.0163320000000002</v>
      </c>
      <c r="M35" s="12">
        <v>3500</v>
      </c>
      <c r="N35" s="12">
        <f t="shared" ref="N35:N40" si="17">L35*M35</f>
        <v>10557.162</v>
      </c>
      <c r="O35" s="14" t="s">
        <v>22</v>
      </c>
      <c r="P35" s="14"/>
      <c r="Q35" s="14"/>
      <c r="R35" s="241"/>
      <c r="S35" s="14"/>
      <c r="T35" s="316" t="s">
        <v>154</v>
      </c>
      <c r="U35" s="313">
        <v>3625</v>
      </c>
      <c r="V35" s="59" t="s">
        <v>155</v>
      </c>
      <c r="W35" s="318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249">
        <v>1</v>
      </c>
      <c r="M36" s="12">
        <v>25000</v>
      </c>
      <c r="N36" s="12">
        <f t="shared" si="17"/>
        <v>25000</v>
      </c>
      <c r="O36" s="39" t="s">
        <v>32</v>
      </c>
      <c r="P36" s="42"/>
      <c r="Q36" s="14"/>
      <c r="R36" s="240"/>
      <c r="S36" s="14"/>
      <c r="T36" s="316"/>
      <c r="U36" s="59">
        <v>906.25</v>
      </c>
      <c r="V36" s="59" t="s">
        <v>156</v>
      </c>
      <c r="W36" s="318"/>
    </row>
    <row r="37" spans="2:23" s="230" customFormat="1" ht="17.399999999999999" x14ac:dyDescent="0.35">
      <c r="I37" s="262"/>
      <c r="J37" s="232"/>
      <c r="K37" s="250"/>
      <c r="L37" s="14"/>
      <c r="M37" s="250">
        <v>46500</v>
      </c>
      <c r="N37" s="12">
        <f t="shared" si="17"/>
        <v>0</v>
      </c>
      <c r="O37" s="39" t="s">
        <v>31</v>
      </c>
      <c r="P37" s="42"/>
      <c r="R37" s="240"/>
      <c r="S37" s="256"/>
      <c r="T37" s="59"/>
      <c r="U37" s="59">
        <f>U36*20%</f>
        <v>181.25</v>
      </c>
      <c r="V37" s="318" t="s">
        <v>157</v>
      </c>
      <c r="W37" s="59"/>
    </row>
    <row r="38" spans="2:23" s="230" customFormat="1" ht="17.399999999999999" x14ac:dyDescent="0.35">
      <c r="B38" s="24" t="s">
        <v>152</v>
      </c>
      <c r="I38" s="262"/>
      <c r="J38" s="232"/>
      <c r="K38" s="250"/>
      <c r="L38" s="14">
        <v>2</v>
      </c>
      <c r="M38" s="250">
        <v>40600</v>
      </c>
      <c r="N38" s="12">
        <f t="shared" si="17"/>
        <v>81200</v>
      </c>
      <c r="O38" s="14" t="s">
        <v>142</v>
      </c>
      <c r="P38" s="17"/>
      <c r="R38" s="238"/>
      <c r="S38" s="256"/>
      <c r="T38" s="59"/>
      <c r="U38" s="59">
        <f>U36+U37</f>
        <v>1087.5</v>
      </c>
      <c r="V38" s="318" t="s">
        <v>158</v>
      </c>
      <c r="W38" s="59"/>
    </row>
    <row r="39" spans="2:23" s="230" customFormat="1" ht="17.399999999999999" x14ac:dyDescent="0.35">
      <c r="B39" s="24" t="s">
        <v>145</v>
      </c>
      <c r="C39"/>
      <c r="D39"/>
      <c r="E39"/>
      <c r="F39"/>
      <c r="I39" s="262"/>
      <c r="K39" s="250"/>
      <c r="L39" s="249"/>
      <c r="M39" s="250">
        <v>300</v>
      </c>
      <c r="N39" s="12">
        <f t="shared" si="17"/>
        <v>0</v>
      </c>
      <c r="O39" s="14" t="s">
        <v>33</v>
      </c>
      <c r="P39" s="14"/>
      <c r="Q39" s="230">
        <v>1.52</v>
      </c>
      <c r="R39" s="238"/>
      <c r="S39" s="238"/>
    </row>
    <row r="40" spans="2:23" s="230" customFormat="1" ht="17.399999999999999" x14ac:dyDescent="0.35">
      <c r="B40" s="29" t="s">
        <v>126</v>
      </c>
      <c r="C40"/>
      <c r="D40"/>
      <c r="E40"/>
      <c r="F40" s="229" t="s">
        <v>16</v>
      </c>
      <c r="I40" s="304"/>
      <c r="K40" s="250"/>
      <c r="L40" s="266"/>
      <c r="M40" s="12">
        <v>1500</v>
      </c>
      <c r="N40" s="12">
        <f t="shared" si="17"/>
        <v>0</v>
      </c>
      <c r="O40" s="14" t="s">
        <v>23</v>
      </c>
      <c r="P40" s="14"/>
      <c r="Q40">
        <v>2.44</v>
      </c>
      <c r="R40"/>
      <c r="S40" s="238"/>
      <c r="W40" s="231"/>
    </row>
    <row r="41" spans="2:23" s="230" customFormat="1" ht="17.399999999999999" x14ac:dyDescent="0.35">
      <c r="K41" s="250"/>
      <c r="L41" s="14"/>
      <c r="M41" s="12"/>
      <c r="N41" s="12">
        <f>SUM(N35:N40)</f>
        <v>116757.162</v>
      </c>
      <c r="O41" s="39" t="s">
        <v>24</v>
      </c>
      <c r="P41" s="14"/>
      <c r="Q41">
        <f>Q39*Q40</f>
        <v>3.7088000000000001</v>
      </c>
      <c r="R41"/>
      <c r="S41" s="238"/>
      <c r="W41" s="231"/>
    </row>
    <row r="42" spans="2:23" s="230" customFormat="1" ht="17.399999999999999" x14ac:dyDescent="0.35">
      <c r="K42" s="250"/>
      <c r="L42" s="254" t="s">
        <v>34</v>
      </c>
      <c r="M42" s="12"/>
      <c r="N42" s="255">
        <f>N41*2.3</f>
        <v>268541.47259999998</v>
      </c>
      <c r="O42" s="14" t="s">
        <v>141</v>
      </c>
      <c r="P42" s="14"/>
      <c r="Q42" s="40">
        <f>O33/Q41</f>
        <v>0.81329055220017266</v>
      </c>
      <c r="R42"/>
      <c r="S42" s="257"/>
    </row>
    <row r="43" spans="2:23" s="230" customFormat="1" ht="17.399999999999999" x14ac:dyDescent="0.35">
      <c r="G43"/>
      <c r="H43" s="260"/>
      <c r="I43" s="260"/>
      <c r="J43" s="230">
        <v>48209</v>
      </c>
      <c r="K43" s="250"/>
      <c r="L43" s="14"/>
      <c r="M43" s="12"/>
      <c r="N43" s="12">
        <f>N42/O31</f>
        <v>106834.9794120806</v>
      </c>
      <c r="O43" s="45" t="s">
        <v>25</v>
      </c>
      <c r="P43" s="14"/>
      <c r="Q43" s="14"/>
      <c r="R43"/>
      <c r="S43" s="238"/>
      <c r="T43" s="59" t="s">
        <v>159</v>
      </c>
      <c r="U43" s="313">
        <v>43650</v>
      </c>
    </row>
    <row r="44" spans="2:23" s="230" customFormat="1" ht="17.399999999999999" x14ac:dyDescent="0.35">
      <c r="G44"/>
      <c r="H44" s="230" t="s">
        <v>165</v>
      </c>
      <c r="J44" s="230">
        <f>J43/1.19</f>
        <v>40511.764705882357</v>
      </c>
      <c r="K44" s="250"/>
      <c r="L44" s="13"/>
      <c r="M44" s="14"/>
      <c r="N44" s="17">
        <f>N42/N41</f>
        <v>2.2999999999999998</v>
      </c>
      <c r="O44" s="15"/>
      <c r="P44"/>
      <c r="Q44"/>
      <c r="R44"/>
      <c r="S44" s="238"/>
      <c r="T44" s="59" t="s">
        <v>161</v>
      </c>
      <c r="U44" s="314" t="s">
        <v>160</v>
      </c>
      <c r="V44" s="59">
        <v>2.4</v>
      </c>
    </row>
    <row r="45" spans="2:23" s="230" customFormat="1" ht="17.399999999999999" x14ac:dyDescent="0.35">
      <c r="G45" s="23"/>
      <c r="K45" s="12"/>
      <c r="S45" s="238"/>
      <c r="T45" s="59" t="s">
        <v>162</v>
      </c>
      <c r="U45" s="315">
        <v>395.37</v>
      </c>
    </row>
    <row r="46" spans="2:23" s="230" customFormat="1" ht="17.399999999999999" x14ac:dyDescent="0.35">
      <c r="B46"/>
      <c r="C46" s="228"/>
      <c r="D46" s="22"/>
      <c r="E46" s="22"/>
      <c r="F46" s="21"/>
      <c r="G46" s="23"/>
      <c r="K46" s="12"/>
      <c r="S46" s="238"/>
      <c r="T46" s="59" t="s">
        <v>157</v>
      </c>
      <c r="U46" s="59">
        <v>474.45</v>
      </c>
    </row>
    <row r="47" spans="2:23" ht="14.4" customHeight="1" x14ac:dyDescent="0.3">
      <c r="K47" s="12"/>
      <c r="T47" s="59"/>
      <c r="U47" s="59"/>
    </row>
    <row r="48" spans="2:23" x14ac:dyDescent="0.3">
      <c r="K48" s="250"/>
    </row>
    <row r="49" spans="11:19" x14ac:dyDescent="0.3">
      <c r="K49" s="250"/>
      <c r="S49" s="270"/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27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149</v>
      </c>
    </row>
    <row r="79" spans="3:14" x14ac:dyDescent="0.3">
      <c r="C79" t="s">
        <v>148</v>
      </c>
    </row>
    <row r="82" spans="3:3" x14ac:dyDescent="0.3">
      <c r="C82" t="s">
        <v>148</v>
      </c>
    </row>
    <row r="159" spans="3:3" x14ac:dyDescent="0.3">
      <c r="C159" t="s">
        <v>148</v>
      </c>
    </row>
    <row r="160" spans="3:3" x14ac:dyDescent="0.3">
      <c r="C160" t="s">
        <v>150</v>
      </c>
    </row>
    <row r="161" spans="3:3" x14ac:dyDescent="0.3">
      <c r="C161" t="s">
        <v>151</v>
      </c>
    </row>
    <row r="586" spans="3:3" x14ac:dyDescent="0.3">
      <c r="C586" t="s">
        <v>148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45333</v>
      </c>
    </row>
    <row r="6" spans="2:31" ht="16.2" thickBot="1" x14ac:dyDescent="0.35">
      <c r="B6" s="140" t="s">
        <v>2</v>
      </c>
      <c r="C6" s="139" t="str">
        <f>'2229'!C10</f>
        <v>JUAN GALLEGUILLOS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10661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-51774.238816787438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'2229'!H29</f>
        <v>418541</v>
      </c>
      <c r="E11" s="132">
        <f>D11*0.19</f>
        <v>79522.790000000008</v>
      </c>
      <c r="F11" s="131">
        <f>E11+D11</f>
        <v>498063.79000000004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54215.761183212562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65391.252787439611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36215.761183212562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353149.74721256038</v>
      </c>
      <c r="E13" s="221">
        <f>(D11/D12)-1</f>
        <v>5.4005655521007787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27215.761183212562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-11784.238816787438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107895.56709927536</v>
      </c>
      <c r="F15" s="216">
        <f>E15-D12</f>
        <v>42504.314311835748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-11784.238816787438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28215.761183212562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'2229'!N36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10557.162</v>
      </c>
      <c r="E20" s="121">
        <f>D20*0.19</f>
        <v>2005.86078</v>
      </c>
      <c r="F20" s="120">
        <f>SUM(D20:E20)</f>
        <v>12563.022779999999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35557.161999999997</v>
      </c>
      <c r="E21" s="116">
        <f>SUM(E18:E20)</f>
        <v>6755.86078</v>
      </c>
      <c r="F21" s="115">
        <f>SUM(F18:F20)</f>
        <v>42313.022779999999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72766.929220000005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418541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35557.161999999997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353149.74721256038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353149.74721256038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2024-01-24T19:51:52Z</cp:lastPrinted>
  <dcterms:created xsi:type="dcterms:W3CDTF">2013-03-18T13:35:42Z</dcterms:created>
  <dcterms:modified xsi:type="dcterms:W3CDTF">2024-03-12T12:03:21Z</dcterms:modified>
</cp:coreProperties>
</file>