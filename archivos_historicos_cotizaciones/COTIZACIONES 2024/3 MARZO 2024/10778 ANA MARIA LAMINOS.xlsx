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E26F434F-21B6-4B95-B71E-7F13B965A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N22" i="1" l="1"/>
  <c r="O22" i="1" s="1"/>
  <c r="K21" i="1" l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P22" i="1" s="1"/>
  <c r="E15" i="3"/>
  <c r="Q22" i="1" l="1"/>
  <c r="G22" i="1"/>
  <c r="H22" i="1" s="1"/>
  <c r="P21" i="1"/>
  <c r="G21" i="1" s="1"/>
  <c r="F15" i="3"/>
  <c r="Q21" i="1" l="1"/>
  <c r="H21" i="1" s="1"/>
  <c r="R26" i="1"/>
  <c r="H24" i="1" l="1"/>
  <c r="K15" i="1" s="1"/>
  <c r="H26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<sst xmlns="http://schemas.openxmlformats.org/spreadsheetml/2006/main" count="221" uniqueCount="165">
  <si>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</si>
  <si>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</si>
  <si>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</si>
  <si>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</si>
  <si>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</si>
  <si>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</si>
  <si>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</si>
  <si>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</si>
  <si>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</si>
  <si>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</si>
  <si>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</si>
  <si>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</si>
  <si>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</si>
  <si>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</si>
  <si>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</si>
  <si>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</si>
  <si>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</si>
  <si>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</si>
  <si>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</si>
  <si>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</si>
  <si>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</si>
  <si>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</si>
  <si>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</si>
  <si>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</si>
  <si>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</si>
  <si>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</si>
  <si>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</si>
  <si>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</si>
  <si>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</si>
  <si>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</si>
  <si>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</si>
  <si>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</si>
  <si>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</si>
  <si>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</si>
  <si>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</si>
  <si>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</si>
  <si>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</si>
  <si>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</si>
  <si>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</si>
  <si>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</si>
  <si>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</si>
  <si>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</si>
  <si>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</si>
  <si>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</si>
  <si>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</si>
  <si>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</si>
  <si>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</si>
  <si>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</si>
  <si>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</si>
  <si>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</si>
  <si>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</si>
  <si>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</si>
  <si>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</si>
  <si>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</si>
  <si>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</si>
  <si>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</si>
  <si>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</si>
  <si>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</si>
  <si>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</si>
  <si>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</si>
  <si>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</si>
  <si>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</si>
  <si>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</si>
  <si>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</si>
  <si>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</si>
  <si>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</si>
  <si>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</si>
  <si>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</si>
  <si>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</si>
  <si>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</si>
  <si>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</si>
  <si>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</si>
  <si>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</si>
  <si>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</si>
  <si>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</si>
  <si>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</si>
  <si>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</si>
  <si>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</si>
  <si>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</si>
  <si>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</si>
  <si>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</si>
  <si>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</si>
  <si>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</si>
  <si>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</si>
  <si>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</si>
  <si>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</si>
  <si>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</si>
  <si>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</si>
  <si>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</si>
  <si>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</si>
  <si>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</si>
  <si>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</si>
  <si>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</si>
  <si>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</si>
  <si>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</si>
  <si>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</si>
  <si>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</si>
  <si>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</si>
  <si>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</si>
  <si>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</si>
  <si>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</si>
  <si>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</si>
  <si>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</si>
  <si>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</si>
  <si>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</si>
  <si>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</si>
  <si>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</si>
  <si>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</si>
  <si>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</si>
  <si>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</si>
  <si>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</si>
  <si>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</si>
  <si>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</si>
  <si>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</si>
  <si>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</si>
  <si>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</si>
  <si>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</si>
  <si>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</si>
  <si>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</si>
  <si>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</si>
  <si>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</si>
  <si>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</si>
  <si>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</si>
  <si>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</si>
  <si>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</si>
  <si>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</si>
  <si>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</si>
  <si>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</si>
  <si>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</si>
  <si>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</si>
  <si>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</si>
  <si>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</si>
  <si>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</si>
  <si>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</si>
  <si>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</si>
  <si>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</si>
  <si>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</si>
  <si>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</si>
  <si>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</si>
  <si>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</si>
  <si>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</si>
  <si>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</si>
  <si>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</si>
  <si>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</si>
  <si>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</si>
  <si>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</si>
  <si>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</si>
  <si>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</si>
  <si>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</si>
  <si>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</si>
  <si>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</si>
  <si>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</si>
  <si>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</si>
  <si>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</si>
  <si>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</si>
  <si>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</si>
  <si>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</si>
  <si>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</si>
  <si>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ANA MARIA LAMINOS</t>
  </si>
  <si>
    <t>5 DIAS HABILES</t>
  </si>
  <si>
    <t>+569 63008207</t>
  </si>
  <si>
    <t>PIETRA ADOBE 2716 BR</t>
  </si>
  <si>
    <t>CUB MESA R2 2 LADOS</t>
  </si>
  <si>
    <t>CUB MESA R2 LADO LARGO Y R6 LADO CORTO</t>
  </si>
  <si>
    <t>N° 10778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</si>
</sst>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0" xfId="0" quotePrefix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7776</xdr:rowOff>
    </xdr:from>
    <xdr:to>
      <xdr:col>8</xdr:col>
      <xdr:colOff>7776</xdr:colOff>
      <xdr:row>31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470974" y="5722776"/>
          <a:ext cx="2012108" cy="6739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22</xdr:row>
      <xdr:rowOff>169545</xdr:rowOff>
    </xdr:from>
    <xdr:to>
      <xdr:col>5</xdr:col>
      <xdr:colOff>1764030</xdr:colOff>
      <xdr:row>26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</a:t>
          </a:r>
          <a:endParaRPr lang="es-CL" sz="1200" b="1"/>
        </a:p>
        <a:p>
          <a:pPr algn="l"/>
          <a:r>
            <a:rPr lang="es-CL" sz="1200" b="1"/>
            <a:t>MEDIDAS</a:t>
          </a:r>
          <a:r>
            <a:rPr lang="es-CL" sz="1200" b="1" baseline="0"/>
            <a:t> INTERIORES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B2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55.777343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4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45376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324" t="s">
        <v>160</v>
      </c>
      <c r="D13" s="247"/>
      <c r="E13" s="247"/>
      <c r="F13" s="247"/>
      <c r="G13" s="278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8" t="s">
        <v>141</v>
      </c>
      <c r="C14" s="306">
        <v>7777</v>
      </c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/>
      <c r="D15" s="295"/>
      <c r="E15" s="247"/>
      <c r="F15" s="247" t="s">
        <v>136</v>
      </c>
      <c r="G15" s="296" t="s">
        <v>137</v>
      </c>
      <c r="H15" s="248"/>
      <c r="K15" s="18">
        <f>H24/L13</f>
        <v>13840.987202046614</v>
      </c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5" t="s">
        <v>155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149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111744.37158469947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5">
        <v>1</v>
      </c>
      <c r="C21" s="315" t="s">
        <v>162</v>
      </c>
      <c r="D21" s="322">
        <v>3</v>
      </c>
      <c r="E21" s="322">
        <v>1.2</v>
      </c>
      <c r="F21" s="315" t="s">
        <v>161</v>
      </c>
      <c r="G21" s="323">
        <f>P21</f>
        <v>408984.4</v>
      </c>
      <c r="H21" s="323">
        <f t="shared" ref="H21" si="1">G21*B21</f>
        <v>408984.4</v>
      </c>
      <c r="I21" s="265"/>
      <c r="J21" s="47"/>
      <c r="K21" s="317">
        <f t="shared" si="0"/>
        <v>1</v>
      </c>
      <c r="L21" s="318">
        <f t="shared" ref="L21:M21" si="2">D21+L$19</f>
        <v>3.05</v>
      </c>
      <c r="M21" s="318">
        <f t="shared" si="2"/>
        <v>1.2</v>
      </c>
      <c r="N21" s="261">
        <f>L21*M21</f>
        <v>3.6599999999999997</v>
      </c>
      <c r="O21" s="259">
        <f>N21*K21</f>
        <v>3.6599999999999997</v>
      </c>
      <c r="P21" s="252">
        <f>P$20*N21</f>
        <v>408984.4</v>
      </c>
      <c r="Q21" s="258">
        <f>P21+Q$20</f>
        <v>411984.4</v>
      </c>
      <c r="R21" s="308">
        <f>K21*L21</f>
        <v>3.05</v>
      </c>
      <c r="S21" s="14"/>
      <c r="T21" s="9"/>
      <c r="W21" s="4"/>
    </row>
    <row r="22" spans="2:24" ht="17.399999999999999" x14ac:dyDescent="0.3">
      <c r="B22" s="315">
        <v>1</v>
      </c>
      <c r="C22" s="315" t="s">
        <v>163</v>
      </c>
      <c r="D22" s="322">
        <v>0.8</v>
      </c>
      <c r="E22" s="322">
        <v>0.5</v>
      </c>
      <c r="F22" s="315" t="s">
        <v>161</v>
      </c>
      <c r="G22" s="323">
        <f>P22</f>
        <v>47491.357923497279</v>
      </c>
      <c r="H22" s="323">
        <f t="shared" ref="H22" si="3">G22*B22</f>
        <v>47491.357923497279</v>
      </c>
      <c r="I22" s="265"/>
      <c r="J22" s="47"/>
      <c r="K22" s="317">
        <f t="shared" ref="K22" si="4">B22</f>
        <v>1</v>
      </c>
      <c r="L22" s="318">
        <f t="shared" ref="L22" si="5">D22+L$19</f>
        <v>0.85000000000000009</v>
      </c>
      <c r="M22" s="318">
        <f t="shared" ref="M22" si="6">E22+M$19</f>
        <v>0.5</v>
      </c>
      <c r="N22" s="261">
        <f>L22*M22</f>
        <v>0.42500000000000004</v>
      </c>
      <c r="O22" s="259">
        <f>N22*K22</f>
        <v>0.42500000000000004</v>
      </c>
      <c r="P22" s="252">
        <f>P$20*N22</f>
        <v>47491.357923497279</v>
      </c>
      <c r="Q22" s="258">
        <f>P22+Q$20</f>
        <v>50491.357923497279</v>
      </c>
      <c r="R22" s="308">
        <f>K22*L22</f>
        <v>0.85000000000000009</v>
      </c>
      <c r="S22" s="14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30</v>
      </c>
      <c r="H24" s="310">
        <f>SUM(H21:H23)</f>
        <v>456475.75792349729</v>
      </c>
      <c r="I24" s="265"/>
      <c r="J24" s="47"/>
      <c r="K24" s="47"/>
      <c r="L24" s="39">
        <f>SUM(L21:L23)</f>
        <v>3.9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/>
      <c r="I25" s="265"/>
      <c r="J25" s="47"/>
      <c r="K25" s="47"/>
      <c r="L25" s="39"/>
      <c r="M25" s="12"/>
      <c r="N25" s="12"/>
      <c r="O25" s="253">
        <f>SUM(O21:O21)</f>
        <v>3.6599999999999997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456475.75792349729</v>
      </c>
      <c r="I26" s="265"/>
      <c r="J26" s="47"/>
      <c r="K26" s="47"/>
      <c r="L26" s="39"/>
      <c r="M26" s="12"/>
      <c r="N26" s="12"/>
      <c r="O26" s="253">
        <f>O25</f>
        <v>3.6599999999999997</v>
      </c>
      <c r="P26" s="14"/>
      <c r="Q26" s="12"/>
      <c r="R26" s="238">
        <f>SUM(R21:R25)</f>
        <v>3.9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/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3"/>
      <c r="K28" s="47"/>
      <c r="L28" s="14"/>
      <c r="M28" s="12"/>
      <c r="N28" s="12"/>
      <c r="O28" s="46">
        <f>O26+O27</f>
        <v>3.6599999999999997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O28</f>
        <v>3.6599999999999997</v>
      </c>
      <c r="M30" s="12">
        <v>3500</v>
      </c>
      <c r="N30" s="12">
        <f t="shared" ref="N30:N35" si="7">L30*M30</f>
        <v>12809.999999999998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0.6</v>
      </c>
      <c r="M31" s="12">
        <v>30000</v>
      </c>
      <c r="N31" s="12">
        <f t="shared" si="7"/>
        <v>18000</v>
      </c>
      <c r="O31" s="39" t="s">
        <v>156</v>
      </c>
      <c r="P31" s="42"/>
      <c r="Q31" s="14"/>
      <c r="R31" s="239"/>
      <c r="S31" s="14"/>
      <c r="T31" s="9"/>
      <c r="W31" s="4"/>
    </row>
    <row r="32" spans="2:24" s="230" customFormat="1" ht="17.399999999999999" x14ac:dyDescent="0.35">
      <c r="I32" s="262"/>
      <c r="J32" s="47"/>
      <c r="K32" s="250"/>
      <c r="L32" s="14">
        <v>2</v>
      </c>
      <c r="M32" s="250">
        <v>77546</v>
      </c>
      <c r="N32" s="12">
        <f t="shared" si="7"/>
        <v>155092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153</v>
      </c>
      <c r="I33" s="262"/>
      <c r="J33" s="312"/>
      <c r="K33" s="250"/>
      <c r="L33" s="14"/>
      <c r="M33" s="250">
        <v>45930</v>
      </c>
      <c r="N33" s="12">
        <f t="shared" si="7"/>
        <v>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2"/>
      <c r="K34" s="250"/>
      <c r="L34" s="249"/>
      <c r="M34" s="250">
        <v>800</v>
      </c>
      <c r="N34" s="12">
        <f t="shared" si="7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/>
      <c r="M35" s="12">
        <v>1500</v>
      </c>
      <c r="N35" s="12">
        <f t="shared" si="7"/>
        <v>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185902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68410</v>
      </c>
      <c r="K37" s="250"/>
      <c r="L37" s="254" t="s">
        <v>35</v>
      </c>
      <c r="M37" s="12"/>
      <c r="N37" s="255">
        <f>N36*2.2</f>
        <v>408984.4</v>
      </c>
      <c r="O37" s="14" t="s">
        <v>142</v>
      </c>
      <c r="P37" s="14"/>
      <c r="Q37" s="46">
        <f>O26/Q36</f>
        <v>0.54644808743169382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57487.394957983197</v>
      </c>
      <c r="K38" s="250"/>
      <c r="L38" s="14"/>
      <c r="M38" s="12"/>
      <c r="N38" s="12">
        <f>N37/O26</f>
        <v>111744.37158469947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0.79999999999999993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4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45376</v>
      </c>
    </row>
    <row r="6" spans="2:31" ht="16.2" thickBot="1" x14ac:dyDescent="0.35">
      <c r="B6" s="140" t="s">
        <v>2</v>
      </c>
      <c r="C6" s="139" t="str">
        <f>'2229'!C10</f>
        <v>ANA MARIA LAMINOS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10778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-16751.868020703656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456475.75792349729</v>
      </c>
      <c r="E11" s="132">
        <f>D11*0.19</f>
        <v>86730.394005464492</v>
      </c>
      <c r="F11" s="131">
        <f>E11+D11</f>
        <v>543206.15192896174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89238.131979296348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215736.09078743961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71238.131979296348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240739.66713605769</v>
      </c>
      <c r="E13" s="221">
        <f>(D11/D12)-1</f>
        <v>1.1158989034118245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62238.131979296348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23238.131979296344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355964.54979927535</v>
      </c>
      <c r="F15" s="216">
        <f>E15-D12</f>
        <v>140228.45901183574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23238.131979296344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63238.131979296348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155092</v>
      </c>
      <c r="E18" s="123">
        <f>D18*0.19</f>
        <v>29467.48</v>
      </c>
      <c r="F18" s="120">
        <f>SUM(D18:E18)</f>
        <v>184559.48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12809.999999999998</v>
      </c>
      <c r="E20" s="121">
        <f>D20*0.19</f>
        <v>2433.8999999999996</v>
      </c>
      <c r="F20" s="120">
        <f>SUM(D20:E20)</f>
        <v>15243.899999999998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185902</v>
      </c>
      <c r="E21" s="116">
        <f>SUM(E18:E20)</f>
        <v>35321.379999999997</v>
      </c>
      <c r="F21" s="115">
        <f>SUM(F18:F20)</f>
        <v>221223.38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51409.014005464494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456475.75792349729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185902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240739.66713605769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240739.66713605769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2024-03-25T15:47:42Z</cp:lastPrinted>
  <dcterms:created xsi:type="dcterms:W3CDTF">2013-03-18T13:35:42Z</dcterms:created>
  <dcterms:modified xsi:type="dcterms:W3CDTF">2024-04-01T21:35:03Z</dcterms:modified>
</cp:coreProperties>
</file>