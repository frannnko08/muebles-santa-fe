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519FA7CA-D3E0-4DF2-8414-8A8603686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N36" i="1"/>
  <c r="K21" i="1"/>
  <c r="J38" i="1"/>
  <c r="L21" i="1"/>
  <c r="M21" i="1"/>
  <c r="L23" i="1" l="1"/>
  <c r="S21" i="1"/>
  <c r="R21" i="1"/>
  <c r="N21" i="1"/>
  <c r="O21" i="1" s="1"/>
  <c r="O24" i="1" s="1"/>
  <c r="U31" i="1"/>
  <c r="U32" i="1" s="1"/>
  <c r="R25" i="1" l="1"/>
  <c r="N30" i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H21" i="1" s="1"/>
  <c r="H23" i="1" s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<sst xmlns="http://schemas.openxmlformats.org/spreadsheetml/2006/main" count="231" uniqueCount="176">
  <si>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</si>
  <si>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</si>
  <si>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</si>
  <si>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</si>
  <si>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</si>
  <si>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</si>
  <si>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</si>
  <si>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</si>
  <si>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</si>
  <si>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</si>
  <si>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</si>
  <si>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</si>
  <si>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</si>
  <si>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</si>
  <si>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</si>
  <si>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</si>
  <si>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</si>
  <si>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</si>
  <si>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</si>
  <si>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</si>
  <si>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</si>
  <si>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</si>
  <si>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</si>
  <si>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</si>
  <si>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</si>
  <si>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</si>
  <si>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</si>
  <si>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</si>
  <si>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</si>
  <si>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</si>
  <si>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</si>
  <si>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</si>
  <si>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</si>
  <si>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</si>
  <si>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</si>
  <si>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</si>
  <si>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</si>
  <si>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</si>
  <si>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</si>
  <si>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</si>
  <si>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</si>
  <si>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</si>
  <si>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</si>
  <si>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</si>
  <si>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</si>
  <si>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</si>
  <si>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</si>
  <si>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</si>
  <si>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</si>
  <si>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</si>
  <si>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</si>
  <si>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</si>
  <si>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</si>
  <si>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</si>
  <si>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</si>
  <si>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</si>
  <si>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</si>
  <si>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</si>
  <si>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</si>
  <si>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</si>
  <si>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</si>
  <si>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</si>
  <si>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</si>
  <si>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</si>
  <si>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</si>
  <si>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</si>
  <si>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</si>
  <si>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</si>
  <si>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</si>
  <si>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</si>
  <si>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</si>
  <si>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</si>
  <si>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</si>
  <si>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</si>
  <si>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</si>
  <si>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</si>
  <si>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</si>
  <si>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</si>
  <si>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</si>
  <si>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</si>
  <si>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</si>
  <si>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</si>
  <si>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</si>
  <si>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</si>
  <si>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</si>
  <si>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</si>
  <si>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</si>
  <si>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</si>
  <si>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</si>
  <si>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</si>
  <si>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</si>
  <si>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</si>
  <si>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</si>
  <si>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</si>
  <si>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</si>
  <si>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</si>
  <si>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</si>
  <si>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</si>
  <si>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</si>
  <si>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</si>
  <si>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</si>
  <si>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</si>
  <si>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</si>
  <si>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</si>
  <si>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</si>
  <si>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</si>
  <si>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</si>
  <si>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</si>
  <si>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</si>
  <si>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</si>
  <si>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</si>
  <si>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</si>
  <si>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</si>
  <si>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</si>
  <si>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</si>
  <si>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</si>
  <si>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</si>
  <si>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</si>
  <si>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</si>
  <si>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</si>
  <si>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</si>
  <si>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</si>
  <si>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</si>
  <si>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</si>
  <si>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</si>
  <si>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</si>
  <si>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</si>
  <si>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</si>
  <si>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</si>
  <si>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</si>
  <si>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</si>
  <si>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</si>
  <si>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</si>
  <si>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</si>
  <si>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</si>
  <si>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</si>
  <si>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</si>
  <si>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</si>
  <si>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</si>
  <si>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</si>
  <si>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</si>
  <si>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</si>
  <si>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</si>
  <si>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</si>
  <si>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</si>
  <si>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</si>
  <si>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</si>
  <si>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</si>
  <si>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</si>
  <si>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</si>
  <si>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</si>
  <si>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</si>
  <si>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</si>
  <si>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</si>
  <si>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</si>
  <si>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</si>
  <si>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</si>
  <si>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</si>
  <si>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</si>
  <si>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</si>
  <si>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</si>
  <si>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</si>
  <si>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</si>
  <si>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</si>
  <si>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</si>
  <si>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</si>
  <si>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</si>
  <si>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</si>
  <si>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>SI</t>
  </si>
  <si>
    <t>N° 10662</t>
  </si>
  <si>
    <t xml:space="preserve">FEMENIAS </t>
  </si>
  <si>
    <t>CHRISTIAN FEMENIAS</t>
  </si>
  <si>
    <t>VIÑA DEL MAR</t>
  </si>
  <si>
    <r>
      <t>  56</t>
    </r>
    <r>
      <rPr>
        <i/>
        <sz val="11"/>
        <color theme="1"/>
        <rFont val="Arial"/>
        <family val="2"/>
      </rPr>
      <t>997278419</t>
    </r>
  </si>
  <si>
    <t>CUB MESA R6 3 LADOS</t>
  </si>
  <si>
    <t>GREY NEBULA 4622-60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</si>
</sst>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i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6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CON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3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3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170</v>
      </c>
      <c r="D10" s="243"/>
      <c r="E10" s="243"/>
      <c r="F10" s="244" t="s">
        <v>0</v>
      </c>
      <c r="G10" s="277">
        <v>45333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171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168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173</v>
      </c>
      <c r="D15" s="295"/>
      <c r="E15" s="247"/>
      <c r="F15" s="247" t="s">
        <v>135</v>
      </c>
      <c r="G15" s="296" t="s">
        <v>168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172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110669.90990990991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1</v>
      </c>
      <c r="C21" s="324" t="s">
        <v>174</v>
      </c>
      <c r="D21" s="325">
        <v>1.8</v>
      </c>
      <c r="E21" s="325">
        <v>0.6</v>
      </c>
      <c r="F21" s="324" t="s">
        <v>175</v>
      </c>
      <c r="G21" s="326">
        <v>122844</v>
      </c>
      <c r="H21" s="327">
        <f>G21*B21</f>
        <v>122844</v>
      </c>
      <c r="I21" s="265"/>
      <c r="J21" s="47"/>
      <c r="K21" s="47">
        <f>B21</f>
        <v>1</v>
      </c>
      <c r="L21" s="39">
        <f t="shared" ref="L21" si="1">D21+L$19</f>
        <v>1.85</v>
      </c>
      <c r="M21" s="39">
        <f t="shared" ref="M21" si="2">E21+M$19</f>
        <v>0.6</v>
      </c>
      <c r="N21" s="261">
        <f t="shared" ref="N21" si="3">L21*M21</f>
        <v>1.1100000000000001</v>
      </c>
      <c r="O21" s="259">
        <f t="shared" ref="O21" si="4">N21*K21</f>
        <v>1.1100000000000001</v>
      </c>
      <c r="P21" s="252">
        <f t="shared" ref="P21" si="5">P$20*N21</f>
        <v>122843.6</v>
      </c>
      <c r="Q21" s="258">
        <f t="shared" ref="Q21" si="6">P21+Q$20</f>
        <v>125843.6</v>
      </c>
      <c r="R21" s="309">
        <f>L21*K21*2</f>
        <v>3.7</v>
      </c>
      <c r="S21" s="46">
        <f>M21*K21*2</f>
        <v>1.2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0" t="s">
        <v>29</v>
      </c>
      <c r="H23" s="311">
        <f>SUM(H21:H21)</f>
        <v>122844</v>
      </c>
      <c r="I23" s="265"/>
      <c r="J23" s="47"/>
      <c r="K23" s="47"/>
      <c r="L23" s="39">
        <f>SUM(L21:L22)</f>
        <v>1.85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>
        <f>H23*19%</f>
        <v>23340.36</v>
      </c>
      <c r="I24" s="265"/>
      <c r="J24" s="47"/>
      <c r="K24" s="47"/>
      <c r="L24" s="39"/>
      <c r="M24" s="12"/>
      <c r="N24" s="12"/>
      <c r="O24" s="253">
        <f>SUM(O21:O21)</f>
        <v>1.1100000000000001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146184.35999999999</v>
      </c>
      <c r="I25" s="265"/>
      <c r="J25" s="47"/>
      <c r="K25" s="47"/>
      <c r="L25" s="39"/>
      <c r="M25" s="12"/>
      <c r="N25" s="12"/>
      <c r="O25" s="253">
        <f>O24</f>
        <v>1.1100000000000001</v>
      </c>
      <c r="P25" s="14"/>
      <c r="Q25" s="12"/>
      <c r="R25" s="239">
        <f>SUM(R21:R24)</f>
        <v>3.7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0.22200000000000003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1.3320000000000001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6" t="s">
        <v>22</v>
      </c>
      <c r="U28" s="313" t="s">
        <v>153</v>
      </c>
      <c r="V28" s="317">
        <v>44971</v>
      </c>
      <c r="W28" s="31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1.3320000000000001</v>
      </c>
      <c r="M29" s="12">
        <v>3500</v>
      </c>
      <c r="N29" s="12">
        <f t="shared" ref="N29:N34" si="7">L29*M29</f>
        <v>4662</v>
      </c>
      <c r="O29" s="14" t="s">
        <v>22</v>
      </c>
      <c r="P29" s="14"/>
      <c r="Q29" s="14"/>
      <c r="R29" s="241"/>
      <c r="S29" s="14"/>
      <c r="T29" s="316" t="s">
        <v>154</v>
      </c>
      <c r="U29" s="313">
        <v>3625</v>
      </c>
      <c r="V29" s="59" t="s">
        <v>155</v>
      </c>
      <c r="W29" s="31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0.4</v>
      </c>
      <c r="M30" s="12">
        <v>25000</v>
      </c>
      <c r="N30" s="12">
        <f t="shared" si="7"/>
        <v>10000</v>
      </c>
      <c r="O30" s="39" t="s">
        <v>32</v>
      </c>
      <c r="P30" s="42"/>
      <c r="Q30" s="14"/>
      <c r="R30" s="240"/>
      <c r="S30" s="14"/>
      <c r="T30" s="316"/>
      <c r="U30" s="59">
        <v>906.25</v>
      </c>
      <c r="V30" s="59" t="s">
        <v>156</v>
      </c>
      <c r="W30" s="318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41176</v>
      </c>
      <c r="N32" s="12">
        <f t="shared" si="7"/>
        <v>41176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/>
      <c r="M34" s="12">
        <v>1500</v>
      </c>
      <c r="N34" s="12">
        <f t="shared" si="7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55838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N35*2.2</f>
        <v>122843.6</v>
      </c>
      <c r="O36" s="14" t="s">
        <v>141</v>
      </c>
      <c r="P36" s="14"/>
      <c r="Q36" s="40">
        <f>O27/Q35</f>
        <v>0.35914581535806733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49000</v>
      </c>
      <c r="K37" s="250"/>
      <c r="L37" s="14"/>
      <c r="M37" s="12"/>
      <c r="N37" s="12">
        <f>N36/O25</f>
        <v>110669.90990990991</v>
      </c>
      <c r="O37" s="45" t="s">
        <v>25</v>
      </c>
      <c r="P37" s="14"/>
      <c r="Q37" s="14"/>
      <c r="R37"/>
      <c r="S37" s="238"/>
      <c r="T37" s="59" t="s">
        <v>159</v>
      </c>
      <c r="U37" s="31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41176.470588235294</v>
      </c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161</v>
      </c>
      <c r="U38" s="31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1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45333</v>
      </c>
    </row>
    <row r="6" spans="2:31" ht="16.2" thickBot="1" x14ac:dyDescent="0.35">
      <c r="B6" s="140" t="s">
        <v>2</v>
      </c>
      <c r="C6" s="139" t="str">
        <f>'2229'!C10</f>
        <v xml:space="preserve">FEMENIAS 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10662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-8237.5750334541062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122844</v>
      </c>
      <c r="E11" s="132">
        <f>D11*0.19</f>
        <v>23340.36</v>
      </c>
      <c r="F11" s="131">
        <f>E11+D11</f>
        <v>146184.35999999999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97752.424966545892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44496.090787439614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79752.424966545892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78347.909212560393</v>
      </c>
      <c r="E13" s="221">
        <f>(D11/D12)-1</f>
        <v>1.7607818535527731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70752.424966545892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31752.424966545892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73418.549799275366</v>
      </c>
      <c r="F15" s="216">
        <f>E15-D12</f>
        <v>28922.459011835752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31752.424966545892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71752.424966545892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4662</v>
      </c>
      <c r="E20" s="121">
        <f>D20*0.19</f>
        <v>885.78</v>
      </c>
      <c r="F20" s="120">
        <f>SUM(D20:E20)</f>
        <v>5547.78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14662</v>
      </c>
      <c r="E21" s="116">
        <f>SUM(E18:E20)</f>
        <v>2785.7799999999997</v>
      </c>
      <c r="F21" s="115">
        <f>SUM(F18:F20)</f>
        <v>17447.78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20554.580000000002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122844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14662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78347.909212560393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78347.909212560393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2024-01-24T19:51:52Z</cp:lastPrinted>
  <dcterms:created xsi:type="dcterms:W3CDTF">2013-03-18T13:35:42Z</dcterms:created>
  <dcterms:modified xsi:type="dcterms:W3CDTF">2024-03-12T13:56:00Z</dcterms:modified>
</cp:coreProperties>
</file>