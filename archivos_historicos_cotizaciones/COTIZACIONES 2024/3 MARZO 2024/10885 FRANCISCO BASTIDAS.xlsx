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8AF618AB-12A7-4FBD-B522-DFE5E5912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O26" i="1" l="1"/>
  <c r="M22" i="1"/>
  <c r="L22" i="1"/>
  <c r="N22" i="1" s="1"/>
  <c r="K22" i="1"/>
  <c r="R22" i="1" s="1"/>
  <c r="H22" i="1"/>
  <c r="K21" i="1"/>
  <c r="O22" i="1" l="1"/>
  <c r="J39" i="1"/>
  <c r="L21" i="1" l="1"/>
  <c r="L25" i="1" s="1"/>
  <c r="M21" i="1"/>
  <c r="N21" i="1" l="1"/>
  <c r="O21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H21" i="1" s="1"/>
  <c r="R27" i="1"/>
  <c r="H25" i="1" l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<sst xmlns="http://schemas.openxmlformats.org/spreadsheetml/2006/main" count="220" uniqueCount="164">
  <si>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</si>
  <si>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</si>
  <si>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</si>
  <si>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</si>
  <si>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</si>
  <si>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</si>
  <si>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</si>
  <si>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</si>
  <si>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</si>
  <si>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</si>
  <si>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</si>
  <si>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</si>
  <si>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</si>
  <si>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</si>
  <si>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</si>
  <si>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</si>
  <si>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</si>
  <si>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</si>
  <si>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</si>
  <si>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</si>
  <si>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</si>
  <si>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</si>
  <si>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</si>
  <si>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</si>
  <si>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</si>
  <si>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</si>
  <si>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</si>
  <si>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</si>
  <si>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</si>
  <si>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</si>
  <si>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</si>
  <si>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</si>
  <si>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</si>
  <si>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</si>
  <si>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</si>
  <si>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</si>
  <si>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</si>
  <si>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</si>
  <si>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</si>
  <si>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</si>
  <si>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</si>
  <si>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</si>
  <si>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</si>
  <si>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</si>
  <si>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</si>
  <si>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</si>
  <si>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</si>
  <si>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</si>
  <si>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</si>
  <si>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</si>
  <si>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</si>
  <si>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</si>
  <si>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</si>
  <si>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</si>
  <si>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</si>
  <si>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</si>
  <si>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</si>
  <si>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</si>
  <si>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</si>
  <si>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</si>
  <si>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</si>
  <si>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</si>
  <si>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</si>
  <si>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</si>
  <si>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</si>
  <si>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</si>
  <si>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</si>
  <si>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</si>
  <si>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</si>
  <si>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</si>
  <si>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</si>
  <si>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</si>
  <si>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</si>
  <si>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</si>
  <si>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</si>
  <si>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</si>
  <si>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</si>
  <si>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</si>
  <si>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</si>
  <si>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</si>
  <si>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</si>
  <si>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</si>
  <si>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</si>
  <si>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</si>
  <si>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</si>
  <si>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</si>
  <si>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</si>
  <si>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</si>
  <si>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</si>
  <si>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</si>
  <si>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</si>
  <si>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</si>
  <si>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</si>
  <si>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</si>
  <si>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</si>
  <si>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</si>
  <si>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</si>
  <si>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</si>
  <si>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</si>
  <si>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</si>
  <si>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</si>
  <si>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</si>
  <si>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</si>
  <si>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</si>
  <si>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</si>
  <si>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</si>
  <si>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</si>
  <si>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</si>
  <si>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</si>
  <si>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</si>
  <si>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</si>
  <si>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</si>
  <si>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</si>
  <si>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</si>
  <si>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</si>
  <si>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</si>
  <si>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</si>
  <si>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</si>
  <si>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</si>
  <si>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</si>
  <si>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</si>
  <si>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</si>
  <si>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</si>
  <si>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</si>
  <si>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</si>
  <si>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</si>
  <si>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</si>
  <si>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</si>
  <si>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</si>
  <si>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</si>
  <si>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</si>
  <si>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</si>
  <si>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</si>
  <si>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</si>
  <si>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</si>
  <si>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</si>
  <si>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</si>
  <si>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</si>
  <si>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</si>
  <si>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</si>
  <si>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</si>
  <si>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</si>
  <si>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</si>
  <si>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</si>
  <si>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</si>
  <si>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</si>
  <si>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</si>
  <si>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</si>
  <si>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</si>
  <si>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</si>
  <si>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</si>
  <si>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</si>
  <si>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</si>
  <si>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</si>
  <si>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</si>
  <si>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</si>
  <si>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</si>
  <si>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</si>
  <si>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</si>
  <si>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C/R 90° R8</t>
  </si>
  <si>
    <t>N° 10885</t>
  </si>
  <si>
    <t>FRANCISCO BASTIDAS</t>
  </si>
  <si>
    <t>+569 8727 9212</t>
  </si>
  <si>
    <t>WHITE MARBLE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</si>
</sst>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baseline="0"/>
            <a:t>SUSTRATO : MDF 18MM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4" zoomScale="98" zoomScaleNormal="98" workbookViewId="0">
      <selection activeCell="B21" sqref="B21:H22"/>
    </sheetView>
  </sheetViews>
  <sheetFormatPr baseColWidth="10" defaultRowHeight="14.4" x14ac:dyDescent="0.3"/>
  <cols>
    <col min="1" max="1" width="6" customWidth="1"/>
    <col min="2" max="2" width="10.5546875" customWidth="1"/>
    <col min="3" max="3" width="2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45379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65920.555555555562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159</v>
      </c>
      <c r="D21" s="313">
        <v>1.9</v>
      </c>
      <c r="E21" s="313">
        <v>0.6</v>
      </c>
      <c r="F21" s="312" t="s">
        <v>163</v>
      </c>
      <c r="G21" s="314">
        <v>80127</v>
      </c>
      <c r="H21" s="315">
        <f t="shared" ref="H21" si="1">G21*B21</f>
        <v>80127</v>
      </c>
      <c r="I21" s="265"/>
      <c r="J21" s="47"/>
      <c r="K21" s="325">
        <f t="shared" si="0"/>
        <v>1</v>
      </c>
      <c r="L21" s="326">
        <f t="shared" ref="L21:M21" si="2">D21+L$19</f>
        <v>1.95</v>
      </c>
      <c r="M21" s="326">
        <f t="shared" si="2"/>
        <v>0.6</v>
      </c>
      <c r="N21" s="261">
        <f>L21*M21</f>
        <v>1.17</v>
      </c>
      <c r="O21" s="259">
        <f>N21*K21</f>
        <v>1.17</v>
      </c>
      <c r="P21" s="252">
        <f>P$20*N21</f>
        <v>77127.05</v>
      </c>
      <c r="Q21" s="258">
        <f>P21+Q$20</f>
        <v>80127.05</v>
      </c>
      <c r="R21" s="308">
        <f>K21*L21</f>
        <v>1.95</v>
      </c>
      <c r="S21" s="14"/>
      <c r="T21" s="9"/>
      <c r="W21" s="4"/>
    </row>
    <row r="22" spans="2:24" ht="17.399999999999999" x14ac:dyDescent="0.3">
      <c r="B22" s="323">
        <v>1</v>
      </c>
      <c r="C22" s="312" t="s">
        <v>159</v>
      </c>
      <c r="D22" s="313">
        <v>2.8</v>
      </c>
      <c r="E22" s="313">
        <v>0.6</v>
      </c>
      <c r="F22" s="312" t="s">
        <v>163</v>
      </c>
      <c r="G22" s="314">
        <v>115724</v>
      </c>
      <c r="H22" s="315">
        <f t="shared" ref="H22" si="3">G22*B22</f>
        <v>115724</v>
      </c>
      <c r="I22" s="265"/>
      <c r="J22" s="47"/>
      <c r="K22" s="325">
        <f t="shared" ref="K22" si="4">B22</f>
        <v>1</v>
      </c>
      <c r="L22" s="326">
        <f t="shared" ref="L22" si="5">D22+L$19</f>
        <v>2.8499999999999996</v>
      </c>
      <c r="M22" s="326">
        <f t="shared" ref="M22" si="6">E22+M$19</f>
        <v>0.6</v>
      </c>
      <c r="N22" s="261">
        <f>L22*M22</f>
        <v>1.7099999999999997</v>
      </c>
      <c r="O22" s="259">
        <f>N22*K22</f>
        <v>1.7099999999999997</v>
      </c>
      <c r="P22" s="252">
        <f>P$20*N22</f>
        <v>112724.15</v>
      </c>
      <c r="Q22" s="258">
        <f>P22+Q$20</f>
        <v>115724.15</v>
      </c>
      <c r="R22" s="308">
        <f>K22*L22</f>
        <v>2.8499999999999996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8"/>
      <c r="H23" s="318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195851</v>
      </c>
      <c r="I25" s="265"/>
      <c r="J25" s="47"/>
      <c r="K25" s="47"/>
      <c r="L25" s="39">
        <f>SUM(L21:L24)</f>
        <v>4.8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H25*0.19</f>
        <v>37211.69</v>
      </c>
      <c r="I26" s="265"/>
      <c r="J26" s="47"/>
      <c r="K26" s="47"/>
      <c r="L26" s="39"/>
      <c r="M26" s="12"/>
      <c r="N26" s="12"/>
      <c r="O26" s="253">
        <f>SUM(O21:O22)</f>
        <v>2.88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233062.69</v>
      </c>
      <c r="I27" s="265"/>
      <c r="J27" s="47"/>
      <c r="K27" s="47"/>
      <c r="L27" s="39"/>
      <c r="M27" s="12"/>
      <c r="N27" s="12"/>
      <c r="O27" s="253">
        <f>O26</f>
        <v>2.88</v>
      </c>
      <c r="P27" s="14"/>
      <c r="Q27" s="12"/>
      <c r="R27" s="238">
        <f>SUM(R21:R26)</f>
        <v>4.8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0.57599999999999996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/>
      <c r="K29" s="47"/>
      <c r="L29" s="14"/>
      <c r="M29" s="12"/>
      <c r="N29" s="12"/>
      <c r="O29" s="46">
        <f>O27+O28</f>
        <v>3.456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3.456</v>
      </c>
      <c r="M31" s="12">
        <v>3500</v>
      </c>
      <c r="N31" s="12">
        <f t="shared" ref="N31:N36" si="7">L31*M31</f>
        <v>12096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7"/>
        <v>25000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40754</v>
      </c>
      <c r="N33" s="12">
        <f t="shared" si="7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2</v>
      </c>
      <c r="M34" s="250">
        <v>21000</v>
      </c>
      <c r="N34" s="12">
        <f t="shared" si="7"/>
        <v>42000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7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4.8</v>
      </c>
      <c r="M36" s="12">
        <v>1500</v>
      </c>
      <c r="N36" s="12">
        <f t="shared" si="7"/>
        <v>7200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86296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56640</v>
      </c>
      <c r="K38" s="250"/>
      <c r="L38" s="254" t="s">
        <v>35</v>
      </c>
      <c r="M38" s="12"/>
      <c r="N38" s="255">
        <f>N37*2.2</f>
        <v>189851.2</v>
      </c>
      <c r="O38" s="14" t="s">
        <v>142</v>
      </c>
      <c r="P38" s="14"/>
      <c r="Q38" s="46">
        <f>O27/Q37</f>
        <v>0.77653149266609145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47596.638655462186</v>
      </c>
      <c r="K39" s="250"/>
      <c r="L39" s="14"/>
      <c r="M39" s="12"/>
      <c r="N39" s="12">
        <f>N38/O27</f>
        <v>65920.555555555562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0.75540983606557377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45379</v>
      </c>
    </row>
    <row r="6" spans="2:31" ht="16.2" thickBot="1" x14ac:dyDescent="0.35">
      <c r="B6" s="140" t="s">
        <v>2</v>
      </c>
      <c r="C6" s="139" t="str">
        <f>'2229'!C10</f>
        <v>FRANCISCO BASTIDAS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10885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-14236.058366787443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195851</v>
      </c>
      <c r="E11" s="132">
        <f>D11*0.19</f>
        <v>37211.69</v>
      </c>
      <c r="F11" s="131">
        <f>E11+D11</f>
        <v>233062.69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91753.941633212555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66930.090787439607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73753.941633212555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128920.90921256039</v>
      </c>
      <c r="E13" s="221">
        <f>(D11/D12)-1</f>
        <v>1.9262025151287299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64753.941633212555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25753.941633212555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110434.64979927534</v>
      </c>
      <c r="F15" s="216">
        <f>E15-D12</f>
        <v>43504.559011835736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25753.941633212555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65753.941633212555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12096</v>
      </c>
      <c r="E20" s="121">
        <f>D20*0.19</f>
        <v>2298.2400000000002</v>
      </c>
      <c r="F20" s="120">
        <f>SUM(D20:E20)</f>
        <v>14394.24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37096</v>
      </c>
      <c r="E21" s="116">
        <f>SUM(E18:E20)</f>
        <v>7048.24</v>
      </c>
      <c r="F21" s="115">
        <f>SUM(F18:F20)</f>
        <v>44144.24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30163.450000000004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195851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37096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128920.90921256039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128920.90921256039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2024-04-01T21:21:03Z</dcterms:modified>
</cp:coreProperties>
</file>