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C10156F9-5917-4373-9DB2-B7834CAE5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L31" i="1"/>
  <c r="M21" i="1" l="1"/>
  <c r="K21" i="1"/>
  <c r="J40" i="1"/>
  <c r="L21" i="1"/>
  <c r="R21" i="1" l="1"/>
  <c r="S21" i="1"/>
  <c r="S27" i="1" s="1"/>
  <c r="L25" i="1"/>
  <c r="N21" i="1"/>
  <c r="O21" i="1" s="1"/>
  <c r="U33" i="1"/>
  <c r="U34" i="1" s="1"/>
  <c r="R27" i="1" l="1"/>
  <c r="R28" i="1" s="1"/>
  <c r="R29" i="1" s="1"/>
  <c r="R30" i="1" s="1"/>
  <c r="O26" i="1"/>
  <c r="N32" i="1"/>
  <c r="O27" i="1" l="1"/>
  <c r="O28" i="1" s="1"/>
  <c r="O29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G21" i="1" l="1"/>
  <c r="H21" i="1" s="1"/>
  <c r="H25" i="1" s="1"/>
  <c r="H26" i="1" l="1"/>
  <c r="H27" i="1" s="1"/>
  <c r="D11" i="3"/>
  <c r="X9" i="3" s="1"/>
  <c r="X15" i="3" s="1"/>
  <c r="X14" i="3" l="1"/>
  <c r="X11" i="3"/>
  <c r="X16" i="3"/>
  <c r="E11" i="3"/>
  <c r="D40" i="3" s="1"/>
  <c r="E13" i="3"/>
  <c r="X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<sst xmlns="http://schemas.openxmlformats.org/spreadsheetml/2006/main" count="232" uniqueCount="176">
  <si>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</si>
  <si>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</si>
  <si>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</si>
  <si>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</si>
  <si>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</si>
  <si>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</si>
  <si>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</si>
  <si>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</si>
  <si>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</si>
  <si>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</si>
  <si>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</si>
  <si>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</si>
  <si>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</si>
  <si>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</si>
  <si>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</si>
  <si>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</si>
  <si>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</si>
  <si>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</si>
  <si>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</si>
  <si>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</si>
  <si>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</si>
  <si>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</si>
  <si>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</si>
  <si>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</si>
  <si>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</si>
  <si>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</si>
  <si>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</si>
  <si>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</si>
  <si>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</si>
  <si>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</si>
  <si>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</si>
  <si>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</si>
  <si>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</si>
  <si>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</si>
  <si>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</si>
  <si>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</si>
  <si>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</si>
  <si>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</si>
  <si>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</si>
  <si>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</si>
  <si>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</si>
  <si>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</si>
  <si>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</si>
  <si>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</si>
  <si>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</si>
  <si>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</si>
  <si>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</si>
  <si>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</si>
  <si>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</si>
  <si>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</si>
  <si>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</si>
  <si>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</si>
  <si>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</si>
  <si>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</si>
  <si>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</si>
  <si>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</si>
  <si>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</si>
  <si>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</si>
  <si>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</si>
  <si>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</si>
  <si>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</si>
  <si>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</si>
  <si>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</si>
  <si>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</si>
  <si>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</si>
  <si>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</si>
  <si>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</si>
  <si>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</si>
  <si>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</si>
  <si>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</si>
  <si>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</si>
  <si>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</si>
  <si>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</si>
  <si>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</si>
  <si>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</si>
  <si>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</si>
  <si>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</si>
  <si>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</si>
  <si>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</si>
  <si>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</si>
  <si>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</si>
  <si>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</si>
  <si>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</si>
  <si>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</si>
  <si>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</si>
  <si>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</si>
  <si>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</si>
  <si>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</si>
  <si>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</si>
  <si>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</si>
  <si>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</si>
  <si>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</si>
  <si>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</si>
  <si>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</si>
  <si>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</si>
  <si>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</si>
  <si>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</si>
  <si>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</si>
  <si>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</si>
  <si>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</si>
  <si>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</si>
  <si>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</si>
  <si>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</si>
  <si>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</si>
  <si>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</si>
  <si>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</si>
  <si>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</si>
  <si>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</si>
  <si>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</si>
  <si>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</si>
  <si>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</si>
  <si>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</si>
  <si>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</si>
  <si>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</si>
  <si>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</si>
  <si>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</si>
  <si>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</si>
  <si>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</si>
  <si>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</si>
  <si>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</si>
  <si>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</si>
  <si>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</si>
  <si>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</si>
  <si>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</si>
  <si>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</si>
  <si>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</si>
  <si>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</si>
  <si>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</si>
  <si>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</si>
  <si>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</si>
  <si>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</si>
  <si>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</si>
  <si>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</si>
  <si>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</si>
  <si>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</si>
  <si>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</si>
  <si>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</si>
  <si>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</si>
  <si>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</si>
  <si>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</si>
  <si>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</si>
  <si>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</si>
  <si>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</si>
  <si>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</si>
  <si>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</si>
  <si>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</si>
  <si>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</si>
  <si>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</si>
  <si>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</si>
  <si>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</si>
  <si>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</si>
  <si>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</si>
  <si>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</si>
  <si>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</si>
  <si>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</si>
  <si>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</si>
  <si>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</si>
  <si>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</si>
  <si>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</si>
  <si>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</si>
  <si>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</si>
  <si>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</si>
  <si>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</si>
  <si>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</si>
  <si>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</si>
  <si>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</si>
  <si>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SANTIAGO</t>
  </si>
  <si>
    <t>DURACION COTIZACION: 5 DIAS                            FRANCO DONOSO</t>
  </si>
  <si>
    <t>5 DIAS HABILES</t>
  </si>
  <si>
    <t>CUB C/R R6</t>
  </si>
  <si>
    <t>VICENTE MUEBLES SPA</t>
  </si>
  <si>
    <t>77.247.699-K</t>
  </si>
  <si>
    <t>MARTIN TEJEDA</t>
  </si>
  <si>
    <t>+569 9825 0017</t>
  </si>
  <si>
    <t>INDUSTRIAL CONCRETE 3127 MT</t>
  </si>
  <si>
    <t>N° 10770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</si>
</sst>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3" quotePrefix="1" applyFont="1" applyFill="1" applyBorder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13624</xdr:colOff>
      <xdr:row>29</xdr:row>
      <xdr:rowOff>9525</xdr:rowOff>
    </xdr:from>
    <xdr:to>
      <xdr:col>5</xdr:col>
      <xdr:colOff>1747276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301" y="5720428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16390</xdr:colOff>
      <xdr:row>24</xdr:row>
      <xdr:rowOff>9525</xdr:rowOff>
    </xdr:from>
    <xdr:to>
      <xdr:col>5</xdr:col>
      <xdr:colOff>1745225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7" y="4606106"/>
          <a:ext cx="7677352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7CMS DESDE LA BASE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2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5546875" customWidth="1"/>
    <col min="4" max="4" width="13" customWidth="1"/>
    <col min="5" max="5" width="10.5546875" customWidth="1"/>
    <col min="6" max="6" width="30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 t="s">
        <v>175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170</v>
      </c>
      <c r="D10" s="243"/>
      <c r="E10" s="243"/>
      <c r="F10" s="244" t="s">
        <v>0</v>
      </c>
      <c r="G10" s="277">
        <v>44999</v>
      </c>
      <c r="H10" s="245"/>
      <c r="J10" s="1"/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 t="s">
        <v>171</v>
      </c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172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41" t="s">
        <v>173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29" t="s">
        <v>167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N39</f>
        <v>103028.10344827586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1</v>
      </c>
      <c r="C21" s="324" t="s">
        <v>169</v>
      </c>
      <c r="D21" s="325">
        <v>2.2999999999999998</v>
      </c>
      <c r="E21" s="325">
        <v>0.53</v>
      </c>
      <c r="F21" s="324" t="s">
        <v>174</v>
      </c>
      <c r="G21" s="326">
        <f>Q21</f>
        <v>134463.85999999999</v>
      </c>
      <c r="H21" s="327">
        <f>G21*B21</f>
        <v>134463.85999999999</v>
      </c>
      <c r="I21" s="265"/>
      <c r="J21" s="47"/>
      <c r="K21" s="47">
        <f>B21</f>
        <v>1</v>
      </c>
      <c r="L21" s="39">
        <f>D21+L$19</f>
        <v>2.3199999999999998</v>
      </c>
      <c r="M21" s="39">
        <f>E21+M$19</f>
        <v>0.55000000000000004</v>
      </c>
      <c r="N21" s="261">
        <f t="shared" ref="N21" si="0">L21*M21</f>
        <v>1.276</v>
      </c>
      <c r="O21" s="259">
        <f t="shared" ref="O21" si="1">N21*K21</f>
        <v>1.276</v>
      </c>
      <c r="P21" s="252">
        <f t="shared" ref="P21" si="2">P$20*N21</f>
        <v>131463.85999999999</v>
      </c>
      <c r="Q21" s="258">
        <f t="shared" ref="Q21" si="3">P21+Q$20</f>
        <v>134463.85999999999</v>
      </c>
      <c r="R21" s="309">
        <f>L21*K21*2</f>
        <v>4.6399999999999997</v>
      </c>
      <c r="S21" s="46">
        <f>M21*K21*2</f>
        <v>1.1000000000000001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8"/>
      <c r="H22" s="328"/>
      <c r="I22" s="265"/>
      <c r="J22" s="47"/>
      <c r="K22" s="47"/>
      <c r="L22" s="39"/>
      <c r="M22" s="39"/>
      <c r="N22" s="261"/>
      <c r="O22" s="259"/>
      <c r="P22" s="252"/>
      <c r="Q22" s="258"/>
      <c r="R22" s="309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8"/>
      <c r="H23" s="328"/>
      <c r="I23" s="265"/>
      <c r="J23" s="47"/>
      <c r="K23" s="47"/>
      <c r="L23" s="39"/>
      <c r="M23" s="39"/>
      <c r="N23" s="261"/>
      <c r="O23" s="259"/>
      <c r="P23" s="252"/>
      <c r="Q23" s="258"/>
      <c r="R23" s="30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29</v>
      </c>
      <c r="H25" s="311">
        <f>SUM(H21:H21)</f>
        <v>134463.85999999999</v>
      </c>
      <c r="I25" s="265"/>
      <c r="J25" s="47"/>
      <c r="K25" s="47"/>
      <c r="L25" s="39">
        <f>SUM(L21:L24)</f>
        <v>2.3199999999999998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H25*0.19</f>
        <v>25548.133399999999</v>
      </c>
      <c r="I26" s="265"/>
      <c r="J26" s="47"/>
      <c r="K26" s="47"/>
      <c r="L26" s="39"/>
      <c r="M26" s="12"/>
      <c r="N26" s="12"/>
      <c r="O26" s="253">
        <f>SUM(O21:O21)</f>
        <v>1.276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160011.99339999998</v>
      </c>
      <c r="I27" s="265"/>
      <c r="J27" s="47"/>
      <c r="K27" s="47"/>
      <c r="L27" s="39"/>
      <c r="M27" s="12"/>
      <c r="N27" s="12"/>
      <c r="O27" s="253">
        <f>O26</f>
        <v>1.276</v>
      </c>
      <c r="P27" s="14"/>
      <c r="Q27" s="12"/>
      <c r="R27" s="239">
        <f>SUM(R21:R26)</f>
        <v>4.6399999999999997</v>
      </c>
      <c r="S27" s="46">
        <f>SUM(S21:S26)</f>
        <v>1.1000000000000001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0.25520000000000004</v>
      </c>
      <c r="P28" s="39" t="s">
        <v>131</v>
      </c>
      <c r="Q28" s="42"/>
      <c r="R28" s="240">
        <f>R27+S27</f>
        <v>5.74</v>
      </c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1.5312000000000001</v>
      </c>
      <c r="P29" s="14"/>
      <c r="Q29" s="14"/>
      <c r="R29" s="238">
        <f>R28*20%</f>
        <v>1.1480000000000001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40">
        <f>R28+R29</f>
        <v>6.8879999999999999</v>
      </c>
      <c r="S30" s="14"/>
      <c r="T30" s="316" t="s">
        <v>22</v>
      </c>
      <c r="U30" s="313" t="s">
        <v>153</v>
      </c>
      <c r="V30" s="317">
        <v>44971</v>
      </c>
      <c r="W30" s="31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1.5312000000000001</v>
      </c>
      <c r="M31" s="12">
        <v>3500</v>
      </c>
      <c r="N31" s="12">
        <f t="shared" ref="N31:N36" si="4">L31*M31</f>
        <v>5359.2000000000007</v>
      </c>
      <c r="O31" s="14" t="s">
        <v>22</v>
      </c>
      <c r="P31" s="14"/>
      <c r="Q31" s="14"/>
      <c r="R31" s="241"/>
      <c r="S31" s="14"/>
      <c r="T31" s="316" t="s">
        <v>154</v>
      </c>
      <c r="U31" s="313">
        <v>3625</v>
      </c>
      <c r="V31" s="59" t="s">
        <v>155</v>
      </c>
      <c r="W31" s="31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4"/>
        <v>12500</v>
      </c>
      <c r="O32" s="39" t="s">
        <v>32</v>
      </c>
      <c r="P32" s="42"/>
      <c r="Q32" s="14"/>
      <c r="R32" s="240"/>
      <c r="S32" s="14"/>
      <c r="T32" s="316"/>
      <c r="U32" s="59">
        <v>906.25</v>
      </c>
      <c r="V32" s="59" t="s">
        <v>156</v>
      </c>
      <c r="W32" s="318"/>
    </row>
    <row r="33" spans="2:23" s="230" customFormat="1" ht="17.399999999999999" x14ac:dyDescent="0.35">
      <c r="I33" s="262"/>
      <c r="J33" s="232"/>
      <c r="K33" s="250"/>
      <c r="L33" s="14"/>
      <c r="M33" s="250">
        <v>71390</v>
      </c>
      <c r="N33" s="12">
        <f t="shared" si="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35774</v>
      </c>
      <c r="N34" s="12">
        <f t="shared" si="4"/>
        <v>35774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>
        <v>2.35</v>
      </c>
      <c r="M36" s="12">
        <v>1500</v>
      </c>
      <c r="N36" s="12">
        <f t="shared" si="4"/>
        <v>3525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57158.2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N37*2.3</f>
        <v>131463.85999999999</v>
      </c>
      <c r="O38" s="14" t="s">
        <v>141</v>
      </c>
      <c r="P38" s="14"/>
      <c r="Q38" s="40">
        <f>O29/Q37</f>
        <v>0.41285591026747198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42571</v>
      </c>
      <c r="K39" s="250"/>
      <c r="L39" s="14"/>
      <c r="M39" s="12"/>
      <c r="N39" s="12">
        <f>N38/O27</f>
        <v>103028.10344827586</v>
      </c>
      <c r="O39" s="45" t="s">
        <v>25</v>
      </c>
      <c r="P39" s="14"/>
      <c r="Q39" s="14"/>
      <c r="R39"/>
      <c r="S39" s="238"/>
      <c r="T39" s="59" t="s">
        <v>159</v>
      </c>
      <c r="U39" s="31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35773.949579831933</v>
      </c>
      <c r="K40" s="250"/>
      <c r="L40" s="13"/>
      <c r="M40" s="14"/>
      <c r="N40" s="17">
        <f>N38/N37</f>
        <v>2.2999999999999998</v>
      </c>
      <c r="O40" s="15"/>
      <c r="P40"/>
      <c r="Q40"/>
      <c r="R40"/>
      <c r="S40" s="238"/>
      <c r="T40" s="59" t="s">
        <v>161</v>
      </c>
      <c r="U40" s="31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44999</v>
      </c>
    </row>
    <row r="6" spans="2:31" ht="16.2" thickBot="1" x14ac:dyDescent="0.35">
      <c r="B6" s="140" t="s">
        <v>2</v>
      </c>
      <c r="C6" s="139" t="str">
        <f>'2229'!C10</f>
        <v>VICENTE MUEBLES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10770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-9294.9883667874365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134463.85999999999</v>
      </c>
      <c r="E11" s="132">
        <f>D11*0.19</f>
        <v>25548.133399999999</v>
      </c>
      <c r="F11" s="131">
        <f>E11+D11</f>
        <v>160011.99339999998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96695.011633212562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47693.290787439619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78695.011633212562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86770.569212560367</v>
      </c>
      <c r="E13" s="221">
        <f>(D11/D12)-1</f>
        <v>1.8193454001587166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69695.011633212562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30695.011633212562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78693.929799275371</v>
      </c>
      <c r="F15" s="216">
        <f>E15-D12</f>
        <v>31000.639011835752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30695.011633212562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70695.011633212562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5359.2000000000007</v>
      </c>
      <c r="E20" s="121">
        <f>D20*0.19</f>
        <v>1018.2480000000002</v>
      </c>
      <c r="F20" s="120">
        <f>SUM(D20:E20)</f>
        <v>6377.4480000000012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17859.2</v>
      </c>
      <c r="E21" s="116">
        <f>SUM(E18:E20)</f>
        <v>3393.248</v>
      </c>
      <c r="F21" s="115">
        <f>SUM(F18:F20)</f>
        <v>21252.448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22154.885399999999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134463.85999999999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17859.2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86770.569212560367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86770.569212560367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2024-03-14T13:34:31Z</cp:lastPrinted>
  <dcterms:created xsi:type="dcterms:W3CDTF">2013-03-18T13:35:42Z</dcterms:created>
  <dcterms:modified xsi:type="dcterms:W3CDTF">2024-03-14T14:49:10Z</dcterms:modified>
</cp:coreProperties>
</file>