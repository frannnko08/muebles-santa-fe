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0B4D4211-4A44-4552-92B5-2EEABD182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7" i="1" l="1"/>
  <c r="L21" i="1" l="1"/>
  <c r="L23" i="1" s="1"/>
  <c r="M21" i="1"/>
  <c r="N21" i="1" l="1"/>
  <c r="O21" i="1" s="1"/>
  <c r="O24" i="1" s="1"/>
  <c r="R21" i="1"/>
  <c r="N30" i="1"/>
  <c r="O25" i="1" l="1"/>
  <c r="O27" i="1" s="1"/>
  <c r="S42" i="1"/>
  <c r="M20" i="1" l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L29" i="1" l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G21" i="1" s="1"/>
  <c r="F15" i="3"/>
  <c r="Q21" i="1" l="1"/>
  <c r="H21" i="1" s="1"/>
  <c r="R25" i="1"/>
  <c r="H23" i="1" l="1"/>
  <c r="K15" i="1" l="1"/>
  <c r="H24" i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<sst xmlns="http://schemas.openxmlformats.org/spreadsheetml/2006/main" count="219" uniqueCount="164">
  <si>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</si>
  <si>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</si>
  <si>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</si>
  <si>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</si>
  <si>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</si>
  <si>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</si>
  <si>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</si>
  <si>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</si>
  <si>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</si>
  <si>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</si>
  <si>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</si>
  <si>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</si>
  <si>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</si>
  <si>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</si>
  <si>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</si>
  <si>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</si>
  <si>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</si>
  <si>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</si>
  <si>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</si>
  <si>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</si>
  <si>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</si>
  <si>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</si>
  <si>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</si>
  <si>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</si>
  <si>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</si>
  <si>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</si>
  <si>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</si>
  <si>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</si>
  <si>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</si>
  <si>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</si>
  <si>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</si>
  <si>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</si>
  <si>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</si>
  <si>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</si>
  <si>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</si>
  <si>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</si>
  <si>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</si>
  <si>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</si>
  <si>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</si>
  <si>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</si>
  <si>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</si>
  <si>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</si>
  <si>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</si>
  <si>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</si>
  <si>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</si>
  <si>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</si>
  <si>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</si>
  <si>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</si>
  <si>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</si>
  <si>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</si>
  <si>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</si>
  <si>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</si>
  <si>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</si>
  <si>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</si>
  <si>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</si>
  <si>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</si>
  <si>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</si>
  <si>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</si>
  <si>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</si>
  <si>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</si>
  <si>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</si>
  <si>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</si>
  <si>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</si>
  <si>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</si>
  <si>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</si>
  <si>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</si>
  <si>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</si>
  <si>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</si>
  <si>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</si>
  <si>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</si>
  <si>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</si>
  <si>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</si>
  <si>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</si>
  <si>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</si>
  <si>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</si>
  <si>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</si>
  <si>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</si>
  <si>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</si>
  <si>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</si>
  <si>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</si>
  <si>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</si>
  <si>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</si>
  <si>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</si>
  <si>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</si>
  <si>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</si>
  <si>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</si>
  <si>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</si>
  <si>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</si>
  <si>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</si>
  <si>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</si>
  <si>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</si>
  <si>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</si>
  <si>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</si>
  <si>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</si>
  <si>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</si>
  <si>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</si>
  <si>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</si>
  <si>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</si>
  <si>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</si>
  <si>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</si>
  <si>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</si>
  <si>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</si>
  <si>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</si>
  <si>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</si>
  <si>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</si>
  <si>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</si>
  <si>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</si>
  <si>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</si>
  <si>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</si>
  <si>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</si>
  <si>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</si>
  <si>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</si>
  <si>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</si>
  <si>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</si>
  <si>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</si>
  <si>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</si>
  <si>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</si>
  <si>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</si>
  <si>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</si>
  <si>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</si>
  <si>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</si>
  <si>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</si>
  <si>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</si>
  <si>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</si>
  <si>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</si>
  <si>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</si>
  <si>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</si>
  <si>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</si>
  <si>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</si>
  <si>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</si>
  <si>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</si>
  <si>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</si>
  <si>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</si>
  <si>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</si>
  <si>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</si>
  <si>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</si>
  <si>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</si>
  <si>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</si>
  <si>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</si>
  <si>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</si>
  <si>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</si>
  <si>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</si>
  <si>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</si>
  <si>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</si>
  <si>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</si>
  <si>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</si>
  <si>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</si>
  <si>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</si>
  <si>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</si>
  <si>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</si>
  <si>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</si>
  <si>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</si>
  <si>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</si>
  <si>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</si>
  <si>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</si>
  <si>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</si>
  <si>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</si>
  <si>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</si>
  <si>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</si>
  <si>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CUBIERTA CON RESPALDO R2</t>
  </si>
  <si>
    <t>WHITE MARBLE 42004 GL</t>
  </si>
  <si>
    <t>MARCO MORENO</t>
  </si>
  <si>
    <t>+569 77824695</t>
  </si>
  <si>
    <t>N° 10882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</si>
</sst>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7776</xdr:rowOff>
    </xdr:from>
    <xdr:to>
      <xdr:col>8</xdr:col>
      <xdr:colOff>7776</xdr:colOff>
      <xdr:row>29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70974" y="5722776"/>
          <a:ext cx="2012108" cy="6739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1648408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506811"/>
          <a:ext cx="8333597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409302</xdr:colOff>
      <xdr:row>21</xdr:row>
      <xdr:rowOff>216198</xdr:rowOff>
    </xdr:from>
    <xdr:to>
      <xdr:col>5</xdr:col>
      <xdr:colOff>1624070</xdr:colOff>
      <xdr:row>24</xdr:row>
      <xdr:rowOff>217715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302" y="4391647"/>
          <a:ext cx="8290482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8" zoomScale="98" zoomScaleNormal="98" workbookViewId="0">
      <selection activeCell="D8" sqref="D8"/>
    </sheetView>
  </sheetViews>
  <sheetFormatPr baseColWidth="10" defaultRowHeight="14.4" x14ac:dyDescent="0.3"/>
  <cols>
    <col min="1" max="1" width="6" customWidth="1"/>
    <col min="2" max="2" width="10.5546875" customWidth="1"/>
    <col min="3" max="3" width="6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4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45378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324" t="s">
        <v>162</v>
      </c>
      <c r="D13" s="247"/>
      <c r="E13" s="247"/>
      <c r="F13" s="247"/>
      <c r="G13" s="278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/>
      <c r="D15" s="295"/>
      <c r="E15" s="247"/>
      <c r="F15" s="247" t="s">
        <v>136</v>
      </c>
      <c r="G15" s="296" t="s">
        <v>137</v>
      </c>
      <c r="H15" s="248"/>
      <c r="K15" s="18">
        <f>H23/L13</f>
        <v>2129.9575500303217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1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71679.591836734689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5">
        <v>1</v>
      </c>
      <c r="C21" s="315" t="s">
        <v>159</v>
      </c>
      <c r="D21" s="322">
        <v>1.35</v>
      </c>
      <c r="E21" s="322">
        <v>0.7</v>
      </c>
      <c r="F21" s="315" t="s">
        <v>160</v>
      </c>
      <c r="G21" s="323">
        <f>P21</f>
        <v>70246</v>
      </c>
      <c r="H21" s="323">
        <f t="shared" ref="H21" si="1">G21*B21</f>
        <v>70246</v>
      </c>
      <c r="I21" s="265"/>
      <c r="J21" s="47"/>
      <c r="K21" s="317">
        <f t="shared" si="0"/>
        <v>1</v>
      </c>
      <c r="L21" s="318">
        <f t="shared" ref="L21:M21" si="2">D21+L$19</f>
        <v>1.4000000000000001</v>
      </c>
      <c r="M21" s="318">
        <f t="shared" si="2"/>
        <v>0.7</v>
      </c>
      <c r="N21" s="261">
        <f>L21*M21</f>
        <v>0.98</v>
      </c>
      <c r="O21" s="259">
        <f>N21*K21</f>
        <v>0.98</v>
      </c>
      <c r="P21" s="252">
        <f>P$20*N21</f>
        <v>70246</v>
      </c>
      <c r="Q21" s="258">
        <f>P21+Q$20</f>
        <v>73246</v>
      </c>
      <c r="R21" s="308">
        <f>K21*L21</f>
        <v>1.4000000000000001</v>
      </c>
      <c r="S21" s="14"/>
      <c r="T21" s="9"/>
      <c r="W21" s="4"/>
    </row>
    <row r="22" spans="1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1:24" ht="17.399999999999999" x14ac:dyDescent="0.3">
      <c r="B23" s="286"/>
      <c r="C23" s="286"/>
      <c r="D23" s="287"/>
      <c r="E23" s="287"/>
      <c r="F23" s="286"/>
      <c r="G23" s="309" t="s">
        <v>30</v>
      </c>
      <c r="H23" s="310">
        <f>SUM(H21:H22)</f>
        <v>70246</v>
      </c>
      <c r="I23" s="265"/>
      <c r="J23" s="47"/>
      <c r="K23" s="47"/>
      <c r="L23" s="39">
        <f>SUM(L21:L22)</f>
        <v>1.4000000000000001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1:24" ht="17.399999999999999" x14ac:dyDescent="0.3">
      <c r="B24" s="280"/>
      <c r="C24" s="283"/>
      <c r="D24" s="284"/>
      <c r="E24" s="284"/>
      <c r="F24" s="285"/>
      <c r="G24" s="307" t="s">
        <v>53</v>
      </c>
      <c r="H24" s="304">
        <f>H23*0.19</f>
        <v>13346.74</v>
      </c>
      <c r="I24" s="265"/>
      <c r="J24" s="47"/>
      <c r="K24" s="47"/>
      <c r="L24" s="39"/>
      <c r="M24" s="12"/>
      <c r="N24" s="12"/>
      <c r="O24" s="253">
        <f>SUM(O21:O21)</f>
        <v>0.98</v>
      </c>
      <c r="P24" s="14"/>
      <c r="Q24" s="12"/>
      <c r="R24" s="238"/>
      <c r="S24" s="14"/>
      <c r="T24" s="9"/>
      <c r="W24" s="4"/>
    </row>
    <row r="25" spans="1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83592.740000000005</v>
      </c>
      <c r="I25" s="265"/>
      <c r="J25" s="47"/>
      <c r="K25" s="47"/>
      <c r="L25" s="39"/>
      <c r="M25" s="12"/>
      <c r="N25" s="12"/>
      <c r="O25" s="253">
        <f>O24</f>
        <v>0.98</v>
      </c>
      <c r="P25" s="14"/>
      <c r="Q25" s="12"/>
      <c r="R25" s="238">
        <f>SUM(R21:R24)</f>
        <v>1.4000000000000001</v>
      </c>
      <c r="S25" s="14"/>
      <c r="T25" s="9"/>
      <c r="W25" s="4"/>
    </row>
    <row r="26" spans="1:24" ht="17.399999999999999" x14ac:dyDescent="0.3">
      <c r="B26" s="271"/>
      <c r="C26" s="271"/>
      <c r="D26" s="272"/>
      <c r="E26" s="272"/>
      <c r="F26" s="273"/>
      <c r="G26" s="274"/>
      <c r="H26" s="275"/>
      <c r="I26" s="265"/>
      <c r="J26" s="47"/>
      <c r="K26" s="47"/>
      <c r="L26" s="14"/>
      <c r="M26" s="12"/>
      <c r="N26" s="12"/>
      <c r="O26" s="39"/>
      <c r="P26" s="39" t="s">
        <v>132</v>
      </c>
      <c r="Q26" s="42"/>
      <c r="R26" s="239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5"/>
      <c r="I27" s="265"/>
      <c r="J27" s="313"/>
      <c r="K27" s="47"/>
      <c r="L27" s="14"/>
      <c r="M27" s="12"/>
      <c r="N27" s="12"/>
      <c r="O27" s="46">
        <f>O25+O26</f>
        <v>0.98</v>
      </c>
      <c r="P27" s="14"/>
      <c r="Q27" s="14"/>
      <c r="R27" s="237">
        <v>40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313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47"/>
      <c r="K29" s="47"/>
      <c r="L29" s="39">
        <f>O27</f>
        <v>0.98</v>
      </c>
      <c r="M29" s="12">
        <v>3500</v>
      </c>
      <c r="N29" s="12">
        <f t="shared" ref="N29:N34" si="3">L29*M29</f>
        <v>3430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5"/>
      <c r="J30" s="47"/>
      <c r="K30" s="47"/>
      <c r="L30" s="249">
        <v>0.15</v>
      </c>
      <c r="M30" s="12">
        <v>30000</v>
      </c>
      <c r="N30" s="12">
        <f t="shared" si="3"/>
        <v>4500</v>
      </c>
      <c r="O30" s="39" t="s">
        <v>156</v>
      </c>
      <c r="P30" s="42"/>
      <c r="Q30" s="14"/>
      <c r="R30" s="239"/>
      <c r="S30" s="14"/>
      <c r="T30" s="9"/>
      <c r="W30" s="4"/>
    </row>
    <row r="31" spans="1:24" s="230" customFormat="1" ht="17.399999999999999" x14ac:dyDescent="0.35">
      <c r="B31" s="24" t="s">
        <v>153</v>
      </c>
      <c r="I31" s="262"/>
      <c r="J31" s="47"/>
      <c r="K31" s="250"/>
      <c r="L31" s="14"/>
      <c r="M31" s="250">
        <v>68499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1:24" s="230" customFormat="1" ht="17.399999999999999" x14ac:dyDescent="0.35">
      <c r="B32" s="24" t="s">
        <v>146</v>
      </c>
      <c r="C32"/>
      <c r="D32"/>
      <c r="E32"/>
      <c r="F32"/>
      <c r="I32" s="262"/>
      <c r="J32" s="312"/>
      <c r="K32" s="250"/>
      <c r="L32" s="14">
        <v>1</v>
      </c>
      <c r="M32" s="250">
        <v>24000</v>
      </c>
      <c r="N32" s="12">
        <f t="shared" si="3"/>
        <v>24000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312"/>
      <c r="K33" s="250"/>
      <c r="L33" s="249"/>
      <c r="M33" s="250">
        <v>800</v>
      </c>
      <c r="N33" s="12">
        <f t="shared" si="3"/>
        <v>0</v>
      </c>
      <c r="O33" s="14" t="s">
        <v>34</v>
      </c>
      <c r="P33" s="14"/>
      <c r="Q33" s="230">
        <v>1.83</v>
      </c>
      <c r="R33" s="237"/>
      <c r="S33" s="237"/>
    </row>
    <row r="34" spans="2:23" s="230" customFormat="1" ht="17.399999999999999" x14ac:dyDescent="0.35">
      <c r="I34" s="303"/>
      <c r="J34" s="47"/>
      <c r="K34" s="250"/>
      <c r="L34" s="266"/>
      <c r="M34" s="12">
        <v>1500</v>
      </c>
      <c r="N34" s="12">
        <f t="shared" si="3"/>
        <v>0</v>
      </c>
      <c r="O34" s="14" t="s">
        <v>24</v>
      </c>
      <c r="P34" s="14"/>
      <c r="Q34">
        <v>3.66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31930</v>
      </c>
      <c r="O35" s="39" t="s">
        <v>25</v>
      </c>
      <c r="P35" s="14"/>
      <c r="Q35">
        <f>Q33*Q34</f>
        <v>6.6978000000000009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68410</v>
      </c>
      <c r="K36" s="250"/>
      <c r="L36" s="254" t="s">
        <v>35</v>
      </c>
      <c r="M36" s="12"/>
      <c r="N36" s="255">
        <f>N35*2.2</f>
        <v>70246</v>
      </c>
      <c r="O36" s="14" t="s">
        <v>142</v>
      </c>
      <c r="P36" s="14"/>
      <c r="Q36" s="46">
        <f>O25/Q35</f>
        <v>0.14631670100630056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57487.394957983197</v>
      </c>
      <c r="K37" s="250"/>
      <c r="L37" s="14"/>
      <c r="M37" s="12"/>
      <c r="N37" s="12">
        <f>N36/O25</f>
        <v>71679.591836734689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0.21420765027322403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45378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-1322.5417001207727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70246</v>
      </c>
      <c r="E11" s="132">
        <f>D11*0.19</f>
        <v>13346.74</v>
      </c>
      <c r="F11" s="131">
        <f>E11+D11</f>
        <v>83592.740000000005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104667.45829987923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37764.090787439614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86667.458299879232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32481.909212560386</v>
      </c>
      <c r="E13" s="221">
        <f>(D11/D12)-1</f>
        <v>0.8601268701367466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77667.458299879232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38667.458299879225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62310.749799275363</v>
      </c>
      <c r="F15" s="216">
        <f>E15-D12</f>
        <v>24546.659011835749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38667.458299879225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78667.458299879232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4500</v>
      </c>
      <c r="E19" s="123">
        <f>D19*0.19</f>
        <v>855</v>
      </c>
      <c r="F19" s="120">
        <f>SUM(D19:E19)</f>
        <v>5355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3430</v>
      </c>
      <c r="E20" s="121">
        <f>D20*0.19</f>
        <v>651.70000000000005</v>
      </c>
      <c r="F20" s="120">
        <f>SUM(D20:E20)</f>
        <v>4081.7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7930</v>
      </c>
      <c r="E21" s="116">
        <f>SUM(E18:E20)</f>
        <v>1506.7</v>
      </c>
      <c r="F21" s="115">
        <f>SUM(F18:F20)</f>
        <v>9436.7000000000007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11840.039999999999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70246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7930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32481.909212560386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32481.909212560386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2024-03-27T15:37:31Z</cp:lastPrinted>
  <dcterms:created xsi:type="dcterms:W3CDTF">2013-03-18T13:35:42Z</dcterms:created>
  <dcterms:modified xsi:type="dcterms:W3CDTF">2024-03-27T15:38:37Z</dcterms:modified>
</cp:coreProperties>
</file>