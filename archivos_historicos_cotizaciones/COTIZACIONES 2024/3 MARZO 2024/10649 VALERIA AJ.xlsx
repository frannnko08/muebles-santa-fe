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A85F299E-2362-475D-993C-12AD0F4B9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M21" i="1"/>
  <c r="L21" i="1" l="1"/>
  <c r="N21" i="1" s="1"/>
  <c r="O21" i="1" s="1"/>
  <c r="J38" i="1"/>
  <c r="O24" i="1" l="1"/>
  <c r="L23" i="1"/>
  <c r="S21" i="1"/>
  <c r="R21" i="1"/>
  <c r="U31" i="1"/>
  <c r="U32" i="1" s="1"/>
  <c r="R25" i="1" l="1"/>
  <c r="N30" i="1"/>
  <c r="O25" i="1" l="1"/>
  <c r="O26" i="1" s="1"/>
  <c r="O27" i="1" s="1"/>
  <c r="M20" i="1"/>
  <c r="K20" i="1"/>
  <c r="L29" i="1" l="1"/>
  <c r="Q36" i="1"/>
  <c r="N31" i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l="1"/>
  <c r="N36" i="1" s="1"/>
  <c r="D20" i="3"/>
  <c r="E20" i="3" s="1"/>
  <c r="E21" i="3" s="1"/>
  <c r="N37" i="1" l="1"/>
  <c r="P20" i="1" s="1"/>
  <c r="D21" i="3"/>
  <c r="M43" i="3" s="1"/>
  <c r="D12" i="3" s="1"/>
  <c r="F20" i="3"/>
  <c r="F21" i="3" s="1"/>
  <c r="P21" i="1" l="1"/>
  <c r="G21" i="1" s="1"/>
  <c r="N38" i="1"/>
  <c r="E15" i="3"/>
  <c r="F15" i="3" l="1"/>
  <c r="Q21" i="1" l="1"/>
  <c r="H21" i="1" l="1"/>
  <c r="H23" i="1" s="1"/>
  <c r="H24" i="1" l="1"/>
  <c r="H25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<sst xmlns="http://schemas.openxmlformats.org/spreadsheetml/2006/main" count="230" uniqueCount="174">
  <si>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</si>
  <si>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</si>
  <si>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</si>
  <si>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</si>
  <si>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</si>
  <si>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</si>
  <si>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</si>
  <si>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</si>
  <si>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</si>
  <si>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</si>
  <si>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</si>
  <si>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</si>
  <si>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</si>
  <si>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</si>
  <si>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</si>
  <si>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</si>
  <si>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</si>
  <si>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</si>
  <si>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</si>
  <si>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</si>
  <si>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</si>
  <si>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</si>
  <si>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</si>
  <si>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</si>
  <si>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</si>
  <si>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</si>
  <si>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</si>
  <si>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</si>
  <si>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</si>
  <si>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</si>
  <si>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</si>
  <si>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</si>
  <si>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</si>
  <si>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</si>
  <si>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</si>
  <si>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</si>
  <si>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</si>
  <si>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</si>
  <si>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</si>
  <si>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</si>
  <si>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</si>
  <si>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</si>
  <si>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</si>
  <si>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</si>
  <si>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</si>
  <si>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</si>
  <si>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</si>
  <si>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</si>
  <si>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</si>
  <si>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</si>
  <si>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</si>
  <si>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</si>
  <si>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</si>
  <si>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</si>
  <si>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</si>
  <si>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</si>
  <si>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</si>
  <si>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</si>
  <si>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</si>
  <si>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</si>
  <si>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</si>
  <si>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</si>
  <si>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</si>
  <si>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</si>
  <si>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</si>
  <si>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</si>
  <si>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</si>
  <si>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</si>
  <si>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</si>
  <si>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</si>
  <si>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</si>
  <si>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</si>
  <si>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</si>
  <si>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</si>
  <si>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</si>
  <si>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</si>
  <si>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</si>
  <si>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</si>
  <si>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</si>
  <si>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</si>
  <si>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</si>
  <si>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</si>
  <si>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</si>
  <si>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</si>
  <si>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</si>
  <si>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</si>
  <si>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</si>
  <si>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</si>
  <si>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</si>
  <si>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</si>
  <si>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</si>
  <si>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</si>
  <si>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</si>
  <si>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</si>
  <si>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</si>
  <si>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</si>
  <si>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</si>
  <si>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</si>
  <si>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</si>
  <si>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</si>
  <si>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</si>
  <si>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</si>
  <si>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</si>
  <si>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</si>
  <si>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</si>
  <si>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</si>
  <si>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</si>
  <si>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</si>
  <si>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</si>
  <si>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</si>
  <si>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</si>
  <si>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</si>
  <si>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</si>
  <si>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</si>
  <si>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</si>
  <si>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</si>
  <si>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</si>
  <si>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</si>
  <si>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</si>
  <si>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</si>
  <si>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</si>
  <si>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</si>
  <si>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</si>
  <si>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</si>
  <si>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</si>
  <si>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</si>
  <si>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</si>
  <si>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</si>
  <si>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</si>
  <si>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</si>
  <si>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</si>
  <si>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</si>
  <si>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</si>
  <si>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</si>
  <si>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</si>
  <si>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</si>
  <si>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</si>
  <si>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</si>
  <si>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</si>
  <si>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</si>
  <si>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</si>
  <si>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</si>
  <si>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</si>
  <si>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</si>
  <si>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</si>
  <si>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</si>
  <si>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</si>
  <si>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</si>
  <si>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</si>
  <si>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</si>
  <si>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</si>
  <si>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</si>
  <si>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</si>
  <si>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</si>
  <si>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</si>
  <si>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</si>
  <si>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</si>
  <si>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</si>
  <si>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</si>
  <si>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</si>
  <si>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</si>
  <si>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</si>
  <si>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</si>
  <si>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</si>
  <si>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}</t>
  </si>
  <si>
    <t>DURACION COTIZACION: 5 DIAS                            FERNANDO DONOSO</t>
  </si>
  <si>
    <t>SANTIAGO</t>
  </si>
  <si>
    <t>E/R 1 CARA MDF 15MM</t>
  </si>
  <si>
    <t>2 DIAS HABILES</t>
  </si>
  <si>
    <t>CONTADO</t>
  </si>
  <si>
    <t>N° 10647</t>
  </si>
  <si>
    <t>VAINILLA 2109 BR</t>
  </si>
  <si>
    <t>VALERIA AJ</t>
  </si>
  <si>
    <t>DM 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</si>
</sst>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26</xdr:row>
      <xdr:rowOff>26670</xdr:rowOff>
    </xdr:from>
    <xdr:to>
      <xdr:col>7</xdr:col>
      <xdr:colOff>1034435</xdr:colOff>
      <xdr:row>29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26</xdr:row>
      <xdr:rowOff>9525</xdr:rowOff>
    </xdr:from>
    <xdr:to>
      <xdr:col>5</xdr:col>
      <xdr:colOff>1747276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269783"/>
          <a:ext cx="7100427" cy="67320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22</xdr:row>
      <xdr:rowOff>9525</xdr:rowOff>
    </xdr:from>
    <xdr:to>
      <xdr:col>5</xdr:col>
      <xdr:colOff>2036559</xdr:colOff>
      <xdr:row>25</xdr:row>
      <xdr:rowOff>8194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4376686"/>
          <a:ext cx="7378752" cy="67054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14" zoomScale="93" zoomScaleNormal="93" workbookViewId="0">
      <selection activeCell="F33" sqref="F33"/>
    </sheetView>
  </sheetViews>
  <sheetFormatPr baseColWidth="10" defaultRowHeight="14.4" x14ac:dyDescent="0.3"/>
  <cols>
    <col min="1" max="1" width="6" customWidth="1"/>
    <col min="2" max="2" width="10.5546875" customWidth="1"/>
    <col min="3" max="3" width="44.33203125" customWidth="1"/>
    <col min="4" max="4" width="12.886718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127</v>
      </c>
      <c r="C8" s="292"/>
      <c r="D8" s="293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8" t="s">
        <v>172</v>
      </c>
      <c r="D10" s="243"/>
      <c r="E10" s="243"/>
      <c r="F10" s="244" t="s">
        <v>0</v>
      </c>
      <c r="G10" s="276">
        <v>45355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1"/>
      <c r="F11" t="s">
        <v>124</v>
      </c>
      <c r="G11" s="288" t="s">
        <v>168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7" t="s">
        <v>136</v>
      </c>
      <c r="H12" s="248"/>
      <c r="P12" s="19"/>
      <c r="Q12" s="25"/>
      <c r="R12" s="19"/>
    </row>
    <row r="13" spans="2:23" x14ac:dyDescent="0.3">
      <c r="B13" s="287" t="s">
        <v>147</v>
      </c>
      <c r="C13" t="s">
        <v>173</v>
      </c>
      <c r="G13" s="318"/>
      <c r="H13" s="289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0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20"/>
      <c r="D15" s="321"/>
      <c r="F15" t="s">
        <v>135</v>
      </c>
      <c r="G15" s="319" t="s">
        <v>136</v>
      </c>
      <c r="H15" s="289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169</v>
      </c>
      <c r="H16" s="248"/>
    </row>
    <row r="17" spans="1:24" ht="15" thickBot="1" x14ac:dyDescent="0.35">
      <c r="B17" s="322" t="s">
        <v>13</v>
      </c>
      <c r="C17" s="323" t="s">
        <v>166</v>
      </c>
      <c r="D17" s="324"/>
      <c r="E17" s="119"/>
      <c r="F17" s="330" t="s">
        <v>165</v>
      </c>
      <c r="G17" s="330"/>
      <c r="H17" s="331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1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64643.396898948486</v>
      </c>
      <c r="Q20" s="258">
        <v>3000</v>
      </c>
      <c r="R20" s="38"/>
      <c r="S20" s="14" t="s">
        <v>129</v>
      </c>
      <c r="T20" s="9"/>
      <c r="W20" s="4"/>
    </row>
    <row r="21" spans="1:24" ht="17.399999999999999" x14ac:dyDescent="0.3">
      <c r="B21" s="312">
        <v>1</v>
      </c>
      <c r="C21" s="313" t="s">
        <v>167</v>
      </c>
      <c r="D21" s="314">
        <v>3.6</v>
      </c>
      <c r="E21" s="314">
        <v>0.6</v>
      </c>
      <c r="F21" s="313" t="s">
        <v>171</v>
      </c>
      <c r="G21" s="315">
        <f>P21</f>
        <v>145085.63999999998</v>
      </c>
      <c r="H21" s="316">
        <f>G21*B21</f>
        <v>145085.63999999998</v>
      </c>
      <c r="I21" s="265"/>
      <c r="J21" s="47"/>
      <c r="K21" s="47">
        <f>B21</f>
        <v>1</v>
      </c>
      <c r="L21" s="39">
        <f>D21+L$19</f>
        <v>3.62</v>
      </c>
      <c r="M21" s="39">
        <f>E21+M19</f>
        <v>0.62</v>
      </c>
      <c r="N21" s="261">
        <f>L21*M21</f>
        <v>2.2444000000000002</v>
      </c>
      <c r="O21" s="259">
        <f>N21*K21</f>
        <v>2.2444000000000002</v>
      </c>
      <c r="P21" s="252">
        <f>P$20*N21</f>
        <v>145085.63999999998</v>
      </c>
      <c r="Q21" s="258">
        <f t="shared" ref="Q21" si="1">P21+Q$20</f>
        <v>148085.63999999998</v>
      </c>
      <c r="R21" s="298">
        <f>L21*K21*2</f>
        <v>7.24</v>
      </c>
      <c r="S21" s="46">
        <f>M21*K21*2</f>
        <v>1.24</v>
      </c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8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299" t="s">
        <v>29</v>
      </c>
      <c r="H23" s="300">
        <f>SUM(H21:H21)</f>
        <v>145085.63999999998</v>
      </c>
      <c r="I23" s="265"/>
      <c r="J23" s="47"/>
      <c r="K23" s="47"/>
      <c r="L23" s="39">
        <f>SUM(L21:L22)</f>
        <v>3.62</v>
      </c>
      <c r="M23" s="39"/>
      <c r="N23" s="261"/>
      <c r="O23" s="259"/>
      <c r="P23" s="252"/>
      <c r="Q23" s="258"/>
      <c r="R23" s="298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297" t="s">
        <v>52</v>
      </c>
      <c r="H24" s="295">
        <f>H23*19%</f>
        <v>27566.271599999996</v>
      </c>
      <c r="I24" s="265"/>
      <c r="J24" s="47"/>
      <c r="K24" s="47"/>
      <c r="L24" s="39"/>
      <c r="M24" s="12"/>
      <c r="N24" s="12"/>
      <c r="O24" s="253">
        <f>SUM(O21:O21)</f>
        <v>2.2444000000000002</v>
      </c>
      <c r="P24" s="14"/>
      <c r="Q24" s="12"/>
      <c r="R24" s="239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296">
        <f>H23+H24</f>
        <v>172651.91159999999</v>
      </c>
      <c r="I25" s="265"/>
      <c r="J25" s="47"/>
      <c r="K25" s="47"/>
      <c r="L25" s="39"/>
      <c r="M25" s="12"/>
      <c r="N25" s="12"/>
      <c r="O25" s="253">
        <f>O24</f>
        <v>2.2444000000000002</v>
      </c>
      <c r="P25" s="14"/>
      <c r="Q25" s="12"/>
      <c r="R25" s="239">
        <f>SUM(R21:R24)</f>
        <v>7.24</v>
      </c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0.44888000000000006</v>
      </c>
      <c r="P26" s="39" t="s">
        <v>131</v>
      </c>
      <c r="Q26" s="42"/>
      <c r="R26" s="240"/>
      <c r="S26" s="14"/>
      <c r="T26" s="9"/>
      <c r="W26" s="4"/>
    </row>
    <row r="27" spans="1:24" ht="17.399999999999999" x14ac:dyDescent="0.35">
      <c r="B27" s="269"/>
      <c r="C27" s="230"/>
      <c r="D27" s="230"/>
      <c r="E27" s="233"/>
      <c r="F27" s="234"/>
      <c r="G27" s="230"/>
      <c r="H27" s="274"/>
      <c r="I27" s="265"/>
      <c r="J27" s="47"/>
      <c r="K27" s="47"/>
      <c r="L27" s="14"/>
      <c r="M27" s="12"/>
      <c r="N27" s="12"/>
      <c r="O27" s="46">
        <f>O25+O26</f>
        <v>2.6932800000000001</v>
      </c>
      <c r="P27" s="14"/>
      <c r="Q27" s="14"/>
      <c r="R27" s="238">
        <v>40</v>
      </c>
      <c r="S27" s="14"/>
      <c r="T27" s="9"/>
      <c r="W27" s="4"/>
    </row>
    <row r="28" spans="1:24" ht="17.399999999999999" x14ac:dyDescent="0.35">
      <c r="B28" s="235"/>
      <c r="C28" s="236"/>
      <c r="D28" s="237"/>
      <c r="E28" s="235"/>
      <c r="F28" s="230"/>
      <c r="G28" s="230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5" t="s">
        <v>22</v>
      </c>
      <c r="U28" s="302" t="s">
        <v>153</v>
      </c>
      <c r="V28" s="306">
        <v>44971</v>
      </c>
      <c r="W28" s="307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47"/>
      <c r="K29" s="47"/>
      <c r="L29" s="39">
        <f>O27*2</f>
        <v>5.3865600000000002</v>
      </c>
      <c r="M29" s="12">
        <v>2500</v>
      </c>
      <c r="N29" s="12">
        <f t="shared" ref="N29:N34" si="2">L29*M29</f>
        <v>13466.400000000001</v>
      </c>
      <c r="O29" s="14" t="s">
        <v>22</v>
      </c>
      <c r="P29" s="14"/>
      <c r="Q29" s="14"/>
      <c r="R29" s="241"/>
      <c r="S29" s="14"/>
      <c r="T29" s="305" t="s">
        <v>154</v>
      </c>
      <c r="U29" s="302">
        <v>3625</v>
      </c>
      <c r="V29" s="59" t="s">
        <v>155</v>
      </c>
      <c r="W29" s="307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5"/>
      <c r="J30" s="47"/>
      <c r="K30" s="47"/>
      <c r="L30" s="249">
        <v>0.72</v>
      </c>
      <c r="M30" s="12">
        <v>23850</v>
      </c>
      <c r="N30" s="12">
        <f t="shared" si="2"/>
        <v>17172</v>
      </c>
      <c r="O30" s="39" t="s">
        <v>32</v>
      </c>
      <c r="P30" s="42"/>
      <c r="Q30" s="14"/>
      <c r="R30" s="240"/>
      <c r="S30" s="14"/>
      <c r="T30" s="305"/>
      <c r="U30" s="59">
        <v>906.25</v>
      </c>
      <c r="V30" s="59" t="s">
        <v>156</v>
      </c>
      <c r="W30" s="307"/>
    </row>
    <row r="31" spans="1:24" s="230" customFormat="1" ht="17.399999999999999" x14ac:dyDescent="0.35">
      <c r="B31" s="24" t="s">
        <v>152</v>
      </c>
      <c r="I31" s="262"/>
      <c r="J31" s="232"/>
      <c r="K31" s="250"/>
      <c r="L31" s="14">
        <v>0.7</v>
      </c>
      <c r="M31" s="250">
        <v>47000</v>
      </c>
      <c r="N31" s="12">
        <f t="shared" si="2"/>
        <v>32900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7" t="s">
        <v>157</v>
      </c>
      <c r="W31" s="59"/>
    </row>
    <row r="32" spans="1:24" s="230" customFormat="1" ht="17.399999999999999" x14ac:dyDescent="0.35">
      <c r="B32" s="24" t="s">
        <v>145</v>
      </c>
      <c r="C32"/>
      <c r="D32"/>
      <c r="E32"/>
      <c r="F32"/>
      <c r="I32" s="262"/>
      <c r="J32" s="232"/>
      <c r="K32" s="250"/>
      <c r="L32" s="14"/>
      <c r="M32" s="250">
        <v>30500</v>
      </c>
      <c r="N32" s="12">
        <f t="shared" si="2"/>
        <v>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7" t="s">
        <v>158</v>
      </c>
      <c r="W32" s="59"/>
    </row>
    <row r="33" spans="2:23" s="230" customFormat="1" ht="17.399999999999999" x14ac:dyDescent="0.35">
      <c r="B33" s="29" t="s">
        <v>126</v>
      </c>
      <c r="C33"/>
      <c r="D33" s="229" t="s">
        <v>16</v>
      </c>
      <c r="E33"/>
      <c r="I33" s="262"/>
      <c r="K33" s="250"/>
      <c r="L33" s="249"/>
      <c r="M33" s="250">
        <v>300</v>
      </c>
      <c r="N33" s="12">
        <f t="shared" si="2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I34" s="294"/>
      <c r="K34" s="250"/>
      <c r="L34" s="266">
        <v>3.7</v>
      </c>
      <c r="M34" s="12">
        <v>1500</v>
      </c>
      <c r="N34" s="12">
        <f t="shared" si="2"/>
        <v>5550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69088.399999999994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145085.63999999998</v>
      </c>
      <c r="O36" s="14" t="s">
        <v>141</v>
      </c>
      <c r="P36" s="14"/>
      <c r="Q36" s="40">
        <f>O27/Q35</f>
        <v>0.72618636755823984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66340</v>
      </c>
      <c r="K37" s="250"/>
      <c r="L37" s="14"/>
      <c r="M37" s="12"/>
      <c r="N37" s="12">
        <f>N36/O25</f>
        <v>64643.396898948486</v>
      </c>
      <c r="O37" s="45" t="s">
        <v>25</v>
      </c>
      <c r="P37" s="14"/>
      <c r="Q37" s="14"/>
      <c r="R37"/>
      <c r="S37" s="238"/>
      <c r="T37" s="59" t="s">
        <v>159</v>
      </c>
      <c r="U37" s="302">
        <v>43650</v>
      </c>
    </row>
    <row r="38" spans="2:23" s="230" customFormat="1" ht="17.399999999999999" x14ac:dyDescent="0.35">
      <c r="G38"/>
      <c r="H38" s="230" t="s">
        <v>164</v>
      </c>
      <c r="J38" s="230">
        <f>J37/1.19</f>
        <v>55747.899159663866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03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D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45355</v>
      </c>
    </row>
    <row r="6" spans="2:31" ht="16.2" thickBot="1" x14ac:dyDescent="0.35">
      <c r="B6" s="140" t="s">
        <v>2</v>
      </c>
      <c r="C6" s="139" t="str">
        <f>'2229'!C10</f>
        <v>VALERIA AJ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10647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1496.4949665458942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145085.63999999998</v>
      </c>
      <c r="E11" s="132">
        <f>D11*0.19</f>
        <v>27566.271599999996</v>
      </c>
      <c r="F11" s="131">
        <f>E11+D11</f>
        <v>172651.91159999999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107486.4949665459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93372.490787439616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89486.494966545899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51713.149212560369</v>
      </c>
      <c r="E13" s="221">
        <f>(D11/D12)-1</f>
        <v>0.55383709673424253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80486.494966545899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41486.494966545892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154064.60979927535</v>
      </c>
      <c r="F15" s="216">
        <f>E15-D12</f>
        <v>60692.119011835734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41486.494966545892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81486.494966545899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32900</v>
      </c>
      <c r="E18" s="123">
        <f>D18*0.19</f>
        <v>6251</v>
      </c>
      <c r="F18" s="120">
        <f>SUM(D18:E18)</f>
        <v>39151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17172</v>
      </c>
      <c r="E19" s="123">
        <f>D19*0.19</f>
        <v>3262.68</v>
      </c>
      <c r="F19" s="120">
        <f>SUM(D19:E19)</f>
        <v>20434.68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13466.400000000001</v>
      </c>
      <c r="E20" s="121">
        <f>D20*0.19</f>
        <v>2558.6160000000004</v>
      </c>
      <c r="F20" s="120">
        <f>SUM(D20:E20)</f>
        <v>16025.016000000001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63538.400000000001</v>
      </c>
      <c r="E21" s="116">
        <f>SUM(E18:E20)</f>
        <v>12072.296</v>
      </c>
      <c r="F21" s="115">
        <f>SUM(F18:F20)</f>
        <v>75610.695999999996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15493.975599999996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145085.63999999998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63538.400000000001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51713.149212560369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51713.149212560369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2024-03-04T19:40:02Z</cp:lastPrinted>
  <dcterms:created xsi:type="dcterms:W3CDTF">2013-03-18T13:35:42Z</dcterms:created>
  <dcterms:modified xsi:type="dcterms:W3CDTF">2024-03-04T19:40:07Z</dcterms:modified>
</cp:coreProperties>
</file>