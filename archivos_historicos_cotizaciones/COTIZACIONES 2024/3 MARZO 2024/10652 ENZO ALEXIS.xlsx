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15E8FF30-9C38-438C-AA34-84EEBE2B83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" i="1" l="1"/>
  <c r="L22" i="1"/>
  <c r="M22" i="1"/>
  <c r="L23" i="1"/>
  <c r="M23" i="1"/>
  <c r="K21" i="1"/>
  <c r="L21" i="1"/>
  <c r="M21" i="1"/>
  <c r="L26" i="1" l="1"/>
  <c r="R23" i="1"/>
  <c r="N23" i="1"/>
  <c r="O23" i="1" s="1"/>
  <c r="R22" i="1"/>
  <c r="N22" i="1"/>
  <c r="O22" i="1" s="1"/>
  <c r="N21" i="1"/>
  <c r="O21" i="1" s="1"/>
  <c r="R21" i="1"/>
  <c r="J42" i="1"/>
  <c r="N33" i="1"/>
  <c r="O27" i="1" l="1"/>
  <c r="U35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F18" i="3" l="1"/>
  <c r="O30" i="1" l="1"/>
  <c r="L32" i="1" s="1"/>
  <c r="N32" i="1" l="1"/>
  <c r="S46" i="1"/>
  <c r="N38" i="1" l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1" i="1" l="1"/>
  <c r="G21" i="1" s="1"/>
  <c r="P22" i="1"/>
  <c r="H22" i="1" s="1"/>
  <c r="P23" i="1"/>
  <c r="H23" i="1" s="1"/>
  <c r="F15" i="3"/>
  <c r="Q23" i="1" l="1"/>
  <c r="Q22" i="1"/>
  <c r="Q21" i="1"/>
  <c r="H21" i="1" s="1"/>
  <c r="H26" i="1" s="1"/>
  <c r="R28" i="1"/>
  <c r="H27" i="1" l="1"/>
  <c r="H28" i="1" s="1"/>
  <c r="D11" i="3"/>
  <c r="X9" i="3" s="1"/>
  <c r="X15" i="3" s="1"/>
  <c r="E11" i="3" l="1"/>
  <c r="D40" i="3" s="1"/>
  <c r="E13" i="3"/>
  <c r="D13" i="3"/>
  <c r="X11" i="3"/>
  <c r="X16" i="3"/>
  <c r="M42" i="3"/>
  <c r="M46" i="3" s="1"/>
  <c r="M49" i="3" s="1"/>
  <c r="X13" i="3"/>
  <c r="X12" i="3"/>
  <c r="X14" i="3"/>
  <c r="F11" i="3" l="1"/>
</calcChain>
</file>

<file path=xl/sharedStrings.xml><?xml version="1.0" encoding="utf-8"?>
<sst xmlns="http://schemas.openxmlformats.org/spreadsheetml/2006/main" count="226" uniqueCount="173">
  <si>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</si>
  <si>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</si>
  <si>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</si>
  <si>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</si>
  <si>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</si>
  <si>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</si>
  <si>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</si>
  <si>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</si>
  <si>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</si>
  <si>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</si>
  <si>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</si>
  <si>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</si>
  <si>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</si>
  <si>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</si>
  <si>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</si>
  <si>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</si>
  <si>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</si>
  <si>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</si>
  <si>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</si>
  <si>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</si>
  <si>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</si>
  <si>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</si>
  <si>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</si>
  <si>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</si>
  <si>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</si>
  <si>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</si>
  <si>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</si>
  <si>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</si>
  <si>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</si>
  <si>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</si>
  <si>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</si>
  <si>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</si>
  <si>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</si>
  <si>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</si>
  <si>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</si>
  <si>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</si>
  <si>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</si>
  <si>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</si>
  <si>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</si>
  <si>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</si>
  <si>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</si>
  <si>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</si>
  <si>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</si>
  <si>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</si>
  <si>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</si>
  <si>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</si>
  <si>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</si>
  <si>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</si>
  <si>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</si>
  <si>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</si>
  <si>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</si>
  <si>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</si>
  <si>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</si>
  <si>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</si>
  <si>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</si>
  <si>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</si>
  <si>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</si>
  <si>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</si>
  <si>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</si>
  <si>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</si>
  <si>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</si>
  <si>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</si>
  <si>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</si>
  <si>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</si>
  <si>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</si>
  <si>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</si>
  <si>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</si>
  <si>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</si>
  <si>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</si>
  <si>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</si>
  <si>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</si>
  <si>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</si>
  <si>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</si>
  <si>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</si>
  <si>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</si>
  <si>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</si>
  <si>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</si>
  <si>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</si>
  <si>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</si>
  <si>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</si>
  <si>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</si>
  <si>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</si>
  <si>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</si>
  <si>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</si>
  <si>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</si>
  <si>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</si>
  <si>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</si>
  <si>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</si>
  <si>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</si>
  <si>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</si>
  <si>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</si>
  <si>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</si>
  <si>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</si>
  <si>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</si>
  <si>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</si>
  <si>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</si>
  <si>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</si>
  <si>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</si>
  <si>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</si>
  <si>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</si>
  <si>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</si>
  <si>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</si>
  <si>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</si>
  <si>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</si>
  <si>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</si>
  <si>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</si>
  <si>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</si>
  <si>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</si>
  <si>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</si>
  <si>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</si>
  <si>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</si>
  <si>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</si>
  <si>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</si>
  <si>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</si>
  <si>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</si>
  <si>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</si>
  <si>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</si>
  <si>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</si>
  <si>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</si>
  <si>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</si>
  <si>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</si>
  <si>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</si>
  <si>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</si>
  <si>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</si>
  <si>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</si>
  <si>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</si>
  <si>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</si>
  <si>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</si>
  <si>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</si>
  <si>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</si>
  <si>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</si>
  <si>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</si>
  <si>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</si>
  <si>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</si>
  <si>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</si>
  <si>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</si>
  <si>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</si>
  <si>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</si>
  <si>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</si>
  <si>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</si>
  <si>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</si>
  <si>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</si>
  <si>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</si>
  <si>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</si>
  <si>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</si>
  <si>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</si>
  <si>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</si>
  <si>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</si>
  <si>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</si>
  <si>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</si>
  <si>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</si>
  <si>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</si>
  <si>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ABONO 50% SALDO C/E</t>
  </si>
  <si>
    <t>ZACALO</t>
  </si>
  <si>
    <t>MDF18MM</t>
  </si>
  <si>
    <t>O</t>
  </si>
  <si>
    <t xml:space="preserve">NO </t>
  </si>
  <si>
    <t>SANTIAGO</t>
  </si>
  <si>
    <t>CUENTA CORRIENTE BANCO SANTANDER Nº 87316181 A NOMBRE DE MUEBLES SANTA FE SPA</t>
  </si>
  <si>
    <t xml:space="preserve">5-7  DÍAS HABILES </t>
  </si>
  <si>
    <t>CUBIERTA CON RESPALDO R6</t>
  </si>
  <si>
    <t>REINALDO HERNAN ESPELETA SANTIS</t>
  </si>
  <si>
    <t>12.043.806-9</t>
  </si>
  <si>
    <t>PROYECTOS INDUSTRIALES</t>
  </si>
  <si>
    <t>+569 6656 0095</t>
  </si>
  <si>
    <t>ESPELETA@RESMAIN.CL</t>
  </si>
  <si>
    <t>EYZAGUIRRE #3455</t>
  </si>
  <si>
    <t>DURACION COTIZACION: 5 DIAS                           FD</t>
  </si>
  <si>
    <t>N° 10652</t>
  </si>
  <si>
    <t>SI</t>
  </si>
  <si>
    <t>SERVICIO DESFONDADO</t>
  </si>
  <si>
    <t>DESPACHO RADIO URBANO</t>
  </si>
  <si>
    <t>GRANITINO NEGRO 3014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</si>
</sst>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5133AB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1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8" borderId="0" xfId="0" applyFont="1" applyFill="1" applyAlignment="1">
      <alignment shrinkToFit="1"/>
    </xf>
    <xf numFmtId="167" fontId="3" fillId="18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2" fillId="19" borderId="2" xfId="0" applyFont="1" applyFill="1" applyBorder="1" applyAlignment="1">
      <alignment horizontal="left" indent="1"/>
    </xf>
    <xf numFmtId="0" fontId="21" fillId="19" borderId="9" xfId="0" applyFont="1" applyFill="1" applyBorder="1"/>
    <xf numFmtId="0" fontId="21" fillId="19" borderId="3" xfId="0" applyFont="1" applyFill="1" applyBorder="1" applyAlignment="1">
      <alignment horizontal="center"/>
    </xf>
    <xf numFmtId="42" fontId="20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167" fontId="29" fillId="0" borderId="0" xfId="0" applyNumberFormat="1" applyFont="1"/>
    <xf numFmtId="167" fontId="0" fillId="0" borderId="0" xfId="0" applyNumberFormat="1" applyAlignment="1">
      <alignment horizontal="center"/>
    </xf>
    <xf numFmtId="0" fontId="10" fillId="8" borderId="0" xfId="0" applyFont="1" applyFill="1"/>
    <xf numFmtId="0" fontId="0" fillId="13" borderId="0" xfId="0" applyFill="1"/>
    <xf numFmtId="0" fontId="26" fillId="13" borderId="0" xfId="0" applyFont="1" applyFill="1" applyAlignment="1">
      <alignment horizontal="left"/>
    </xf>
    <xf numFmtId="0" fontId="4" fillId="13" borderId="0" xfId="0" applyFont="1" applyFill="1"/>
    <xf numFmtId="0" fontId="26" fillId="13" borderId="0" xfId="0" applyFont="1" applyFill="1"/>
    <xf numFmtId="0" fontId="13" fillId="13" borderId="0" xfId="0" applyFont="1" applyFill="1"/>
    <xf numFmtId="0" fontId="27" fillId="13" borderId="0" xfId="0" applyFont="1" applyFill="1"/>
    <xf numFmtId="0" fontId="0" fillId="20" borderId="0" xfId="0" applyFill="1"/>
    <xf numFmtId="14" fontId="26" fillId="20" borderId="0" xfId="0" applyNumberFormat="1" applyFont="1" applyFill="1" applyAlignment="1">
      <alignment horizontal="left"/>
    </xf>
    <xf numFmtId="0" fontId="7" fillId="20" borderId="0" xfId="0" applyFont="1" applyFill="1"/>
    <xf numFmtId="0" fontId="26" fillId="20" borderId="0" xfId="0" applyFont="1" applyFill="1" applyAlignment="1">
      <alignment horizontal="left"/>
    </xf>
    <xf numFmtId="0" fontId="26" fillId="20" borderId="0" xfId="0" applyFont="1" applyFill="1"/>
    <xf numFmtId="0" fontId="7" fillId="13" borderId="46" xfId="0" applyFont="1" applyFill="1" applyBorder="1"/>
    <xf numFmtId="0" fontId="0" fillId="13" borderId="46" xfId="0" applyFill="1" applyBorder="1" applyAlignment="1">
      <alignment horizontal="left"/>
    </xf>
    <xf numFmtId="14" fontId="26" fillId="13" borderId="46" xfId="0" applyNumberFormat="1" applyFont="1" applyFill="1" applyBorder="1" applyAlignment="1">
      <alignment horizontal="left"/>
    </xf>
    <xf numFmtId="0" fontId="0" fillId="13" borderId="53" xfId="0" applyFill="1" applyBorder="1"/>
    <xf numFmtId="0" fontId="0" fillId="20" borderId="55" xfId="0" applyFill="1" applyBorder="1"/>
    <xf numFmtId="0" fontId="0" fillId="13" borderId="55" xfId="0" applyFill="1" applyBorder="1"/>
    <xf numFmtId="0" fontId="6" fillId="13" borderId="54" xfId="0" applyFont="1" applyFill="1" applyBorder="1"/>
    <xf numFmtId="0" fontId="10" fillId="0" borderId="0" xfId="0" applyFont="1" applyAlignment="1">
      <alignment horizontal="center"/>
    </xf>
    <xf numFmtId="0" fontId="7" fillId="8" borderId="0" xfId="0" applyFont="1" applyFill="1"/>
    <xf numFmtId="0" fontId="5" fillId="20" borderId="0" xfId="0" applyFont="1" applyFill="1"/>
    <xf numFmtId="0" fontId="7" fillId="13" borderId="0" xfId="0" applyFont="1" applyFill="1"/>
    <xf numFmtId="0" fontId="5" fillId="20" borderId="37" xfId="3" applyFont="1" applyFill="1" applyBorder="1" applyAlignment="1">
      <alignment horizontal="left"/>
    </xf>
    <xf numFmtId="0" fontId="7" fillId="20" borderId="37" xfId="3" applyFont="1" applyFill="1" applyBorder="1" applyAlignment="1">
      <alignment horizontal="left"/>
    </xf>
    <xf numFmtId="0" fontId="7" fillId="20" borderId="37" xfId="0" applyFont="1" applyFill="1" applyBorder="1"/>
    <xf numFmtId="0" fontId="32" fillId="20" borderId="0" xfId="0" applyFont="1" applyFill="1"/>
    <xf numFmtId="0" fontId="33" fillId="13" borderId="0" xfId="0" applyFont="1" applyFill="1"/>
    <xf numFmtId="0" fontId="0" fillId="13" borderId="47" xfId="0" applyFill="1" applyBorder="1"/>
    <xf numFmtId="0" fontId="0" fillId="20" borderId="54" xfId="0" applyFill="1" applyBorder="1"/>
    <xf numFmtId="0" fontId="0" fillId="13" borderId="54" xfId="0" applyFill="1" applyBorder="1"/>
    <xf numFmtId="0" fontId="0" fillId="20" borderId="44" xfId="0" applyFill="1" applyBorder="1"/>
    <xf numFmtId="0" fontId="8" fillId="13" borderId="0" xfId="3" applyFill="1"/>
    <xf numFmtId="0" fontId="34" fillId="0" borderId="0" xfId="0" applyFont="1" applyAlignment="1">
      <alignment horizontal="left" vertical="center"/>
    </xf>
    <xf numFmtId="0" fontId="1" fillId="0" borderId="0" xfId="0" applyFont="1"/>
    <xf numFmtId="0" fontId="16" fillId="0" borderId="0" xfId="3" applyFont="1" applyFill="1" applyBorder="1" applyAlignment="1">
      <alignment vertical="center"/>
    </xf>
    <xf numFmtId="0" fontId="10" fillId="0" borderId="28" xfId="0" applyFont="1" applyBorder="1" applyAlignment="1">
      <alignment horizontal="center"/>
    </xf>
    <xf numFmtId="42" fontId="30" fillId="0" borderId="27" xfId="8" applyFont="1" applyFill="1" applyBorder="1"/>
    <xf numFmtId="0" fontId="10" fillId="0" borderId="26" xfId="0" applyFont="1" applyBorder="1" applyAlignment="1">
      <alignment horizontal="center"/>
    </xf>
    <xf numFmtId="42" fontId="30" fillId="0" borderId="20" xfId="8" applyFont="1" applyFill="1" applyBorder="1"/>
    <xf numFmtId="0" fontId="10" fillId="0" borderId="31" xfId="0" applyFont="1" applyBorder="1" applyAlignment="1">
      <alignment horizontal="center"/>
    </xf>
    <xf numFmtId="42" fontId="30" fillId="0" borderId="29" xfId="8" applyFont="1" applyFill="1" applyBorder="1"/>
    <xf numFmtId="1" fontId="29" fillId="0" borderId="0" xfId="0" applyNumberFormat="1" applyFont="1" applyAlignment="1">
      <alignment horizontal="center" vertical="center"/>
    </xf>
    <xf numFmtId="42" fontId="10" fillId="0" borderId="0" xfId="8" applyFont="1" applyFill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42" fontId="10" fillId="0" borderId="1" xfId="8" applyFont="1" applyFill="1" applyBorder="1" applyAlignment="1">
      <alignment horizontal="center" vertical="center"/>
    </xf>
    <xf numFmtId="0" fontId="7" fillId="20" borderId="0" xfId="0" quotePrefix="1" applyFont="1" applyFill="1"/>
    <xf numFmtId="0" fontId="19" fillId="19" borderId="25" xfId="0" applyFont="1" applyFill="1" applyBorder="1" applyAlignment="1">
      <alignment horizontal="center" vertical="center"/>
    </xf>
    <xf numFmtId="0" fontId="19" fillId="19" borderId="42" xfId="0" applyFont="1" applyFill="1" applyBorder="1" applyAlignment="1">
      <alignment horizontal="center" vertical="center"/>
    </xf>
    <xf numFmtId="0" fontId="19" fillId="19" borderId="10" xfId="0" applyFont="1" applyFill="1" applyBorder="1" applyAlignment="1">
      <alignment horizontal="center" vertical="center"/>
    </xf>
    <xf numFmtId="1" fontId="29" fillId="0" borderId="28" xfId="0" applyNumberFormat="1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center"/>
    </xf>
    <xf numFmtId="42" fontId="10" fillId="0" borderId="36" xfId="8" applyFont="1" applyFill="1" applyBorder="1" applyAlignment="1">
      <alignment horizontal="center" vertical="center"/>
    </xf>
    <xf numFmtId="42" fontId="10" fillId="0" borderId="27" xfId="8" applyFont="1" applyFill="1" applyBorder="1" applyAlignment="1">
      <alignment horizontal="center" vertical="center"/>
    </xf>
    <xf numFmtId="1" fontId="29" fillId="0" borderId="26" xfId="0" applyNumberFormat="1" applyFont="1" applyBorder="1" applyAlignment="1">
      <alignment horizontal="center" vertical="center"/>
    </xf>
    <xf numFmtId="42" fontId="10" fillId="0" borderId="20" xfId="8" applyFont="1" applyFill="1" applyBorder="1" applyAlignment="1">
      <alignment horizontal="center" vertical="center"/>
    </xf>
    <xf numFmtId="0" fontId="17" fillId="20" borderId="37" xfId="0" applyFont="1" applyFill="1" applyBorder="1" applyAlignment="1">
      <alignment horizontal="left"/>
    </xf>
    <xf numFmtId="0" fontId="17" fillId="20" borderId="5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2247901</xdr:colOff>
      <xdr:row>29</xdr:row>
      <xdr:rowOff>7621</xdr:rowOff>
    </xdr:from>
    <xdr:to>
      <xdr:col>7</xdr:col>
      <xdr:colOff>1043941</xdr:colOff>
      <xdr:row>32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429501" y="6621781"/>
          <a:ext cx="2011680" cy="65531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28</xdr:row>
      <xdr:rowOff>209550</xdr:rowOff>
    </xdr:from>
    <xdr:to>
      <xdr:col>5</xdr:col>
      <xdr:colOff>1798320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3385" y="6381750"/>
          <a:ext cx="6566535" cy="67437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r>
            <a:rPr lang="es-CL" sz="1200" b="1"/>
            <a:t>UNA</a:t>
          </a:r>
          <a:r>
            <a:rPr lang="es-CL" sz="1200" b="1" baseline="0"/>
            <a:t> VEZ ACEPTADO EL PRESUPUESTO ENVIAR COMROBANTE AL WHATSAPP. </a:t>
          </a:r>
          <a:endParaRPr lang="es-CL" sz="1200" b="1"/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3811</xdr:colOff>
      <xdr:row>24</xdr:row>
      <xdr:rowOff>211455</xdr:rowOff>
    </xdr:from>
    <xdr:to>
      <xdr:col>5</xdr:col>
      <xdr:colOff>1773555</xdr:colOff>
      <xdr:row>27</xdr:row>
      <xdr:rowOff>220980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7671" y="6475095"/>
          <a:ext cx="6547484" cy="6953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</a:t>
          </a:r>
          <a:r>
            <a:rPr lang="es-CL" sz="1400" b="1" baseline="0"/>
            <a:t> CUBIERTAS SE ENTREGAN CORTADAS A LA MEDIDA Y ENCHAPADAS EN LOS COSTADOS.</a:t>
          </a:r>
        </a:p>
      </xdr:txBody>
    </xdr:sp>
    <xdr:clientData/>
  </xdr:twoCellAnchor>
  <xdr:twoCellAnchor editAs="oneCell">
    <xdr:from>
      <xdr:col>1</xdr:col>
      <xdr:colOff>7620</xdr:colOff>
      <xdr:row>0</xdr:row>
      <xdr:rowOff>0</xdr:rowOff>
    </xdr:from>
    <xdr:to>
      <xdr:col>2</xdr:col>
      <xdr:colOff>860818</xdr:colOff>
      <xdr:row>6</xdr:row>
      <xdr:rowOff>20955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0"/>
          <a:ext cx="1519948" cy="118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SPELETA@RESMAIN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3"/>
  <sheetViews>
    <sheetView tabSelected="1" topLeftCell="A6" zoomScaleNormal="100" workbookViewId="0">
      <selection activeCell="F22" sqref="F22"/>
    </sheetView>
  </sheetViews>
  <sheetFormatPr baseColWidth="10" defaultRowHeight="14.4" x14ac:dyDescent="0.3"/>
  <cols>
    <col min="1" max="1" width="5.88671875" customWidth="1"/>
    <col min="2" max="2" width="10" customWidth="1"/>
    <col min="3" max="3" width="38" customWidth="1"/>
    <col min="4" max="4" width="12.33203125" customWidth="1"/>
    <col min="5" max="5" width="10.5546875" customWidth="1"/>
    <col min="6" max="6" width="32.88671875" customWidth="1"/>
    <col min="7" max="7" width="14" customWidth="1"/>
    <col min="8" max="8" width="15.44140625" customWidth="1"/>
    <col min="9" max="9" width="13.44140625" customWidth="1"/>
    <col min="11" max="11" width="9.5546875" style="17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6" t="s">
        <v>143</v>
      </c>
      <c r="P2" s="1"/>
      <c r="Q2" s="1"/>
      <c r="R2" s="2"/>
      <c r="S2" s="2"/>
      <c r="T2" s="1"/>
      <c r="U2" s="1"/>
      <c r="V2" s="2"/>
      <c r="W2" s="3"/>
    </row>
    <row r="3" spans="2:23" x14ac:dyDescent="0.3">
      <c r="F3" s="55" t="s">
        <v>139</v>
      </c>
      <c r="P3" s="1"/>
      <c r="Q3" s="1"/>
      <c r="R3" s="2"/>
      <c r="S3" s="2"/>
      <c r="T3" s="1"/>
      <c r="U3" s="1"/>
      <c r="V3" s="2"/>
      <c r="W3" s="3"/>
    </row>
    <row r="4" spans="2:23" x14ac:dyDescent="0.3">
      <c r="F4" s="55" t="s">
        <v>144</v>
      </c>
      <c r="P4" s="1"/>
      <c r="Q4" s="1"/>
      <c r="R4" s="2"/>
      <c r="S4" s="2"/>
      <c r="T4" s="1"/>
      <c r="U4" s="1"/>
      <c r="V4" s="2"/>
      <c r="W4" s="3"/>
    </row>
    <row r="5" spans="2:23" x14ac:dyDescent="0.3">
      <c r="F5" s="55" t="s">
        <v>14</v>
      </c>
      <c r="P5" s="1"/>
      <c r="Q5" s="1"/>
      <c r="R5" s="2"/>
      <c r="S5" s="2"/>
      <c r="T5" s="1"/>
      <c r="U5" s="1"/>
      <c r="V5" s="2"/>
      <c r="W5" s="3"/>
    </row>
    <row r="6" spans="2:23" ht="15.6" x14ac:dyDescent="0.3">
      <c r="F6" s="55" t="s">
        <v>15</v>
      </c>
      <c r="N6" s="30" t="s">
        <v>20</v>
      </c>
      <c r="P6" s="1"/>
      <c r="Q6" s="1"/>
      <c r="R6" s="2"/>
      <c r="S6" s="2"/>
      <c r="T6" s="1"/>
      <c r="U6" s="1"/>
      <c r="V6" s="2"/>
    </row>
    <row r="7" spans="2:23" ht="15" thickBot="1" x14ac:dyDescent="0.35">
      <c r="F7" s="55" t="s">
        <v>126</v>
      </c>
      <c r="P7" s="1"/>
      <c r="Q7" s="1"/>
      <c r="R7" s="2"/>
      <c r="S7" s="2"/>
      <c r="T7" s="1"/>
      <c r="U7" s="1"/>
      <c r="V7" s="2"/>
    </row>
    <row r="8" spans="2:23" ht="21.6" thickBot="1" x14ac:dyDescent="0.45">
      <c r="B8" s="273" t="s">
        <v>128</v>
      </c>
      <c r="C8" s="274"/>
      <c r="D8" s="275" t="s">
        <v>168</v>
      </c>
      <c r="F8" s="55"/>
      <c r="J8" s="299"/>
      <c r="Q8" s="1"/>
      <c r="R8" s="2"/>
      <c r="S8" s="2"/>
      <c r="T8" s="1"/>
      <c r="U8" s="1"/>
      <c r="V8" s="2"/>
    </row>
    <row r="9" spans="2:23" ht="15" thickBot="1" x14ac:dyDescent="0.35">
      <c r="J9" s="300"/>
      <c r="Q9" s="1"/>
      <c r="R9" s="2"/>
      <c r="S9" s="2"/>
      <c r="T9" s="3"/>
      <c r="U9" s="1"/>
      <c r="V9" s="2"/>
    </row>
    <row r="10" spans="2:23" x14ac:dyDescent="0.3">
      <c r="B10" s="308" t="s">
        <v>2</v>
      </c>
      <c r="C10" s="292" t="s">
        <v>161</v>
      </c>
      <c r="D10" s="292"/>
      <c r="E10" s="292"/>
      <c r="F10" s="293" t="s">
        <v>0</v>
      </c>
      <c r="G10" s="294">
        <v>45356</v>
      </c>
      <c r="H10" s="295"/>
      <c r="Q10" s="1"/>
      <c r="R10" s="2"/>
      <c r="S10" s="2"/>
      <c r="T10" s="3"/>
      <c r="U10" s="1"/>
      <c r="V10" s="2"/>
    </row>
    <row r="11" spans="2:23" ht="15.6" x14ac:dyDescent="0.3">
      <c r="B11" s="309" t="s">
        <v>12</v>
      </c>
      <c r="C11" s="301" t="s">
        <v>162</v>
      </c>
      <c r="D11" s="289"/>
      <c r="E11" s="289"/>
      <c r="F11" s="287" t="s">
        <v>125</v>
      </c>
      <c r="G11" s="288" t="s">
        <v>159</v>
      </c>
      <c r="H11" s="296"/>
      <c r="L11">
        <v>225990</v>
      </c>
      <c r="P11" s="18"/>
      <c r="Q11" s="23" t="s">
        <v>19</v>
      </c>
      <c r="R11" s="18"/>
    </row>
    <row r="12" spans="2:23" x14ac:dyDescent="0.3">
      <c r="B12" s="310" t="s">
        <v>146</v>
      </c>
      <c r="C12" s="302" t="s">
        <v>163</v>
      </c>
      <c r="D12" s="302"/>
      <c r="E12" s="302"/>
      <c r="F12" s="281" t="s">
        <v>129</v>
      </c>
      <c r="G12" s="282" t="s">
        <v>156</v>
      </c>
      <c r="H12" s="297"/>
      <c r="P12" s="18"/>
      <c r="Q12" s="23"/>
      <c r="R12" s="18"/>
    </row>
    <row r="13" spans="2:23" x14ac:dyDescent="0.3">
      <c r="B13" s="309" t="s">
        <v>147</v>
      </c>
      <c r="C13" s="327" t="s">
        <v>164</v>
      </c>
      <c r="D13" s="289"/>
      <c r="E13" s="289"/>
      <c r="F13" s="287"/>
      <c r="G13" s="290"/>
      <c r="H13" s="296"/>
      <c r="P13" s="18"/>
      <c r="Q13" s="23"/>
      <c r="R13" s="18"/>
    </row>
    <row r="14" spans="2:23" x14ac:dyDescent="0.3">
      <c r="B14" s="310" t="s">
        <v>140</v>
      </c>
      <c r="C14" s="312" t="s">
        <v>165</v>
      </c>
      <c r="D14" s="302"/>
      <c r="E14" s="302"/>
      <c r="F14" s="283" t="s">
        <v>137</v>
      </c>
      <c r="G14" s="284" t="s">
        <v>169</v>
      </c>
      <c r="H14" s="297"/>
      <c r="P14" s="19"/>
      <c r="Q14" s="24" t="s">
        <v>18</v>
      </c>
      <c r="R14" s="19"/>
    </row>
    <row r="15" spans="2:23" ht="15.6" x14ac:dyDescent="0.3">
      <c r="B15" s="309" t="s">
        <v>4</v>
      </c>
      <c r="C15" s="327" t="s">
        <v>164</v>
      </c>
      <c r="D15" s="306"/>
      <c r="E15" s="289"/>
      <c r="F15" s="287" t="s">
        <v>136</v>
      </c>
      <c r="G15" s="291" t="s">
        <v>169</v>
      </c>
      <c r="H15" s="296"/>
      <c r="J15" s="280"/>
      <c r="K15"/>
    </row>
    <row r="16" spans="2:23" x14ac:dyDescent="0.3">
      <c r="B16" s="298" t="s">
        <v>3</v>
      </c>
      <c r="C16" s="307" t="s">
        <v>166</v>
      </c>
      <c r="D16" s="302"/>
      <c r="E16" s="302"/>
      <c r="F16" s="285" t="s">
        <v>131</v>
      </c>
      <c r="G16" s="286" t="s">
        <v>152</v>
      </c>
      <c r="H16" s="297"/>
    </row>
    <row r="17" spans="2:24" ht="16.2" thickBot="1" x14ac:dyDescent="0.35">
      <c r="B17" s="311" t="s">
        <v>13</v>
      </c>
      <c r="C17" s="303" t="s">
        <v>157</v>
      </c>
      <c r="D17" s="304"/>
      <c r="E17" s="305"/>
      <c r="F17" s="338" t="s">
        <v>167</v>
      </c>
      <c r="G17" s="338"/>
      <c r="H17" s="339"/>
      <c r="I17" s="251"/>
      <c r="J17">
        <v>142784</v>
      </c>
      <c r="S17" s="5"/>
      <c r="T17" s="5"/>
    </row>
    <row r="18" spans="2:24" ht="15.75" customHeight="1" thickBot="1" x14ac:dyDescent="0.35">
      <c r="B18" s="271"/>
      <c r="H18" s="272"/>
      <c r="I18" s="44"/>
      <c r="J18" s="4">
        <v>85767</v>
      </c>
      <c r="U18" s="8"/>
      <c r="W18" s="5"/>
      <c r="X18" s="5"/>
    </row>
    <row r="19" spans="2:24" ht="20.100000000000001" customHeight="1" x14ac:dyDescent="0.3">
      <c r="B19" s="340" t="s">
        <v>148</v>
      </c>
      <c r="C19" s="341"/>
      <c r="D19" s="341"/>
      <c r="E19" s="341"/>
      <c r="F19" s="341"/>
      <c r="G19" s="341"/>
      <c r="H19" s="342"/>
      <c r="I19" s="252"/>
      <c r="J19" s="4"/>
      <c r="K19" s="238"/>
      <c r="L19" s="13">
        <v>0.05</v>
      </c>
      <c r="M19" s="13"/>
      <c r="N19" s="13"/>
      <c r="O19" s="239" t="s">
        <v>6</v>
      </c>
      <c r="P19" s="33" t="s">
        <v>21</v>
      </c>
      <c r="Q19" s="34" t="s">
        <v>135</v>
      </c>
      <c r="R19" s="9" t="s">
        <v>138</v>
      </c>
      <c r="T19" s="8"/>
      <c r="U19" s="8"/>
      <c r="W19" s="5"/>
      <c r="X19" s="5"/>
    </row>
    <row r="20" spans="2:24" ht="20.100000000000001" customHeight="1" thickBot="1" x14ac:dyDescent="0.35">
      <c r="B20" s="328" t="s">
        <v>7</v>
      </c>
      <c r="C20" s="329" t="s">
        <v>1</v>
      </c>
      <c r="D20" s="329" t="s">
        <v>10</v>
      </c>
      <c r="E20" s="329" t="s">
        <v>11</v>
      </c>
      <c r="F20" s="329" t="s">
        <v>8</v>
      </c>
      <c r="G20" s="329" t="s">
        <v>5</v>
      </c>
      <c r="H20" s="330" t="s">
        <v>6</v>
      </c>
      <c r="I20" s="253"/>
      <c r="J20" s="44"/>
      <c r="K20" s="256" t="str">
        <f>B20</f>
        <v>UNIDAD</v>
      </c>
      <c r="L20" s="255" t="s">
        <v>133</v>
      </c>
      <c r="M20" s="36" t="str">
        <f t="shared" ref="M20" si="0">E20</f>
        <v>ANCHO</v>
      </c>
      <c r="N20" s="249" t="s">
        <v>134</v>
      </c>
      <c r="O20" s="247" t="s">
        <v>17</v>
      </c>
      <c r="P20" s="240">
        <f>N40</f>
        <v>134427.58747697971</v>
      </c>
      <c r="Q20" s="246">
        <v>5000</v>
      </c>
      <c r="R20" s="35"/>
      <c r="S20" s="13" t="s">
        <v>130</v>
      </c>
      <c r="T20" s="8"/>
      <c r="W20" s="3"/>
    </row>
    <row r="21" spans="2:24" ht="20.100000000000001" customHeight="1" x14ac:dyDescent="0.3">
      <c r="B21" s="331">
        <v>1</v>
      </c>
      <c r="C21" s="332" t="s">
        <v>160</v>
      </c>
      <c r="D21" s="332">
        <v>1.76</v>
      </c>
      <c r="E21" s="332">
        <v>0.6</v>
      </c>
      <c r="F21" s="333" t="s">
        <v>172</v>
      </c>
      <c r="G21" s="334">
        <f>P21</f>
        <v>145988.35999999999</v>
      </c>
      <c r="H21" s="335">
        <f>G21*B21</f>
        <v>145988.35999999999</v>
      </c>
      <c r="I21" s="253"/>
      <c r="J21" s="44"/>
      <c r="K21" s="44">
        <f t="shared" ref="K21" si="1">B21</f>
        <v>1</v>
      </c>
      <c r="L21" s="36">
        <f t="shared" ref="L21" si="2">D21+L$19</f>
        <v>1.81</v>
      </c>
      <c r="M21" s="36">
        <f t="shared" ref="M21" si="3">E21</f>
        <v>0.6</v>
      </c>
      <c r="N21" s="249">
        <f t="shared" ref="N21" si="4">L21*M21</f>
        <v>1.0860000000000001</v>
      </c>
      <c r="O21" s="247">
        <f t="shared" ref="O21" si="5">N21*K21</f>
        <v>1.0860000000000001</v>
      </c>
      <c r="P21" s="240">
        <f>P$20*N21</f>
        <v>145988.35999999999</v>
      </c>
      <c r="Q21" s="246">
        <f t="shared" ref="Q21" si="6">P21+Q$20</f>
        <v>150988.35999999999</v>
      </c>
      <c r="R21" s="277">
        <f t="shared" ref="R21" si="7">K21*L21</f>
        <v>1.81</v>
      </c>
      <c r="S21" s="13"/>
      <c r="T21" s="8"/>
      <c r="W21" s="3"/>
    </row>
    <row r="22" spans="2:24" ht="20.100000000000001" customHeight="1" x14ac:dyDescent="0.3">
      <c r="B22" s="336">
        <v>2</v>
      </c>
      <c r="C22" s="324" t="s">
        <v>170</v>
      </c>
      <c r="D22" s="324"/>
      <c r="E22" s="324"/>
      <c r="F22" s="325"/>
      <c r="G22" s="326">
        <v>15000</v>
      </c>
      <c r="H22" s="337">
        <f t="shared" ref="H22:H23" si="8">G22*B22</f>
        <v>30000</v>
      </c>
      <c r="I22" s="253"/>
      <c r="J22" s="44"/>
      <c r="K22" s="44"/>
      <c r="L22" s="36">
        <f t="shared" ref="L22:L23" si="9">D22+L$19</f>
        <v>0.05</v>
      </c>
      <c r="M22" s="36">
        <f t="shared" ref="M22:M23" si="10">E22</f>
        <v>0</v>
      </c>
      <c r="N22" s="249">
        <f t="shared" ref="N22:N23" si="11">L22*M22</f>
        <v>0</v>
      </c>
      <c r="O22" s="247">
        <f t="shared" ref="O22:O23" si="12">N22*K22</f>
        <v>0</v>
      </c>
      <c r="P22" s="240">
        <f t="shared" ref="P22:P23" si="13">P$20*N22</f>
        <v>0</v>
      </c>
      <c r="Q22" s="246">
        <f t="shared" ref="Q22:Q23" si="14">P22+Q$20</f>
        <v>5000</v>
      </c>
      <c r="R22" s="277">
        <f t="shared" ref="R22:R23" si="15">K22*L22</f>
        <v>0</v>
      </c>
      <c r="S22" s="13"/>
      <c r="T22" s="8"/>
      <c r="W22" s="3"/>
    </row>
    <row r="23" spans="2:24" ht="20.100000000000001" customHeight="1" x14ac:dyDescent="0.3">
      <c r="B23" s="336">
        <v>1</v>
      </c>
      <c r="C23" s="324" t="s">
        <v>171</v>
      </c>
      <c r="D23" s="324"/>
      <c r="E23" s="324"/>
      <c r="F23" s="325"/>
      <c r="G23" s="326">
        <v>25000</v>
      </c>
      <c r="H23" s="337">
        <f t="shared" si="8"/>
        <v>25000</v>
      </c>
      <c r="I23" s="253"/>
      <c r="J23" s="44"/>
      <c r="K23" s="44"/>
      <c r="L23" s="36">
        <f t="shared" si="9"/>
        <v>0.05</v>
      </c>
      <c r="M23" s="36">
        <f t="shared" si="10"/>
        <v>0</v>
      </c>
      <c r="N23" s="249">
        <f t="shared" si="11"/>
        <v>0</v>
      </c>
      <c r="O23" s="247">
        <f t="shared" si="12"/>
        <v>0</v>
      </c>
      <c r="P23" s="240">
        <f t="shared" si="13"/>
        <v>0</v>
      </c>
      <c r="Q23" s="246">
        <f t="shared" si="14"/>
        <v>5000</v>
      </c>
      <c r="R23" s="277">
        <f t="shared" si="15"/>
        <v>0</v>
      </c>
      <c r="S23" s="13"/>
      <c r="T23" s="8"/>
      <c r="W23" s="3"/>
    </row>
    <row r="24" spans="2:24" ht="20.100000000000001" customHeight="1" x14ac:dyDescent="0.3">
      <c r="B24" s="322"/>
      <c r="C24" s="270"/>
      <c r="D24" s="270"/>
      <c r="E24" s="270"/>
      <c r="F24" s="299"/>
      <c r="G24" s="323"/>
      <c r="H24" s="323"/>
      <c r="I24" s="253"/>
      <c r="J24" s="44"/>
      <c r="K24" s="44"/>
      <c r="L24" s="36"/>
      <c r="M24" s="36"/>
      <c r="N24" s="249"/>
      <c r="O24" s="247"/>
      <c r="P24" s="240"/>
      <c r="Q24" s="246"/>
      <c r="R24" s="277"/>
      <c r="S24" s="13"/>
      <c r="T24" s="8"/>
      <c r="W24" s="3"/>
    </row>
    <row r="25" spans="2:24" ht="18" thickBot="1" x14ac:dyDescent="0.35">
      <c r="B25" s="269"/>
      <c r="C25" s="269"/>
      <c r="D25" s="270"/>
      <c r="E25" s="270"/>
      <c r="F25" s="269"/>
      <c r="G25" s="253"/>
      <c r="H25" s="227"/>
      <c r="I25" s="227"/>
      <c r="J25" s="44"/>
      <c r="K25" s="44"/>
      <c r="L25" s="43"/>
      <c r="M25" s="36"/>
      <c r="N25" s="249"/>
      <c r="O25" s="247"/>
      <c r="P25" s="240"/>
      <c r="Q25" s="246"/>
      <c r="R25" s="277"/>
      <c r="S25" s="13"/>
      <c r="T25" s="8"/>
      <c r="W25" s="3"/>
    </row>
    <row r="26" spans="2:24" ht="18" customHeight="1" x14ac:dyDescent="0.3">
      <c r="B26" s="269"/>
      <c r="C26" s="269"/>
      <c r="D26" s="270"/>
      <c r="E26" s="270"/>
      <c r="F26" s="269"/>
      <c r="G26" s="316" t="s">
        <v>30</v>
      </c>
      <c r="H26" s="317">
        <f>SUM(H21:H23)</f>
        <v>200988.36</v>
      </c>
      <c r="I26" s="253"/>
      <c r="J26" s="44"/>
      <c r="K26" s="44"/>
      <c r="L26" s="258">
        <f>SUM(L21:L23)</f>
        <v>1.9100000000000001</v>
      </c>
      <c r="M26" s="36"/>
      <c r="N26" s="249"/>
      <c r="O26" s="247"/>
      <c r="P26" s="240"/>
      <c r="Q26" s="246"/>
      <c r="R26" s="277"/>
      <c r="S26" s="13"/>
      <c r="T26" s="8"/>
      <c r="W26" s="3"/>
    </row>
    <row r="27" spans="2:24" ht="18" customHeight="1" x14ac:dyDescent="0.3">
      <c r="B27" s="264"/>
      <c r="C27" s="266"/>
      <c r="D27" s="267"/>
      <c r="E27" s="267"/>
      <c r="F27" s="268"/>
      <c r="G27" s="318" t="s">
        <v>53</v>
      </c>
      <c r="H27" s="319">
        <f>H26*0.19</f>
        <v>38187.788399999998</v>
      </c>
      <c r="I27" s="253"/>
      <c r="J27" s="44">
        <v>103577</v>
      </c>
      <c r="K27" s="44"/>
      <c r="L27" s="36"/>
      <c r="M27" s="11"/>
      <c r="N27" s="11"/>
      <c r="O27" s="241">
        <f>SUM(O21:O25)</f>
        <v>1.0860000000000001</v>
      </c>
      <c r="P27" s="13"/>
      <c r="Q27" s="11"/>
      <c r="R27" s="233"/>
      <c r="S27" s="13"/>
      <c r="T27" s="8"/>
      <c r="W27" s="3"/>
    </row>
    <row r="28" spans="2:24" ht="18" customHeight="1" thickBot="1" x14ac:dyDescent="0.35">
      <c r="B28" s="263"/>
      <c r="C28" s="265"/>
      <c r="D28" s="260"/>
      <c r="E28" s="260"/>
      <c r="F28" s="261"/>
      <c r="G28" s="320" t="s">
        <v>6</v>
      </c>
      <c r="H28" s="321">
        <f>H26+H27</f>
        <v>239176.14839999998</v>
      </c>
      <c r="I28" s="253"/>
      <c r="J28" s="44"/>
      <c r="K28" s="44"/>
      <c r="L28" s="36"/>
      <c r="M28" s="11"/>
      <c r="N28" s="11"/>
      <c r="O28" s="241">
        <f>O27</f>
        <v>1.0860000000000001</v>
      </c>
      <c r="P28" s="13"/>
      <c r="Q28" s="11"/>
      <c r="R28" s="233">
        <f>SUM(R21:R27)</f>
        <v>1.81</v>
      </c>
      <c r="S28" s="13"/>
      <c r="T28" s="8"/>
      <c r="W28" s="3"/>
    </row>
    <row r="29" spans="2:24" ht="17.399999999999999" x14ac:dyDescent="0.3">
      <c r="B29" s="263"/>
      <c r="C29" s="259"/>
      <c r="D29" s="260"/>
      <c r="E29" s="260"/>
      <c r="F29" s="261"/>
      <c r="I29" s="253"/>
      <c r="J29" s="44"/>
      <c r="K29" s="44"/>
      <c r="L29" s="13"/>
      <c r="M29" s="11"/>
      <c r="N29" s="11"/>
      <c r="O29" s="36">
        <f>O28*20%</f>
        <v>0.21720000000000003</v>
      </c>
      <c r="P29" s="36" t="s">
        <v>132</v>
      </c>
      <c r="Q29" s="39"/>
      <c r="R29" s="234"/>
      <c r="S29" s="13"/>
      <c r="T29" s="8"/>
      <c r="W29" s="3"/>
    </row>
    <row r="30" spans="2:24" ht="17.399999999999999" x14ac:dyDescent="0.35">
      <c r="B30" s="257"/>
      <c r="C30" s="225"/>
      <c r="D30" s="225"/>
      <c r="E30" s="227"/>
      <c r="F30" s="228"/>
      <c r="G30" s="225"/>
      <c r="H30" s="262"/>
      <c r="I30" s="253"/>
      <c r="J30" s="279"/>
      <c r="K30" s="44"/>
      <c r="L30" s="13"/>
      <c r="M30" s="11"/>
      <c r="N30" s="11"/>
      <c r="O30" s="43">
        <f>O28+O29</f>
        <v>1.3032000000000001</v>
      </c>
      <c r="P30" s="13"/>
      <c r="Q30" s="13"/>
      <c r="R30" s="232">
        <v>40</v>
      </c>
      <c r="S30" s="13"/>
      <c r="T30" s="8"/>
      <c r="W30" s="3"/>
    </row>
    <row r="31" spans="2:24" ht="17.399999999999999" x14ac:dyDescent="0.35">
      <c r="B31" s="229"/>
      <c r="C31" s="230"/>
      <c r="D31" s="231"/>
      <c r="E31" s="229"/>
      <c r="F31" s="225"/>
      <c r="G31" s="225"/>
      <c r="I31" s="253"/>
      <c r="J31" s="279"/>
      <c r="K31" s="44"/>
      <c r="L31" s="13"/>
      <c r="M31" s="13"/>
      <c r="N31" s="13"/>
      <c r="O31" s="13"/>
      <c r="P31" s="13"/>
      <c r="Q31" s="13"/>
      <c r="R31" s="232"/>
      <c r="S31" s="13"/>
      <c r="T31" s="8"/>
      <c r="W31" s="3"/>
    </row>
    <row r="32" spans="2:24" ht="17.399999999999999" x14ac:dyDescent="0.35">
      <c r="B32" s="225"/>
      <c r="C32" s="225"/>
      <c r="D32" s="225"/>
      <c r="E32" s="225"/>
      <c r="F32" s="225"/>
      <c r="G32" s="225"/>
      <c r="I32" s="253"/>
      <c r="J32" s="44"/>
      <c r="K32" s="44"/>
      <c r="L32" s="36">
        <f>O30*1</f>
        <v>1.3032000000000001</v>
      </c>
      <c r="M32" s="11">
        <v>3500</v>
      </c>
      <c r="N32" s="11">
        <f t="shared" ref="N32:N37" si="16">L32*M32</f>
        <v>4561.2000000000007</v>
      </c>
      <c r="O32" s="13" t="s">
        <v>22</v>
      </c>
      <c r="P32" s="13" t="s">
        <v>23</v>
      </c>
      <c r="Q32" s="13"/>
      <c r="R32" s="235"/>
      <c r="S32" s="13"/>
      <c r="T32" s="8"/>
      <c r="W32" s="3" t="s">
        <v>155</v>
      </c>
    </row>
    <row r="33" spans="1:23" ht="17.399999999999999" x14ac:dyDescent="0.35">
      <c r="A33" s="225"/>
      <c r="B33" s="225"/>
      <c r="C33" s="225"/>
      <c r="D33" s="225"/>
      <c r="E33" s="225"/>
      <c r="F33" s="225"/>
      <c r="G33" s="225"/>
      <c r="H33" s="225"/>
      <c r="I33" s="253"/>
      <c r="J33" s="44"/>
      <c r="K33" s="44"/>
      <c r="L33" s="237">
        <v>0.5</v>
      </c>
      <c r="M33" s="11">
        <v>27000</v>
      </c>
      <c r="N33" s="11">
        <f>L33*M33</f>
        <v>13500</v>
      </c>
      <c r="O33" s="36" t="s">
        <v>154</v>
      </c>
      <c r="P33" s="39"/>
      <c r="Q33" s="13"/>
      <c r="R33" s="234"/>
      <c r="S33" s="13"/>
      <c r="T33" s="8"/>
      <c r="W33" s="3"/>
    </row>
    <row r="34" spans="1:23" s="225" customFormat="1" ht="18" x14ac:dyDescent="0.35">
      <c r="B34" s="313" t="s">
        <v>158</v>
      </c>
      <c r="C34" s="314"/>
      <c r="D34" s="314"/>
      <c r="E34" s="314"/>
      <c r="F34" s="314"/>
      <c r="I34" s="250"/>
      <c r="J34" s="44"/>
      <c r="K34" s="238"/>
      <c r="L34" s="13"/>
      <c r="M34" s="238">
        <v>49600</v>
      </c>
      <c r="N34" s="11">
        <f t="shared" si="16"/>
        <v>0</v>
      </c>
      <c r="O34" s="36" t="s">
        <v>32</v>
      </c>
      <c r="P34" s="39"/>
      <c r="R34" s="234"/>
      <c r="S34" s="244"/>
      <c r="U34" s="225">
        <v>33390</v>
      </c>
      <c r="V34" s="226"/>
    </row>
    <row r="35" spans="1:23" s="225" customFormat="1" ht="18" x14ac:dyDescent="0.35">
      <c r="B35" s="313" t="s">
        <v>145</v>
      </c>
      <c r="C35" s="314"/>
      <c r="D35" s="314"/>
      <c r="E35" s="314"/>
      <c r="F35" s="314"/>
      <c r="I35" s="250"/>
      <c r="J35" s="278"/>
      <c r="K35" s="238"/>
      <c r="L35" s="13">
        <v>1</v>
      </c>
      <c r="M35" s="238">
        <v>42697</v>
      </c>
      <c r="N35" s="11">
        <f t="shared" si="16"/>
        <v>42697</v>
      </c>
      <c r="O35" s="13" t="s">
        <v>142</v>
      </c>
      <c r="P35" s="16"/>
      <c r="R35" s="232"/>
      <c r="S35" s="244"/>
      <c r="U35" s="225">
        <f>U34/1.19</f>
        <v>28058.823529411766</v>
      </c>
      <c r="V35" s="226"/>
    </row>
    <row r="36" spans="1:23" s="225" customFormat="1" ht="18" x14ac:dyDescent="0.35">
      <c r="B36" s="314" t="s">
        <v>127</v>
      </c>
      <c r="C36" s="314"/>
      <c r="D36" s="314"/>
      <c r="E36" s="314"/>
      <c r="F36" s="315" t="s">
        <v>16</v>
      </c>
      <c r="I36" s="250"/>
      <c r="J36" s="278"/>
      <c r="K36" s="238"/>
      <c r="L36" s="237"/>
      <c r="M36" s="238">
        <v>800</v>
      </c>
      <c r="N36" s="11"/>
      <c r="O36" s="13" t="s">
        <v>153</v>
      </c>
      <c r="P36" s="13"/>
      <c r="Q36" s="225">
        <v>1.52</v>
      </c>
      <c r="R36" s="232"/>
      <c r="S36" s="232"/>
    </row>
    <row r="37" spans="1:23" s="225" customFormat="1" ht="17.399999999999999" x14ac:dyDescent="0.35">
      <c r="I37" s="276"/>
      <c r="J37" s="44"/>
      <c r="K37" s="238"/>
      <c r="L37" s="254">
        <v>1.81</v>
      </c>
      <c r="M37" s="11">
        <v>1500</v>
      </c>
      <c r="N37" s="11">
        <f t="shared" si="16"/>
        <v>2715</v>
      </c>
      <c r="O37" s="13" t="s">
        <v>24</v>
      </c>
      <c r="P37" s="13"/>
      <c r="Q37">
        <v>2.44</v>
      </c>
      <c r="R37"/>
      <c r="S37" s="232">
        <v>1500</v>
      </c>
      <c r="W37" s="226"/>
    </row>
    <row r="38" spans="1:23" s="225" customFormat="1" ht="17.399999999999999" x14ac:dyDescent="0.35">
      <c r="J38" s="44"/>
      <c r="K38" s="238"/>
      <c r="L38" s="13"/>
      <c r="M38" s="11"/>
      <c r="N38" s="11">
        <f>SUM(N32:N37)</f>
        <v>63473.2</v>
      </c>
      <c r="O38" s="36" t="s">
        <v>25</v>
      </c>
      <c r="P38" s="13"/>
      <c r="Q38">
        <f>Q36*Q37</f>
        <v>3.7088000000000001</v>
      </c>
      <c r="R38"/>
      <c r="S38" s="232">
        <f>R30*S37</f>
        <v>60000</v>
      </c>
      <c r="W38" s="226"/>
    </row>
    <row r="39" spans="1:23" s="225" customFormat="1" ht="17.399999999999999" x14ac:dyDescent="0.35">
      <c r="J39" s="44"/>
      <c r="K39" s="238"/>
      <c r="L39" s="242" t="s">
        <v>35</v>
      </c>
      <c r="M39" s="11"/>
      <c r="N39" s="243">
        <f>N38*2.3</f>
        <v>145988.35999999999</v>
      </c>
      <c r="O39" s="13" t="s">
        <v>141</v>
      </c>
      <c r="P39" s="13"/>
      <c r="Q39" s="43">
        <f>O28/Q38</f>
        <v>0.29281708369283865</v>
      </c>
      <c r="R39"/>
      <c r="S39" s="245" t="e">
        <f>S38/#REF!</f>
        <v>#REF!</v>
      </c>
    </row>
    <row r="40" spans="1:23" s="225" customFormat="1" ht="17.399999999999999" x14ac:dyDescent="0.35">
      <c r="G40"/>
      <c r="H40" s="248"/>
      <c r="I40" s="248"/>
      <c r="J40" s="44"/>
      <c r="K40" s="238"/>
      <c r="L40" s="13"/>
      <c r="M40" s="11"/>
      <c r="N40" s="11">
        <f>N39/O28</f>
        <v>134427.58747697971</v>
      </c>
      <c r="O40" s="42" t="s">
        <v>26</v>
      </c>
      <c r="P40" s="13"/>
      <c r="Q40" s="13"/>
      <c r="R40"/>
      <c r="S40" s="232"/>
      <c r="V40" s="225">
        <v>2300</v>
      </c>
    </row>
    <row r="41" spans="1:23" s="225" customFormat="1" ht="17.399999999999999" x14ac:dyDescent="0.35">
      <c r="G41"/>
      <c r="J41" s="44">
        <v>50810</v>
      </c>
      <c r="K41" s="238"/>
      <c r="L41" s="12"/>
      <c r="M41" s="13"/>
      <c r="N41" s="16">
        <f>N39/N38</f>
        <v>2.2999999999999998</v>
      </c>
      <c r="O41" s="14"/>
      <c r="P41"/>
      <c r="Q41"/>
      <c r="R41"/>
      <c r="S41" s="232"/>
    </row>
    <row r="42" spans="1:23" s="225" customFormat="1" ht="17.399999999999999" x14ac:dyDescent="0.35">
      <c r="G42" s="22"/>
      <c r="J42" s="44">
        <f>J41/1.19</f>
        <v>42697.478991596639</v>
      </c>
      <c r="K42" s="11"/>
      <c r="S42" s="232"/>
    </row>
    <row r="43" spans="1:23" s="225" customFormat="1" ht="17.399999999999999" x14ac:dyDescent="0.35">
      <c r="B43"/>
      <c r="C43" s="224"/>
      <c r="D43" s="21"/>
      <c r="E43" s="21"/>
      <c r="F43" s="20"/>
      <c r="G43" s="22"/>
      <c r="J43" s="44"/>
      <c r="K43" s="11"/>
      <c r="S43" s="232">
        <v>1.83</v>
      </c>
    </row>
    <row r="44" spans="1:23" ht="14.4" customHeight="1" x14ac:dyDescent="0.3">
      <c r="J44" s="44"/>
      <c r="K44" s="11"/>
      <c r="S44">
        <v>2.5</v>
      </c>
    </row>
    <row r="45" spans="1:23" x14ac:dyDescent="0.3">
      <c r="J45" s="44"/>
      <c r="K45" s="238"/>
      <c r="S45">
        <f>S43*S44</f>
        <v>4.5750000000000002</v>
      </c>
    </row>
    <row r="46" spans="1:23" x14ac:dyDescent="0.3">
      <c r="K46" s="238"/>
      <c r="S46" s="258">
        <f>O30/S45</f>
        <v>0.28485245901639344</v>
      </c>
    </row>
    <row r="47" spans="1:23" x14ac:dyDescent="0.3">
      <c r="K47" s="238"/>
    </row>
    <row r="48" spans="1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0"/>
      <c r="O52" s="50"/>
    </row>
    <row r="53" spans="14:19" x14ac:dyDescent="0.3">
      <c r="R53" s="17"/>
      <c r="S53" s="17"/>
    </row>
    <row r="54" spans="14:19" x14ac:dyDescent="0.3">
      <c r="R54" s="17"/>
      <c r="S54" s="17"/>
    </row>
    <row r="55" spans="14:19" x14ac:dyDescent="0.3">
      <c r="R55" s="17"/>
      <c r="S55" s="17"/>
    </row>
    <row r="56" spans="14:19" x14ac:dyDescent="0.3">
      <c r="R56" s="17"/>
      <c r="S56" s="17"/>
    </row>
    <row r="57" spans="14:19" x14ac:dyDescent="0.3">
      <c r="R57" s="17"/>
      <c r="S57" s="17"/>
    </row>
    <row r="58" spans="14:19" x14ac:dyDescent="0.3">
      <c r="R58" s="17"/>
      <c r="S58" s="17"/>
    </row>
    <row r="59" spans="14:19" x14ac:dyDescent="0.3">
      <c r="R59" s="17"/>
      <c r="S59" s="17"/>
    </row>
    <row r="60" spans="14:19" x14ac:dyDescent="0.3">
      <c r="R60" s="17"/>
      <c r="S60" s="17"/>
    </row>
    <row r="61" spans="14:19" x14ac:dyDescent="0.3">
      <c r="R61" s="17"/>
      <c r="S61" s="17"/>
    </row>
    <row r="64" spans="14:19" x14ac:dyDescent="0.3">
      <c r="N64" s="40"/>
    </row>
    <row r="65" spans="3:14" x14ac:dyDescent="0.3">
      <c r="N65" s="40"/>
    </row>
    <row r="66" spans="3:14" x14ac:dyDescent="0.3">
      <c r="N66" s="5"/>
    </row>
    <row r="67" spans="3:14" x14ac:dyDescent="0.3">
      <c r="N67" s="5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1" type="noConversion"/>
  <hyperlinks>
    <hyperlink ref="F36" r:id="rId1" xr:uid="{00000000-0004-0000-0000-000000000000}"/>
    <hyperlink ref="C14" r:id="rId2" xr:uid="{0D000396-1D10-4026-B3FD-B9E54334ED51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3" t="s">
        <v>107</v>
      </c>
      <c r="C2" s="45"/>
      <c r="D2" s="45"/>
      <c r="E2" s="142"/>
      <c r="F2" s="5"/>
    </row>
    <row r="3" spans="2:31" ht="18" x14ac:dyDescent="0.35">
      <c r="E3" s="141"/>
      <c r="F3" s="140"/>
    </row>
    <row r="5" spans="2:31" ht="15.6" x14ac:dyDescent="0.3">
      <c r="B5" s="136" t="s">
        <v>0</v>
      </c>
      <c r="C5" s="139">
        <f>'2229'!G10</f>
        <v>45356</v>
      </c>
    </row>
    <row r="6" spans="2:31" ht="16.2" thickBot="1" x14ac:dyDescent="0.35">
      <c r="B6" s="136" t="s">
        <v>2</v>
      </c>
      <c r="C6" s="135" t="str">
        <f>'2229'!C10</f>
        <v>REINALDO HERNAN ESPELETA SANTIS</v>
      </c>
      <c r="D6" s="134"/>
      <c r="E6" s="134"/>
      <c r="F6" s="134"/>
      <c r="N6" s="71" t="s">
        <v>106</v>
      </c>
      <c r="O6" s="71"/>
      <c r="P6" s="138" t="s">
        <v>105</v>
      </c>
      <c r="Q6" s="138"/>
    </row>
    <row r="7" spans="2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44" t="s">
        <v>100</v>
      </c>
      <c r="I7" s="345"/>
      <c r="J7" s="345"/>
      <c r="K7" s="346"/>
      <c r="N7" s="71"/>
      <c r="O7" s="343" t="s">
        <v>104</v>
      </c>
      <c r="P7" s="137" t="s">
        <v>103</v>
      </c>
      <c r="Q7" s="137"/>
    </row>
    <row r="8" spans="2:31" ht="16.2" thickBot="1" x14ac:dyDescent="0.35">
      <c r="B8" s="136" t="s">
        <v>102</v>
      </c>
      <c r="C8" s="135" t="str">
        <f>'2229'!D8</f>
        <v>N° 10652</v>
      </c>
      <c r="D8" s="134"/>
      <c r="E8" s="134"/>
      <c r="F8" s="134"/>
      <c r="H8" s="178" t="s">
        <v>119</v>
      </c>
      <c r="I8" s="150" t="s">
        <v>118</v>
      </c>
      <c r="J8" s="223" t="s">
        <v>97</v>
      </c>
      <c r="K8" s="131" t="s">
        <v>6</v>
      </c>
      <c r="L8" s="130" t="s">
        <v>6</v>
      </c>
      <c r="N8" s="71"/>
      <c r="O8" s="343"/>
      <c r="P8" s="71" t="s">
        <v>101</v>
      </c>
      <c r="Q8" s="71"/>
      <c r="X8">
        <f>SUM(Q11:Q16)</f>
        <v>6</v>
      </c>
    </row>
    <row r="9" spans="2:31" ht="15" thickBot="1" x14ac:dyDescent="0.35">
      <c r="H9" s="193" t="s">
        <v>98</v>
      </c>
      <c r="I9" s="194" t="s">
        <v>117</v>
      </c>
      <c r="J9" s="179" t="s">
        <v>94</v>
      </c>
      <c r="K9" s="152"/>
      <c r="L9" s="98">
        <f>SUM(K10:K23)</f>
        <v>2550</v>
      </c>
      <c r="S9" s="26" t="s">
        <v>9</v>
      </c>
      <c r="T9" s="26"/>
      <c r="W9" s="7"/>
      <c r="X9" s="172">
        <f>(E15-D11)/X8</f>
        <v>-20326.855033454103</v>
      </c>
    </row>
    <row r="10" spans="2:31" ht="16.2" thickBot="1" x14ac:dyDescent="0.35">
      <c r="D10" s="214" t="s">
        <v>30</v>
      </c>
      <c r="E10" s="215" t="s">
        <v>53</v>
      </c>
      <c r="F10" s="216" t="s">
        <v>6</v>
      </c>
      <c r="H10" s="186">
        <v>3</v>
      </c>
      <c r="I10" s="200">
        <v>350</v>
      </c>
      <c r="J10" s="197" t="s">
        <v>34</v>
      </c>
      <c r="K10" s="153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2"/>
      <c r="AB10" s="5"/>
      <c r="AC10" s="13"/>
      <c r="AD10" s="222"/>
      <c r="AE10" s="9"/>
    </row>
    <row r="11" spans="2:31" ht="16.2" thickBot="1" x14ac:dyDescent="0.35">
      <c r="C11" s="207" t="s">
        <v>95</v>
      </c>
      <c r="D11" s="129">
        <f>'2229'!H26</f>
        <v>200988.36</v>
      </c>
      <c r="E11" s="128">
        <f>D11*0.19</f>
        <v>38187.788399999998</v>
      </c>
      <c r="F11" s="127">
        <f>E11+D11</f>
        <v>239176.14839999998</v>
      </c>
      <c r="H11" s="187">
        <v>3</v>
      </c>
      <c r="I11" s="170">
        <v>500</v>
      </c>
      <c r="J11" s="144" t="s">
        <v>24</v>
      </c>
      <c r="K11" s="154">
        <f t="shared" si="0"/>
        <v>1500</v>
      </c>
      <c r="Q11" s="6">
        <v>1</v>
      </c>
      <c r="R11" s="6" t="s">
        <v>37</v>
      </c>
      <c r="S11" s="48">
        <v>2.8</v>
      </c>
      <c r="T11" s="48">
        <v>0.62</v>
      </c>
      <c r="U11" s="6" t="s">
        <v>40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85663.144966545893</v>
      </c>
      <c r="Y11" s="171">
        <v>108990</v>
      </c>
      <c r="AA11" s="5"/>
      <c r="AB11" s="5"/>
      <c r="AC11" s="221"/>
      <c r="AD11" s="49"/>
      <c r="AE11" s="218"/>
    </row>
    <row r="12" spans="2:31" ht="16.2" thickBot="1" x14ac:dyDescent="0.35">
      <c r="C12" s="133" t="s">
        <v>99</v>
      </c>
      <c r="D12" s="132">
        <f>SUM(M43:M45)</f>
        <v>47895.290787439619</v>
      </c>
      <c r="F12" s="57"/>
      <c r="H12" s="187">
        <v>0</v>
      </c>
      <c r="I12" s="170">
        <v>7500</v>
      </c>
      <c r="J12" s="146" t="s">
        <v>113</v>
      </c>
      <c r="K12" s="154">
        <f t="shared" si="0"/>
        <v>0</v>
      </c>
      <c r="L12" s="57"/>
      <c r="Q12" s="6">
        <v>1</v>
      </c>
      <c r="R12" s="6" t="s">
        <v>37</v>
      </c>
      <c r="S12" s="48">
        <v>2.2999999999999998</v>
      </c>
      <c r="T12" s="48">
        <v>0.62</v>
      </c>
      <c r="U12" s="6" t="s">
        <v>40</v>
      </c>
      <c r="V12" s="51">
        <v>87990</v>
      </c>
      <c r="W12" s="46">
        <f t="shared" si="1"/>
        <v>87990</v>
      </c>
      <c r="X12" s="172">
        <f t="shared" si="2"/>
        <v>67663.144966545893</v>
      </c>
      <c r="Y12" s="171">
        <v>89990</v>
      </c>
      <c r="Z12" s="1"/>
      <c r="AA12" s="219"/>
      <c r="AB12" s="220"/>
      <c r="AC12" s="221"/>
      <c r="AD12" s="49"/>
      <c r="AE12" s="218"/>
    </row>
    <row r="13" spans="2:31" ht="16.2" thickBot="1" x14ac:dyDescent="0.35">
      <c r="C13" s="208" t="s">
        <v>93</v>
      </c>
      <c r="D13" s="213">
        <f>D11-D12</f>
        <v>153093.06921256037</v>
      </c>
      <c r="E13" s="217">
        <f>(D11/D12)-1</f>
        <v>3.1964117284931177</v>
      </c>
      <c r="H13" s="187">
        <v>0</v>
      </c>
      <c r="I13" s="170">
        <v>50</v>
      </c>
      <c r="J13" s="146" t="s">
        <v>114</v>
      </c>
      <c r="K13" s="154">
        <f t="shared" si="0"/>
        <v>0</v>
      </c>
      <c r="L13" s="57"/>
      <c r="Q13" s="6">
        <v>1</v>
      </c>
      <c r="R13" s="6" t="s">
        <v>37</v>
      </c>
      <c r="S13" s="48">
        <v>2.0299999999999998</v>
      </c>
      <c r="T13" s="48">
        <v>0.62</v>
      </c>
      <c r="U13" s="6" t="s">
        <v>40</v>
      </c>
      <c r="V13" s="51">
        <v>78990</v>
      </c>
      <c r="W13" s="46">
        <f t="shared" si="1"/>
        <v>78990</v>
      </c>
      <c r="X13" s="172">
        <f t="shared" si="2"/>
        <v>58663.144966545893</v>
      </c>
      <c r="Y13" s="171">
        <v>81990</v>
      </c>
      <c r="Z13" s="1"/>
      <c r="AA13" s="219"/>
      <c r="AB13" s="220"/>
      <c r="AC13" s="221"/>
      <c r="AD13" s="49"/>
      <c r="AE13" s="218"/>
    </row>
    <row r="14" spans="2:31" ht="15" thickBot="1" x14ac:dyDescent="0.35">
      <c r="D14" s="142" t="s">
        <v>124</v>
      </c>
      <c r="E14" s="175" t="s">
        <v>30</v>
      </c>
      <c r="F14" s="174" t="s">
        <v>112</v>
      </c>
      <c r="H14" s="187">
        <v>0</v>
      </c>
      <c r="I14" s="170">
        <v>50</v>
      </c>
      <c r="J14" s="146" t="s">
        <v>115</v>
      </c>
      <c r="K14" s="154">
        <f t="shared" si="0"/>
        <v>0</v>
      </c>
      <c r="L14" s="57"/>
      <c r="P14" s="122"/>
      <c r="Q14" s="6">
        <v>1</v>
      </c>
      <c r="R14" s="6" t="s">
        <v>37</v>
      </c>
      <c r="S14" s="48">
        <v>1.08</v>
      </c>
      <c r="T14" s="48">
        <v>0.62</v>
      </c>
      <c r="U14" s="6" t="s">
        <v>40</v>
      </c>
      <c r="V14" s="51">
        <v>39990</v>
      </c>
      <c r="W14" s="46">
        <f t="shared" si="1"/>
        <v>39990</v>
      </c>
      <c r="X14" s="172">
        <f t="shared" si="2"/>
        <v>19663.144966545897</v>
      </c>
      <c r="Y14" s="171">
        <v>39990</v>
      </c>
      <c r="Z14" s="1"/>
      <c r="AA14" s="219"/>
      <c r="AB14" s="220"/>
      <c r="AC14" s="221"/>
      <c r="AD14" s="49"/>
      <c r="AE14" s="218"/>
    </row>
    <row r="15" spans="2:31" ht="15" thickBot="1" x14ac:dyDescent="0.35">
      <c r="C15" s="209" t="s">
        <v>123</v>
      </c>
      <c r="D15" s="210">
        <v>0.65</v>
      </c>
      <c r="E15" s="211">
        <f>(100%+D15)*D12</f>
        <v>79027.229799275374</v>
      </c>
      <c r="F15" s="212">
        <f>E15-D12</f>
        <v>31131.939011835755</v>
      </c>
      <c r="H15" s="187">
        <v>0</v>
      </c>
      <c r="I15" s="170">
        <v>10</v>
      </c>
      <c r="J15" s="146" t="s">
        <v>116</v>
      </c>
      <c r="K15" s="154">
        <f t="shared" si="0"/>
        <v>0</v>
      </c>
      <c r="L15" s="57"/>
      <c r="Q15" s="6">
        <v>1</v>
      </c>
      <c r="R15" s="6" t="s">
        <v>37</v>
      </c>
      <c r="S15" s="48">
        <v>1.08</v>
      </c>
      <c r="T15" s="48">
        <v>0.62</v>
      </c>
      <c r="U15" s="6" t="s">
        <v>40</v>
      </c>
      <c r="V15" s="51">
        <v>39990</v>
      </c>
      <c r="W15" s="46">
        <f t="shared" si="1"/>
        <v>39990</v>
      </c>
      <c r="X15" s="172">
        <f t="shared" si="2"/>
        <v>19663.144966545897</v>
      </c>
      <c r="Y15" s="171">
        <v>39990</v>
      </c>
      <c r="Z15" s="97"/>
      <c r="AA15" s="97"/>
      <c r="AB15" s="120"/>
      <c r="AD15" s="37"/>
      <c r="AE15" s="38"/>
    </row>
    <row r="16" spans="2:31" ht="15" thickBot="1" x14ac:dyDescent="0.35">
      <c r="H16" s="188">
        <v>1</v>
      </c>
      <c r="I16" s="198"/>
      <c r="J16" s="144" t="s">
        <v>92</v>
      </c>
      <c r="K16" s="154">
        <f t="shared" si="0"/>
        <v>0</v>
      </c>
      <c r="L16" s="57"/>
      <c r="Q16" s="6">
        <v>1</v>
      </c>
      <c r="R16" s="6" t="s">
        <v>37</v>
      </c>
      <c r="S16" s="48">
        <v>2.06</v>
      </c>
      <c r="T16" s="48">
        <v>0.62</v>
      </c>
      <c r="U16" s="6" t="s">
        <v>40</v>
      </c>
      <c r="V16" s="51">
        <v>79990</v>
      </c>
      <c r="W16" s="46">
        <f t="shared" si="1"/>
        <v>79990</v>
      </c>
      <c r="X16" s="172">
        <f t="shared" si="2"/>
        <v>59663.144966545893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90</v>
      </c>
      <c r="C17" s="125" t="s">
        <v>89</v>
      </c>
      <c r="D17" s="125" t="s">
        <v>30</v>
      </c>
      <c r="E17" s="124" t="s">
        <v>53</v>
      </c>
      <c r="F17" s="123" t="s">
        <v>6</v>
      </c>
      <c r="H17" s="189">
        <v>1</v>
      </c>
      <c r="I17" s="198"/>
      <c r="J17" s="184" t="s">
        <v>91</v>
      </c>
      <c r="K17" s="154">
        <f t="shared" si="0"/>
        <v>0</v>
      </c>
      <c r="L17" s="57"/>
      <c r="Q17" s="6">
        <v>6</v>
      </c>
      <c r="R17" s="6" t="s">
        <v>38</v>
      </c>
      <c r="S17" s="48"/>
      <c r="T17" s="48"/>
      <c r="U17" s="6"/>
      <c r="V17" s="51">
        <v>5000</v>
      </c>
      <c r="W17" s="46">
        <f t="shared" si="1"/>
        <v>30000</v>
      </c>
      <c r="X17" s="102"/>
      <c r="Y17" s="13"/>
      <c r="Z17" s="97"/>
      <c r="AA17" s="97"/>
      <c r="AB17" s="43"/>
    </row>
    <row r="18" spans="1:31" x14ac:dyDescent="0.3">
      <c r="C18" s="121" t="s">
        <v>87</v>
      </c>
      <c r="D18" s="118">
        <f>'2229'!N34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88</v>
      </c>
      <c r="K18" s="154">
        <f t="shared" si="0"/>
        <v>0</v>
      </c>
      <c r="L18" s="57"/>
      <c r="Q18" s="6">
        <v>1</v>
      </c>
      <c r="R18" s="52" t="s">
        <v>39</v>
      </c>
      <c r="S18" s="48"/>
      <c r="T18" s="48"/>
      <c r="U18" s="6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33</v>
      </c>
      <c r="D19" s="118">
        <f>'2229'!N33</f>
        <v>13500</v>
      </c>
      <c r="E19" s="119">
        <f>D19*0.19</f>
        <v>2565</v>
      </c>
      <c r="F19" s="116">
        <f>SUM(D19:E19)</f>
        <v>16065</v>
      </c>
      <c r="H19" s="188">
        <v>1</v>
      </c>
      <c r="I19" s="198"/>
      <c r="J19" s="180" t="s">
        <v>86</v>
      </c>
      <c r="K19" s="154">
        <f t="shared" si="0"/>
        <v>0</v>
      </c>
      <c r="L19" s="57"/>
      <c r="Q19" s="15"/>
      <c r="T19" s="4"/>
      <c r="U19" s="5"/>
      <c r="V19" s="27" t="s">
        <v>30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22</v>
      </c>
      <c r="D20" s="118">
        <f>'2229'!N32</f>
        <v>4561.2000000000007</v>
      </c>
      <c r="E20" s="117">
        <f>D20*0.19</f>
        <v>866.62800000000016</v>
      </c>
      <c r="F20" s="116">
        <f>SUM(D20:E20)</f>
        <v>5427.8280000000013</v>
      </c>
      <c r="H20" s="188">
        <v>1</v>
      </c>
      <c r="I20" s="198"/>
      <c r="J20" s="180" t="s">
        <v>85</v>
      </c>
      <c r="K20" s="154">
        <f t="shared" si="0"/>
        <v>0</v>
      </c>
      <c r="V20" s="28" t="s">
        <v>31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3"/>
      <c r="AC20" s="13"/>
      <c r="AE20" s="2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18061.2</v>
      </c>
      <c r="E21" s="112">
        <f>SUM(E18:E20)</f>
        <v>3431.6280000000002</v>
      </c>
      <c r="F21" s="111">
        <f>SUM(F18:F20)</f>
        <v>21492.828000000001</v>
      </c>
      <c r="H21" s="188">
        <v>1</v>
      </c>
      <c r="I21" s="198"/>
      <c r="J21" s="180" t="s">
        <v>84</v>
      </c>
      <c r="K21" s="154">
        <f t="shared" si="0"/>
        <v>0</v>
      </c>
      <c r="M21" s="149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3"/>
      <c r="AE21" s="3"/>
    </row>
    <row r="22" spans="1:31" ht="15" thickBot="1" x14ac:dyDescent="0.35">
      <c r="A22" s="76">
        <f>450000*1.2</f>
        <v>540000</v>
      </c>
      <c r="B22" s="110" t="s">
        <v>82</v>
      </c>
      <c r="C22" s="109" t="s">
        <v>81</v>
      </c>
      <c r="D22" s="108" t="s">
        <v>80</v>
      </c>
      <c r="E22" s="107" t="s">
        <v>79</v>
      </c>
      <c r="F22" s="106" t="s">
        <v>6</v>
      </c>
      <c r="H22" s="188">
        <v>1</v>
      </c>
      <c r="I22" s="198"/>
      <c r="J22" s="144" t="s">
        <v>83</v>
      </c>
      <c r="K22" s="154">
        <f t="shared" si="0"/>
        <v>0</v>
      </c>
      <c r="M22" s="101"/>
      <c r="N22" s="54"/>
      <c r="Q22" s="47" t="s">
        <v>36</v>
      </c>
      <c r="R22" s="47"/>
      <c r="S22" s="47"/>
      <c r="T22" s="47"/>
      <c r="X22" s="92"/>
      <c r="Y22" s="13"/>
      <c r="Z22" s="97"/>
      <c r="AA22" s="97"/>
      <c r="AB22" s="36"/>
      <c r="AC22" s="3"/>
      <c r="AD22" s="13"/>
      <c r="AE22" s="3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27</v>
      </c>
      <c r="D23" s="105">
        <f t="shared" ref="D23:D29" si="3">B23/9</f>
        <v>2608.695652173913</v>
      </c>
      <c r="E23" s="104">
        <v>0.5</v>
      </c>
      <c r="F23" s="103">
        <f t="shared" ref="F23:F32" si="4">D23*E23</f>
        <v>1304.3478260869565</v>
      </c>
      <c r="H23" s="190">
        <v>1</v>
      </c>
      <c r="I23" s="199"/>
      <c r="J23" s="181" t="s">
        <v>78</v>
      </c>
      <c r="K23" s="154">
        <f t="shared" si="0"/>
        <v>0</v>
      </c>
      <c r="M23" s="101"/>
      <c r="N23" s="54"/>
      <c r="Q23" s="47" t="s">
        <v>29</v>
      </c>
      <c r="R23" s="47"/>
      <c r="X23" s="100"/>
      <c r="Y23" s="25"/>
      <c r="Z23" s="97"/>
      <c r="AA23" s="97"/>
      <c r="AB23" s="13"/>
      <c r="AC23" s="10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76</v>
      </c>
      <c r="D24" s="96">
        <f t="shared" si="3"/>
        <v>2608.695652173913</v>
      </c>
      <c r="E24" s="95">
        <v>0.5</v>
      </c>
      <c r="F24" s="94">
        <f t="shared" si="4"/>
        <v>1304.3478260869565</v>
      </c>
      <c r="H24" s="147" t="s">
        <v>119</v>
      </c>
      <c r="I24" s="151" t="s">
        <v>117</v>
      </c>
      <c r="J24" s="177" t="s">
        <v>77</v>
      </c>
      <c r="K24" s="148" t="s">
        <v>96</v>
      </c>
      <c r="L24" s="98">
        <f>SUM(K25:K35)</f>
        <v>0</v>
      </c>
      <c r="X24" s="97"/>
      <c r="Y24" s="97"/>
      <c r="Z24" s="97"/>
      <c r="AA24" s="97"/>
      <c r="AB24" s="13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75</v>
      </c>
      <c r="D25" s="96">
        <f t="shared" si="3"/>
        <v>4637.68115942029</v>
      </c>
      <c r="E25" s="95"/>
      <c r="F25" s="94">
        <f t="shared" si="4"/>
        <v>0</v>
      </c>
      <c r="H25" s="205">
        <v>0</v>
      </c>
      <c r="I25" s="200">
        <f>((480000/23)/9)</f>
        <v>2318.840579710145</v>
      </c>
      <c r="J25" s="183" t="s">
        <v>110</v>
      </c>
      <c r="K25" s="145">
        <f t="shared" ref="K25:K35" si="5">H25*I25</f>
        <v>0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73</v>
      </c>
      <c r="D26" s="96">
        <f t="shared" si="3"/>
        <v>2173.913043478261</v>
      </c>
      <c r="E26" s="95">
        <v>0.5</v>
      </c>
      <c r="F26" s="94">
        <f t="shared" si="4"/>
        <v>1086.9565217391305</v>
      </c>
      <c r="H26" s="188">
        <v>0</v>
      </c>
      <c r="I26" s="170"/>
      <c r="J26" s="180" t="s">
        <v>74</v>
      </c>
      <c r="K26" s="93">
        <f t="shared" si="5"/>
        <v>0</v>
      </c>
      <c r="L26" s="57"/>
      <c r="X26" s="92"/>
      <c r="Z26" s="97"/>
      <c r="AA26" s="97"/>
      <c r="AB26" s="13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72</v>
      </c>
      <c r="D27" s="96">
        <f t="shared" si="3"/>
        <v>2173.913043478261</v>
      </c>
      <c r="E27" s="95">
        <v>0.5</v>
      </c>
      <c r="F27" s="94">
        <f t="shared" si="4"/>
        <v>1086.9565217391305</v>
      </c>
      <c r="H27" s="188">
        <v>0</v>
      </c>
      <c r="I27" s="170"/>
      <c r="J27" s="180" t="s">
        <v>71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70</v>
      </c>
      <c r="D28" s="96">
        <f t="shared" si="3"/>
        <v>1690.8212560386473</v>
      </c>
      <c r="E28" s="95">
        <v>0.7</v>
      </c>
      <c r="F28" s="94">
        <f t="shared" si="4"/>
        <v>1183.5748792270531</v>
      </c>
      <c r="H28" s="188">
        <v>0</v>
      </c>
      <c r="I28" s="170"/>
      <c r="J28" s="180" t="s">
        <v>108</v>
      </c>
      <c r="K28" s="93">
        <f t="shared" si="5"/>
        <v>0</v>
      </c>
      <c r="L28" s="57"/>
      <c r="X28" s="92"/>
      <c r="Y28" s="12"/>
      <c r="Z28" s="13"/>
      <c r="AA28" s="16"/>
      <c r="AB28" s="91"/>
    </row>
    <row r="29" spans="1:31" x14ac:dyDescent="0.3">
      <c r="A29" s="76"/>
      <c r="B29" s="99">
        <f>A28/23</f>
        <v>21739.130434782608</v>
      </c>
      <c r="C29" s="75" t="s">
        <v>69</v>
      </c>
      <c r="D29" s="96">
        <f t="shared" si="3"/>
        <v>2415.4589371980674</v>
      </c>
      <c r="E29" s="95">
        <v>0.7</v>
      </c>
      <c r="F29" s="94">
        <f t="shared" si="4"/>
        <v>1690.8212560386471</v>
      </c>
      <c r="H29" s="187">
        <v>0</v>
      </c>
      <c r="I29" s="170">
        <f>((550000*1.2)/23)/9</f>
        <v>3188.4057971014495</v>
      </c>
      <c r="J29" s="146" t="s">
        <v>120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24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121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67</v>
      </c>
      <c r="D31" s="96">
        <f>B31/9</f>
        <v>2173.913043478261</v>
      </c>
      <c r="E31" s="95">
        <v>0</v>
      </c>
      <c r="F31" s="94">
        <f t="shared" si="4"/>
        <v>0</v>
      </c>
      <c r="H31" s="187">
        <v>0</v>
      </c>
      <c r="I31" s="170">
        <f>((450000*1.2)/23)/9</f>
        <v>2608.695652173913</v>
      </c>
      <c r="J31" s="146" t="s">
        <v>122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66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43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3.9000000000000004</v>
      </c>
      <c r="F33" s="81">
        <f>SUM(F23:F32)</f>
        <v>8816.4251207729467</v>
      </c>
      <c r="H33" s="191">
        <v>0</v>
      </c>
      <c r="I33" s="170"/>
      <c r="J33" s="182" t="s">
        <v>42</v>
      </c>
      <c r="K33" s="93">
        <f t="shared" si="5"/>
        <v>0</v>
      </c>
    </row>
    <row r="34" spans="2:16" ht="15" thickBot="1" x14ac:dyDescent="0.35">
      <c r="B34" s="79" t="s">
        <v>65</v>
      </c>
      <c r="C34" s="78" t="s">
        <v>64</v>
      </c>
      <c r="D34" s="77">
        <f>L9</f>
        <v>2550</v>
      </c>
      <c r="H34" s="188">
        <v>1</v>
      </c>
      <c r="I34" s="170"/>
      <c r="J34" s="144" t="s">
        <v>109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63</v>
      </c>
      <c r="D35" s="74">
        <f>L24</f>
        <v>0</v>
      </c>
      <c r="H35" s="190">
        <v>6</v>
      </c>
      <c r="I35" s="202"/>
      <c r="J35" s="176" t="s">
        <v>111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61</v>
      </c>
      <c r="D36" s="74">
        <f>L36</f>
        <v>18467.665666666668</v>
      </c>
      <c r="E36" s="54"/>
      <c r="H36" s="147" t="s">
        <v>98</v>
      </c>
      <c r="I36" s="151" t="s">
        <v>117</v>
      </c>
      <c r="J36" s="185" t="s">
        <v>68</v>
      </c>
      <c r="K36" s="148" t="s">
        <v>96</v>
      </c>
      <c r="L36" s="204">
        <f>SUM(K37:K39)</f>
        <v>18467.665666666668</v>
      </c>
      <c r="N36" s="61"/>
    </row>
    <row r="37" spans="2:16" ht="15" thickBot="1" x14ac:dyDescent="0.35">
      <c r="B37" s="71"/>
      <c r="C37" s="70" t="s">
        <v>44</v>
      </c>
      <c r="D37" s="69"/>
      <c r="H37" s="195">
        <f>$E$33</f>
        <v>3.9000000000000004</v>
      </c>
      <c r="I37" s="200">
        <f>32609.69/9</f>
        <v>3623.2988888888885</v>
      </c>
      <c r="J37" s="183" t="s">
        <v>47</v>
      </c>
      <c r="K37" s="145">
        <f>I37*H37</f>
        <v>14130.865666666667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21017.665666666668</v>
      </c>
      <c r="H38" s="192">
        <f>$E$33</f>
        <v>3.9000000000000004</v>
      </c>
      <c r="I38" s="170">
        <v>967</v>
      </c>
      <c r="J38" s="180" t="s">
        <v>45</v>
      </c>
      <c r="K38" s="85">
        <f>I38*H38</f>
        <v>3771.3</v>
      </c>
    </row>
    <row r="39" spans="2:16" ht="15" thickBot="1" x14ac:dyDescent="0.35">
      <c r="H39" s="196">
        <f>$E$33</f>
        <v>3.9000000000000004</v>
      </c>
      <c r="I39" s="202">
        <v>145</v>
      </c>
      <c r="J39" s="181" t="s">
        <v>46</v>
      </c>
      <c r="K39" s="80">
        <f>I39*H39</f>
        <v>565.5</v>
      </c>
    </row>
    <row r="40" spans="2:16" ht="15" thickBot="1" x14ac:dyDescent="0.35">
      <c r="B40" s="64" t="s">
        <v>54</v>
      </c>
      <c r="C40" s="63" t="s">
        <v>53</v>
      </c>
      <c r="D40" s="62">
        <f>E11-E21</f>
        <v>34756.160400000001</v>
      </c>
    </row>
    <row r="41" spans="2:16" ht="15" thickBot="1" x14ac:dyDescent="0.35">
      <c r="H41" s="347" t="s">
        <v>62</v>
      </c>
      <c r="I41" s="348"/>
      <c r="J41" s="348"/>
      <c r="K41" s="348"/>
      <c r="L41" s="348"/>
      <c r="M41" s="349"/>
    </row>
    <row r="42" spans="2:16" ht="15" thickBot="1" x14ac:dyDescent="0.35">
      <c r="B42" s="71" t="s">
        <v>48</v>
      </c>
      <c r="C42" s="71"/>
      <c r="D42" s="203">
        <f>E33</f>
        <v>3.9000000000000004</v>
      </c>
      <c r="H42" s="73" t="s">
        <v>60</v>
      </c>
      <c r="I42" s="155" t="s">
        <v>59</v>
      </c>
      <c r="J42" s="156"/>
      <c r="K42" s="156"/>
      <c r="L42" s="157"/>
      <c r="M42" s="72">
        <f>D11</f>
        <v>200988.36</v>
      </c>
    </row>
    <row r="43" spans="2:16" ht="15" thickBot="1" x14ac:dyDescent="0.35">
      <c r="D43" s="53"/>
      <c r="H43" s="68" t="s">
        <v>58</v>
      </c>
      <c r="I43" s="158" t="s">
        <v>57</v>
      </c>
      <c r="J43" s="159"/>
      <c r="K43" s="159"/>
      <c r="L43" s="160"/>
      <c r="M43" s="60">
        <f>D21</f>
        <v>18061.2</v>
      </c>
    </row>
    <row r="44" spans="2:16" x14ac:dyDescent="0.3">
      <c r="D44" s="53"/>
      <c r="I44" s="161" t="s">
        <v>56</v>
      </c>
      <c r="J44" s="162"/>
      <c r="K44" s="162"/>
      <c r="L44" s="163"/>
      <c r="M44" s="65">
        <f>F33</f>
        <v>8816.4251207729467</v>
      </c>
    </row>
    <row r="45" spans="2:16" ht="15" thickBot="1" x14ac:dyDescent="0.35">
      <c r="D45" s="56"/>
      <c r="I45" s="164" t="s">
        <v>55</v>
      </c>
      <c r="J45" s="165"/>
      <c r="K45" s="165"/>
      <c r="L45" s="166"/>
      <c r="M45" s="59">
        <f>D38</f>
        <v>21017.665666666668</v>
      </c>
    </row>
    <row r="46" spans="2:16" ht="15" thickBot="1" x14ac:dyDescent="0.35">
      <c r="D46" s="56"/>
      <c r="I46" s="167" t="s">
        <v>52</v>
      </c>
      <c r="J46" s="168"/>
      <c r="K46" s="168"/>
      <c r="L46" s="169"/>
      <c r="M46" s="58">
        <f>M42-(SUM(M43:M45))</f>
        <v>153093.06921256037</v>
      </c>
    </row>
    <row r="47" spans="2:16" x14ac:dyDescent="0.3">
      <c r="I47" s="158" t="s">
        <v>51</v>
      </c>
      <c r="J47" s="159"/>
      <c r="K47" s="159"/>
      <c r="L47" s="160"/>
      <c r="M47" s="60"/>
    </row>
    <row r="48" spans="2:16" ht="15" thickBot="1" x14ac:dyDescent="0.35">
      <c r="D48" s="56"/>
      <c r="I48" s="164" t="s">
        <v>50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49</v>
      </c>
      <c r="J49" s="168"/>
      <c r="K49" s="168"/>
      <c r="L49" s="169"/>
      <c r="M49" s="58">
        <f>M46-SUM(M47:M48)</f>
        <v>153093.06921256037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2024-03-05T18:43:37Z</cp:lastPrinted>
  <dcterms:created xsi:type="dcterms:W3CDTF">2013-03-18T13:35:42Z</dcterms:created>
  <dcterms:modified xsi:type="dcterms:W3CDTF">2024-03-05T18:46:52Z</dcterms:modified>
</cp:coreProperties>
</file>