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952CBA5F-41EF-495B-9782-D170637D3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21" i="1"/>
  <c r="L21" i="1"/>
  <c r="M21" i="1"/>
  <c r="L24" i="1" l="1"/>
  <c r="N21" i="1"/>
  <c r="O21" i="1" s="1"/>
  <c r="R21" i="1"/>
  <c r="J40" i="1"/>
  <c r="N31" i="1"/>
  <c r="O25" i="1" l="1"/>
  <c r="U33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5" i="1" l="1"/>
  <c r="H26" i="1" s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<sst xmlns="http://schemas.openxmlformats.org/spreadsheetml/2006/main" count="224" uniqueCount="172">
  <si>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</si>
  <si>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</si>
  <si>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</si>
  <si>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</si>
  <si>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</si>
  <si>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</si>
  <si>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</si>
  <si>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</si>
  <si>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</si>
  <si>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</si>
  <si>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</si>
  <si>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</si>
  <si>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</si>
  <si>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</si>
  <si>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</si>
  <si>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</si>
  <si>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</si>
  <si>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</si>
  <si>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</si>
  <si>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</si>
  <si>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</si>
  <si>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</si>
  <si>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</si>
  <si>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</si>
  <si>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</si>
  <si>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</si>
  <si>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</si>
  <si>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</si>
  <si>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</si>
  <si>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</si>
  <si>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</si>
  <si>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</si>
  <si>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</si>
  <si>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</si>
  <si>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</si>
  <si>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</si>
  <si>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</si>
  <si>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</si>
  <si>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</si>
  <si>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</si>
  <si>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</si>
  <si>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</si>
  <si>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</si>
  <si>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</si>
  <si>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</si>
  <si>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</si>
  <si>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</si>
  <si>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</si>
  <si>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</si>
  <si>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</si>
  <si>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</si>
  <si>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</si>
  <si>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</si>
  <si>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</si>
  <si>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</si>
  <si>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</si>
  <si>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</si>
  <si>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</si>
  <si>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</si>
  <si>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</si>
  <si>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</si>
  <si>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</si>
  <si>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</si>
  <si>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</si>
  <si>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</si>
  <si>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</si>
  <si>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</si>
  <si>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</si>
  <si>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</si>
  <si>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</si>
  <si>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</si>
  <si>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</si>
  <si>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</si>
  <si>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</si>
  <si>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</si>
  <si>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</si>
  <si>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</si>
  <si>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</si>
  <si>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</si>
  <si>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</si>
  <si>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</si>
  <si>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</si>
  <si>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</si>
  <si>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</si>
  <si>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</si>
  <si>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</si>
  <si>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</si>
  <si>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</si>
  <si>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</si>
  <si>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</si>
  <si>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</si>
  <si>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</si>
  <si>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</si>
  <si>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</si>
  <si>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</si>
  <si>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</si>
  <si>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</si>
  <si>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</si>
  <si>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</si>
  <si>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</si>
  <si>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</si>
  <si>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</si>
  <si>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</si>
  <si>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</si>
  <si>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</si>
  <si>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</si>
  <si>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</si>
  <si>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</si>
  <si>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</si>
  <si>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</si>
  <si>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</si>
  <si>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</si>
  <si>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</si>
  <si>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</si>
  <si>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</si>
  <si>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</si>
  <si>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</si>
  <si>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</si>
  <si>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</si>
  <si>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</si>
  <si>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</si>
  <si>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</si>
  <si>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</si>
  <si>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</si>
  <si>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</si>
  <si>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</si>
  <si>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</si>
  <si>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</si>
  <si>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</si>
  <si>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</si>
  <si>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</si>
  <si>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</si>
  <si>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</si>
  <si>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</si>
  <si>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</si>
  <si>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</si>
  <si>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</si>
  <si>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</si>
  <si>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</si>
  <si>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</si>
  <si>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</si>
  <si>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</si>
  <si>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</si>
  <si>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</si>
  <si>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</si>
  <si>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</si>
  <si>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</si>
  <si>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</si>
  <si>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</si>
  <si>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</si>
  <si>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</si>
  <si>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</si>
  <si>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</si>
  <si>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</si>
  <si>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</si>
  <si>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</si>
  <si>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</si>
  <si>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</si>
  <si>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</si>
  <si>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</si>
  <si>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CUBIERTA CON RESPALDO R6</t>
  </si>
  <si>
    <t>DURACION COTIZACION: 5 DIAS                           FD</t>
  </si>
  <si>
    <t>N° 10654</t>
  </si>
  <si>
    <t>GRIGNEN DISEÑO INTEGRAL LTDA</t>
  </si>
  <si>
    <t>76.606.552-K</t>
  </si>
  <si>
    <t>OBRAS MENORES EN CONSTRUCCION</t>
  </si>
  <si>
    <t>SOLANGE AVALOS</t>
  </si>
  <si>
    <t>ADMINISTRACION@GRIGNEN.CL</t>
  </si>
  <si>
    <t>+569 90154887</t>
  </si>
  <si>
    <t>EL AVELLANO 5040 BARRIO NUEVO, NOS SAN BERNARDO</t>
  </si>
  <si>
    <t>NO</t>
  </si>
  <si>
    <t>SALT PEPPER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</si>
</sst>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5" fillId="20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1" fontId="29" fillId="0" borderId="0" xfId="0" applyNumberFormat="1" applyFont="1" applyAlignment="1">
      <alignment horizontal="center" vertical="center"/>
    </xf>
    <xf numFmtId="42" fontId="10" fillId="0" borderId="0" xfId="8" applyFont="1" applyFill="1" applyBorder="1" applyAlignment="1">
      <alignment horizontal="center" vertical="center"/>
    </xf>
    <xf numFmtId="0" fontId="7" fillId="20" borderId="0" xfId="0" quotePrefix="1" applyFont="1" applyFill="1"/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27</xdr:row>
      <xdr:rowOff>7621</xdr:rowOff>
    </xdr:from>
    <xdr:to>
      <xdr:col>7</xdr:col>
      <xdr:colOff>1043941</xdr:colOff>
      <xdr:row>30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26</xdr:row>
      <xdr:rowOff>209550</xdr:rowOff>
    </xdr:from>
    <xdr:to>
      <xdr:col>5</xdr:col>
      <xdr:colOff>1798320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22</xdr:row>
      <xdr:rowOff>211455</xdr:rowOff>
    </xdr:from>
    <xdr:to>
      <xdr:col>5</xdr:col>
      <xdr:colOff>1773555</xdr:colOff>
      <xdr:row>25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MEDIDA EN EL LARGO</a:t>
          </a:r>
        </a:p>
        <a:p>
          <a:pPr algn="l"/>
          <a:r>
            <a:rPr lang="es-CL" sz="1400" b="1" baseline="0"/>
            <a:t>SUSTRATO: MDF 18MM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ISTRACION@GRIGNEN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4" zoomScaleNormal="100" workbookViewId="0">
      <selection activeCell="A22" sqref="A22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162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8" t="s">
        <v>2</v>
      </c>
      <c r="C10" s="292" t="s">
        <v>163</v>
      </c>
      <c r="D10" s="292"/>
      <c r="E10" s="292"/>
      <c r="F10" s="293" t="s">
        <v>0</v>
      </c>
      <c r="G10" s="294">
        <v>45358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9" t="s">
        <v>12</v>
      </c>
      <c r="C11" s="301" t="s">
        <v>164</v>
      </c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10" t="s">
        <v>146</v>
      </c>
      <c r="C12" s="302" t="s">
        <v>165</v>
      </c>
      <c r="D12" s="302"/>
      <c r="E12" s="302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9" t="s">
        <v>147</v>
      </c>
      <c r="C13" s="324" t="s">
        <v>166</v>
      </c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10" t="s">
        <v>140</v>
      </c>
      <c r="C14" s="312" t="s">
        <v>167</v>
      </c>
      <c r="D14" s="302"/>
      <c r="E14" s="302"/>
      <c r="F14" s="283" t="s">
        <v>137</v>
      </c>
      <c r="G14" s="284" t="s">
        <v>170</v>
      </c>
      <c r="H14" s="297"/>
      <c r="P14" s="19"/>
      <c r="Q14" s="24" t="s">
        <v>18</v>
      </c>
      <c r="R14" s="19"/>
    </row>
    <row r="15" spans="2:23" ht="15.6" x14ac:dyDescent="0.3">
      <c r="B15" s="309" t="s">
        <v>4</v>
      </c>
      <c r="C15" s="324" t="s">
        <v>168</v>
      </c>
      <c r="D15" s="306"/>
      <c r="E15" s="289"/>
      <c r="F15" s="287" t="s">
        <v>136</v>
      </c>
      <c r="G15" s="291" t="s">
        <v>170</v>
      </c>
      <c r="H15" s="296"/>
      <c r="J15" s="280"/>
      <c r="K15"/>
    </row>
    <row r="16" spans="2:23" x14ac:dyDescent="0.3">
      <c r="B16" s="298" t="s">
        <v>3</v>
      </c>
      <c r="C16" s="307" t="s">
        <v>169</v>
      </c>
      <c r="D16" s="302"/>
      <c r="E16" s="302"/>
      <c r="F16" s="285" t="s">
        <v>131</v>
      </c>
      <c r="G16" s="286" t="s">
        <v>152</v>
      </c>
      <c r="H16" s="297"/>
    </row>
    <row r="17" spans="1:24" ht="16.2" thickBot="1" x14ac:dyDescent="0.35">
      <c r="B17" s="311" t="s">
        <v>13</v>
      </c>
      <c r="C17" s="303" t="s">
        <v>157</v>
      </c>
      <c r="D17" s="304"/>
      <c r="E17" s="305"/>
      <c r="F17" s="333" t="s">
        <v>161</v>
      </c>
      <c r="G17" s="333"/>
      <c r="H17" s="334"/>
      <c r="I17" s="251"/>
      <c r="J17">
        <v>142784</v>
      </c>
      <c r="S17" s="5"/>
      <c r="T17" s="5"/>
    </row>
    <row r="18" spans="1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1:24" ht="20.100000000000001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1:24" ht="20.100000000000001" customHeight="1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N38</f>
        <v>86981.134751773076</v>
      </c>
      <c r="Q20" s="246">
        <v>3000</v>
      </c>
      <c r="R20" s="35"/>
      <c r="S20" s="13" t="s">
        <v>130</v>
      </c>
      <c r="T20" s="8"/>
      <c r="W20" s="3"/>
    </row>
    <row r="21" spans="1:24" ht="20.100000000000001" customHeight="1" x14ac:dyDescent="0.3">
      <c r="B21" s="328">
        <v>1</v>
      </c>
      <c r="C21" s="329" t="s">
        <v>160</v>
      </c>
      <c r="D21" s="329">
        <v>2.2999999999999998</v>
      </c>
      <c r="E21" s="329">
        <v>0.6</v>
      </c>
      <c r="F21" s="330" t="s">
        <v>171</v>
      </c>
      <c r="G21" s="331">
        <v>125643</v>
      </c>
      <c r="H21" s="332">
        <f>G21*B21</f>
        <v>125643</v>
      </c>
      <c r="I21" s="253"/>
      <c r="J21" s="44"/>
      <c r="K21" s="44">
        <f t="shared" ref="K21" si="1">B21</f>
        <v>1</v>
      </c>
      <c r="L21" s="36">
        <f t="shared" ref="L21" si="2">D21+L$19</f>
        <v>2.3499999999999996</v>
      </c>
      <c r="M21" s="36">
        <f t="shared" ref="M21" si="3">E21</f>
        <v>0.6</v>
      </c>
      <c r="N21" s="249">
        <f t="shared" ref="N21" si="4">L21*M21</f>
        <v>1.4099999999999997</v>
      </c>
      <c r="O21" s="247">
        <f t="shared" ref="O21" si="5">N21*K21</f>
        <v>1.4099999999999997</v>
      </c>
      <c r="P21" s="240">
        <f>P$20*N21</f>
        <v>122643.40000000001</v>
      </c>
      <c r="Q21" s="246">
        <f t="shared" ref="Q21" si="6">P21+Q$20</f>
        <v>125643.40000000001</v>
      </c>
      <c r="R21" s="277">
        <f t="shared" ref="R21" si="7">K21*L21</f>
        <v>2.3499999999999996</v>
      </c>
      <c r="S21" s="13"/>
      <c r="T21" s="8"/>
      <c r="W21" s="3"/>
    </row>
    <row r="22" spans="1:24" ht="20.100000000000001" customHeight="1" x14ac:dyDescent="0.3">
      <c r="B22" s="322"/>
      <c r="C22" s="270"/>
      <c r="D22" s="270"/>
      <c r="E22" s="270"/>
      <c r="F22" s="299"/>
      <c r="G22" s="323"/>
      <c r="H22" s="323"/>
      <c r="I22" s="253"/>
      <c r="J22" s="44"/>
      <c r="K22" s="44"/>
      <c r="L22" s="36"/>
      <c r="M22" s="36"/>
      <c r="N22" s="249"/>
      <c r="O22" s="247"/>
      <c r="P22" s="240"/>
      <c r="Q22" s="246"/>
      <c r="R22" s="277"/>
      <c r="S22" s="13"/>
      <c r="T22" s="8"/>
      <c r="W22" s="3"/>
    </row>
    <row r="23" spans="1:24" ht="18" thickBot="1" x14ac:dyDescent="0.35">
      <c r="B23" s="269"/>
      <c r="C23" s="269"/>
      <c r="D23" s="270"/>
      <c r="E23" s="270"/>
      <c r="F23" s="269"/>
      <c r="G23" s="253"/>
      <c r="H23" s="227"/>
      <c r="I23" s="227"/>
      <c r="J23" s="44"/>
      <c r="K23" s="44"/>
      <c r="L23" s="43"/>
      <c r="M23" s="36"/>
      <c r="N23" s="249"/>
      <c r="O23" s="247"/>
      <c r="P23" s="240"/>
      <c r="Q23" s="246"/>
      <c r="R23" s="277"/>
      <c r="S23" s="13"/>
      <c r="T23" s="8"/>
      <c r="W23" s="3"/>
    </row>
    <row r="24" spans="1:24" ht="18" customHeight="1" x14ac:dyDescent="0.3">
      <c r="B24" s="269"/>
      <c r="C24" s="269"/>
      <c r="D24" s="270"/>
      <c r="E24" s="270"/>
      <c r="F24" s="269"/>
      <c r="G24" s="316" t="s">
        <v>30</v>
      </c>
      <c r="H24" s="317">
        <f>SUM(H21:H21)</f>
        <v>125643</v>
      </c>
      <c r="I24" s="253"/>
      <c r="J24" s="44"/>
      <c r="K24" s="44"/>
      <c r="L24" s="258">
        <f>SUM(L21:L21)</f>
        <v>2.3499999999999996</v>
      </c>
      <c r="M24" s="36"/>
      <c r="N24" s="249"/>
      <c r="O24" s="247"/>
      <c r="P24" s="240"/>
      <c r="Q24" s="246"/>
      <c r="R24" s="277"/>
      <c r="S24" s="13"/>
      <c r="T24" s="8"/>
      <c r="W24" s="3"/>
    </row>
    <row r="25" spans="1:24" ht="18" customHeight="1" x14ac:dyDescent="0.3">
      <c r="B25" s="264"/>
      <c r="C25" s="266"/>
      <c r="D25" s="267"/>
      <c r="E25" s="267"/>
      <c r="F25" s="268"/>
      <c r="G25" s="318" t="s">
        <v>53</v>
      </c>
      <c r="H25" s="319">
        <f>H24*0.19</f>
        <v>23872.170000000002</v>
      </c>
      <c r="I25" s="253"/>
      <c r="J25" s="44">
        <v>103577</v>
      </c>
      <c r="K25" s="44"/>
      <c r="L25" s="36"/>
      <c r="M25" s="11"/>
      <c r="N25" s="11"/>
      <c r="O25" s="241">
        <f>SUM(O21:O23)</f>
        <v>1.4099999999999997</v>
      </c>
      <c r="P25" s="13"/>
      <c r="Q25" s="11"/>
      <c r="R25" s="233"/>
      <c r="S25" s="13"/>
      <c r="T25" s="8"/>
      <c r="W25" s="3"/>
    </row>
    <row r="26" spans="1:24" ht="18" customHeight="1" thickBot="1" x14ac:dyDescent="0.35">
      <c r="B26" s="263"/>
      <c r="C26" s="265"/>
      <c r="D26" s="260"/>
      <c r="E26" s="260"/>
      <c r="F26" s="261"/>
      <c r="G26" s="320" t="s">
        <v>6</v>
      </c>
      <c r="H26" s="321">
        <f>H24+H25</f>
        <v>149515.17000000001</v>
      </c>
      <c r="I26" s="253"/>
      <c r="J26" s="44"/>
      <c r="K26" s="44"/>
      <c r="L26" s="36"/>
      <c r="M26" s="11"/>
      <c r="N26" s="11"/>
      <c r="O26" s="241">
        <f>O25</f>
        <v>1.4099999999999997</v>
      </c>
      <c r="P26" s="13"/>
      <c r="Q26" s="11"/>
      <c r="R26" s="233">
        <f>SUM(R21:R25)</f>
        <v>2.3499999999999996</v>
      </c>
      <c r="S26" s="13"/>
      <c r="T26" s="8"/>
      <c r="W26" s="3"/>
    </row>
    <row r="27" spans="1:24" ht="17.399999999999999" x14ac:dyDescent="0.3">
      <c r="B27" s="263"/>
      <c r="C27" s="259"/>
      <c r="D27" s="260"/>
      <c r="E27" s="260"/>
      <c r="F27" s="261"/>
      <c r="I27" s="253"/>
      <c r="J27" s="44"/>
      <c r="K27" s="44"/>
      <c r="L27" s="13"/>
      <c r="M27" s="11"/>
      <c r="N27" s="11"/>
      <c r="O27" s="36">
        <f>O26*20%</f>
        <v>0.28199999999999997</v>
      </c>
      <c r="P27" s="36" t="s">
        <v>132</v>
      </c>
      <c r="Q27" s="39"/>
      <c r="R27" s="234"/>
      <c r="S27" s="13"/>
      <c r="T27" s="8"/>
      <c r="W27" s="3"/>
    </row>
    <row r="28" spans="1:24" ht="17.399999999999999" x14ac:dyDescent="0.35">
      <c r="B28" s="257"/>
      <c r="C28" s="225"/>
      <c r="D28" s="225"/>
      <c r="E28" s="227"/>
      <c r="F28" s="228"/>
      <c r="G28" s="225"/>
      <c r="H28" s="262"/>
      <c r="I28" s="253"/>
      <c r="J28" s="279"/>
      <c r="K28" s="44"/>
      <c r="L28" s="13"/>
      <c r="M28" s="11"/>
      <c r="N28" s="11"/>
      <c r="O28" s="43">
        <f>O26+O27</f>
        <v>1.6919999999999997</v>
      </c>
      <c r="P28" s="13"/>
      <c r="Q28" s="13"/>
      <c r="R28" s="232">
        <v>40</v>
      </c>
      <c r="S28" s="13"/>
      <c r="T28" s="8"/>
      <c r="W28" s="3"/>
    </row>
    <row r="29" spans="1:24" ht="17.399999999999999" x14ac:dyDescent="0.35">
      <c r="B29" s="229"/>
      <c r="C29" s="230"/>
      <c r="D29" s="231"/>
      <c r="E29" s="229"/>
      <c r="F29" s="225"/>
      <c r="G29" s="225"/>
      <c r="I29" s="253"/>
      <c r="J29" s="279"/>
      <c r="K29" s="44"/>
      <c r="L29" s="13"/>
      <c r="M29" s="13"/>
      <c r="N29" s="13"/>
      <c r="O29" s="13"/>
      <c r="P29" s="13"/>
      <c r="Q29" s="13"/>
      <c r="R29" s="232"/>
      <c r="S29" s="13"/>
      <c r="T29" s="8"/>
      <c r="W29" s="3"/>
    </row>
    <row r="30" spans="1:24" ht="17.399999999999999" x14ac:dyDescent="0.35">
      <c r="B30" s="225"/>
      <c r="C30" s="225"/>
      <c r="D30" s="225"/>
      <c r="E30" s="225"/>
      <c r="F30" s="225"/>
      <c r="G30" s="225"/>
      <c r="I30" s="253"/>
      <c r="J30" s="44"/>
      <c r="K30" s="44"/>
      <c r="L30" s="36">
        <f>O28*1</f>
        <v>1.6919999999999997</v>
      </c>
      <c r="M30" s="11">
        <v>3500</v>
      </c>
      <c r="N30" s="11">
        <f t="shared" ref="N30:N35" si="8">L30*M30</f>
        <v>5921.9999999999991</v>
      </c>
      <c r="O30" s="13" t="s">
        <v>22</v>
      </c>
      <c r="P30" s="13" t="s">
        <v>23</v>
      </c>
      <c r="Q30" s="13"/>
      <c r="R30" s="235"/>
      <c r="S30" s="13"/>
      <c r="T30" s="8"/>
      <c r="W30" s="3" t="s">
        <v>155</v>
      </c>
    </row>
    <row r="31" spans="1:24" ht="17.399999999999999" x14ac:dyDescent="0.35">
      <c r="A31" s="225"/>
      <c r="B31" s="225"/>
      <c r="C31" s="225"/>
      <c r="D31" s="225"/>
      <c r="E31" s="225"/>
      <c r="F31" s="225"/>
      <c r="G31" s="225"/>
      <c r="H31" s="225"/>
      <c r="I31" s="253"/>
      <c r="J31" s="44"/>
      <c r="K31" s="44"/>
      <c r="L31" s="237">
        <v>0.4</v>
      </c>
      <c r="M31" s="11">
        <v>27000</v>
      </c>
      <c r="N31" s="11">
        <f>L31*M31</f>
        <v>10800</v>
      </c>
      <c r="O31" s="36" t="s">
        <v>154</v>
      </c>
      <c r="P31" s="39"/>
      <c r="Q31" s="13"/>
      <c r="R31" s="234"/>
      <c r="S31" s="13"/>
      <c r="T31" s="8"/>
      <c r="W31" s="3"/>
    </row>
    <row r="32" spans="1:24" s="225" customFormat="1" ht="18" x14ac:dyDescent="0.35">
      <c r="B32" s="313" t="s">
        <v>158</v>
      </c>
      <c r="C32" s="314"/>
      <c r="D32" s="314"/>
      <c r="E32" s="314"/>
      <c r="F32" s="314"/>
      <c r="I32" s="250"/>
      <c r="J32" s="44"/>
      <c r="K32" s="238"/>
      <c r="L32" s="13"/>
      <c r="M32" s="238">
        <v>49600</v>
      </c>
      <c r="N32" s="11">
        <f t="shared" si="8"/>
        <v>0</v>
      </c>
      <c r="O32" s="36" t="s">
        <v>32</v>
      </c>
      <c r="P32" s="39"/>
      <c r="R32" s="234"/>
      <c r="S32" s="244"/>
      <c r="U32" s="225">
        <v>33390</v>
      </c>
      <c r="V32" s="226"/>
    </row>
    <row r="33" spans="2:23" s="225" customFormat="1" ht="18" x14ac:dyDescent="0.35">
      <c r="B33" s="313" t="s">
        <v>145</v>
      </c>
      <c r="C33" s="314"/>
      <c r="D33" s="314"/>
      <c r="E33" s="314"/>
      <c r="F33" s="314"/>
      <c r="I33" s="250"/>
      <c r="J33" s="278"/>
      <c r="K33" s="238"/>
      <c r="L33" s="13">
        <v>1</v>
      </c>
      <c r="M33" s="238">
        <v>35500</v>
      </c>
      <c r="N33" s="11">
        <f t="shared" si="8"/>
        <v>35500</v>
      </c>
      <c r="O33" s="13" t="s">
        <v>142</v>
      </c>
      <c r="P33" s="16"/>
      <c r="R33" s="232"/>
      <c r="S33" s="244"/>
      <c r="U33" s="225">
        <f>U32/1.19</f>
        <v>28058.823529411766</v>
      </c>
      <c r="V33" s="226"/>
    </row>
    <row r="34" spans="2:23" s="225" customFormat="1" ht="18" x14ac:dyDescent="0.35">
      <c r="B34" s="314" t="s">
        <v>127</v>
      </c>
      <c r="C34" s="314"/>
      <c r="D34" s="314"/>
      <c r="E34" s="314"/>
      <c r="F34" s="315" t="s">
        <v>16</v>
      </c>
      <c r="I34" s="250"/>
      <c r="J34" s="278"/>
      <c r="K34" s="238"/>
      <c r="L34" s="237"/>
      <c r="M34" s="238">
        <v>800</v>
      </c>
      <c r="N34" s="11"/>
      <c r="O34" s="13" t="s">
        <v>153</v>
      </c>
      <c r="P34" s="13"/>
      <c r="Q34" s="225">
        <v>1.52</v>
      </c>
      <c r="R34" s="232"/>
      <c r="S34" s="232"/>
    </row>
    <row r="35" spans="2:23" s="225" customFormat="1" ht="17.399999999999999" x14ac:dyDescent="0.35">
      <c r="I35" s="276"/>
      <c r="J35" s="44"/>
      <c r="K35" s="238"/>
      <c r="L35" s="254">
        <v>2.35</v>
      </c>
      <c r="M35" s="11">
        <v>1500</v>
      </c>
      <c r="N35" s="11">
        <f t="shared" si="8"/>
        <v>3525</v>
      </c>
      <c r="O35" s="13" t="s">
        <v>24</v>
      </c>
      <c r="P35" s="13"/>
      <c r="Q35">
        <v>2.44</v>
      </c>
      <c r="R35"/>
      <c r="S35" s="232">
        <v>1500</v>
      </c>
      <c r="W35" s="226"/>
    </row>
    <row r="36" spans="2:23" s="225" customFormat="1" ht="17.399999999999999" x14ac:dyDescent="0.35">
      <c r="J36" s="44"/>
      <c r="K36" s="238"/>
      <c r="L36" s="13"/>
      <c r="M36" s="11"/>
      <c r="N36" s="11">
        <f>SUM(N30:N35)</f>
        <v>55747</v>
      </c>
      <c r="O36" s="36" t="s">
        <v>25</v>
      </c>
      <c r="P36" s="13"/>
      <c r="Q36">
        <f>Q34*Q35</f>
        <v>3.7088000000000001</v>
      </c>
      <c r="R36"/>
      <c r="S36" s="232">
        <f>R28*S35</f>
        <v>60000</v>
      </c>
      <c r="W36" s="226"/>
    </row>
    <row r="37" spans="2:23" s="225" customFormat="1" ht="17.399999999999999" x14ac:dyDescent="0.35">
      <c r="J37" s="44"/>
      <c r="K37" s="238"/>
      <c r="L37" s="242" t="s">
        <v>35</v>
      </c>
      <c r="M37" s="11"/>
      <c r="N37" s="243">
        <f>N36*2.2</f>
        <v>122643.40000000001</v>
      </c>
      <c r="O37" s="13" t="s">
        <v>141</v>
      </c>
      <c r="P37" s="13"/>
      <c r="Q37" s="43">
        <f>O26/Q36</f>
        <v>0.38017687661777383</v>
      </c>
      <c r="R37"/>
      <c r="S37" s="245" t="e">
        <f>S36/#REF!</f>
        <v>#REF!</v>
      </c>
    </row>
    <row r="38" spans="2:23" s="225" customFormat="1" ht="17.399999999999999" x14ac:dyDescent="0.35">
      <c r="G38"/>
      <c r="H38" s="248"/>
      <c r="I38" s="248"/>
      <c r="J38" s="44"/>
      <c r="K38" s="238"/>
      <c r="L38" s="13"/>
      <c r="M38" s="11"/>
      <c r="N38" s="11">
        <f>N37/O26</f>
        <v>86981.134751773076</v>
      </c>
      <c r="O38" s="42" t="s">
        <v>26</v>
      </c>
      <c r="P38" s="13"/>
      <c r="Q38" s="13"/>
      <c r="R38"/>
      <c r="S38" s="232"/>
      <c r="V38" s="225">
        <v>2300</v>
      </c>
    </row>
    <row r="39" spans="2:23" s="225" customFormat="1" ht="17.399999999999999" x14ac:dyDescent="0.35">
      <c r="G39"/>
      <c r="J39" s="44">
        <v>50810</v>
      </c>
      <c r="K39" s="238"/>
      <c r="L39" s="12"/>
      <c r="M39" s="13"/>
      <c r="N39" s="16">
        <f>N37/N36</f>
        <v>2.2000000000000002</v>
      </c>
      <c r="O39" s="14"/>
      <c r="P39"/>
      <c r="Q39"/>
      <c r="R39"/>
      <c r="S39" s="232"/>
    </row>
    <row r="40" spans="2:23" s="225" customFormat="1" ht="17.399999999999999" x14ac:dyDescent="0.35">
      <c r="G40" s="22"/>
      <c r="J40" s="44">
        <f>J39/1.19</f>
        <v>42697.478991596639</v>
      </c>
      <c r="K40" s="11"/>
      <c r="S40" s="232"/>
    </row>
    <row r="41" spans="2:23" s="225" customFormat="1" ht="17.399999999999999" x14ac:dyDescent="0.35">
      <c r="B41"/>
      <c r="C41" s="224"/>
      <c r="D41" s="21"/>
      <c r="E41" s="21"/>
      <c r="F41" s="20"/>
      <c r="G41" s="22"/>
      <c r="J41" s="44"/>
      <c r="K41" s="11"/>
      <c r="S41" s="232">
        <v>1.83</v>
      </c>
    </row>
    <row r="42" spans="2:23" ht="14.4" customHeight="1" x14ac:dyDescent="0.3">
      <c r="J42" s="44"/>
      <c r="K42" s="11"/>
      <c r="S42">
        <v>2.5</v>
      </c>
    </row>
    <row r="43" spans="2:23" x14ac:dyDescent="0.3">
      <c r="J43" s="44"/>
      <c r="K43" s="238"/>
      <c r="S43">
        <f>S41*S42</f>
        <v>4.5750000000000002</v>
      </c>
    </row>
    <row r="44" spans="2:23" x14ac:dyDescent="0.3">
      <c r="K44" s="238"/>
      <c r="S44" s="258">
        <f>O28/S43</f>
        <v>0.36983606557377041</v>
      </c>
    </row>
    <row r="45" spans="2:23" x14ac:dyDescent="0.3">
      <c r="K45" s="238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0"/>
      <c r="O50" s="50"/>
    </row>
    <row r="51" spans="14:19" x14ac:dyDescent="0.3">
      <c r="R51" s="17"/>
      <c r="S51" s="17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2" spans="14:19" x14ac:dyDescent="0.3">
      <c r="N62" s="40"/>
    </row>
    <row r="63" spans="14:19" x14ac:dyDescent="0.3">
      <c r="N63" s="40"/>
    </row>
    <row r="64" spans="14:19" x14ac:dyDescent="0.3">
      <c r="N64" s="5"/>
    </row>
    <row r="65" spans="3:14" x14ac:dyDescent="0.3">
      <c r="N65" s="5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  <hyperlink ref="C14" r:id="rId2" xr:uid="{0D000396-1D10-4026-B3FD-B9E54334ED51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45358</v>
      </c>
    </row>
    <row r="6" spans="2:31" ht="16.2" thickBot="1" x14ac:dyDescent="0.35">
      <c r="B6" s="136" t="s">
        <v>2</v>
      </c>
      <c r="C6" s="135" t="str">
        <f>'2229'!C10</f>
        <v>GRIGNEN DISEÑO INTEGRAL LTDA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9" t="s">
        <v>100</v>
      </c>
      <c r="I7" s="340"/>
      <c r="J7" s="340"/>
      <c r="K7" s="341"/>
      <c r="N7" s="71"/>
      <c r="O7" s="338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10654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8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-8137.5750334541053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'2229'!H24</f>
        <v>125643</v>
      </c>
      <c r="E11" s="128">
        <f>D11*0.19</f>
        <v>23872.170000000002</v>
      </c>
      <c r="F11" s="127">
        <f>E11+D11</f>
        <v>149515.17000000001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97852.424966545892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46556.090787439614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79852.424966545892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79086.909212560393</v>
      </c>
      <c r="E13" s="217">
        <f>(D11/D12)-1</f>
        <v>1.6987446298626359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70852.424966545892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31852.424966545896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76817.549799275366</v>
      </c>
      <c r="F15" s="212">
        <f>E15-D12</f>
        <v>30261.459011835752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31852.424966545896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71852.424966545892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'2229'!N31</f>
        <v>10800</v>
      </c>
      <c r="E19" s="119">
        <f>D19*0.19</f>
        <v>2052</v>
      </c>
      <c r="F19" s="116">
        <f>SUM(D19:E19)</f>
        <v>12852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'2229'!N30</f>
        <v>5921.9999999999991</v>
      </c>
      <c r="E20" s="117">
        <f>D20*0.19</f>
        <v>1125.1799999999998</v>
      </c>
      <c r="F20" s="116">
        <f>SUM(D20:E20)</f>
        <v>7047.1799999999985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16722</v>
      </c>
      <c r="E21" s="112">
        <f>SUM(E18:E20)</f>
        <v>3177.18</v>
      </c>
      <c r="F21" s="111">
        <f>SUM(F18:F20)</f>
        <v>19899.18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20694.990000000002</v>
      </c>
    </row>
    <row r="41" spans="2:16" ht="15" thickBot="1" x14ac:dyDescent="0.35">
      <c r="H41" s="342" t="s">
        <v>62</v>
      </c>
      <c r="I41" s="343"/>
      <c r="J41" s="343"/>
      <c r="K41" s="343"/>
      <c r="L41" s="343"/>
      <c r="M41" s="344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125643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16722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79086.909212560393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79086.909212560393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2024-03-05T18:43:37Z</cp:lastPrinted>
  <dcterms:created xsi:type="dcterms:W3CDTF">2013-03-18T13:35:42Z</dcterms:created>
  <dcterms:modified xsi:type="dcterms:W3CDTF">2024-03-07T14:39:35Z</dcterms:modified>
</cp:coreProperties>
</file>