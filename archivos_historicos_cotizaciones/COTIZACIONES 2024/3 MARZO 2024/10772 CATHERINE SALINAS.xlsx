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E820E659-53A3-4E2F-97FC-8D26E299D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S22" i="1" l="1"/>
  <c r="N22" i="1"/>
  <c r="O22" i="1" s="1"/>
  <c r="R22" i="1"/>
  <c r="K21" i="1"/>
  <c r="J39" i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7" i="1" l="1"/>
  <c r="N38" i="1" s="1"/>
  <c r="D21" i="3"/>
  <c r="M43" i="3" s="1"/>
  <c r="D12" i="3" s="1"/>
  <c r="F20" i="3"/>
  <c r="F21" i="3" s="1"/>
  <c r="N39" i="1" l="1"/>
  <c r="P20" i="1"/>
  <c r="E15" i="3"/>
  <c r="P22" i="1" l="1"/>
  <c r="Q22" i="1" s="1"/>
  <c r="G22" i="1" s="1"/>
  <c r="H22" i="1" s="1"/>
  <c r="P21" i="1"/>
  <c r="F15" i="3"/>
  <c r="Q21" i="1" l="1"/>
  <c r="G21" i="1" s="1"/>
  <c r="H21" i="1" l="1"/>
  <c r="H24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<sst xmlns="http://schemas.openxmlformats.org/spreadsheetml/2006/main" count="232" uniqueCount="175">
  <si>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</si>
  <si>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</si>
  <si>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</si>
  <si>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</si>
  <si>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</si>
  <si>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</si>
  <si>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</si>
  <si>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</si>
  <si>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</si>
  <si>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</si>
  <si>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</si>
  <si>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</si>
  <si>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</si>
  <si>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</si>
  <si>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</si>
  <si>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</si>
  <si>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</si>
  <si>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</si>
  <si>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</si>
  <si>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</si>
  <si>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</si>
  <si>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</si>
  <si>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</si>
  <si>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</si>
  <si>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</si>
  <si>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</si>
  <si>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</si>
  <si>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</si>
  <si>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</si>
  <si>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</si>
  <si>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</si>
  <si>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</si>
  <si>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</si>
  <si>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</si>
  <si>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</si>
  <si>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</si>
  <si>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</si>
  <si>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</si>
  <si>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</si>
  <si>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</si>
  <si>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</si>
  <si>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</si>
  <si>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</si>
  <si>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</si>
  <si>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</si>
  <si>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</si>
  <si>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</si>
  <si>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</si>
  <si>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</si>
  <si>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</si>
  <si>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</si>
  <si>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</si>
  <si>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</si>
  <si>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</si>
  <si>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</si>
  <si>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</si>
  <si>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</si>
  <si>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</si>
  <si>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</si>
  <si>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</si>
  <si>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</si>
  <si>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</si>
  <si>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</si>
  <si>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</si>
  <si>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</si>
  <si>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</si>
  <si>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</si>
  <si>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</si>
  <si>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</si>
  <si>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</si>
  <si>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</si>
  <si>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</si>
  <si>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</si>
  <si>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</si>
  <si>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</si>
  <si>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</si>
  <si>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</si>
  <si>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</si>
  <si>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</si>
  <si>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</si>
  <si>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</si>
  <si>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</si>
  <si>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</si>
  <si>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</si>
  <si>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</si>
  <si>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</si>
  <si>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</si>
  <si>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</si>
  <si>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</si>
  <si>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</si>
  <si>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</si>
  <si>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</si>
  <si>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</si>
  <si>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</si>
  <si>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</si>
  <si>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</si>
  <si>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</si>
  <si>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</si>
  <si>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</si>
  <si>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</si>
  <si>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</si>
  <si>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</si>
  <si>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</si>
  <si>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</si>
  <si>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</si>
  <si>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</si>
  <si>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</si>
  <si>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</si>
  <si>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</si>
  <si>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</si>
  <si>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</si>
  <si>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</si>
  <si>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</si>
  <si>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</si>
  <si>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</si>
  <si>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</si>
  <si>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</si>
  <si>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</si>
  <si>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</si>
  <si>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</si>
  <si>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</si>
  <si>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</si>
  <si>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</si>
  <si>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</si>
  <si>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</si>
  <si>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</si>
  <si>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</si>
  <si>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</si>
  <si>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</si>
  <si>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</si>
  <si>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</si>
  <si>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</si>
  <si>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</si>
  <si>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</si>
  <si>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</si>
  <si>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</si>
  <si>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</si>
  <si>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</si>
  <si>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</si>
  <si>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</si>
  <si>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</si>
  <si>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</si>
  <si>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</si>
  <si>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</si>
  <si>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</si>
  <si>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</si>
  <si>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</si>
  <si>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</si>
  <si>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</si>
  <si>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</si>
  <si>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</si>
  <si>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</si>
  <si>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</si>
  <si>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</si>
  <si>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</si>
  <si>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</si>
  <si>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</si>
  <si>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</si>
  <si>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</si>
  <si>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</si>
  <si>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</si>
  <si>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</si>
  <si>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</si>
  <si>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</si>
  <si>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</si>
  <si>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</si>
  <si>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</si>
  <si>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</si>
  <si>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</si>
  <si>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+569 9449 0390</t>
  </si>
  <si>
    <t>CATHERINE SALINAS</t>
  </si>
  <si>
    <t>N° 10772</t>
  </si>
  <si>
    <t>5 DIAS HABILES</t>
  </si>
  <si>
    <t>LIME PP-3607 TX</t>
  </si>
  <si>
    <t>E/R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</si>
</sst>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ENCHAPADAS CON TAPACANTO PVC 1,5MM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1 CARA TRASCARA BLANCA  15MM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E23" sqref="E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886718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30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45369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8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0" t="s">
        <v>169</v>
      </c>
      <c r="D15" s="321"/>
      <c r="F15" t="s">
        <v>135</v>
      </c>
      <c r="G15" s="319" t="s">
        <v>136</v>
      </c>
      <c r="H15" s="290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80450.093672338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12">
        <v>2</v>
      </c>
      <c r="C21" s="313" t="s">
        <v>174</v>
      </c>
      <c r="D21" s="314">
        <v>1.17</v>
      </c>
      <c r="E21" s="314">
        <v>0.38600000000000001</v>
      </c>
      <c r="F21" s="313" t="s">
        <v>173</v>
      </c>
      <c r="G21" s="315">
        <f>Q21</f>
        <v>47885.558112177408</v>
      </c>
      <c r="H21" s="316">
        <f>G21*B21</f>
        <v>95771.116224354817</v>
      </c>
      <c r="I21" s="265"/>
      <c r="J21" s="47"/>
      <c r="K21" s="47">
        <f>B21</f>
        <v>2</v>
      </c>
      <c r="L21" s="39">
        <f t="shared" ref="L21" si="1">D21+L$19</f>
        <v>1.22</v>
      </c>
      <c r="M21" s="39">
        <f t="shared" ref="M21" si="2">E21+M$19</f>
        <v>0.38600000000000001</v>
      </c>
      <c r="N21" s="261">
        <f t="shared" ref="N21" si="3">L21*M21</f>
        <v>0.47092000000000001</v>
      </c>
      <c r="O21" s="259">
        <f t="shared" ref="O21" si="4">N21*K21</f>
        <v>0.94184000000000001</v>
      </c>
      <c r="P21" s="252">
        <f t="shared" ref="P21" si="5">P$20*N21</f>
        <v>37885.558112177408</v>
      </c>
      <c r="Q21" s="258">
        <f t="shared" ref="Q21" si="6">P21+Q$20</f>
        <v>47885.558112177408</v>
      </c>
      <c r="R21" s="298">
        <f>L21*K21*2</f>
        <v>4.88</v>
      </c>
      <c r="S21" s="46">
        <f>M21*2*K21</f>
        <v>1.544</v>
      </c>
      <c r="T21" s="9"/>
      <c r="W21" s="4"/>
    </row>
    <row r="22" spans="2:24" ht="17.399999999999999" x14ac:dyDescent="0.3">
      <c r="B22" s="312">
        <v>1</v>
      </c>
      <c r="C22" s="313" t="s">
        <v>174</v>
      </c>
      <c r="D22" s="314">
        <v>0.22</v>
      </c>
      <c r="E22" s="314">
        <v>0.77400000000000002</v>
      </c>
      <c r="F22" s="313" t="s">
        <v>173</v>
      </c>
      <c r="G22" s="315">
        <f t="shared" ref="G22" si="7">Q22</f>
        <v>26812.460575645197</v>
      </c>
      <c r="H22" s="316">
        <f t="shared" ref="H22" si="8">G22*B22</f>
        <v>26812.460575645197</v>
      </c>
      <c r="I22" s="265"/>
      <c r="J22" s="47"/>
      <c r="K22" s="47">
        <f t="shared" ref="K22" si="9">B22</f>
        <v>1</v>
      </c>
      <c r="L22" s="39">
        <f t="shared" ref="L22" si="10">D22+L$19</f>
        <v>0.27</v>
      </c>
      <c r="M22" s="39">
        <f t="shared" ref="M22" si="11">E22+M$19</f>
        <v>0.77400000000000002</v>
      </c>
      <c r="N22" s="261">
        <f t="shared" ref="N22" si="12">L22*M22</f>
        <v>0.20898000000000003</v>
      </c>
      <c r="O22" s="259">
        <f t="shared" ref="O22" si="13">N22*K22</f>
        <v>0.20898000000000003</v>
      </c>
      <c r="P22" s="252">
        <f t="shared" ref="P22" si="14">P$20*N22</f>
        <v>16812.460575645197</v>
      </c>
      <c r="Q22" s="258">
        <f t="shared" ref="Q22" si="15">P22+Q$20</f>
        <v>26812.460575645197</v>
      </c>
      <c r="R22" s="298">
        <f t="shared" ref="R22" si="16">L22*K22*2</f>
        <v>0.54</v>
      </c>
      <c r="S22" s="46">
        <f t="shared" ref="S22" si="17">M22*2*K22</f>
        <v>1.548</v>
      </c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122583.57680000001</v>
      </c>
      <c r="I24" s="265"/>
      <c r="J24" s="47"/>
      <c r="K24" s="47"/>
      <c r="L24" s="39">
        <f>SUM(L21:L23)</f>
        <v>1.49</v>
      </c>
      <c r="M24" s="39"/>
      <c r="N24" s="261"/>
      <c r="O24" s="259"/>
      <c r="P24" s="252"/>
      <c r="Q24" s="258"/>
      <c r="R24" s="298"/>
      <c r="S24" s="46">
        <f>SUM(S21:S23)</f>
        <v>3.0920000000000001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SUM(O21:O22)*2</f>
        <v>2.3016399999999999</v>
      </c>
      <c r="P25" s="14"/>
      <c r="Q25" s="12"/>
      <c r="R25" s="239"/>
      <c r="S25" s="46">
        <f>S24*20%</f>
        <v>0.61840000000000006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122583.57680000001</v>
      </c>
      <c r="I26" s="265"/>
      <c r="J26" s="47"/>
      <c r="K26" s="47"/>
      <c r="L26" s="39"/>
      <c r="M26" s="12"/>
      <c r="N26" s="12"/>
      <c r="O26" s="253">
        <f>O25</f>
        <v>2.3016399999999999</v>
      </c>
      <c r="P26" s="14"/>
      <c r="Q26" s="12"/>
      <c r="R26" s="239">
        <f>SUM(R21:R25)</f>
        <v>5.42</v>
      </c>
      <c r="S26" s="46">
        <f>S24+S25</f>
        <v>3.7103999999999999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0.46032800000000001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2.761968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153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2.761968</v>
      </c>
      <c r="M30" s="12">
        <v>3500</v>
      </c>
      <c r="N30" s="12">
        <f t="shared" ref="N30:N35" si="18">L30*M30</f>
        <v>9666.8880000000008</v>
      </c>
      <c r="O30" s="14" t="s">
        <v>22</v>
      </c>
      <c r="P30" s="14"/>
      <c r="Q30" s="14"/>
      <c r="R30" s="241"/>
      <c r="S30" s="14"/>
      <c r="T30" s="305" t="s">
        <v>154</v>
      </c>
      <c r="U30" s="302">
        <v>3625</v>
      </c>
      <c r="V30" s="59" t="s">
        <v>155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35000</v>
      </c>
      <c r="N31" s="12">
        <f t="shared" si="18"/>
        <v>35000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156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70000</v>
      </c>
      <c r="N32" s="12">
        <f t="shared" si="1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39500</v>
      </c>
      <c r="N33" s="12">
        <f t="shared" si="18"/>
        <v>39500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1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84166.888000000006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185167.15360000002</v>
      </c>
      <c r="O37" s="14" t="s">
        <v>141</v>
      </c>
      <c r="P37" s="14"/>
      <c r="Q37" s="40">
        <f>O28/Q36</f>
        <v>0.74470664365832617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40110</v>
      </c>
      <c r="K38" s="250"/>
      <c r="L38" s="14"/>
      <c r="M38" s="12"/>
      <c r="N38" s="12">
        <f>N37/O26</f>
        <v>80450.093672338</v>
      </c>
      <c r="O38" s="45" t="s">
        <v>25</v>
      </c>
      <c r="P38" s="14"/>
      <c r="Q38" s="14"/>
      <c r="R38"/>
      <c r="S38" s="238"/>
      <c r="T38" s="59" t="s">
        <v>159</v>
      </c>
      <c r="U38" s="302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33705.882352941175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45369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10772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57.173033212556525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122583.57680000001</v>
      </c>
      <c r="E11" s="132">
        <f>D11*0.19</f>
        <v>23290.879592000001</v>
      </c>
      <c r="F11" s="131">
        <f>E11+D11</f>
        <v>145874.45639200002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106047.17303321256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74500.978787439613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88047.173033212559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48082.598012560396</v>
      </c>
      <c r="E13" s="221">
        <f>(D11/D12)-1</f>
        <v>0.64539552090645569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79047.173033212559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40047.173033212559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122926.61499927535</v>
      </c>
      <c r="F15" s="216">
        <f>E15-D12</f>
        <v>48425.636211835736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40047.173033212559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80047.173033212559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35000</v>
      </c>
      <c r="E19" s="123">
        <f>D19*0.19</f>
        <v>6650</v>
      </c>
      <c r="F19" s="120">
        <f>SUM(D19:E19)</f>
        <v>41650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9666.8880000000008</v>
      </c>
      <c r="E20" s="121">
        <f>D20*0.19</f>
        <v>1836.7087200000001</v>
      </c>
      <c r="F20" s="120">
        <f>SUM(D20:E20)</f>
        <v>11503.596720000001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44666.887999999999</v>
      </c>
      <c r="E21" s="116">
        <f>SUM(E18:E20)</f>
        <v>8486.7087200000005</v>
      </c>
      <c r="F21" s="115">
        <f>SUM(F18:F20)</f>
        <v>53153.596720000001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14804.170872000001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122583.57680000001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44666.887999999999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48082.598012560396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48082.598012560396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2024-02-07T13:13:19Z</cp:lastPrinted>
  <dcterms:created xsi:type="dcterms:W3CDTF">2013-03-18T13:35:42Z</dcterms:created>
  <dcterms:modified xsi:type="dcterms:W3CDTF">2024-03-19T19:02:40Z</dcterms:modified>
</cp:coreProperties>
</file>