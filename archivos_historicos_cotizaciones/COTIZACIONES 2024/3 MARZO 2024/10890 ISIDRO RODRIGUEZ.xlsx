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92481779-51DE-4F6D-9C61-F8798CE06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O26" i="1"/>
  <c r="K22" i="1"/>
  <c r="L22" i="1"/>
  <c r="M22" i="1"/>
  <c r="N22" i="1"/>
  <c r="O22" i="1" s="1"/>
  <c r="K21" i="1"/>
  <c r="J39" i="1" l="1"/>
  <c r="L21" i="1" l="1"/>
  <c r="L25" i="1" s="1"/>
  <c r="M21" i="1"/>
  <c r="N21" i="1" l="1"/>
  <c r="O21" i="1" s="1"/>
  <c r="R21" i="1"/>
  <c r="N32" i="1"/>
  <c r="O27" i="1" l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8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Q22" i="1" l="1"/>
  <c r="G22" i="1"/>
  <c r="H22" i="1" s="1"/>
  <c r="P21" i="1"/>
  <c r="G21" i="1" s="1"/>
  <c r="F15" i="3"/>
  <c r="Q21" i="1" l="1"/>
  <c r="R27" i="1"/>
  <c r="H21" i="1" l="1"/>
  <c r="H25" i="1" s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<sst xmlns="http://schemas.openxmlformats.org/spreadsheetml/2006/main" count="221" uniqueCount="164">
  <si>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</si>
  <si>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</si>
  <si>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</si>
  <si>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</si>
  <si>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</si>
  <si>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</si>
  <si>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</si>
  <si>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</si>
  <si>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</si>
  <si>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</si>
  <si>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</si>
  <si>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</si>
  <si>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</si>
  <si>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</si>
  <si>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</si>
  <si>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</si>
  <si>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</si>
  <si>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</si>
  <si>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</si>
  <si>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</si>
  <si>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</si>
  <si>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</si>
  <si>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</si>
  <si>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</si>
  <si>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</si>
  <si>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</si>
  <si>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</si>
  <si>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</si>
  <si>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</si>
  <si>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</si>
  <si>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</si>
  <si>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</si>
  <si>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</si>
  <si>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</si>
  <si>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</si>
  <si>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</si>
  <si>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</si>
  <si>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</si>
  <si>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</si>
  <si>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</si>
  <si>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</si>
  <si>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</si>
  <si>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</si>
  <si>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</si>
  <si>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</si>
  <si>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</si>
  <si>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</si>
  <si>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</si>
  <si>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</si>
  <si>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</si>
  <si>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</si>
  <si>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</si>
  <si>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</si>
  <si>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</si>
  <si>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</si>
  <si>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</si>
  <si>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</si>
  <si>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</si>
  <si>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</si>
  <si>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</si>
  <si>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</si>
  <si>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</si>
  <si>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</si>
  <si>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</si>
  <si>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</si>
  <si>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</si>
  <si>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</si>
  <si>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</si>
  <si>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</si>
  <si>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</si>
  <si>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</si>
  <si>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</si>
  <si>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</si>
  <si>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</si>
  <si>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</si>
  <si>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</si>
  <si>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</si>
  <si>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</si>
  <si>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</si>
  <si>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</si>
  <si>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</si>
  <si>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</si>
  <si>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</si>
  <si>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</si>
  <si>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</si>
  <si>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</si>
  <si>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</si>
  <si>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</si>
  <si>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</si>
  <si>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</si>
  <si>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</si>
  <si>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</si>
  <si>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</si>
  <si>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</si>
  <si>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</si>
  <si>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</si>
  <si>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</si>
  <si>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</si>
  <si>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</si>
  <si>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</si>
  <si>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</si>
  <si>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</si>
  <si>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</si>
  <si>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</si>
  <si>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</si>
  <si>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</si>
  <si>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</si>
  <si>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</si>
  <si>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</si>
  <si>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</si>
  <si>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</si>
  <si>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</si>
  <si>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</si>
  <si>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</si>
  <si>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</si>
  <si>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</si>
  <si>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</si>
  <si>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</si>
  <si>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</si>
  <si>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</si>
  <si>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</si>
  <si>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</si>
  <si>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</si>
  <si>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</si>
  <si>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</si>
  <si>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</si>
  <si>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</si>
  <si>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</si>
  <si>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</si>
  <si>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</si>
  <si>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</si>
  <si>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</si>
  <si>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</si>
  <si>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</si>
  <si>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</si>
  <si>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</si>
  <si>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</si>
  <si>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</si>
  <si>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</si>
  <si>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</si>
  <si>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</si>
  <si>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</si>
  <si>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</si>
  <si>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</si>
  <si>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</si>
  <si>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</si>
  <si>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</si>
  <si>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</si>
  <si>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</si>
  <si>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</si>
  <si>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</si>
  <si>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</si>
  <si>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</si>
  <si>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</si>
  <si>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</si>
  <si>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</si>
  <si>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CUBIERTA CON RESPALDO R8</t>
  </si>
  <si>
    <t>SANTIAGO</t>
  </si>
  <si>
    <t>5 DIAS HABILES</t>
  </si>
  <si>
    <t>DURACION COTIZACION: 5 DIAS                   FRANCO DONOSO</t>
  </si>
  <si>
    <t>+56 9 7684 8318</t>
  </si>
  <si>
    <t>ISIDRO RODRIGUEZ</t>
  </si>
  <si>
    <t>N° 10890</t>
  </si>
  <si>
    <t>GRANITO KOMBI 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</si>
</sst>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SIN ENCHAPAR.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8" zoomScale="98" zoomScaleNormal="98" workbookViewId="0">
      <selection activeCell="D37" sqref="D37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3759.6118859915114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1:24" ht="15" thickBot="1" x14ac:dyDescent="0.35">
      <c r="B17" s="296" t="s">
        <v>13</v>
      </c>
      <c r="C17" s="297" t="s">
        <v>157</v>
      </c>
      <c r="D17" s="298"/>
      <c r="E17" s="299"/>
      <c r="F17" s="320" t="s">
        <v>159</v>
      </c>
      <c r="G17" s="320"/>
      <c r="H17" s="321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2" t="s">
        <v>149</v>
      </c>
      <c r="C19" s="323"/>
      <c r="D19" s="323"/>
      <c r="E19" s="323"/>
      <c r="F19" s="323"/>
      <c r="G19" s="323"/>
      <c r="H19" s="32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32" t="s">
        <v>7</v>
      </c>
      <c r="C20" s="333" t="s">
        <v>1</v>
      </c>
      <c r="D20" s="333" t="s">
        <v>10</v>
      </c>
      <c r="E20" s="333" t="s">
        <v>11</v>
      </c>
      <c r="F20" s="333" t="s">
        <v>8</v>
      </c>
      <c r="G20" s="333" t="s">
        <v>5</v>
      </c>
      <c r="H20" s="334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44924.637681159431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35">
        <v>1</v>
      </c>
      <c r="C21" s="336" t="s">
        <v>156</v>
      </c>
      <c r="D21" s="337">
        <v>1.5</v>
      </c>
      <c r="E21" s="337">
        <v>0.6</v>
      </c>
      <c r="F21" s="336" t="s">
        <v>163</v>
      </c>
      <c r="G21" s="338">
        <f>P21</f>
        <v>41779.913043478271</v>
      </c>
      <c r="H21" s="339">
        <f t="shared" ref="H21" si="1">G21*B21</f>
        <v>41779.913043478271</v>
      </c>
      <c r="I21" s="265"/>
      <c r="J21" s="47"/>
      <c r="K21" s="316">
        <f t="shared" si="0"/>
        <v>1</v>
      </c>
      <c r="L21" s="317">
        <f t="shared" ref="L21:M21" si="2">D21+L$19</f>
        <v>1.55</v>
      </c>
      <c r="M21" s="317">
        <f t="shared" si="2"/>
        <v>0.6</v>
      </c>
      <c r="N21" s="261">
        <f>L21*M21</f>
        <v>0.92999999999999994</v>
      </c>
      <c r="O21" s="259">
        <f>N21*K21</f>
        <v>0.92999999999999994</v>
      </c>
      <c r="P21" s="252">
        <f>P$20*N21</f>
        <v>41779.913043478271</v>
      </c>
      <c r="Q21" s="258">
        <f>P21+Q$20</f>
        <v>44779.913043478271</v>
      </c>
      <c r="R21" s="307">
        <f>K21*L21</f>
        <v>1.55</v>
      </c>
      <c r="S21" s="14"/>
      <c r="T21" s="9"/>
      <c r="W21" s="4"/>
    </row>
    <row r="22" spans="1:24" ht="18" thickBot="1" x14ac:dyDescent="0.35">
      <c r="B22" s="340">
        <v>1</v>
      </c>
      <c r="C22" s="341" t="s">
        <v>156</v>
      </c>
      <c r="D22" s="342">
        <v>3</v>
      </c>
      <c r="E22" s="342">
        <v>0.6</v>
      </c>
      <c r="F22" s="341" t="s">
        <v>163</v>
      </c>
      <c r="G22" s="343">
        <f>P22</f>
        <v>82212.086956521758</v>
      </c>
      <c r="H22" s="344">
        <f>G22*B22</f>
        <v>82212.086956521758</v>
      </c>
      <c r="I22" s="265"/>
      <c r="J22" s="47"/>
      <c r="K22" s="316">
        <f t="shared" ref="K22" si="3">B22</f>
        <v>1</v>
      </c>
      <c r="L22" s="317">
        <f t="shared" ref="L22" si="4">D22+L$19</f>
        <v>3.05</v>
      </c>
      <c r="M22" s="317">
        <f t="shared" ref="M22" si="5">E22+M$19</f>
        <v>0.6</v>
      </c>
      <c r="N22" s="261">
        <f>L22*M22</f>
        <v>1.8299999999999998</v>
      </c>
      <c r="O22" s="259">
        <f>N22*K22</f>
        <v>1.8299999999999998</v>
      </c>
      <c r="P22" s="252">
        <f>P$20*N22</f>
        <v>82212.086956521758</v>
      </c>
      <c r="Q22" s="258">
        <f>P22+Q$20</f>
        <v>85212.086956521758</v>
      </c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11"/>
      <c r="H23" s="311"/>
      <c r="I23" s="265"/>
      <c r="K23" s="318"/>
      <c r="L23" s="319"/>
      <c r="M23" s="319"/>
      <c r="N23" s="261"/>
      <c r="O23" s="259"/>
      <c r="P23" s="252"/>
      <c r="Q23" s="258"/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123992.00000000003</v>
      </c>
      <c r="I25" s="265"/>
      <c r="J25" s="47"/>
      <c r="K25" s="47"/>
      <c r="L25" s="39">
        <f>SUM(L21:L24)</f>
        <v>4.5999999999999996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23558.480000000007</v>
      </c>
      <c r="I26" s="265"/>
      <c r="J26" s="47"/>
      <c r="K26" s="47"/>
      <c r="L26" s="39"/>
      <c r="M26" s="12"/>
      <c r="N26" s="12"/>
      <c r="O26" s="253">
        <f>SUM(O21:O22)</f>
        <v>2.76</v>
      </c>
      <c r="P26" s="14"/>
      <c r="Q26" s="12"/>
      <c r="R26" s="238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147550.48000000004</v>
      </c>
      <c r="I27" s="265"/>
      <c r="J27" s="47"/>
      <c r="K27" s="47"/>
      <c r="L27" s="39"/>
      <c r="M27" s="12"/>
      <c r="N27" s="12"/>
      <c r="O27" s="253">
        <f>O26</f>
        <v>2.76</v>
      </c>
      <c r="P27" s="14"/>
      <c r="Q27" s="12"/>
      <c r="R27" s="238">
        <f>SUM(R21:R26)</f>
        <v>1.55</v>
      </c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/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313"/>
      <c r="K29" s="47"/>
      <c r="L29" s="14"/>
      <c r="M29" s="12"/>
      <c r="N29" s="12"/>
      <c r="O29" s="46">
        <f>O27+O28</f>
        <v>2.76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13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2.76</v>
      </c>
      <c r="M31" s="12">
        <v>3500</v>
      </c>
      <c r="N31" s="12">
        <f t="shared" ref="N31:N36" si="6">L31*M31</f>
        <v>9660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0.42</v>
      </c>
      <c r="M32" s="12">
        <v>25000</v>
      </c>
      <c r="N32" s="12">
        <f t="shared" si="6"/>
        <v>10500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6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2"/>
      <c r="K34" s="250"/>
      <c r="L34" s="14">
        <v>2</v>
      </c>
      <c r="M34" s="250">
        <v>18100</v>
      </c>
      <c r="N34" s="12">
        <f t="shared" si="6"/>
        <v>36200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312"/>
      <c r="K35" s="250"/>
      <c r="L35" s="249"/>
      <c r="M35" s="250">
        <v>800</v>
      </c>
      <c r="N35" s="12">
        <f t="shared" si="6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/>
      <c r="M36" s="12">
        <v>1500</v>
      </c>
      <c r="N36" s="12">
        <f t="shared" si="6"/>
        <v>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56360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68410</v>
      </c>
      <c r="K38" s="250"/>
      <c r="L38" s="254" t="s">
        <v>35</v>
      </c>
      <c r="M38" s="12"/>
      <c r="N38" s="255">
        <f>N37*2.2</f>
        <v>123992.00000000001</v>
      </c>
      <c r="O38" s="14" t="s">
        <v>142</v>
      </c>
      <c r="P38" s="14"/>
      <c r="Q38" s="46">
        <f>O27/Q37</f>
        <v>0.41207560691570355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57487.394957983197</v>
      </c>
      <c r="K39" s="250"/>
      <c r="L39" s="14"/>
      <c r="M39" s="12"/>
      <c r="N39" s="12">
        <f>N38/O27</f>
        <v>44924.637681159431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0.6032786885245901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ISIDRO RODRIGUEZ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6" t="s">
        <v>100</v>
      </c>
      <c r="I7" s="327"/>
      <c r="J7" s="327"/>
      <c r="K7" s="328"/>
      <c r="N7" s="75"/>
      <c r="O7" s="32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-6916.958366787444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123992.00000000003</v>
      </c>
      <c r="E11" s="132">
        <f>D11*0.19</f>
        <v>23558.480000000007</v>
      </c>
      <c r="F11" s="131">
        <f>E11+D11</f>
        <v>147550.48000000004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99073.041633212561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49994.090787439614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81073.041633212561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73997.909212560422</v>
      </c>
      <c r="E13" s="221">
        <f>(D11/D12)-1</f>
        <v>1.4801331126748174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72073.041633212561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33073.041633212553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82490.249799275363</v>
      </c>
      <c r="F15" s="216">
        <f>E15-D12</f>
        <v>32496.159011835749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33073.041633212553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73073.041633212561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10500</v>
      </c>
      <c r="E19" s="123">
        <f>D19*0.19</f>
        <v>1995</v>
      </c>
      <c r="F19" s="120">
        <f>SUM(D19:E19)</f>
        <v>12495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9660</v>
      </c>
      <c r="E20" s="121">
        <f>D20*0.19</f>
        <v>1835.4</v>
      </c>
      <c r="F20" s="120">
        <f>SUM(D20:E20)</f>
        <v>11495.4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20160</v>
      </c>
      <c r="E21" s="116">
        <f>SUM(E18:E20)</f>
        <v>3830.4</v>
      </c>
      <c r="F21" s="115">
        <f>SUM(F18:F20)</f>
        <v>23990.400000000001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19728.080000000005</v>
      </c>
    </row>
    <row r="41" spans="2:16" ht="15" thickBot="1" x14ac:dyDescent="0.35">
      <c r="H41" s="329" t="s">
        <v>62</v>
      </c>
      <c r="I41" s="330"/>
      <c r="J41" s="330"/>
      <c r="K41" s="330"/>
      <c r="L41" s="330"/>
      <c r="M41" s="33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123992.00000000003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20160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73997.909212560422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73997.909212560422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2024-03-28T19:57:40Z</cp:lastPrinted>
  <dcterms:created xsi:type="dcterms:W3CDTF">2013-03-18T13:35:42Z</dcterms:created>
  <dcterms:modified xsi:type="dcterms:W3CDTF">2024-03-28T20:00:09Z</dcterms:modified>
</cp:coreProperties>
</file>