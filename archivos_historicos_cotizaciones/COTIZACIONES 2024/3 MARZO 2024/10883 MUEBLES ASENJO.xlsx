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2BF5C741-6A50-4735-A358-A50E9D3D2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M22" i="1"/>
  <c r="M21" i="1"/>
  <c r="K22" i="1"/>
  <c r="L22" i="1"/>
  <c r="K21" i="1"/>
  <c r="N22" i="1" l="1"/>
  <c r="O22" i="1" s="1"/>
  <c r="R22" i="1"/>
  <c r="L21" i="1"/>
  <c r="J40" i="1"/>
  <c r="N21" i="1" l="1"/>
  <c r="R21" i="1"/>
  <c r="R27" i="1" s="1"/>
  <c r="L25" i="1"/>
  <c r="S21" i="1"/>
  <c r="U33" i="1"/>
  <c r="U34" i="1" s="1"/>
  <c r="O21" i="1" l="1"/>
  <c r="N32" i="1"/>
  <c r="O26" i="1" l="1"/>
  <c r="O27" i="1" s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39" i="1" l="1"/>
  <c r="P20" i="1" s="1"/>
  <c r="D21" i="3"/>
  <c r="M43" i="3" s="1"/>
  <c r="D12" i="3" s="1"/>
  <c r="F20" i="3"/>
  <c r="F21" i="3" s="1"/>
  <c r="P22" i="1" l="1"/>
  <c r="P21" i="1"/>
  <c r="N40" i="1"/>
  <c r="E15" i="3"/>
  <c r="Q22" i="1" l="1"/>
  <c r="F15" i="3"/>
  <c r="H22" i="1" l="1"/>
  <c r="Q21" i="1"/>
  <c r="H21" i="1" l="1"/>
  <c r="H25" i="1" s="1"/>
  <c r="H26" i="1" l="1"/>
  <c r="H27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<sst xmlns="http://schemas.openxmlformats.org/spreadsheetml/2006/main" count="233" uniqueCount="176">
  <si>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</si>
  <si>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</si>
  <si>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</si>
  <si>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</si>
  <si>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</si>
  <si>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</si>
  <si>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</si>
  <si>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</si>
  <si>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</si>
  <si>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</si>
  <si>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</si>
  <si>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</si>
  <si>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</si>
  <si>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</si>
  <si>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</si>
  <si>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</si>
  <si>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</si>
  <si>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</si>
  <si>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</si>
  <si>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</si>
  <si>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</si>
  <si>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</si>
  <si>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</si>
  <si>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</si>
  <si>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</si>
  <si>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</si>
  <si>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</si>
  <si>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</si>
  <si>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</si>
  <si>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</si>
  <si>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</si>
  <si>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</si>
  <si>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</si>
  <si>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</si>
  <si>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</si>
  <si>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</si>
  <si>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</si>
  <si>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</si>
  <si>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</si>
  <si>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</si>
  <si>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</si>
  <si>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</si>
  <si>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</si>
  <si>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</si>
  <si>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</si>
  <si>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</si>
  <si>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</si>
  <si>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</si>
  <si>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</si>
  <si>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</si>
  <si>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</si>
  <si>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</si>
  <si>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</si>
  <si>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</si>
  <si>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</si>
  <si>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</si>
  <si>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</si>
  <si>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</si>
  <si>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</si>
  <si>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</si>
  <si>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</si>
  <si>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</si>
  <si>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</si>
  <si>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</si>
  <si>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</si>
  <si>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</si>
  <si>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</si>
  <si>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</si>
  <si>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</si>
  <si>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</si>
  <si>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</si>
  <si>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</si>
  <si>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</si>
  <si>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</si>
  <si>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</si>
  <si>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</si>
  <si>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</si>
  <si>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</si>
  <si>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</si>
  <si>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</si>
  <si>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</si>
  <si>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</si>
  <si>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</si>
  <si>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</si>
  <si>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</si>
  <si>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</si>
  <si>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</si>
  <si>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</si>
  <si>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</si>
  <si>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</si>
  <si>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</si>
  <si>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</si>
  <si>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</si>
  <si>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</si>
  <si>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</si>
  <si>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</si>
  <si>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</si>
  <si>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</si>
  <si>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</si>
  <si>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</si>
  <si>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</si>
  <si>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</si>
  <si>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</si>
  <si>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</si>
  <si>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</si>
  <si>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</si>
  <si>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</si>
  <si>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</si>
  <si>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</si>
  <si>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</si>
  <si>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</si>
  <si>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</si>
  <si>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</si>
  <si>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</si>
  <si>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</si>
  <si>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</si>
  <si>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</si>
  <si>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</si>
  <si>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</si>
  <si>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</si>
  <si>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</si>
  <si>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</si>
  <si>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</si>
  <si>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</si>
  <si>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</si>
  <si>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</si>
  <si>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</si>
  <si>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</si>
  <si>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</si>
  <si>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</si>
  <si>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</si>
  <si>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</si>
  <si>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</si>
  <si>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</si>
  <si>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</si>
  <si>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</si>
  <si>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</si>
  <si>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</si>
  <si>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</si>
  <si>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</si>
  <si>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</si>
  <si>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</si>
  <si>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</si>
  <si>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</si>
  <si>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</si>
  <si>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</si>
  <si>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</si>
  <si>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</si>
  <si>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</si>
  <si>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</si>
  <si>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</si>
  <si>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</si>
  <si>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</si>
  <si>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</si>
  <si>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</si>
  <si>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</si>
  <si>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</si>
  <si>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</si>
  <si>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</si>
  <si>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</si>
  <si>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</si>
  <si>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</si>
  <si>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</si>
  <si>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</si>
  <si>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</si>
  <si>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</si>
  <si>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</si>
  <si>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</si>
  <si>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CUBIERTA CON RESPALDO FRENTE 90° R8</t>
  </si>
  <si>
    <t>MUEBLES ASENJO</t>
  </si>
  <si>
    <t>SI</t>
  </si>
  <si>
    <t>+569 9718 5991</t>
  </si>
  <si>
    <t>RODRIGO ASENJO</t>
  </si>
  <si>
    <t>N° 10883</t>
  </si>
  <si>
    <t>2 DIAS HABILES</t>
  </si>
  <si>
    <t>MAPLE CLARO 1322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</si>
</sst>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18436</xdr:colOff>
      <xdr:row>24</xdr:row>
      <xdr:rowOff>9525</xdr:rowOff>
    </xdr:from>
    <xdr:to>
      <xdr:col>5</xdr:col>
      <xdr:colOff>1635064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976864"/>
          <a:ext cx="7290661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INSTALACION, CUBIERTA SE ENTREGAN CON SOBRE MEDIDA EN EL LARGO.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8,8 CMS DESDE LA BASE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D3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2.886718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172</v>
      </c>
      <c r="G13" s="314"/>
      <c r="H13" s="290"/>
      <c r="P13" s="19"/>
      <c r="Q13" s="25"/>
      <c r="R13" s="19"/>
    </row>
    <row r="14" spans="2:23" x14ac:dyDescent="0.3">
      <c r="B14" s="246" t="s">
        <v>140</v>
      </c>
      <c r="C14" s="321"/>
      <c r="D14" s="247"/>
      <c r="E14" s="247"/>
      <c r="F14" s="322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6" t="s">
        <v>171</v>
      </c>
      <c r="D15" s="317"/>
      <c r="F15" t="s">
        <v>135</v>
      </c>
      <c r="G15" s="315" t="s">
        <v>170</v>
      </c>
      <c r="H15" s="290"/>
    </row>
    <row r="16" spans="2:23" ht="16.8" x14ac:dyDescent="0.4">
      <c r="B16" s="323" t="s">
        <v>3</v>
      </c>
      <c r="C16" s="313"/>
      <c r="D16" s="247"/>
      <c r="E16" s="247"/>
      <c r="F16" s="324" t="s">
        <v>130</v>
      </c>
      <c r="G16" s="325" t="s">
        <v>164</v>
      </c>
      <c r="H16" s="248"/>
    </row>
    <row r="17" spans="2:24" ht="15" thickBot="1" x14ac:dyDescent="0.35">
      <c r="B17" s="318" t="s">
        <v>13</v>
      </c>
      <c r="C17" s="319" t="s">
        <v>167</v>
      </c>
      <c r="D17" s="320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92336.357659434594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168</v>
      </c>
      <c r="D21" s="327">
        <v>1.05</v>
      </c>
      <c r="E21" s="327">
        <v>0.51</v>
      </c>
      <c r="F21" s="326" t="s">
        <v>175</v>
      </c>
      <c r="G21" s="329">
        <v>54801</v>
      </c>
      <c r="H21" s="329">
        <f>G21*B21</f>
        <v>54801</v>
      </c>
      <c r="I21" s="265"/>
      <c r="J21" s="47"/>
      <c r="K21" s="47">
        <f>B21</f>
        <v>1</v>
      </c>
      <c r="L21" s="39">
        <f>D21+L$19</f>
        <v>1.1000000000000001</v>
      </c>
      <c r="M21" s="39">
        <f>E21</f>
        <v>0.51</v>
      </c>
      <c r="N21" s="261">
        <f>L21*M21</f>
        <v>0.56100000000000005</v>
      </c>
      <c r="O21" s="259">
        <f>N21*K21</f>
        <v>0.56100000000000005</v>
      </c>
      <c r="P21" s="252">
        <f>N21*P$20</f>
        <v>51800.696646942815</v>
      </c>
      <c r="Q21" s="258">
        <f t="shared" ref="Q21" si="1">P21+Q$20</f>
        <v>54800.696646942815</v>
      </c>
      <c r="R21" s="299">
        <f>L21*K21</f>
        <v>1.1000000000000001</v>
      </c>
      <c r="S21" s="46">
        <f>M21*K21*2</f>
        <v>1.02</v>
      </c>
      <c r="T21" s="9"/>
      <c r="W21" s="4"/>
    </row>
    <row r="22" spans="2:24" ht="17.399999999999999" x14ac:dyDescent="0.3">
      <c r="B22" s="326">
        <v>1</v>
      </c>
      <c r="C22" s="326" t="s">
        <v>168</v>
      </c>
      <c r="D22" s="327">
        <v>1.55</v>
      </c>
      <c r="E22" s="327">
        <v>0.6</v>
      </c>
      <c r="F22" s="326" t="s">
        <v>175</v>
      </c>
      <c r="G22" s="329">
        <v>91643</v>
      </c>
      <c r="H22" s="329">
        <f>G22*B22</f>
        <v>91643</v>
      </c>
      <c r="I22" s="265"/>
      <c r="J22" s="47"/>
      <c r="K22" s="47">
        <f t="shared" ref="K22" si="2">B22</f>
        <v>1</v>
      </c>
      <c r="L22" s="39">
        <f t="shared" ref="L22" si="3">D22+L$19</f>
        <v>1.6</v>
      </c>
      <c r="M22" s="39">
        <f t="shared" ref="M22" si="4">E22</f>
        <v>0.6</v>
      </c>
      <c r="N22" s="261">
        <f>L22*M22</f>
        <v>0.96</v>
      </c>
      <c r="O22" s="259">
        <f t="shared" ref="O22" si="5">N22*K22</f>
        <v>0.96</v>
      </c>
      <c r="P22" s="252">
        <f t="shared" ref="P22" si="6">N22*P$20</f>
        <v>88642.903353057205</v>
      </c>
      <c r="Q22" s="258">
        <f t="shared" ref="Q22" si="7">P22+Q$20</f>
        <v>91642.903353057205</v>
      </c>
      <c r="R22" s="299">
        <f t="shared" ref="R22" si="8">L22*K22</f>
        <v>1.6</v>
      </c>
      <c r="S22" s="46"/>
      <c r="T22" s="9"/>
      <c r="W22" s="4"/>
    </row>
    <row r="23" spans="2:24" ht="17.399999999999999" x14ac:dyDescent="0.3">
      <c r="B23" s="286">
        <f>SUM(B21:B22)</f>
        <v>2</v>
      </c>
      <c r="C23" s="286"/>
      <c r="D23" s="287"/>
      <c r="E23" s="287"/>
      <c r="F23" s="286"/>
      <c r="G23" s="328"/>
      <c r="H23" s="328"/>
      <c r="I23" s="265"/>
      <c r="J23" s="47"/>
      <c r="K23" s="47"/>
      <c r="L23" s="39"/>
      <c r="M23" s="39"/>
      <c r="N23" s="261"/>
      <c r="O23" s="259"/>
      <c r="P23" s="252"/>
      <c r="Q23" s="258"/>
      <c r="R23" s="29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SUM(H21:H22)</f>
        <v>146444</v>
      </c>
      <c r="I25" s="265"/>
      <c r="J25" s="47"/>
      <c r="K25" s="47"/>
      <c r="L25" s="39">
        <f>SUM(L21:L24)</f>
        <v>2.7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27824.36</v>
      </c>
      <c r="I26" s="265"/>
      <c r="J26" s="47"/>
      <c r="K26" s="47"/>
      <c r="L26" s="39"/>
      <c r="M26" s="12"/>
      <c r="N26" s="12"/>
      <c r="O26" s="253">
        <f>SUM(O21:O24)</f>
        <v>1.5209999999999999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174268.36</v>
      </c>
      <c r="I27" s="265"/>
      <c r="J27" s="47"/>
      <c r="K27" s="47"/>
      <c r="L27" s="39"/>
      <c r="M27" s="12"/>
      <c r="N27" s="12"/>
      <c r="O27" s="253">
        <f>O26</f>
        <v>1.5209999999999999</v>
      </c>
      <c r="P27" s="14"/>
      <c r="Q27" s="12"/>
      <c r="R27" s="239">
        <f>SUM(R21:R26)</f>
        <v>2.7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0.30420000000000003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1.8251999999999999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1.8251999999999999</v>
      </c>
      <c r="M31" s="12">
        <v>2500</v>
      </c>
      <c r="N31" s="12">
        <f t="shared" ref="N31:N36" si="9">L31*M31</f>
        <v>4563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23850</v>
      </c>
      <c r="N32" s="12">
        <f t="shared" si="9"/>
        <v>11925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33240</v>
      </c>
      <c r="N33" s="12">
        <f t="shared" si="9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43300</v>
      </c>
      <c r="N34" s="12">
        <f t="shared" si="9"/>
        <v>43300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9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v>2.7</v>
      </c>
      <c r="M36" s="12">
        <v>1500</v>
      </c>
      <c r="N36" s="12">
        <f t="shared" si="9"/>
        <v>4050.0000000000005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63838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140443.6</v>
      </c>
      <c r="O38" s="14" t="s">
        <v>141</v>
      </c>
      <c r="P38" s="14"/>
      <c r="Q38" s="40">
        <f>O29/Q37</f>
        <v>0.49212683347713543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66340</v>
      </c>
      <c r="K39" s="250"/>
      <c r="L39" s="14"/>
      <c r="M39" s="12"/>
      <c r="N39" s="12">
        <f>N38/O27</f>
        <v>92336.357659434594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55747.899159663866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10883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-11668.758366787441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146444</v>
      </c>
      <c r="E11" s="132">
        <f>D11*0.19</f>
        <v>27824.36</v>
      </c>
      <c r="F11" s="131">
        <f>E11+D11</f>
        <v>174268.36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94321.241633212558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46322.090787439614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76321.241633212558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100121.90921256039</v>
      </c>
      <c r="E13" s="221">
        <f>(D11/D12)-1</f>
        <v>2.1614289750433451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67321.241633212558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28321.241633212558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76431.44979927536</v>
      </c>
      <c r="F15" s="216">
        <f>E15-D12</f>
        <v>30109.359011835746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28321.241633212558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68321.241633212558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11925</v>
      </c>
      <c r="E19" s="123">
        <f>D19*0.19</f>
        <v>2265.75</v>
      </c>
      <c r="F19" s="120">
        <f>SUM(D19:E19)</f>
        <v>14190.75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4563</v>
      </c>
      <c r="E20" s="121">
        <f>D20*0.19</f>
        <v>866.97</v>
      </c>
      <c r="F20" s="120">
        <f>SUM(D20:E20)</f>
        <v>5429.97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16488</v>
      </c>
      <c r="E21" s="116">
        <f>SUM(E18:E20)</f>
        <v>3132.7200000000003</v>
      </c>
      <c r="F21" s="115">
        <f>SUM(F18:F20)</f>
        <v>19620.72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24691.64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146444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16488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100121.90921256039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100121.90921256039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2024-02-23T19:16:17Z</cp:lastPrinted>
  <dcterms:created xsi:type="dcterms:W3CDTF">2013-03-18T13:35:42Z</dcterms:created>
  <dcterms:modified xsi:type="dcterms:W3CDTF">2024-03-27T15:52:36Z</dcterms:modified>
</cp:coreProperties>
</file>