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 2024\"/>
    </mc:Choice>
  </mc:AlternateContent>
  <xr:revisionPtr revIDLastSave="0" documentId="13_ncr:1_{93229830-944D-4FB7-8F72-22C7ADBD2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7" i="1" l="1"/>
  <c r="L21" i="1" l="1"/>
  <c r="L23" i="1" s="1"/>
  <c r="M21" i="1"/>
  <c r="N21" i="1" l="1"/>
  <c r="O21" i="1" s="1"/>
  <c r="O24" i="1" s="1"/>
  <c r="R21" i="1"/>
  <c r="N30" i="1"/>
  <c r="O25" i="1" l="1"/>
  <c r="S42" i="1"/>
  <c r="M20" i="1" l="1"/>
  <c r="K20" i="1"/>
  <c r="N31" i="1" l="1"/>
  <c r="Q35" i="1"/>
  <c r="Q36" i="1" s="1"/>
  <c r="N32" i="1" l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O27" i="1" l="1"/>
  <c r="L29" i="1" s="1"/>
  <c r="N29" i="1" l="1"/>
  <c r="S43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G21" i="1" s="1"/>
  <c r="F15" i="3"/>
  <c r="Q21" i="1" l="1"/>
  <c r="H21" i="1" s="1"/>
  <c r="R25" i="1"/>
  <c r="H23" i="1" l="1"/>
  <c r="K15" i="1" l="1"/>
  <c r="H24" i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<sst xmlns="http://schemas.openxmlformats.org/spreadsheetml/2006/main" count="219" uniqueCount="164">
  <si>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</si>
  <si>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</si>
  <si>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</si>
  <si>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</si>
  <si>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</si>
  <si>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</si>
  <si>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</si>
  <si>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</si>
  <si>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</si>
  <si>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</si>
  <si>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</si>
  <si>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</si>
  <si>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</si>
  <si>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</si>
  <si>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</si>
  <si>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</si>
  <si>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</si>
  <si>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</si>
  <si>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</si>
  <si>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</si>
  <si>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</si>
  <si>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</si>
  <si>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</si>
  <si>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</si>
  <si>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</si>
  <si>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</si>
  <si>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</si>
  <si>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</si>
  <si>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</si>
  <si>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</si>
  <si>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</si>
  <si>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</si>
  <si>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</si>
  <si>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</si>
  <si>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</si>
  <si>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</si>
  <si>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</si>
  <si>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</si>
  <si>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</si>
  <si>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</si>
  <si>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</si>
  <si>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</si>
  <si>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</si>
  <si>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</si>
  <si>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</si>
  <si>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</si>
  <si>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</si>
  <si>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</si>
  <si>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</si>
  <si>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</si>
  <si>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</si>
  <si>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</si>
  <si>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</si>
  <si>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</si>
  <si>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</si>
  <si>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</si>
  <si>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</si>
  <si>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</si>
  <si>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</si>
  <si>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</si>
  <si>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</si>
  <si>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</si>
  <si>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</si>
  <si>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</si>
  <si>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</si>
  <si>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</si>
  <si>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</si>
  <si>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</si>
  <si>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</si>
  <si>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</si>
  <si>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</si>
  <si>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</si>
  <si>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</si>
  <si>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</si>
  <si>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</si>
  <si>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</si>
  <si>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</si>
  <si>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</si>
  <si>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</si>
  <si>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</si>
  <si>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</si>
  <si>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</si>
  <si>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</si>
  <si>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</si>
  <si>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</si>
  <si>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</si>
  <si>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</si>
  <si>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</si>
  <si>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</si>
  <si>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</si>
  <si>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</si>
  <si>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</si>
  <si>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</si>
  <si>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</si>
  <si>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</si>
  <si>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</si>
  <si>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</si>
  <si>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</si>
  <si>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</si>
  <si>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</si>
  <si>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</si>
  <si>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</si>
  <si>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</si>
  <si>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</si>
  <si>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</si>
  <si>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</si>
  <si>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</si>
  <si>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</si>
  <si>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</si>
  <si>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</si>
  <si>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</si>
  <si>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</si>
  <si>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</si>
  <si>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</si>
  <si>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</si>
  <si>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</si>
  <si>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</si>
  <si>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</si>
  <si>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</si>
  <si>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</si>
  <si>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</si>
  <si>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</si>
  <si>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</si>
  <si>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</si>
  <si>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</si>
  <si>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</si>
  <si>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</si>
  <si>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</si>
  <si>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</si>
  <si>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</si>
  <si>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</si>
  <si>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</si>
  <si>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</si>
  <si>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</si>
  <si>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</si>
  <si>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</si>
  <si>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</si>
  <si>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</si>
  <si>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</si>
  <si>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</si>
  <si>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</si>
  <si>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</si>
  <si>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</si>
  <si>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</si>
  <si>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</si>
  <si>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</si>
  <si>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</si>
  <si>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</si>
  <si>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</si>
  <si>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</si>
  <si>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</si>
  <si>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</si>
  <si>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</si>
  <si>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</si>
  <si>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</si>
  <si>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</si>
  <si>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</si>
  <si>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</si>
  <si>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</si>
  <si>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CLAUDIO LEYTON</t>
  </si>
  <si>
    <t>+569 9358 1040</t>
  </si>
  <si>
    <t>CUBIERTA SIN RESPALDO R6</t>
  </si>
  <si>
    <t>CLASSIC</t>
  </si>
  <si>
    <t>N° 10881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</si>
</sst>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0" fillId="0" borderId="0" xfId="0" quotePrefix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7776</xdr:rowOff>
    </xdr:from>
    <xdr:to>
      <xdr:col>8</xdr:col>
      <xdr:colOff>7776</xdr:colOff>
      <xdr:row>29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70974" y="5722776"/>
          <a:ext cx="2012108" cy="6739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7776</xdr:colOff>
      <xdr:row>26</xdr:row>
      <xdr:rowOff>9525</xdr:rowOff>
    </xdr:from>
    <xdr:to>
      <xdr:col>5</xdr:col>
      <xdr:colOff>1648408</xdr:colOff>
      <xdr:row>29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9878" y="5506811"/>
          <a:ext cx="7923244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208423</xdr:rowOff>
    </xdr:from>
    <xdr:to>
      <xdr:col>5</xdr:col>
      <xdr:colOff>1631847</xdr:colOff>
      <xdr:row>25</xdr:row>
      <xdr:rowOff>7777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01586"/>
          <a:ext cx="7909482" cy="68576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0"/>
  <sheetViews>
    <sheetView tabSelected="1" topLeftCell="A8" zoomScale="98" zoomScaleNormal="98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59.4414062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4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45378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s="321" t="s">
        <v>160</v>
      </c>
      <c r="D13" s="247"/>
      <c r="E13" s="247"/>
      <c r="F13" s="247"/>
      <c r="G13" s="278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/>
      <c r="D15" s="295"/>
      <c r="E15" s="247"/>
      <c r="F15" s="247" t="s">
        <v>136</v>
      </c>
      <c r="G15" s="296" t="s">
        <v>137</v>
      </c>
      <c r="H15" s="248"/>
      <c r="K15" s="18">
        <f>H23/L13</f>
        <v>2534.9696785930869</v>
      </c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1:24" ht="15" thickBot="1" x14ac:dyDescent="0.35">
      <c r="B17" s="297" t="s">
        <v>13</v>
      </c>
      <c r="C17" s="298" t="s">
        <v>154</v>
      </c>
      <c r="D17" s="299"/>
      <c r="E17" s="300"/>
      <c r="F17" s="322" t="s">
        <v>155</v>
      </c>
      <c r="G17" s="322"/>
      <c r="H17" s="323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4" t="s">
        <v>149</v>
      </c>
      <c r="C19" s="325"/>
      <c r="D19" s="325"/>
      <c r="E19" s="325"/>
      <c r="F19" s="325"/>
      <c r="G19" s="325"/>
      <c r="H19" s="32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8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N37</f>
        <v>45709.841443411708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34">
        <v>1</v>
      </c>
      <c r="C21" s="335" t="s">
        <v>161</v>
      </c>
      <c r="D21" s="336">
        <v>2.9</v>
      </c>
      <c r="E21" s="336">
        <v>0.62</v>
      </c>
      <c r="F21" s="335" t="s">
        <v>162</v>
      </c>
      <c r="G21" s="337">
        <f>P21</f>
        <v>83603.3</v>
      </c>
      <c r="H21" s="338">
        <f t="shared" ref="H21" si="1">G21*B21</f>
        <v>83603.3</v>
      </c>
      <c r="I21" s="265"/>
      <c r="J21" s="47"/>
      <c r="K21" s="316">
        <f t="shared" si="0"/>
        <v>1</v>
      </c>
      <c r="L21" s="317">
        <f t="shared" ref="L21:M21" si="2">D21+L$19</f>
        <v>2.9499999999999997</v>
      </c>
      <c r="M21" s="317">
        <f t="shared" si="2"/>
        <v>0.62</v>
      </c>
      <c r="N21" s="261">
        <f>L21*M21</f>
        <v>1.8289999999999997</v>
      </c>
      <c r="O21" s="259">
        <f>N21*K21</f>
        <v>1.8289999999999997</v>
      </c>
      <c r="P21" s="252">
        <f>P$20*N21</f>
        <v>83603.3</v>
      </c>
      <c r="Q21" s="258">
        <f>P21+Q$20</f>
        <v>86603.3</v>
      </c>
      <c r="R21" s="308">
        <f>K21*L21</f>
        <v>2.9499999999999997</v>
      </c>
      <c r="S21" s="14"/>
      <c r="T21" s="9"/>
      <c r="W21" s="4"/>
    </row>
    <row r="22" spans="1:24" ht="18" thickBot="1" x14ac:dyDescent="0.35">
      <c r="B22" s="286"/>
      <c r="C22" s="286"/>
      <c r="D22" s="287"/>
      <c r="E22" s="287"/>
      <c r="F22" s="286"/>
      <c r="G22" s="265"/>
      <c r="H22" s="232"/>
      <c r="I22" s="232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1:24" ht="17.399999999999999" x14ac:dyDescent="0.3">
      <c r="B23" s="286"/>
      <c r="C23" s="286"/>
      <c r="D23" s="287"/>
      <c r="E23" s="287"/>
      <c r="F23" s="286"/>
      <c r="G23" s="309" t="s">
        <v>30</v>
      </c>
      <c r="H23" s="310">
        <f>SUM(H21:H22)</f>
        <v>83603.3</v>
      </c>
      <c r="I23" s="265"/>
      <c r="J23" s="47"/>
      <c r="K23" s="47"/>
      <c r="L23" s="39">
        <f>SUM(L21:L22)</f>
        <v>2.9499999999999997</v>
      </c>
      <c r="M23" s="39"/>
      <c r="N23" s="261"/>
      <c r="O23" s="259"/>
      <c r="P23" s="252"/>
      <c r="Q23" s="258"/>
      <c r="R23" s="308"/>
      <c r="S23" s="14"/>
      <c r="T23" s="9"/>
      <c r="W23" s="4"/>
    </row>
    <row r="24" spans="1:24" ht="17.399999999999999" x14ac:dyDescent="0.3">
      <c r="B24" s="280"/>
      <c r="C24" s="283"/>
      <c r="D24" s="284"/>
      <c r="E24" s="284"/>
      <c r="F24" s="285"/>
      <c r="G24" s="307" t="s">
        <v>53</v>
      </c>
      <c r="H24" s="304">
        <f>H23*0.19</f>
        <v>15884.627</v>
      </c>
      <c r="I24" s="265"/>
      <c r="J24" s="47"/>
      <c r="K24" s="47"/>
      <c r="L24" s="39"/>
      <c r="M24" s="12"/>
      <c r="N24" s="12"/>
      <c r="O24" s="253">
        <f>SUM(O21:O21)</f>
        <v>1.8289999999999997</v>
      </c>
      <c r="P24" s="14"/>
      <c r="Q24" s="12"/>
      <c r="R24" s="238"/>
      <c r="S24" s="14"/>
      <c r="T24" s="9"/>
      <c r="W24" s="4"/>
    </row>
    <row r="25" spans="1:24" ht="18" thickBot="1" x14ac:dyDescent="0.35">
      <c r="B25" s="276"/>
      <c r="C25" s="282"/>
      <c r="D25" s="272"/>
      <c r="E25" s="272"/>
      <c r="F25" s="273"/>
      <c r="G25" s="281" t="s">
        <v>6</v>
      </c>
      <c r="H25" s="305">
        <f>H23+H24</f>
        <v>99487.926999999996</v>
      </c>
      <c r="I25" s="265"/>
      <c r="J25" s="47"/>
      <c r="K25" s="47"/>
      <c r="L25" s="39"/>
      <c r="M25" s="12"/>
      <c r="N25" s="12"/>
      <c r="O25" s="253">
        <f>O24</f>
        <v>1.8289999999999997</v>
      </c>
      <c r="P25" s="14"/>
      <c r="Q25" s="12"/>
      <c r="R25" s="238">
        <f>SUM(R21:R24)</f>
        <v>2.9499999999999997</v>
      </c>
      <c r="S25" s="14"/>
      <c r="T25" s="9"/>
      <c r="W25" s="4"/>
    </row>
    <row r="26" spans="1:24" ht="17.399999999999999" x14ac:dyDescent="0.3">
      <c r="B26" s="271"/>
      <c r="C26" s="271"/>
      <c r="D26" s="272"/>
      <c r="E26" s="272"/>
      <c r="F26" s="273"/>
      <c r="G26" s="274"/>
      <c r="H26" s="275"/>
      <c r="I26" s="265"/>
      <c r="J26" s="47"/>
      <c r="K26" s="47"/>
      <c r="L26" s="14"/>
      <c r="M26" s="12"/>
      <c r="N26" s="12"/>
      <c r="O26" s="39"/>
      <c r="P26" s="39" t="s">
        <v>132</v>
      </c>
      <c r="Q26" s="42"/>
      <c r="R26" s="239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5"/>
      <c r="I27" s="265"/>
      <c r="J27" s="313"/>
      <c r="K27" s="47"/>
      <c r="L27" s="14"/>
      <c r="M27" s="12"/>
      <c r="N27" s="12"/>
      <c r="O27" s="46">
        <f>O25+O26</f>
        <v>1.8289999999999997</v>
      </c>
      <c r="P27" s="14"/>
      <c r="Q27" s="14"/>
      <c r="R27" s="237">
        <v>40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313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47"/>
      <c r="K29" s="47"/>
      <c r="L29" s="39">
        <f>O27</f>
        <v>1.8289999999999997</v>
      </c>
      <c r="M29" s="12">
        <v>3500</v>
      </c>
      <c r="N29" s="12">
        <f t="shared" ref="N29:N34" si="3">L29*M29</f>
        <v>6401.4999999999991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I30" s="265"/>
      <c r="J30" s="47"/>
      <c r="K30" s="47"/>
      <c r="L30" s="249">
        <v>0.27</v>
      </c>
      <c r="M30" s="12">
        <v>30000</v>
      </c>
      <c r="N30" s="12">
        <f t="shared" si="3"/>
        <v>8100.0000000000009</v>
      </c>
      <c r="O30" s="39" t="s">
        <v>156</v>
      </c>
      <c r="P30" s="42"/>
      <c r="Q30" s="14"/>
      <c r="R30" s="239"/>
      <c r="S30" s="14"/>
      <c r="T30" s="9"/>
      <c r="W30" s="4"/>
    </row>
    <row r="31" spans="1:24" s="230" customFormat="1" ht="17.399999999999999" x14ac:dyDescent="0.35">
      <c r="B31" s="24" t="s">
        <v>153</v>
      </c>
      <c r="I31" s="262"/>
      <c r="J31" s="47"/>
      <c r="K31" s="250"/>
      <c r="L31" s="14">
        <v>0</v>
      </c>
      <c r="M31" s="250">
        <v>77546</v>
      </c>
      <c r="N31" s="12">
        <f t="shared" si="3"/>
        <v>0</v>
      </c>
      <c r="O31" s="39" t="s">
        <v>32</v>
      </c>
      <c r="P31" s="42"/>
      <c r="R31" s="239"/>
      <c r="S31" s="256"/>
      <c r="V31" s="231"/>
    </row>
    <row r="32" spans="1:24" s="230" customFormat="1" ht="17.399999999999999" x14ac:dyDescent="0.35">
      <c r="B32" s="24" t="s">
        <v>146</v>
      </c>
      <c r="C32"/>
      <c r="D32"/>
      <c r="E32"/>
      <c r="F32"/>
      <c r="I32" s="262"/>
      <c r="J32" s="312"/>
      <c r="K32" s="250"/>
      <c r="L32" s="14">
        <v>1</v>
      </c>
      <c r="M32" s="250">
        <v>23500</v>
      </c>
      <c r="N32" s="12">
        <f t="shared" si="3"/>
        <v>23500</v>
      </c>
      <c r="O32" s="14" t="s">
        <v>143</v>
      </c>
      <c r="P32" s="17"/>
      <c r="R32" s="237"/>
      <c r="S32" s="256"/>
      <c r="V32" s="231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312"/>
      <c r="K33" s="250"/>
      <c r="L33" s="249"/>
      <c r="M33" s="250">
        <v>800</v>
      </c>
      <c r="N33" s="12">
        <f t="shared" si="3"/>
        <v>0</v>
      </c>
      <c r="O33" s="14" t="s">
        <v>34</v>
      </c>
      <c r="P33" s="14"/>
      <c r="Q33" s="230">
        <v>1.83</v>
      </c>
      <c r="R33" s="237"/>
      <c r="S33" s="237"/>
    </row>
    <row r="34" spans="2:23" s="230" customFormat="1" ht="17.399999999999999" x14ac:dyDescent="0.35">
      <c r="I34" s="303"/>
      <c r="J34" s="47"/>
      <c r="K34" s="250"/>
      <c r="L34" s="266"/>
      <c r="M34" s="12">
        <v>1500</v>
      </c>
      <c r="N34" s="12">
        <f t="shared" si="3"/>
        <v>0</v>
      </c>
      <c r="O34" s="14" t="s">
        <v>24</v>
      </c>
      <c r="P34" s="14"/>
      <c r="Q34">
        <v>3.66</v>
      </c>
      <c r="R34"/>
      <c r="S34" s="237">
        <v>1500</v>
      </c>
      <c r="W34" s="231"/>
    </row>
    <row r="35" spans="2:23" s="230" customFormat="1" ht="17.399999999999999" x14ac:dyDescent="0.35">
      <c r="J35" s="47"/>
      <c r="K35" s="250"/>
      <c r="L35" s="14"/>
      <c r="M35" s="12"/>
      <c r="N35" s="12">
        <f>SUM(N29:N34)</f>
        <v>38001.5</v>
      </c>
      <c r="O35" s="39" t="s">
        <v>25</v>
      </c>
      <c r="P35" s="14"/>
      <c r="Q35">
        <f>Q33*Q34</f>
        <v>6.6978000000000009</v>
      </c>
      <c r="R35"/>
      <c r="S35" s="237">
        <f>R27*S34</f>
        <v>60000</v>
      </c>
      <c r="W35" s="231"/>
    </row>
    <row r="36" spans="2:23" s="230" customFormat="1" ht="17.399999999999999" x14ac:dyDescent="0.35">
      <c r="J36" s="47">
        <v>68410</v>
      </c>
      <c r="K36" s="250"/>
      <c r="L36" s="254" t="s">
        <v>35</v>
      </c>
      <c r="M36" s="12"/>
      <c r="N36" s="255">
        <f>N35*2.2</f>
        <v>83603.3</v>
      </c>
      <c r="O36" s="14" t="s">
        <v>142</v>
      </c>
      <c r="P36" s="14"/>
      <c r="Q36" s="46">
        <f>O25/Q35</f>
        <v>0.27307474095971807</v>
      </c>
      <c r="R36"/>
      <c r="S36" s="257" t="e">
        <f>S35/#REF!</f>
        <v>#REF!</v>
      </c>
    </row>
    <row r="37" spans="2:23" s="230" customFormat="1" ht="17.399999999999999" x14ac:dyDescent="0.35">
      <c r="G37"/>
      <c r="H37" s="260"/>
      <c r="I37" s="260"/>
      <c r="J37" s="47">
        <f>J36/1.19</f>
        <v>57487.394957983197</v>
      </c>
      <c r="K37" s="250"/>
      <c r="L37" s="14"/>
      <c r="M37" s="12"/>
      <c r="N37" s="12">
        <f>N36/O25</f>
        <v>45709.841443411708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50"/>
      <c r="L38" s="13"/>
      <c r="M38" s="14"/>
      <c r="N38" s="17">
        <f>N36/N35</f>
        <v>2.2000000000000002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50"/>
      <c r="S42">
        <f>S40*S41</f>
        <v>4.5750000000000002</v>
      </c>
    </row>
    <row r="43" spans="2:23" x14ac:dyDescent="0.3">
      <c r="K43" s="250"/>
      <c r="S43" s="270">
        <f>O27/S42</f>
        <v>0.39978142076502726</v>
      </c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45378</v>
      </c>
    </row>
    <row r="6" spans="2:31" ht="16.2" thickBot="1" x14ac:dyDescent="0.35">
      <c r="B6" s="140" t="s">
        <v>2</v>
      </c>
      <c r="C6" s="139" t="str">
        <f>'2229'!C10</f>
        <v>CLAUDIO LEYTON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8" t="s">
        <v>100</v>
      </c>
      <c r="I7" s="329"/>
      <c r="J7" s="329"/>
      <c r="K7" s="330"/>
      <c r="N7" s="75"/>
      <c r="O7" s="327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10881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7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-1741.5958667874413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83603.3</v>
      </c>
      <c r="E11" s="132">
        <f>D11*0.19</f>
        <v>15884.627</v>
      </c>
      <c r="F11" s="131">
        <f>E11+D11</f>
        <v>99487.926999999996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104248.40413321256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44335.590787439614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86248.404133212563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39267.709212560389</v>
      </c>
      <c r="E13" s="221">
        <f>(D11/D12)-1</f>
        <v>0.88569270229923336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77248.404133212563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38248.404133212556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73153.724799275355</v>
      </c>
      <c r="F15" s="216">
        <f>E15-D12</f>
        <v>28818.13401183574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38248.404133212556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78248.404133212563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8100.0000000000009</v>
      </c>
      <c r="E19" s="123">
        <f>D19*0.19</f>
        <v>1539.0000000000002</v>
      </c>
      <c r="F19" s="120">
        <f>SUM(D19:E19)</f>
        <v>9639.0000000000018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6401.4999999999991</v>
      </c>
      <c r="E20" s="121">
        <f>D20*0.19</f>
        <v>1216.2849999999999</v>
      </c>
      <c r="F20" s="120">
        <f>SUM(D20:E20)</f>
        <v>7617.7849999999989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14501.5</v>
      </c>
      <c r="E21" s="116">
        <f>SUM(E18:E20)</f>
        <v>2755.2849999999999</v>
      </c>
      <c r="F21" s="115">
        <f>SUM(F18:F20)</f>
        <v>17256.785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13129.342000000001</v>
      </c>
    </row>
    <row r="41" spans="2:16" ht="15" thickBot="1" x14ac:dyDescent="0.35">
      <c r="H41" s="331" t="s">
        <v>62</v>
      </c>
      <c r="I41" s="332"/>
      <c r="J41" s="332"/>
      <c r="K41" s="332"/>
      <c r="L41" s="332"/>
      <c r="M41" s="333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83603.3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14501.5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39267.709212560389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39267.709212560389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2024-03-27T12:58:32Z</cp:lastPrinted>
  <dcterms:created xsi:type="dcterms:W3CDTF">2013-03-18T13:35:42Z</dcterms:created>
  <dcterms:modified xsi:type="dcterms:W3CDTF">2024-03-28T13:35:42Z</dcterms:modified>
</cp:coreProperties>
</file>