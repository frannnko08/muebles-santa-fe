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523810CF-D777-446F-8283-6D614E5CAA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J38" i="1"/>
  <c r="L21" i="1"/>
  <c r="L23" i="1" s="1"/>
  <c r="M21" i="1"/>
  <c r="N21" i="1" l="1"/>
  <c r="O21" i="1" s="1"/>
  <c r="O24" i="1" s="1"/>
  <c r="R25" i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H23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<sst xmlns="http://schemas.openxmlformats.org/spreadsheetml/2006/main" count="229" uniqueCount="173">
  <si>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</si>
  <si>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</si>
  <si>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</si>
  <si>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</si>
  <si>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</si>
  <si>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</si>
  <si>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</si>
  <si>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</si>
  <si>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</si>
  <si>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</si>
  <si>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</si>
  <si>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</si>
  <si>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</si>
  <si>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</si>
  <si>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</si>
  <si>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</si>
  <si>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</si>
  <si>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</si>
  <si>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</si>
  <si>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</si>
  <si>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</si>
  <si>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</si>
  <si>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</si>
  <si>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</si>
  <si>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</si>
  <si>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</si>
  <si>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</si>
  <si>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</si>
  <si>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</si>
  <si>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</si>
  <si>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</si>
  <si>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</si>
  <si>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</si>
  <si>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</si>
  <si>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</si>
  <si>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</si>
  <si>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</si>
  <si>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</si>
  <si>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</si>
  <si>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</si>
  <si>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</si>
  <si>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</si>
  <si>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</si>
  <si>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</si>
  <si>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</si>
  <si>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</si>
  <si>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</si>
  <si>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</si>
  <si>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</si>
  <si>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</si>
  <si>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</si>
  <si>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</si>
  <si>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</si>
  <si>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</si>
  <si>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</si>
  <si>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</si>
  <si>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</si>
  <si>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</si>
  <si>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</si>
  <si>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</si>
  <si>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</si>
  <si>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</si>
  <si>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</si>
  <si>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</si>
  <si>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</si>
  <si>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</si>
  <si>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</si>
  <si>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</si>
  <si>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</si>
  <si>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</si>
  <si>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</si>
  <si>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</si>
  <si>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</si>
  <si>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</si>
  <si>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</si>
  <si>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</si>
  <si>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</si>
  <si>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</si>
  <si>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</si>
  <si>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</si>
  <si>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</si>
  <si>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</si>
  <si>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</si>
  <si>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</si>
  <si>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</si>
  <si>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</si>
  <si>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</si>
  <si>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</si>
  <si>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</si>
  <si>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</si>
  <si>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</si>
  <si>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</si>
  <si>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</si>
  <si>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</si>
  <si>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</si>
  <si>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</si>
  <si>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</si>
  <si>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</si>
  <si>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</si>
  <si>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</si>
  <si>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</si>
  <si>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</si>
  <si>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</si>
  <si>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</si>
  <si>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</si>
  <si>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</si>
  <si>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</si>
  <si>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</si>
  <si>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</si>
  <si>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</si>
  <si>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</si>
  <si>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</si>
  <si>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</si>
  <si>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</si>
  <si>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</si>
  <si>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</si>
  <si>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</si>
  <si>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</si>
  <si>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</si>
  <si>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</si>
  <si>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</si>
  <si>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</si>
  <si>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</si>
  <si>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</si>
  <si>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</si>
  <si>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</si>
  <si>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</si>
  <si>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</si>
  <si>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</si>
  <si>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</si>
  <si>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</si>
  <si>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</si>
  <si>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</si>
  <si>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</si>
  <si>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</si>
  <si>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</si>
  <si>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</si>
  <si>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</si>
  <si>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</si>
  <si>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</si>
  <si>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</si>
  <si>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</si>
  <si>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</si>
  <si>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</si>
  <si>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</si>
  <si>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</si>
  <si>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</si>
  <si>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</si>
  <si>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</si>
  <si>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</si>
  <si>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</si>
  <si>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</si>
  <si>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</si>
  <si>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</si>
  <si>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</si>
  <si>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</si>
  <si>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</si>
  <si>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</si>
  <si>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</si>
  <si>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</si>
  <si>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</si>
  <si>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</si>
  <si>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</si>
  <si>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</si>
  <si>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</si>
  <si>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</si>
  <si>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</si>
  <si>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</si>
  <si>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JULIO GALLARDO</t>
  </si>
  <si>
    <t>+569 2722 3247</t>
  </si>
  <si>
    <t>7 DIAS HABILES</t>
  </si>
  <si>
    <t>CUB C/R 180°</t>
  </si>
  <si>
    <t>PORTLAND MAPLE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</si>
</sst>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1626870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baseline="0"/>
            <a:t> </a:t>
          </a:r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10665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168</v>
      </c>
      <c r="D10" s="243"/>
      <c r="E10" s="243"/>
      <c r="F10" s="244" t="s">
        <v>0</v>
      </c>
      <c r="G10" s="277">
        <v>45366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90427.398373983757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5" t="s">
        <v>171</v>
      </c>
      <c r="D21" s="326">
        <v>2</v>
      </c>
      <c r="E21" s="326">
        <v>0.6</v>
      </c>
      <c r="F21" s="325" t="s">
        <v>172</v>
      </c>
      <c r="G21" s="327">
        <v>111226</v>
      </c>
      <c r="H21" s="328">
        <f>G21*B21</f>
        <v>111226</v>
      </c>
      <c r="I21" s="265"/>
      <c r="J21" s="47"/>
      <c r="K21" s="47">
        <f>B21</f>
        <v>1</v>
      </c>
      <c r="L21" s="39">
        <f t="shared" ref="L21" si="1">D21+L$19</f>
        <v>2.0499999999999998</v>
      </c>
      <c r="M21" s="39">
        <f t="shared" ref="M21" si="2">E21+M$19</f>
        <v>0.6</v>
      </c>
      <c r="N21" s="261">
        <f t="shared" ref="N21" si="3">L21*M21</f>
        <v>1.2299999999999998</v>
      </c>
      <c r="O21" s="259">
        <f t="shared" ref="O21" si="4">N21*K21</f>
        <v>1.2299999999999998</v>
      </c>
      <c r="P21" s="252">
        <f t="shared" ref="P21" si="5">P$20*N21</f>
        <v>111225.7</v>
      </c>
      <c r="Q21" s="258">
        <f t="shared" ref="Q21" si="6">P21+Q$20</f>
        <v>114225.7</v>
      </c>
      <c r="R21" s="309"/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1" t="s">
        <v>29</v>
      </c>
      <c r="H23" s="312">
        <f>SUM(H21:H22)</f>
        <v>111226</v>
      </c>
      <c r="I23" s="265"/>
      <c r="J23" s="47"/>
      <c r="K23" s="47"/>
      <c r="L23" s="39">
        <f>SUM(L21:L22)</f>
        <v>2.0499999999999998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/>
      <c r="I24" s="265"/>
      <c r="J24" s="47"/>
      <c r="K24" s="47"/>
      <c r="L24" s="39"/>
      <c r="M24" s="12"/>
      <c r="N24" s="12"/>
      <c r="O24" s="253">
        <f>SUM(O21:O21)</f>
        <v>1.2299999999999998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111226</v>
      </c>
      <c r="I25" s="265"/>
      <c r="J25" s="47"/>
      <c r="K25" s="47"/>
      <c r="L25" s="39"/>
      <c r="M25" s="12"/>
      <c r="N25" s="12"/>
      <c r="O25" s="253">
        <f>O24</f>
        <v>1.2299999999999998</v>
      </c>
      <c r="P25" s="14"/>
      <c r="Q25" s="12"/>
      <c r="R25" s="239">
        <f>SUM(R21:R24)</f>
        <v>0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0.24599999999999997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1.4759999999999998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7" t="s">
        <v>22</v>
      </c>
      <c r="U28" s="314" t="s">
        <v>153</v>
      </c>
      <c r="V28" s="318">
        <v>44971</v>
      </c>
      <c r="W28" s="319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1.4759999999999998</v>
      </c>
      <c r="M29" s="12">
        <v>3500</v>
      </c>
      <c r="N29" s="12">
        <f t="shared" ref="N29:N34" si="7">L29*M29</f>
        <v>5165.9999999999991</v>
      </c>
      <c r="O29" s="14" t="s">
        <v>22</v>
      </c>
      <c r="P29" s="14"/>
      <c r="Q29" s="14"/>
      <c r="R29" s="241"/>
      <c r="S29" s="14"/>
      <c r="T29" s="317" t="s">
        <v>154</v>
      </c>
      <c r="U29" s="314">
        <v>3625</v>
      </c>
      <c r="V29" s="59" t="s">
        <v>155</v>
      </c>
      <c r="W29" s="319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0.4</v>
      </c>
      <c r="M30" s="12">
        <v>25000</v>
      </c>
      <c r="N30" s="12">
        <f t="shared" si="7"/>
        <v>10000</v>
      </c>
      <c r="O30" s="39" t="s">
        <v>32</v>
      </c>
      <c r="P30" s="42"/>
      <c r="Q30" s="14"/>
      <c r="R30" s="240"/>
      <c r="S30" s="14"/>
      <c r="T30" s="317"/>
      <c r="U30" s="59">
        <v>906.25</v>
      </c>
      <c r="V30" s="59" t="s">
        <v>156</v>
      </c>
      <c r="W30" s="319"/>
    </row>
    <row r="31" spans="2:24" s="230" customFormat="1" ht="17.399999999999999" x14ac:dyDescent="0.35">
      <c r="I31" s="262"/>
      <c r="J31" s="232"/>
      <c r="K31" s="250"/>
      <c r="L31" s="14"/>
      <c r="M31" s="250">
        <v>46500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9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30118</v>
      </c>
      <c r="N32" s="12">
        <f t="shared" si="7"/>
        <v>30118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9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>
        <v>2.0499999999999998</v>
      </c>
      <c r="M34" s="12">
        <v>1500</v>
      </c>
      <c r="N34" s="12">
        <f t="shared" si="7"/>
        <v>3074.9999999999995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48359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N35*2.3</f>
        <v>111225.7</v>
      </c>
      <c r="O36" s="14" t="s">
        <v>141</v>
      </c>
      <c r="P36" s="14"/>
      <c r="Q36" s="40">
        <f>O27/Q35</f>
        <v>0.3979723899913718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90427.398373983757</v>
      </c>
      <c r="O37" s="45" t="s">
        <v>25</v>
      </c>
      <c r="P37" s="14"/>
      <c r="Q37" s="14"/>
      <c r="R37"/>
      <c r="S37" s="238"/>
      <c r="T37" s="59" t="s">
        <v>159</v>
      </c>
      <c r="U37" s="314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40511.764705882357</v>
      </c>
      <c r="K38" s="250"/>
      <c r="L38" s="13"/>
      <c r="M38" s="14"/>
      <c r="N38" s="17">
        <f>N36/N35</f>
        <v>2.2999999999999998</v>
      </c>
      <c r="O38" s="15"/>
      <c r="P38"/>
      <c r="Q38"/>
      <c r="R38"/>
      <c r="S38" s="238"/>
      <c r="T38" s="59" t="s">
        <v>161</v>
      </c>
      <c r="U38" s="315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16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45366</v>
      </c>
    </row>
    <row r="6" spans="2:31" ht="16.2" thickBot="1" x14ac:dyDescent="0.35">
      <c r="B6" s="140" t="s">
        <v>2</v>
      </c>
      <c r="C6" s="139" t="str">
        <f>'2229'!C10</f>
        <v>JULIO GALLARDO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10665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-6162.6417001207737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111226</v>
      </c>
      <c r="E11" s="132">
        <f>D11*0.19</f>
        <v>21132.94</v>
      </c>
      <c r="F11" s="131">
        <f>E11+D11</f>
        <v>132358.94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99827.358299879226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45000.090787439614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81827.358299879226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66225.909212560393</v>
      </c>
      <c r="E13" s="221">
        <f>(D11/D12)-1</f>
        <v>1.4716839022699326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72827.358299879226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33827.358299879226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74250.149799275358</v>
      </c>
      <c r="F15" s="216">
        <f>E15-D12</f>
        <v>29250.059011835743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33827.358299879226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73827.358299879226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5165.9999999999991</v>
      </c>
      <c r="E20" s="121">
        <f>D20*0.19</f>
        <v>981.53999999999985</v>
      </c>
      <c r="F20" s="120">
        <f>SUM(D20:E20)</f>
        <v>6147.5399999999991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15166</v>
      </c>
      <c r="E21" s="116">
        <f>SUM(E18:E20)</f>
        <v>2881.54</v>
      </c>
      <c r="F21" s="115">
        <f>SUM(F18:F20)</f>
        <v>18047.54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18251.399999999998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111226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15166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66225.909212560393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66225.909212560393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2024-01-10T18:48:46Z</cp:lastPrinted>
  <dcterms:created xsi:type="dcterms:W3CDTF">2013-03-18T13:35:42Z</dcterms:created>
  <dcterms:modified xsi:type="dcterms:W3CDTF">2024-03-15T13:51:54Z</dcterms:modified>
</cp:coreProperties>
</file>