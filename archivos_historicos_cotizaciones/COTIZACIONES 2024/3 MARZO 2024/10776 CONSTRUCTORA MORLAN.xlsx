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D49E78B2-E1FF-4151-9480-036AA005A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1" l="1"/>
  <c r="K23" i="1"/>
  <c r="L23" i="1"/>
  <c r="N23" i="1" s="1"/>
  <c r="O23" i="1" s="1"/>
  <c r="M23" i="1"/>
  <c r="K24" i="1"/>
  <c r="L24" i="1"/>
  <c r="N24" i="1" s="1"/>
  <c r="O24" i="1" s="1"/>
  <c r="M24" i="1"/>
  <c r="K25" i="1"/>
  <c r="L25" i="1"/>
  <c r="N25" i="1" s="1"/>
  <c r="O25" i="1" s="1"/>
  <c r="M25" i="1"/>
  <c r="K26" i="1"/>
  <c r="L26" i="1"/>
  <c r="M26" i="1"/>
  <c r="N26" i="1" s="1"/>
  <c r="O26" i="1" s="1"/>
  <c r="M22" i="1"/>
  <c r="K22" i="1"/>
  <c r="K21" i="1"/>
  <c r="J42" i="1" l="1"/>
  <c r="L22" i="1" l="1"/>
  <c r="N22" i="1" l="1"/>
  <c r="O22" i="1" s="1"/>
  <c r="L21" i="1" l="1"/>
  <c r="L28" i="1" s="1"/>
  <c r="M21" i="1"/>
  <c r="N21" i="1" l="1"/>
  <c r="O21" i="1" s="1"/>
  <c r="O29" i="1" s="1"/>
  <c r="R21" i="1"/>
  <c r="N35" i="1"/>
  <c r="O30" i="1" l="1"/>
  <c r="S47" i="1"/>
  <c r="M20" i="1" l="1"/>
  <c r="K20" i="1"/>
  <c r="N36" i="1" l="1"/>
  <c r="Q40" i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4" i="1" l="1"/>
  <c r="Q24" i="1" s="1"/>
  <c r="P23" i="1"/>
  <c r="Q23" i="1" s="1"/>
  <c r="P26" i="1"/>
  <c r="Q26" i="1" s="1"/>
  <c r="P25" i="1"/>
  <c r="Q25" i="1" s="1"/>
  <c r="P22" i="1"/>
  <c r="P21" i="1"/>
  <c r="F15" i="3"/>
  <c r="Q22" i="1" l="1"/>
  <c r="Q21" i="1"/>
  <c r="H21" i="1" s="1"/>
  <c r="R30" i="1"/>
  <c r="H22" i="1" l="1"/>
  <c r="H28" i="1" s="1"/>
  <c r="H29" i="1" l="1"/>
  <c r="H3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<sst xmlns="http://schemas.openxmlformats.org/spreadsheetml/2006/main" count="229" uniqueCount="166">
  <si>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</si>
  <si>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</si>
  <si>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</si>
  <si>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</si>
  <si>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</si>
  <si>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</si>
  <si>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</si>
  <si>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</si>
  <si>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</si>
  <si>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</si>
  <si>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</si>
  <si>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</si>
  <si>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</si>
  <si>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</si>
  <si>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</si>
  <si>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</si>
  <si>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</si>
  <si>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</si>
  <si>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</si>
  <si>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</si>
  <si>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</si>
  <si>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</si>
  <si>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</si>
  <si>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</si>
  <si>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</si>
  <si>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</si>
  <si>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</si>
  <si>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</si>
  <si>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</si>
  <si>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</si>
  <si>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</si>
  <si>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</si>
  <si>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</si>
  <si>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</si>
  <si>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</si>
  <si>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</si>
  <si>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</si>
  <si>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</si>
  <si>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</si>
  <si>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</si>
  <si>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</si>
  <si>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</si>
  <si>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</si>
  <si>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</si>
  <si>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</si>
  <si>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</si>
  <si>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</si>
  <si>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</si>
  <si>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</si>
  <si>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</si>
  <si>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</si>
  <si>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</si>
  <si>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</si>
  <si>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</si>
  <si>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</si>
  <si>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</si>
  <si>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</si>
  <si>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</si>
  <si>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</si>
  <si>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</si>
  <si>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</si>
  <si>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</si>
  <si>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</si>
  <si>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</si>
  <si>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</si>
  <si>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</si>
  <si>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</si>
  <si>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</si>
  <si>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</si>
  <si>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</si>
  <si>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</si>
  <si>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</si>
  <si>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</si>
  <si>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</si>
  <si>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</si>
  <si>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</si>
  <si>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</si>
  <si>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</si>
  <si>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</si>
  <si>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</si>
  <si>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</si>
  <si>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</si>
  <si>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</si>
  <si>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</si>
  <si>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</si>
  <si>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</si>
  <si>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</si>
  <si>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</si>
  <si>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</si>
  <si>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</si>
  <si>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</si>
  <si>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</si>
  <si>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</si>
  <si>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</si>
  <si>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</si>
  <si>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</si>
  <si>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</si>
  <si>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</si>
  <si>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</si>
  <si>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</si>
  <si>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</si>
  <si>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</si>
  <si>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</si>
  <si>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</si>
  <si>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</si>
  <si>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</si>
  <si>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</si>
  <si>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</si>
  <si>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</si>
  <si>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</si>
  <si>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</si>
  <si>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</si>
  <si>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</si>
  <si>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</si>
  <si>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</si>
  <si>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</si>
  <si>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</si>
  <si>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</si>
  <si>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</si>
  <si>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</si>
  <si>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</si>
  <si>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</si>
  <si>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</si>
  <si>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</si>
  <si>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</si>
  <si>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</si>
  <si>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</si>
  <si>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</si>
  <si>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</si>
  <si>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</si>
  <si>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</si>
  <si>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</si>
  <si>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</si>
  <si>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</si>
  <si>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</si>
  <si>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</si>
  <si>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</si>
  <si>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</si>
  <si>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</si>
  <si>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</si>
  <si>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</si>
  <si>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</si>
  <si>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</si>
  <si>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</si>
  <si>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</si>
  <si>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</si>
  <si>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</si>
  <si>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</si>
  <si>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</si>
  <si>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</si>
  <si>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</si>
  <si>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</si>
  <si>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</si>
  <si>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</si>
  <si>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</si>
  <si>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</si>
  <si>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</si>
  <si>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</si>
  <si>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</si>
  <si>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N° 10776</t>
  </si>
  <si>
    <t>CONSTRUCTORA MORLAN</t>
  </si>
  <si>
    <t>ISIS</t>
  </si>
  <si>
    <t>+5692730 6208</t>
  </si>
  <si>
    <t>COMPAC 12MM BLANCO</t>
  </si>
  <si>
    <t>15 DIAS HABILES</t>
  </si>
  <si>
    <t>BLANCO AMBOS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</si>
</sst>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MATERIAL CORRESPONDIENTE A</a:t>
          </a:r>
          <a:r>
            <a:rPr lang="es-CL" sz="1200" b="1" baseline="0"/>
            <a:t> BAÑO DE HOMBRES Y MUJERES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D22" zoomScale="98" zoomScaleNormal="98" workbookViewId="0">
      <selection activeCell="L36" sqref="L36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157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1" t="s">
        <v>155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2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144255.63303889663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3</v>
      </c>
      <c r="C21" s="312" t="s">
        <v>163</v>
      </c>
      <c r="D21" s="313">
        <v>1.8</v>
      </c>
      <c r="E21" s="313">
        <v>0.73</v>
      </c>
      <c r="F21" s="312" t="s">
        <v>165</v>
      </c>
      <c r="G21" s="314">
        <v>2510000</v>
      </c>
      <c r="H21" s="315">
        <f t="shared" ref="H21:H22" si="1">G21*B21</f>
        <v>7530000</v>
      </c>
      <c r="I21" s="265"/>
      <c r="J21" s="47"/>
      <c r="K21" s="325">
        <f t="shared" si="0"/>
        <v>3</v>
      </c>
      <c r="L21" s="326">
        <f t="shared" ref="L21:M22" si="2">D21+L$19</f>
        <v>1.8</v>
      </c>
      <c r="M21" s="326">
        <f t="shared" si="2"/>
        <v>0.73</v>
      </c>
      <c r="N21" s="261">
        <f>L21*M21</f>
        <v>1.3140000000000001</v>
      </c>
      <c r="O21" s="259">
        <f>N21*K21</f>
        <v>3.9420000000000002</v>
      </c>
      <c r="P21" s="252">
        <f>P$20*N21</f>
        <v>189551.90181311019</v>
      </c>
      <c r="Q21" s="258">
        <f>P21+Q$20</f>
        <v>192551.90181311019</v>
      </c>
      <c r="R21" s="308">
        <f>K21*L21</f>
        <v>5.4</v>
      </c>
      <c r="S21" s="14"/>
      <c r="T21" s="9"/>
      <c r="W21" s="4"/>
    </row>
    <row r="22" spans="2:24" ht="17.399999999999999" x14ac:dyDescent="0.3">
      <c r="B22" s="323">
        <v>3</v>
      </c>
      <c r="C22" s="312" t="s">
        <v>163</v>
      </c>
      <c r="D22" s="329">
        <v>1.8</v>
      </c>
      <c r="E22" s="329">
        <v>0.1</v>
      </c>
      <c r="F22" s="312" t="s">
        <v>165</v>
      </c>
      <c r="G22" s="330"/>
      <c r="H22" s="330">
        <f t="shared" si="1"/>
        <v>0</v>
      </c>
      <c r="I22" s="265"/>
      <c r="K22" s="327">
        <f t="shared" si="0"/>
        <v>3</v>
      </c>
      <c r="L22" s="328">
        <f t="shared" si="2"/>
        <v>1.8</v>
      </c>
      <c r="M22" s="328">
        <f t="shared" si="2"/>
        <v>0.1</v>
      </c>
      <c r="N22" s="261">
        <f t="shared" ref="N22" si="3">L22*M22</f>
        <v>0.18000000000000002</v>
      </c>
      <c r="O22" s="259">
        <f t="shared" ref="O22" si="4">N22*K22</f>
        <v>0.54</v>
      </c>
      <c r="P22" s="252">
        <f t="shared" ref="P22" si="5">P$20*N22</f>
        <v>25966.013947001396</v>
      </c>
      <c r="Q22" s="258">
        <f t="shared" ref="Q22" si="6">P22+Q$20</f>
        <v>28966.013947001396</v>
      </c>
      <c r="R22" s="308"/>
      <c r="S22" s="14"/>
      <c r="T22" s="9"/>
      <c r="W22" s="4"/>
    </row>
    <row r="23" spans="2:24" ht="17.399999999999999" x14ac:dyDescent="0.3">
      <c r="B23" s="323">
        <v>2</v>
      </c>
      <c r="C23" s="323" t="s">
        <v>163</v>
      </c>
      <c r="D23" s="329">
        <v>1.8</v>
      </c>
      <c r="E23" s="329">
        <v>1.1000000000000001</v>
      </c>
      <c r="F23" s="312" t="s">
        <v>165</v>
      </c>
      <c r="G23" s="318"/>
      <c r="H23" s="318"/>
      <c r="I23" s="265"/>
      <c r="K23" s="327">
        <f t="shared" ref="K23:K26" si="7">B23</f>
        <v>2</v>
      </c>
      <c r="L23" s="328">
        <f t="shared" ref="L23:L26" si="8">D23+L$19</f>
        <v>1.8</v>
      </c>
      <c r="M23" s="328">
        <f t="shared" ref="M23:M26" si="9">E23+M$19</f>
        <v>1.1000000000000001</v>
      </c>
      <c r="N23" s="261">
        <f t="shared" ref="N23:N26" si="10">L23*M23</f>
        <v>1.9800000000000002</v>
      </c>
      <c r="O23" s="259">
        <f t="shared" ref="O23:O26" si="11">N23*K23</f>
        <v>3.9600000000000004</v>
      </c>
      <c r="P23" s="252">
        <f t="shared" ref="P23:P26" si="12">P$20*N23</f>
        <v>285626.15341701533</v>
      </c>
      <c r="Q23" s="258">
        <f t="shared" ref="Q23:Q26" si="13">P23+Q$20</f>
        <v>288626.15341701533</v>
      </c>
      <c r="R23" s="308"/>
      <c r="S23" s="14"/>
      <c r="T23" s="9"/>
      <c r="W23" s="4"/>
    </row>
    <row r="24" spans="2:24" ht="17.399999999999999" x14ac:dyDescent="0.3">
      <c r="B24" s="323">
        <v>2</v>
      </c>
      <c r="C24" s="323" t="s">
        <v>163</v>
      </c>
      <c r="D24" s="329">
        <v>1.8</v>
      </c>
      <c r="E24" s="329">
        <v>0.66500000000000004</v>
      </c>
      <c r="F24" s="312" t="s">
        <v>165</v>
      </c>
      <c r="G24" s="318"/>
      <c r="H24" s="318"/>
      <c r="I24" s="265"/>
      <c r="K24" s="327">
        <f t="shared" si="7"/>
        <v>2</v>
      </c>
      <c r="L24" s="328">
        <f t="shared" si="8"/>
        <v>1.8</v>
      </c>
      <c r="M24" s="328">
        <f t="shared" si="9"/>
        <v>0.66500000000000004</v>
      </c>
      <c r="N24" s="261">
        <f t="shared" si="10"/>
        <v>1.1970000000000001</v>
      </c>
      <c r="O24" s="259">
        <f t="shared" si="11"/>
        <v>2.3940000000000001</v>
      </c>
      <c r="P24" s="252">
        <f t="shared" si="12"/>
        <v>172673.99274755927</v>
      </c>
      <c r="Q24" s="258">
        <f t="shared" si="13"/>
        <v>175673.99274755927</v>
      </c>
      <c r="R24" s="308"/>
      <c r="S24" s="14"/>
      <c r="T24" s="9"/>
      <c r="W24" s="4"/>
    </row>
    <row r="25" spans="2:24" ht="17.399999999999999" x14ac:dyDescent="0.3">
      <c r="B25" s="323">
        <v>1</v>
      </c>
      <c r="C25" s="323" t="s">
        <v>163</v>
      </c>
      <c r="D25" s="329">
        <v>1.8</v>
      </c>
      <c r="E25" s="329">
        <v>1.1499999999999999</v>
      </c>
      <c r="F25" s="312" t="s">
        <v>165</v>
      </c>
      <c r="G25" s="318"/>
      <c r="H25" s="318"/>
      <c r="I25" s="265"/>
      <c r="J25" s="47"/>
      <c r="K25" s="327">
        <f t="shared" si="7"/>
        <v>1</v>
      </c>
      <c r="L25" s="328">
        <f t="shared" si="8"/>
        <v>1.8</v>
      </c>
      <c r="M25" s="328">
        <f t="shared" si="9"/>
        <v>1.1499999999999999</v>
      </c>
      <c r="N25" s="261">
        <f t="shared" si="10"/>
        <v>2.0699999999999998</v>
      </c>
      <c r="O25" s="259">
        <f t="shared" si="11"/>
        <v>2.0699999999999998</v>
      </c>
      <c r="P25" s="252">
        <f t="shared" si="12"/>
        <v>298609.16039051599</v>
      </c>
      <c r="Q25" s="258">
        <f t="shared" si="13"/>
        <v>301609.16039051599</v>
      </c>
      <c r="R25" s="308"/>
      <c r="S25" s="14"/>
      <c r="T25" s="9"/>
      <c r="W25" s="4"/>
    </row>
    <row r="26" spans="2:24" ht="15.6" x14ac:dyDescent="0.3">
      <c r="B26" s="343">
        <v>2</v>
      </c>
      <c r="C26" s="323" t="s">
        <v>163</v>
      </c>
      <c r="D26" s="344">
        <v>1.8</v>
      </c>
      <c r="E26" s="344">
        <v>0.1</v>
      </c>
      <c r="F26" s="312" t="s">
        <v>165</v>
      </c>
      <c r="K26" s="327">
        <f t="shared" si="7"/>
        <v>2</v>
      </c>
      <c r="L26" s="328">
        <f t="shared" si="8"/>
        <v>1.8</v>
      </c>
      <c r="M26" s="328">
        <f t="shared" si="9"/>
        <v>0.1</v>
      </c>
      <c r="N26" s="261">
        <f t="shared" si="10"/>
        <v>0.18000000000000002</v>
      </c>
      <c r="O26" s="259">
        <f t="shared" si="11"/>
        <v>0.36000000000000004</v>
      </c>
      <c r="P26" s="252">
        <f t="shared" si="12"/>
        <v>25966.013947001396</v>
      </c>
      <c r="Q26" s="258">
        <f t="shared" si="13"/>
        <v>28966.013947001396</v>
      </c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7530000</v>
      </c>
      <c r="I28" s="265"/>
      <c r="J28" s="47"/>
      <c r="K28" s="47"/>
      <c r="L28" s="39">
        <f>SUM(L21:L27)</f>
        <v>10.8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H28*0.19</f>
        <v>1430700</v>
      </c>
      <c r="I29" s="265"/>
      <c r="J29" s="47"/>
      <c r="K29" s="47"/>
      <c r="L29" s="39"/>
      <c r="M29" s="12"/>
      <c r="N29" s="12"/>
      <c r="O29" s="253">
        <f>SUM(O21:O25)</f>
        <v>12.906000000000001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8960700</v>
      </c>
      <c r="I30" s="265"/>
      <c r="J30" s="47"/>
      <c r="K30" s="47"/>
      <c r="L30" s="39"/>
      <c r="M30" s="12"/>
      <c r="N30" s="12"/>
      <c r="O30" s="253">
        <f>O29</f>
        <v>12.906000000000001</v>
      </c>
      <c r="P30" s="14"/>
      <c r="Q30" s="12"/>
      <c r="R30" s="238">
        <f>SUM(R21:R29)</f>
        <v>5.4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/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20"/>
      <c r="K32" s="47"/>
      <c r="L32" s="14"/>
      <c r="M32" s="12"/>
      <c r="N32" s="12"/>
      <c r="O32" s="46">
        <f>O30+O31</f>
        <v>12.906000000000001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20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/>
      <c r="M34" s="12">
        <v>3500</v>
      </c>
      <c r="N34" s="12">
        <f t="shared" ref="N34:N39" si="14">L34*M34</f>
        <v>0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423128</v>
      </c>
      <c r="N35" s="12">
        <f t="shared" si="14"/>
        <v>846256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150000</v>
      </c>
      <c r="N36" s="12">
        <f t="shared" si="14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9"/>
      <c r="K37" s="250"/>
      <c r="L37" s="14"/>
      <c r="M37" s="250">
        <v>33700</v>
      </c>
      <c r="N37" s="12">
        <f t="shared" si="14"/>
        <v>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9"/>
      <c r="K38" s="250"/>
      <c r="L38" s="249"/>
      <c r="M38" s="250">
        <v>800</v>
      </c>
      <c r="N38" s="12">
        <f t="shared" si="14"/>
        <v>0</v>
      </c>
      <c r="O38" s="14" t="s">
        <v>34</v>
      </c>
      <c r="P38" s="14"/>
      <c r="Q38" s="230">
        <v>1.83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4"/>
        <v>0</v>
      </c>
      <c r="O39" s="14" t="s">
        <v>24</v>
      </c>
      <c r="P39" s="14"/>
      <c r="Q39">
        <v>3.66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846256</v>
      </c>
      <c r="O40" s="39" t="s">
        <v>25</v>
      </c>
      <c r="P40" s="14"/>
      <c r="Q40">
        <f>Q38*Q39</f>
        <v>6.6978000000000009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64280</v>
      </c>
      <c r="K41" s="250"/>
      <c r="L41" s="254" t="s">
        <v>35</v>
      </c>
      <c r="M41" s="12"/>
      <c r="N41" s="255">
        <f>N40*2.2</f>
        <v>1861763.2000000002</v>
      </c>
      <c r="O41" s="14" t="s">
        <v>142</v>
      </c>
      <c r="P41" s="14"/>
      <c r="Q41" s="46">
        <f>O30/Q40</f>
        <v>1.926901370599301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54016.806722689078</v>
      </c>
      <c r="K42" s="250"/>
      <c r="L42" s="14"/>
      <c r="M42" s="12"/>
      <c r="N42" s="12">
        <f>N41/O30</f>
        <v>144255.63303889663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2.8209836065573772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45373</v>
      </c>
    </row>
    <row r="6" spans="2:31" ht="16.2" thickBot="1" x14ac:dyDescent="0.35">
      <c r="B6" s="140" t="s">
        <v>2</v>
      </c>
      <c r="C6" s="139" t="str">
        <f>'2229'!C10</f>
        <v>CONSTRUCTORA MORLAN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10776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-1014075.2250334541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7530000</v>
      </c>
      <c r="E11" s="132">
        <f>D11*0.19</f>
        <v>1430700</v>
      </c>
      <c r="F11" s="131">
        <f>E11+D11</f>
        <v>8960700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-908085.22503345413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876090.09078743961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-926085.22503345413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6653909.9092125604</v>
      </c>
      <c r="E13" s="221">
        <f>(D11/D12)-1</f>
        <v>7.5950064715741181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-935085.22503345413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-974085.22503345413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1445548.6497992752</v>
      </c>
      <c r="F15" s="216">
        <f>E15-D12</f>
        <v>569458.5590118356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-974085.22503345413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-934085.22503345413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846256</v>
      </c>
      <c r="E19" s="123">
        <f>D19*0.19</f>
        <v>160788.64000000001</v>
      </c>
      <c r="F19" s="120">
        <f>SUM(D19:E19)</f>
        <v>1007044.64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846256</v>
      </c>
      <c r="E21" s="116">
        <f>SUM(E18:E20)</f>
        <v>160788.64000000001</v>
      </c>
      <c r="F21" s="115">
        <f>SUM(F18:F20)</f>
        <v>1007044.64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1269911.3599999999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7530000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846256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6653909.9092125604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6653909.9092125604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2024-03-22T17:33:34Z</cp:lastPrinted>
  <dcterms:created xsi:type="dcterms:W3CDTF">2013-03-18T13:35:42Z</dcterms:created>
  <dcterms:modified xsi:type="dcterms:W3CDTF">2024-03-26T18:34:20Z</dcterms:modified>
</cp:coreProperties>
</file>