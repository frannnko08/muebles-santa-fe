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 2024\"/>
    </mc:Choice>
  </mc:AlternateContent>
  <xr:revisionPtr revIDLastSave="0" documentId="13_ncr:1_{CCEF3EDC-82A4-4CC2-A91D-68D1CBF5CF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J24" i="1" s="1"/>
  <c r="J35" i="1"/>
  <c r="L22" i="1"/>
  <c r="M22" i="1"/>
  <c r="N22" i="1" s="1"/>
  <c r="O22" i="1" s="1"/>
  <c r="H23" i="1"/>
  <c r="V22" i="1"/>
  <c r="V21" i="1"/>
  <c r="U29" i="1"/>
  <c r="J42" i="1"/>
  <c r="L21" i="1"/>
  <c r="M21" i="1"/>
  <c r="J25" i="1" l="1"/>
  <c r="R22" i="1"/>
  <c r="L27" i="1"/>
  <c r="S21" i="1"/>
  <c r="R21" i="1"/>
  <c r="N21" i="1"/>
  <c r="O21" i="1" s="1"/>
  <c r="U35" i="1"/>
  <c r="U36" i="1" s="1"/>
  <c r="R29" i="1" l="1"/>
  <c r="O28" i="1"/>
  <c r="N34" i="1"/>
  <c r="O29" i="1" l="1"/>
  <c r="O30" i="1" s="1"/>
  <c r="O31" i="1" s="1"/>
  <c r="L33" i="1" s="1"/>
  <c r="M20" i="1"/>
  <c r="K20" i="1"/>
  <c r="N35" i="1" l="1"/>
  <c r="Q39" i="1"/>
  <c r="Q40" i="1" s="1"/>
  <c r="N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8" i="1"/>
  <c r="N37" i="1"/>
  <c r="F18" i="3" l="1"/>
  <c r="N33" i="1" l="1"/>
  <c r="N39" i="1" l="1"/>
  <c r="N40" i="1" s="1"/>
  <c r="D20" i="3"/>
  <c r="E20" i="3" s="1"/>
  <c r="E21" i="3" s="1"/>
  <c r="N42" i="1" l="1"/>
  <c r="D21" i="3"/>
  <c r="M43" i="3" s="1"/>
  <c r="D12" i="3" s="1"/>
  <c r="F20" i="3"/>
  <c r="F21" i="3" s="1"/>
  <c r="N41" i="1" l="1"/>
  <c r="P20" i="1" s="1"/>
  <c r="P22" i="1" s="1"/>
  <c r="Q22" i="1" s="1"/>
  <c r="E15" i="3"/>
  <c r="H22" i="1" l="1"/>
  <c r="P21" i="1"/>
  <c r="F15" i="3"/>
  <c r="Q21" i="1" l="1"/>
  <c r="H21" i="1" s="1"/>
  <c r="H28" i="1" l="1"/>
  <c r="D11" i="3" l="1"/>
  <c r="X9" i="3" s="1"/>
  <c r="X15" i="3" s="1"/>
  <c r="H29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<sst xmlns="http://schemas.openxmlformats.org/spreadsheetml/2006/main" count="234" uniqueCount="176">
  <si>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</si>
  <si>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</si>
  <si>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</si>
  <si>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</si>
  <si>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</si>
  <si>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</si>
  <si>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</si>
  <si>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</si>
  <si>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</si>
  <si>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</si>
  <si>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</si>
  <si>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</si>
  <si>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</si>
  <si>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</si>
  <si>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</si>
  <si>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</si>
  <si>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</si>
  <si>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</si>
  <si>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</si>
  <si>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</si>
  <si>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</si>
  <si>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</si>
  <si>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</si>
  <si>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</si>
  <si>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</si>
  <si>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</si>
  <si>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</si>
  <si>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</si>
  <si>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</si>
  <si>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</si>
  <si>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</si>
  <si>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</si>
  <si>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</si>
  <si>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</si>
  <si>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</si>
  <si>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</si>
  <si>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</si>
  <si>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</si>
  <si>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</si>
  <si>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</si>
  <si>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</si>
  <si>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</si>
  <si>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</si>
  <si>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</si>
  <si>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</si>
  <si>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</si>
  <si>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</si>
  <si>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</si>
  <si>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</si>
  <si>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</si>
  <si>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</si>
  <si>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</si>
  <si>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</si>
  <si>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</si>
  <si>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</si>
  <si>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</si>
  <si>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</si>
  <si>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</si>
  <si>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</si>
  <si>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</si>
  <si>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</si>
  <si>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</si>
  <si>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</si>
  <si>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</si>
  <si>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</si>
  <si>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</si>
  <si>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</si>
  <si>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</si>
  <si>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</si>
  <si>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</si>
  <si>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</si>
  <si>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</si>
  <si>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</si>
  <si>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</si>
  <si>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</si>
  <si>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</si>
  <si>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</si>
  <si>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</si>
  <si>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</si>
  <si>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</si>
  <si>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</si>
  <si>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</si>
  <si>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</si>
  <si>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</si>
  <si>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</si>
  <si>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</si>
  <si>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</si>
  <si>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</si>
  <si>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</si>
  <si>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</si>
  <si>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</si>
  <si>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</si>
  <si>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</si>
  <si>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</si>
  <si>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</si>
  <si>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</si>
  <si>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</si>
  <si>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</si>
  <si>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</si>
  <si>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</si>
  <si>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</si>
  <si>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</si>
  <si>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</si>
  <si>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</si>
  <si>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</si>
  <si>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</si>
  <si>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</si>
  <si>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</si>
  <si>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</si>
  <si>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</si>
  <si>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</si>
  <si>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</si>
  <si>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</si>
  <si>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</si>
  <si>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</si>
  <si>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</si>
  <si>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</si>
  <si>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</si>
  <si>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</si>
  <si>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</si>
  <si>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</si>
  <si>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</si>
  <si>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</si>
  <si>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</si>
  <si>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</si>
  <si>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</si>
  <si>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</si>
  <si>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</si>
  <si>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</si>
  <si>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</si>
  <si>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</si>
  <si>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</si>
  <si>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</si>
  <si>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</si>
  <si>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</si>
  <si>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</si>
  <si>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</si>
  <si>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</si>
  <si>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</si>
  <si>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</si>
  <si>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</si>
  <si>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</si>
  <si>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</si>
  <si>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</si>
  <si>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</si>
  <si>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</si>
  <si>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</si>
  <si>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</si>
  <si>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</si>
  <si>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</si>
  <si>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</si>
  <si>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</si>
  <si>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</si>
  <si>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</si>
  <si>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</si>
  <si>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</si>
  <si>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</si>
  <si>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</si>
  <si>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</si>
  <si>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</si>
  <si>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</si>
  <si>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</si>
  <si>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</si>
  <si>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</si>
  <si>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</si>
  <si>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SANTIAGO</t>
  </si>
  <si>
    <t>N° 10651</t>
  </si>
  <si>
    <t>CONSTRUCTORA CERRO BAYO S.A.</t>
  </si>
  <si>
    <t>HIROSHI MATSUMOTO</t>
  </si>
  <si>
    <t>+569 9827 1234</t>
  </si>
  <si>
    <t>15 DIAS HABILES</t>
  </si>
  <si>
    <t>PERFIL NEGRO</t>
  </si>
  <si>
    <t>ENCHAPE 2 CARAS MDF 20MM DOBLE</t>
  </si>
  <si>
    <t>SERVICIO INSTALACION</t>
  </si>
  <si>
    <t>OLIVE ELM 1503 UP</t>
  </si>
  <si>
    <t>DESCTO. 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</si>
</sst>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11" fillId="0" borderId="0" xfId="2" applyNumberFormat="1" applyFont="1" applyFill="1" applyBorder="1" applyAlignment="1">
      <alignment horizontal="center" vertical="center"/>
    </xf>
    <xf numFmtId="42" fontId="21" fillId="0" borderId="0" xfId="0" applyNumberFormat="1" applyFont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0" borderId="1" xfId="4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31</xdr:row>
      <xdr:rowOff>26670</xdr:rowOff>
    </xdr:from>
    <xdr:to>
      <xdr:col>7</xdr:col>
      <xdr:colOff>1034435</xdr:colOff>
      <xdr:row>34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1714500</xdr:colOff>
      <xdr:row>34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8194</xdr:colOff>
      <xdr:row>26</xdr:row>
      <xdr:rowOff>9525</xdr:rowOff>
    </xdr:from>
    <xdr:to>
      <xdr:col>5</xdr:col>
      <xdr:colOff>1635064</xdr:colOff>
      <xdr:row>29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871" y="4827331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4"/>
  <sheetViews>
    <sheetView tabSelected="1" topLeftCell="A19" zoomScale="93" zoomScaleNormal="93" workbookViewId="0">
      <selection activeCell="M37" sqref="M37"/>
    </sheetView>
  </sheetViews>
  <sheetFormatPr baseColWidth="10" defaultRowHeight="14.4" x14ac:dyDescent="0.3"/>
  <cols>
    <col min="1" max="1" width="6" customWidth="1"/>
    <col min="2" max="2" width="10.5546875" customWidth="1"/>
    <col min="3" max="3" width="39.21875" customWidth="1"/>
    <col min="4" max="4" width="12.3320312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138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124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126</v>
      </c>
      <c r="C8" s="302"/>
      <c r="D8" s="303" t="s">
        <v>166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9" t="s">
        <v>162</v>
      </c>
      <c r="C10" s="279" t="s">
        <v>167</v>
      </c>
      <c r="D10" s="243"/>
      <c r="E10" s="243"/>
      <c r="F10" s="244" t="s">
        <v>0</v>
      </c>
      <c r="G10" s="277">
        <v>45384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123</v>
      </c>
      <c r="G11" s="289" t="s">
        <v>170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28"/>
      <c r="D12" s="247"/>
      <c r="E12" s="247"/>
      <c r="F12" s="247" t="s">
        <v>127</v>
      </c>
      <c r="G12" s="278" t="s">
        <v>135</v>
      </c>
      <c r="H12" s="248"/>
      <c r="P12" s="19"/>
      <c r="Q12" s="25"/>
      <c r="R12" s="19"/>
    </row>
    <row r="13" spans="2:23" x14ac:dyDescent="0.3">
      <c r="B13" s="246" t="s">
        <v>146</v>
      </c>
      <c r="C13" s="247" t="s">
        <v>168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139</v>
      </c>
      <c r="C14" s="307"/>
      <c r="F14" s="29" t="s">
        <v>136</v>
      </c>
      <c r="G14" s="291" t="s">
        <v>135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9" t="s">
        <v>169</v>
      </c>
      <c r="D15" s="295"/>
      <c r="E15" s="247"/>
      <c r="F15" s="247" t="s">
        <v>134</v>
      </c>
      <c r="G15" s="296" t="s">
        <v>135</v>
      </c>
      <c r="H15" s="248"/>
    </row>
    <row r="16" spans="2:23" ht="16.8" x14ac:dyDescent="0.4">
      <c r="B16" s="292" t="s">
        <v>3</v>
      </c>
      <c r="C16" s="312"/>
      <c r="F16" s="293" t="s">
        <v>129</v>
      </c>
      <c r="G16" s="294" t="s">
        <v>163</v>
      </c>
      <c r="H16" s="290"/>
    </row>
    <row r="17" spans="2:24" ht="15" thickBot="1" x14ac:dyDescent="0.35">
      <c r="B17" s="297" t="s">
        <v>13</v>
      </c>
      <c r="C17" s="298" t="s">
        <v>165</v>
      </c>
      <c r="D17" s="299"/>
      <c r="E17" s="300"/>
      <c r="F17" s="334" t="s">
        <v>164</v>
      </c>
      <c r="G17" s="334"/>
      <c r="H17" s="335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6" t="s">
        <v>147</v>
      </c>
      <c r="C19" s="337"/>
      <c r="D19" s="337"/>
      <c r="E19" s="337"/>
      <c r="F19" s="337"/>
      <c r="G19" s="337"/>
      <c r="H19" s="338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133</v>
      </c>
      <c r="R19" s="10" t="s">
        <v>137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21" t="s">
        <v>1</v>
      </c>
      <c r="D20" s="321" t="s">
        <v>10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5"/>
      <c r="J20" s="47"/>
      <c r="K20" s="268" t="str">
        <f>B20</f>
        <v>UNIDAD</v>
      </c>
      <c r="L20" s="267" t="s">
        <v>131</v>
      </c>
      <c r="M20" s="39" t="str">
        <f t="shared" ref="M20" si="0">E20</f>
        <v>ANCHO</v>
      </c>
      <c r="N20" s="261" t="s">
        <v>132</v>
      </c>
      <c r="O20" s="259" t="s">
        <v>17</v>
      </c>
      <c r="P20" s="252">
        <f>N41</f>
        <v>274841.29093497869</v>
      </c>
      <c r="Q20" s="258">
        <v>3000</v>
      </c>
      <c r="R20" s="38"/>
      <c r="S20" s="14" t="s">
        <v>128</v>
      </c>
      <c r="T20" s="9"/>
      <c r="V20">
        <v>86</v>
      </c>
      <c r="W20" s="4"/>
    </row>
    <row r="21" spans="2:24" ht="18" thickBot="1" x14ac:dyDescent="0.35">
      <c r="B21" s="323">
        <v>43</v>
      </c>
      <c r="C21" s="324" t="s">
        <v>172</v>
      </c>
      <c r="D21" s="325">
        <v>2.4</v>
      </c>
      <c r="E21" s="325">
        <v>0.16</v>
      </c>
      <c r="F21" s="324" t="s">
        <v>174</v>
      </c>
      <c r="G21" s="326">
        <v>96087</v>
      </c>
      <c r="H21" s="327">
        <f>G21*B21</f>
        <v>4131741</v>
      </c>
      <c r="I21" s="265"/>
      <c r="J21" s="47"/>
      <c r="K21" s="47">
        <v>43</v>
      </c>
      <c r="L21" s="39">
        <f t="shared" ref="L21" si="1">D21+L$19</f>
        <v>2.4499999999999997</v>
      </c>
      <c r="M21" s="39">
        <f t="shared" ref="M21" si="2">E21+M$19</f>
        <v>0.16</v>
      </c>
      <c r="N21" s="261">
        <f t="shared" ref="N21" si="3">L21*M21</f>
        <v>0.39199999999999996</v>
      </c>
      <c r="O21" s="259">
        <f t="shared" ref="O21:O22" si="4">N21*K21</f>
        <v>16.855999999999998</v>
      </c>
      <c r="P21" s="252">
        <f>P$20*N21</f>
        <v>107737.78604651164</v>
      </c>
      <c r="Q21" s="258">
        <f t="shared" ref="Q21" si="5">P21+Q$20</f>
        <v>110737.78604651164</v>
      </c>
      <c r="R21" s="309">
        <f>L21*K21*2</f>
        <v>210.7</v>
      </c>
      <c r="S21" s="46">
        <f>M21*K21*2</f>
        <v>13.76</v>
      </c>
      <c r="T21" s="9"/>
      <c r="V21">
        <f>V20/7.5</f>
        <v>11.466666666666667</v>
      </c>
      <c r="W21" s="4"/>
    </row>
    <row r="22" spans="2:24" ht="18" thickBot="1" x14ac:dyDescent="0.35">
      <c r="B22" s="323">
        <v>26</v>
      </c>
      <c r="C22" s="324" t="s">
        <v>172</v>
      </c>
      <c r="D22" s="325">
        <v>2.6</v>
      </c>
      <c r="E22" s="325">
        <v>0.16</v>
      </c>
      <c r="F22" s="324" t="s">
        <v>174</v>
      </c>
      <c r="G22" s="326">
        <v>103931</v>
      </c>
      <c r="H22" s="327">
        <f>G22*B22</f>
        <v>2702206</v>
      </c>
      <c r="I22" s="265"/>
      <c r="J22" s="47"/>
      <c r="K22" s="47"/>
      <c r="L22" s="39">
        <f t="shared" ref="L22" si="6">D22+L$19</f>
        <v>2.65</v>
      </c>
      <c r="M22" s="39">
        <f t="shared" ref="M22" si="7">E22+M$19</f>
        <v>0.16</v>
      </c>
      <c r="N22" s="261">
        <f t="shared" ref="N22" si="8">L22*M22</f>
        <v>0.42399999999999999</v>
      </c>
      <c r="O22" s="259">
        <f t="shared" si="4"/>
        <v>0</v>
      </c>
      <c r="P22" s="252">
        <f>P$20*N22</f>
        <v>116532.70735643097</v>
      </c>
      <c r="Q22" s="258">
        <f t="shared" ref="Q22" si="9">P22+Q$20</f>
        <v>119532.70735643097</v>
      </c>
      <c r="R22" s="309">
        <f>L22*K22*2</f>
        <v>0</v>
      </c>
      <c r="S22" s="46"/>
      <c r="T22" s="9"/>
      <c r="V22">
        <f>V20/V28</f>
        <v>1.6226415094339623</v>
      </c>
      <c r="W22" s="4"/>
    </row>
    <row r="23" spans="2:24" ht="17.399999999999999" x14ac:dyDescent="0.3">
      <c r="B23" s="323">
        <v>1</v>
      </c>
      <c r="C23" s="324" t="s">
        <v>173</v>
      </c>
      <c r="D23" s="325"/>
      <c r="E23" s="325"/>
      <c r="F23" s="324"/>
      <c r="G23" s="326">
        <v>580000</v>
      </c>
      <c r="H23" s="327">
        <f>G23*B23</f>
        <v>580000</v>
      </c>
      <c r="J23" s="265"/>
      <c r="K23" s="47"/>
      <c r="L23" s="39"/>
      <c r="M23" s="39"/>
      <c r="N23" s="261"/>
      <c r="O23" s="259"/>
      <c r="P23" s="252"/>
      <c r="Q23" s="258"/>
      <c r="R23" s="309"/>
      <c r="S23" s="46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32" t="s">
        <v>175</v>
      </c>
      <c r="H24" s="333">
        <v>-1112092</v>
      </c>
      <c r="J24" s="331">
        <f>H27*15%</f>
        <v>945278.25</v>
      </c>
      <c r="K24" s="47"/>
      <c r="L24" s="39"/>
      <c r="M24" s="39"/>
      <c r="N24" s="261"/>
      <c r="O24" s="259"/>
      <c r="P24" s="252"/>
      <c r="Q24" s="258"/>
      <c r="R24" s="309"/>
      <c r="S24" s="46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30"/>
      <c r="H25" s="330"/>
      <c r="J25" s="331">
        <f>H27-J27</f>
        <v>188855</v>
      </c>
      <c r="K25" s="47"/>
      <c r="L25" s="39"/>
      <c r="M25" s="39"/>
      <c r="N25" s="261"/>
      <c r="O25" s="259"/>
      <c r="P25" s="252"/>
      <c r="Q25" s="258"/>
      <c r="R25" s="309"/>
      <c r="S25" s="46"/>
      <c r="T25" s="9"/>
      <c r="W25" s="4"/>
    </row>
    <row r="26" spans="2:24" ht="18" thickBot="1" x14ac:dyDescent="0.35">
      <c r="B26" s="286"/>
      <c r="C26" s="286"/>
      <c r="D26" s="287"/>
      <c r="E26" s="287"/>
      <c r="F26" s="286"/>
      <c r="G26" s="265"/>
      <c r="H26" s="233"/>
      <c r="J26" s="233"/>
      <c r="K26" s="47"/>
      <c r="L26" s="39"/>
      <c r="M26" s="39"/>
      <c r="N26" s="261"/>
      <c r="O26" s="259"/>
      <c r="P26" s="252"/>
      <c r="Q26" s="258"/>
      <c r="R26" s="309"/>
      <c r="S26" s="14"/>
      <c r="T26" s="9"/>
      <c r="W26" s="4"/>
    </row>
    <row r="27" spans="2:24" ht="17.399999999999999" x14ac:dyDescent="0.3">
      <c r="B27" s="286"/>
      <c r="C27" s="286"/>
      <c r="D27" s="287"/>
      <c r="E27" s="287"/>
      <c r="F27" s="286"/>
      <c r="G27" s="310" t="s">
        <v>29</v>
      </c>
      <c r="H27" s="311">
        <f>SUM(H21:H24)</f>
        <v>6301855</v>
      </c>
      <c r="J27" s="265">
        <v>6113000</v>
      </c>
      <c r="K27" s="47"/>
      <c r="L27" s="39">
        <f>SUM(L21:L26)</f>
        <v>5.0999999999999996</v>
      </c>
      <c r="M27" s="39"/>
      <c r="N27" s="261"/>
      <c r="O27" s="259"/>
      <c r="P27" s="252"/>
      <c r="Q27" s="258"/>
      <c r="R27" s="309"/>
      <c r="S27" s="14"/>
      <c r="T27" s="9"/>
      <c r="U27">
        <v>1220</v>
      </c>
      <c r="W27" s="4"/>
    </row>
    <row r="28" spans="2:24" ht="17.399999999999999" x14ac:dyDescent="0.3">
      <c r="B28" s="280"/>
      <c r="C28" s="283"/>
      <c r="D28" s="284"/>
      <c r="E28" s="284"/>
      <c r="F28" s="285"/>
      <c r="G28" s="308" t="s">
        <v>51</v>
      </c>
      <c r="H28" s="305">
        <f>H27*19%</f>
        <v>1197352.45</v>
      </c>
      <c r="J28" s="265">
        <v>5500000</v>
      </c>
      <c r="K28" s="47"/>
      <c r="L28" s="39"/>
      <c r="M28" s="12"/>
      <c r="N28" s="12"/>
      <c r="O28" s="253">
        <f>SUM(O21:O22)</f>
        <v>16.855999999999998</v>
      </c>
      <c r="P28" s="14"/>
      <c r="Q28" s="12"/>
      <c r="R28" s="239"/>
      <c r="S28" s="14"/>
      <c r="T28" s="9"/>
      <c r="V28">
        <v>53</v>
      </c>
      <c r="W28" s="4"/>
    </row>
    <row r="29" spans="2:24" ht="18" thickBot="1" x14ac:dyDescent="0.35">
      <c r="B29" s="276"/>
      <c r="C29" s="282"/>
      <c r="D29" s="272"/>
      <c r="E29" s="272"/>
      <c r="F29" s="273"/>
      <c r="G29" s="281" t="s">
        <v>6</v>
      </c>
      <c r="H29" s="306">
        <f>H27+H28</f>
        <v>7499207.4500000002</v>
      </c>
      <c r="I29" s="265"/>
      <c r="J29" s="47"/>
      <c r="K29" s="47"/>
      <c r="L29" s="39"/>
      <c r="M29" s="12"/>
      <c r="N29" s="12"/>
      <c r="O29" s="253">
        <f>O28</f>
        <v>16.855999999999998</v>
      </c>
      <c r="P29" s="14"/>
      <c r="Q29" s="12"/>
      <c r="R29" s="239">
        <f>SUM(R21:R28)</f>
        <v>210.7</v>
      </c>
      <c r="S29" s="14"/>
      <c r="T29" s="9"/>
      <c r="U29">
        <f>U27/V28</f>
        <v>23.018867924528301</v>
      </c>
      <c r="W29" s="4"/>
    </row>
    <row r="30" spans="2:24" ht="17.399999999999999" x14ac:dyDescent="0.3">
      <c r="B30" s="276"/>
      <c r="C30" s="271"/>
      <c r="D30" s="272"/>
      <c r="E30" s="272"/>
      <c r="F30" s="273"/>
      <c r="I30" s="265"/>
      <c r="J30" s="47"/>
      <c r="K30" s="47"/>
      <c r="L30" s="14"/>
      <c r="M30" s="12"/>
      <c r="N30" s="12"/>
      <c r="O30" s="39">
        <f>O29*20%</f>
        <v>3.3712</v>
      </c>
      <c r="P30" s="39" t="s">
        <v>130</v>
      </c>
      <c r="Q30" s="42"/>
      <c r="R30" s="240"/>
      <c r="S30" s="14"/>
      <c r="T30" s="9"/>
      <c r="W30" s="4"/>
    </row>
    <row r="31" spans="2:24" ht="17.399999999999999" x14ac:dyDescent="0.3">
      <c r="B31" s="271"/>
      <c r="C31" s="271"/>
      <c r="D31" s="272"/>
      <c r="E31" s="272"/>
      <c r="F31" s="273"/>
      <c r="G31" s="274"/>
      <c r="H31" s="275"/>
      <c r="I31" s="265"/>
      <c r="J31" s="47">
        <v>16</v>
      </c>
      <c r="K31" s="47"/>
      <c r="L31" s="14"/>
      <c r="M31" s="12"/>
      <c r="N31" s="12"/>
      <c r="O31" s="46">
        <f>O29+O30</f>
        <v>20.227199999999996</v>
      </c>
      <c r="P31" s="14"/>
      <c r="Q31" s="14"/>
      <c r="R31" s="238">
        <v>40</v>
      </c>
      <c r="S31" s="14"/>
      <c r="T31" s="9"/>
      <c r="W31" s="4"/>
    </row>
    <row r="32" spans="2:24" ht="17.399999999999999" x14ac:dyDescent="0.35">
      <c r="B32" s="269"/>
      <c r="C32" s="230"/>
      <c r="D32" s="230"/>
      <c r="E32" s="233"/>
      <c r="F32" s="234"/>
      <c r="G32" s="230"/>
      <c r="H32" s="275"/>
      <c r="I32" s="265"/>
      <c r="J32" s="47">
        <v>16</v>
      </c>
      <c r="K32" s="47"/>
      <c r="L32" s="14"/>
      <c r="M32" s="14"/>
      <c r="N32" s="14"/>
      <c r="O32" s="14"/>
      <c r="P32" s="14"/>
      <c r="Q32" s="14"/>
      <c r="R32" s="238"/>
      <c r="S32" s="14"/>
      <c r="T32" s="316" t="s">
        <v>22</v>
      </c>
      <c r="U32" s="313" t="s">
        <v>152</v>
      </c>
      <c r="V32" s="317">
        <v>44971</v>
      </c>
      <c r="W32" s="318"/>
    </row>
    <row r="33" spans="2:23" ht="17.399999999999999" x14ac:dyDescent="0.35">
      <c r="B33" s="235"/>
      <c r="C33" s="236"/>
      <c r="D33" s="237"/>
      <c r="E33" s="235"/>
      <c r="F33" s="230"/>
      <c r="G33" s="230"/>
      <c r="I33" s="265"/>
      <c r="J33" s="47">
        <v>6</v>
      </c>
      <c r="K33" s="47"/>
      <c r="L33" s="39">
        <f>O31*3</f>
        <v>60.681599999999989</v>
      </c>
      <c r="M33" s="12">
        <v>2500</v>
      </c>
      <c r="N33" s="12">
        <f t="shared" ref="N33:N38" si="10">L33*M33</f>
        <v>151703.99999999997</v>
      </c>
      <c r="O33" s="14" t="s">
        <v>22</v>
      </c>
      <c r="P33" s="14"/>
      <c r="Q33" s="14"/>
      <c r="R33" s="241"/>
      <c r="S33" s="14"/>
      <c r="T33" s="316" t="s">
        <v>153</v>
      </c>
      <c r="U33" s="313">
        <v>3625</v>
      </c>
      <c r="V33" s="59" t="s">
        <v>154</v>
      </c>
      <c r="W33" s="318"/>
    </row>
    <row r="34" spans="2:23" ht="17.399999999999999" x14ac:dyDescent="0.35">
      <c r="B34" s="230"/>
      <c r="C34" s="230"/>
      <c r="D34" s="230"/>
      <c r="E34" s="230"/>
      <c r="F34" s="230"/>
      <c r="G34" s="230"/>
      <c r="I34" s="265"/>
      <c r="J34" s="47">
        <v>6</v>
      </c>
      <c r="K34" s="47"/>
      <c r="L34" s="249">
        <v>12</v>
      </c>
      <c r="M34" s="12">
        <v>28000</v>
      </c>
      <c r="N34" s="12">
        <f t="shared" si="10"/>
        <v>336000</v>
      </c>
      <c r="O34" s="39" t="s">
        <v>31</v>
      </c>
      <c r="P34" s="42"/>
      <c r="Q34" s="14"/>
      <c r="R34" s="240"/>
      <c r="S34" s="14"/>
      <c r="T34" s="316"/>
      <c r="U34" s="59">
        <v>906.25</v>
      </c>
      <c r="V34" s="59" t="s">
        <v>155</v>
      </c>
      <c r="W34" s="318"/>
    </row>
    <row r="35" spans="2:23" s="230" customFormat="1" ht="17.399999999999999" x14ac:dyDescent="0.35">
      <c r="I35" s="262"/>
      <c r="J35" s="232">
        <f>SUM(J31:J34)</f>
        <v>44</v>
      </c>
      <c r="K35" s="250"/>
      <c r="L35" s="14">
        <v>6</v>
      </c>
      <c r="M35" s="250">
        <v>26000</v>
      </c>
      <c r="N35" s="12">
        <f t="shared" si="10"/>
        <v>156000</v>
      </c>
      <c r="O35" s="39" t="s">
        <v>171</v>
      </c>
      <c r="P35" s="42"/>
      <c r="R35" s="240"/>
      <c r="S35" s="256"/>
      <c r="T35" s="59"/>
      <c r="U35" s="59">
        <f>U34*20%</f>
        <v>181.25</v>
      </c>
      <c r="V35" s="318" t="s">
        <v>156</v>
      </c>
      <c r="W35" s="59"/>
    </row>
    <row r="36" spans="2:23" s="230" customFormat="1" ht="17.399999999999999" x14ac:dyDescent="0.35">
      <c r="B36" s="24" t="s">
        <v>151</v>
      </c>
      <c r="I36" s="262"/>
      <c r="J36" s="232"/>
      <c r="K36" s="250"/>
      <c r="L36" s="14">
        <v>30</v>
      </c>
      <c r="M36" s="250">
        <v>44436</v>
      </c>
      <c r="N36" s="12">
        <f t="shared" si="10"/>
        <v>1333080</v>
      </c>
      <c r="O36" s="14" t="s">
        <v>141</v>
      </c>
      <c r="P36" s="17"/>
      <c r="R36" s="238"/>
      <c r="S36" s="256"/>
      <c r="T36" s="59"/>
      <c r="U36" s="59">
        <f>U34+U35</f>
        <v>1087.5</v>
      </c>
      <c r="V36" s="318" t="s">
        <v>157</v>
      </c>
      <c r="W36" s="59"/>
    </row>
    <row r="37" spans="2:23" s="230" customFormat="1" ht="17.399999999999999" x14ac:dyDescent="0.35">
      <c r="B37" s="24" t="s">
        <v>144</v>
      </c>
      <c r="C37"/>
      <c r="D37"/>
      <c r="E37"/>
      <c r="F37"/>
      <c r="I37" s="262"/>
      <c r="K37" s="250"/>
      <c r="L37" s="249">
        <v>43</v>
      </c>
      <c r="M37" s="250">
        <v>3000</v>
      </c>
      <c r="N37" s="12">
        <f t="shared" si="10"/>
        <v>129000</v>
      </c>
      <c r="O37" s="14" t="s">
        <v>32</v>
      </c>
      <c r="P37" s="14"/>
      <c r="Q37" s="230">
        <v>1.52</v>
      </c>
      <c r="R37" s="238"/>
      <c r="S37" s="238"/>
    </row>
    <row r="38" spans="2:23" s="230" customFormat="1" ht="17.399999999999999" x14ac:dyDescent="0.35">
      <c r="B38" s="29" t="s">
        <v>125</v>
      </c>
      <c r="C38"/>
      <c r="D38"/>
      <c r="E38"/>
      <c r="F38" s="229" t="s">
        <v>16</v>
      </c>
      <c r="I38" s="304"/>
      <c r="K38" s="250"/>
      <c r="L38" s="266"/>
      <c r="M38" s="12">
        <v>1500</v>
      </c>
      <c r="N38" s="12">
        <f t="shared" si="10"/>
        <v>0</v>
      </c>
      <c r="O38" s="14" t="s">
        <v>23</v>
      </c>
      <c r="P38" s="14"/>
      <c r="Q38">
        <v>2.44</v>
      </c>
      <c r="R38"/>
      <c r="S38" s="238"/>
      <c r="W38" s="231"/>
    </row>
    <row r="39" spans="2:23" s="230" customFormat="1" ht="17.399999999999999" x14ac:dyDescent="0.35">
      <c r="K39" s="250"/>
      <c r="L39" s="14"/>
      <c r="M39" s="12"/>
      <c r="N39" s="12">
        <f>SUM(N33:N38)</f>
        <v>2105784</v>
      </c>
      <c r="O39" s="39" t="s">
        <v>24</v>
      </c>
      <c r="P39" s="14"/>
      <c r="Q39">
        <f>Q37*Q38</f>
        <v>3.7088000000000001</v>
      </c>
      <c r="R39"/>
      <c r="S39" s="238"/>
      <c r="W39" s="231"/>
    </row>
    <row r="40" spans="2:23" s="230" customFormat="1" ht="17.399999999999999" x14ac:dyDescent="0.35">
      <c r="K40" s="250"/>
      <c r="L40" s="254" t="s">
        <v>33</v>
      </c>
      <c r="M40" s="12"/>
      <c r="N40" s="255">
        <f>N39*2.2</f>
        <v>4632724.8000000007</v>
      </c>
      <c r="O40" s="14" t="s">
        <v>140</v>
      </c>
      <c r="P40" s="14"/>
      <c r="Q40" s="40">
        <f>O31/Q39</f>
        <v>5.4538395168248481</v>
      </c>
      <c r="R40"/>
      <c r="S40" s="257"/>
    </row>
    <row r="41" spans="2:23" s="230" customFormat="1" ht="17.399999999999999" x14ac:dyDescent="0.35">
      <c r="G41"/>
      <c r="H41" s="260"/>
      <c r="I41" s="260"/>
      <c r="J41" s="230">
        <v>65630</v>
      </c>
      <c r="K41" s="250"/>
      <c r="L41" s="14"/>
      <c r="M41" s="12"/>
      <c r="N41" s="12">
        <f>N40/O29</f>
        <v>274841.29093497869</v>
      </c>
      <c r="O41" s="45" t="s">
        <v>25</v>
      </c>
      <c r="P41" s="14"/>
      <c r="Q41" s="14"/>
      <c r="R41"/>
      <c r="S41" s="238"/>
      <c r="T41" s="59" t="s">
        <v>158</v>
      </c>
      <c r="U41" s="313">
        <v>43650</v>
      </c>
    </row>
    <row r="42" spans="2:23" s="230" customFormat="1" ht="17.399999999999999" x14ac:dyDescent="0.35">
      <c r="G42"/>
      <c r="J42" s="230">
        <f>J41/1.19</f>
        <v>55151.26050420168</v>
      </c>
      <c r="K42" s="250"/>
      <c r="L42" s="13"/>
      <c r="M42" s="14"/>
      <c r="N42" s="17">
        <f>N40/N39</f>
        <v>2.2000000000000002</v>
      </c>
      <c r="O42" s="15"/>
      <c r="P42"/>
      <c r="Q42"/>
      <c r="R42"/>
      <c r="S42" s="238"/>
      <c r="T42" s="59" t="s">
        <v>160</v>
      </c>
      <c r="U42" s="314" t="s">
        <v>159</v>
      </c>
      <c r="V42" s="59">
        <v>2.4</v>
      </c>
    </row>
    <row r="43" spans="2:23" s="230" customFormat="1" ht="17.399999999999999" x14ac:dyDescent="0.35">
      <c r="G43" s="23"/>
      <c r="K43" s="12"/>
      <c r="S43" s="238"/>
      <c r="T43" s="59" t="s">
        <v>161</v>
      </c>
      <c r="U43" s="315">
        <v>395.37</v>
      </c>
    </row>
    <row r="44" spans="2:23" s="230" customFormat="1" ht="17.399999999999999" x14ac:dyDescent="0.35">
      <c r="B44"/>
      <c r="C44" s="228"/>
      <c r="D44" s="22"/>
      <c r="E44" s="22"/>
      <c r="F44" s="21"/>
      <c r="G44" s="23"/>
      <c r="K44" s="12"/>
      <c r="S44" s="238"/>
      <c r="T44" s="59" t="s">
        <v>156</v>
      </c>
      <c r="U44" s="59">
        <v>474.45</v>
      </c>
    </row>
    <row r="45" spans="2:23" ht="14.4" customHeight="1" x14ac:dyDescent="0.3">
      <c r="K45" s="12"/>
      <c r="T45" s="59"/>
      <c r="U45" s="59"/>
    </row>
    <row r="46" spans="2:23" x14ac:dyDescent="0.3">
      <c r="K46" s="250"/>
    </row>
    <row r="47" spans="2:23" x14ac:dyDescent="0.3">
      <c r="K47" s="250"/>
      <c r="S47" s="270"/>
    </row>
    <row r="48" spans="2:23" x14ac:dyDescent="0.3">
      <c r="K48" s="250"/>
    </row>
    <row r="49" spans="14:19" ht="15" customHeight="1" x14ac:dyDescent="0.3"/>
    <row r="51" spans="14:19" x14ac:dyDescent="0.3">
      <c r="N51">
        <v>40935</v>
      </c>
      <c r="O51" t="s">
        <v>17</v>
      </c>
      <c r="P51" t="s">
        <v>27</v>
      </c>
    </row>
    <row r="53" spans="14:19" x14ac:dyDescent="0.3">
      <c r="N53" s="54"/>
      <c r="O53" s="54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2" spans="14:19" x14ac:dyDescent="0.3">
      <c r="R62" s="18"/>
      <c r="S62" s="18"/>
    </row>
    <row r="65" spans="3:14" x14ac:dyDescent="0.3">
      <c r="N65" s="43"/>
    </row>
    <row r="66" spans="3:14" x14ac:dyDescent="0.3">
      <c r="N66" s="43"/>
    </row>
    <row r="67" spans="3:14" x14ac:dyDescent="0.3">
      <c r="N67" s="6"/>
    </row>
    <row r="68" spans="3:14" x14ac:dyDescent="0.3">
      <c r="N68" s="6"/>
    </row>
    <row r="76" spans="3:14" x14ac:dyDescent="0.3">
      <c r="C76" t="s">
        <v>148</v>
      </c>
    </row>
    <row r="77" spans="3:14" x14ac:dyDescent="0.3">
      <c r="C77" t="s">
        <v>147</v>
      </c>
    </row>
    <row r="80" spans="3:14" x14ac:dyDescent="0.3">
      <c r="C80" t="s">
        <v>147</v>
      </c>
    </row>
    <row r="157" spans="3:3" x14ac:dyDescent="0.3">
      <c r="C157" t="s">
        <v>147</v>
      </c>
    </row>
    <row r="158" spans="3:3" x14ac:dyDescent="0.3">
      <c r="C158" t="s">
        <v>149</v>
      </c>
    </row>
    <row r="159" spans="3:3" x14ac:dyDescent="0.3">
      <c r="C159" t="s">
        <v>150</v>
      </c>
    </row>
    <row r="584" spans="3:3" x14ac:dyDescent="0.3">
      <c r="C584" t="s">
        <v>147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45384</v>
      </c>
    </row>
    <row r="6" spans="2:31" ht="16.2" thickBot="1" x14ac:dyDescent="0.35">
      <c r="B6" s="140" t="s">
        <v>2</v>
      </c>
      <c r="C6" s="139" t="str">
        <f>'2229'!C10</f>
        <v>CONSTRUCTORA CERRO BAYO S.A.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10651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-865086.19170012081</v>
      </c>
    </row>
    <row r="10" spans="2:31" ht="16.2" thickBot="1" x14ac:dyDescent="0.35">
      <c r="D10" s="218" t="s">
        <v>29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'2229'!H27</f>
        <v>6301855</v>
      </c>
      <c r="E11" s="132">
        <f>D11*0.19</f>
        <v>1197352.45</v>
      </c>
      <c r="F11" s="131">
        <f>E11+D11</f>
        <v>7499207.4500000002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-759096.19170012081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673538.09078743961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-777096.19170012081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5628316.9092125604</v>
      </c>
      <c r="E13" s="221">
        <f>(D11/D12)-1</f>
        <v>8.3563453740714841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-786096.19170012081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29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-825096.19170012081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1111337.8497992754</v>
      </c>
      <c r="F15" s="216">
        <f>E15-D12</f>
        <v>437799.75901183579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-825096.19170012081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-785096.19170012081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29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'2229'!N35</f>
        <v>156000</v>
      </c>
      <c r="E18" s="123">
        <f>D18*0.19</f>
        <v>29640</v>
      </c>
      <c r="F18" s="120">
        <f>SUM(D18:E18)</f>
        <v>185640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'2229'!N34</f>
        <v>336000</v>
      </c>
      <c r="E19" s="123">
        <f>D19*0.19</f>
        <v>63840</v>
      </c>
      <c r="F19" s="120">
        <f>SUM(D19:E19)</f>
        <v>399840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'2229'!N33</f>
        <v>151703.99999999997</v>
      </c>
      <c r="E20" s="121">
        <f>D20*0.19</f>
        <v>28823.759999999995</v>
      </c>
      <c r="F20" s="120">
        <f>SUM(D20:E20)</f>
        <v>180527.75999999995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643704</v>
      </c>
      <c r="E21" s="116">
        <f>SUM(E18:E20)</f>
        <v>122303.76</v>
      </c>
      <c r="F21" s="115">
        <f>SUM(F18:F20)</f>
        <v>766007.76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1075048.69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6301855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643704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5628316.9092125604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5628316.9092125604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2024-03-04T20:21:27Z</cp:lastPrinted>
  <dcterms:created xsi:type="dcterms:W3CDTF">2013-03-18T13:35:42Z</dcterms:created>
  <dcterms:modified xsi:type="dcterms:W3CDTF">2024-04-17T18:46:22Z</dcterms:modified>
</cp:coreProperties>
</file>