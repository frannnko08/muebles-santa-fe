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3 MARZO 2024\"/>
    </mc:Choice>
  </mc:AlternateContent>
  <xr:revisionPtr revIDLastSave="0" documentId="13_ncr:1_{19DD09E9-5FE7-445A-BB63-30AD074F403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4" i="1" l="1"/>
  <c r="H29" i="1" s="1"/>
  <c r="H25" i="1"/>
  <c r="H26" i="1"/>
  <c r="H22" i="1" l="1"/>
  <c r="H23" i="1"/>
  <c r="L22" i="1"/>
  <c r="M22" i="1"/>
  <c r="N22" i="1"/>
  <c r="O22" i="1"/>
  <c r="L23" i="1"/>
  <c r="M23" i="1"/>
  <c r="N23" i="1"/>
  <c r="P22" i="1" l="1"/>
  <c r="O23" i="1"/>
  <c r="P23" i="1" s="1"/>
  <c r="O36" i="1" l="1"/>
  <c r="O37" i="1"/>
  <c r="M21" i="1"/>
  <c r="O38" i="1"/>
  <c r="O39" i="1"/>
  <c r="N21" i="1"/>
  <c r="L21" i="1"/>
  <c r="H21" i="1"/>
  <c r="T40" i="1"/>
  <c r="T41" i="1" s="1"/>
  <c r="R40" i="1"/>
  <c r="O35" i="1"/>
  <c r="S29" i="1"/>
  <c r="S31" i="1" s="1"/>
  <c r="O21" i="1" l="1"/>
  <c r="P21" i="1" s="1"/>
  <c r="P29" i="1" s="1"/>
  <c r="M30" i="1"/>
  <c r="Q21" i="1" l="1"/>
  <c r="Q22" i="1" s="1"/>
  <c r="P30" i="1"/>
  <c r="P31" i="1" s="1"/>
  <c r="P32" i="1" s="1"/>
  <c r="M34" i="1" s="1"/>
  <c r="Q23" i="1" l="1"/>
  <c r="O34" i="1"/>
  <c r="O40" i="1" s="1"/>
  <c r="O41" i="1" s="1"/>
  <c r="R41" i="1"/>
  <c r="O43" i="1" l="1"/>
  <c r="O42" i="1"/>
  <c r="R21" i="1" l="1"/>
  <c r="R22" i="1" s="1"/>
  <c r="R23" i="1" s="1"/>
  <c r="I41" i="1"/>
  <c r="L16" i="1" l="1"/>
  <c r="H30" i="1" l="1"/>
  <c r="C7" i="3" l="1"/>
  <c r="C5" i="3"/>
  <c r="C6" i="3"/>
  <c r="C8" i="3" l="1"/>
  <c r="X8" i="3"/>
  <c r="K10" i="3"/>
  <c r="K11" i="3"/>
  <c r="W11" i="3"/>
  <c r="K12" i="3"/>
  <c r="W12" i="3"/>
  <c r="W19" i="3" s="1"/>
  <c r="W20" i="3" s="1"/>
  <c r="W21" i="3" s="1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L24" i="3"/>
  <c r="D35" i="3" s="1"/>
  <c r="Y19" i="3"/>
  <c r="H39" i="3"/>
  <c r="K39" i="3" s="1"/>
  <c r="D42" i="3"/>
  <c r="L9" i="3"/>
  <c r="D34" i="3" s="1"/>
  <c r="Y20" i="3"/>
  <c r="Y21" i="3" s="1"/>
  <c r="F23" i="3"/>
  <c r="D32" i="3"/>
  <c r="F32" i="3" s="1"/>
  <c r="A32" i="3"/>
  <c r="L36" i="3" l="1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F18" i="3" l="1"/>
  <c r="H31" i="1" l="1"/>
  <c r="D11" i="3" l="1"/>
  <c r="E11" i="3" l="1"/>
  <c r="M42" i="3"/>
  <c r="F11" i="3" l="1"/>
  <c r="D20" i="3" l="1"/>
  <c r="E20" i="3" l="1"/>
  <c r="E21" i="3" s="1"/>
  <c r="D40" i="3" s="1"/>
  <c r="D21" i="3"/>
  <c r="M43" i="3" s="1"/>
  <c r="F20" i="3" l="1"/>
  <c r="F21" i="3" s="1"/>
  <c r="M46" i="3"/>
  <c r="M49" i="3" s="1"/>
  <c r="D12" i="3"/>
  <c r="D13" i="3" l="1"/>
  <c r="E13" i="3"/>
  <c r="E15" i="3"/>
  <c r="F15" i="3" l="1"/>
  <c r="X9" i="3"/>
  <c r="X14" i="3" l="1"/>
  <c r="X12" i="3"/>
  <c r="X13" i="3"/>
  <c r="X16" i="3"/>
  <c r="X15" i="3"/>
  <c r="X11" i="3"/>
</calcChain>
</file>

<file path=xl/sharedStrings.xml><?xml version="1.0" encoding="utf-8"?>
<sst xmlns="http://schemas.openxmlformats.org/spreadsheetml/2006/main" count="224" uniqueCount="173">
  <si>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</si>
  <si>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</si>
  <si>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</si>
  <si>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</si>
  <si>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</si>
  <si>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</si>
  <si>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</si>
  <si>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</si>
  <si>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</si>
  <si>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</si>
  <si>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</si>
  <si>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</si>
  <si>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</si>
  <si>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</si>
  <si>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VENTAS POR MAYOR Y MENOR DE MUEBLES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</si>
  <si>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</si>
  <si>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</si>
  <si>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</si>
  <si>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</si>
  <si>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</si>
  <si>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</si>
  <si>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</si>
  <si>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</si>
  <si>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</si>
  <si>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TRASCARA ENCHAPADA, ES POR 2</t>
  </si>
  <si>
    <t>MEDIA CAÑA</t>
  </si>
  <si>
    <t>COSTO</t>
  </si>
  <si>
    <t>VALOR M2</t>
  </si>
  <si>
    <t>CORTE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</si>
  <si>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</si>
  <si>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</si>
  <si>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</si>
  <si>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</si>
  <si>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</si>
  <si>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</si>
  <si>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</si>
  <si>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</si>
  <si>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</si>
  <si>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</si>
  <si>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</si>
  <si>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</si>
  <si>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</si>
  <si>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</si>
  <si>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</si>
  <si>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</si>
  <si>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</si>
  <si>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</si>
  <si>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</si>
  <si>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</si>
  <si>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</si>
  <si>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</si>
  <si>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</si>
  <si>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</si>
  <si>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</si>
  <si>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</si>
  <si>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</si>
  <si>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</si>
  <si>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</si>
  <si>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</si>
  <si>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</si>
  <si>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</si>
  <si>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</si>
  <si>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</si>
  <si>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</si>
  <si>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</si>
  <si>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</si>
  <si>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</si>
  <si>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</si>
  <si>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</si>
  <si>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</si>
  <si>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</si>
  <si>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</si>
  <si>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</si>
  <si>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</si>
  <si>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</si>
  <si>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</si>
  <si>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</si>
  <si>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</si>
  <si>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</si>
  <si>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</si>
  <si>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</si>
  <si>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</si>
  <si>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</si>
  <si>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</si>
  <si>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</si>
  <si>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</si>
  <si>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</si>
  <si>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</si>
  <si>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</si>
  <si>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</si>
  <si>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</si>
  <si>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</si>
  <si>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</si>
  <si>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</si>
  <si>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</si>
  <si>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</si>
  <si>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</si>
  <si>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</si>
  <si>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</si>
  <si>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</si>
  <si>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</si>
  <si>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</si>
  <si>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</si>
  <si>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</si>
  <si>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</si>
  <si>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</si>
  <si>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</si>
  <si>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</si>
  <si>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</si>
  <si>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</si>
  <si>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</si>
  <si>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</si>
  <si>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</si>
  <si>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</si>
  <si>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</si>
  <si>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</si>
  <si>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</si>
  <si>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</si>
  <si>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</si>
  <si>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</si>
  <si>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</si>
  <si>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</si>
  <si>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</si>
  <si>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</si>
  <si>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</si>
  <si>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</si>
  <si>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</si>
  <si>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>ACEPTADO POR:</t>
  </si>
  <si>
    <t xml:space="preserve">VISITANOS Y DESCUBRE NUESTROS PRODUCTOS EN </t>
  </si>
  <si>
    <t>P R E S U P U E S T O</t>
  </si>
  <si>
    <t xml:space="preserve">D E T A L L E </t>
  </si>
  <si>
    <t>SERVICIO EXPRESS</t>
  </si>
  <si>
    <t>m/l</t>
  </si>
  <si>
    <t>FORMA DE PAGO:</t>
  </si>
  <si>
    <t>20% PERDIDA</t>
  </si>
  <si>
    <t>DEBE VERIFICAR QUE TODA LA INFORMACION ESTE CORRECTA, NO NOS</t>
  </si>
  <si>
    <t>MT</t>
  </si>
  <si>
    <t>ENCHAPE</t>
  </si>
  <si>
    <t>GIRO:</t>
  </si>
  <si>
    <t>CONTACTO:</t>
  </si>
  <si>
    <t xml:space="preserve">DESPACHO:  </t>
  </si>
  <si>
    <t>ORDEN DE COMPRA:</t>
  </si>
  <si>
    <t>STOCK</t>
  </si>
  <si>
    <t>HACEMOS RESPONSABLE POR DAÑO DE TRANSPORTE Y SI EXISTEN DIFERENCIAS CON LO PRESUPUESTADO.</t>
  </si>
  <si>
    <t>NO</t>
  </si>
  <si>
    <t>SANTIAGO</t>
  </si>
  <si>
    <t>MUEBLES SANTA FE SPA</t>
  </si>
  <si>
    <t>RUT: 77.054.606-0</t>
  </si>
  <si>
    <r>
      <t xml:space="preserve">CUENTA CORRIENTE  </t>
    </r>
    <r>
      <rPr>
        <b/>
        <sz val="9"/>
        <color rgb="FFFF0000"/>
        <rFont val="Calibri"/>
        <family val="2"/>
        <scheme val="minor"/>
      </rPr>
      <t>DEL</t>
    </r>
    <r>
      <rPr>
        <b/>
        <sz val="11"/>
        <color rgb="FFFF0000"/>
        <rFont val="Calibri"/>
        <family val="2"/>
        <scheme val="minor"/>
      </rPr>
      <t xml:space="preserve"> BANCO SANTANDER N°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</si>
  <si>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>RUT : 77.054.606-0 VENTAS@TOPMOBILI.CL</t>
  </si>
  <si>
    <t>ABONO 50%, SALDO C/ENTREGA</t>
  </si>
  <si>
    <t>MT/L</t>
  </si>
  <si>
    <t>ALTO</t>
  </si>
  <si>
    <t>LAMINA 122X244</t>
  </si>
  <si>
    <t>FACTOR 2,3 PARA 90°</t>
  </si>
  <si>
    <t>VALOR MT2</t>
  </si>
  <si>
    <t>VALIDEZ COTIZACION: 5 DIAS HABILES                                             FD</t>
  </si>
  <si>
    <t>+5693447 9380</t>
  </si>
  <si>
    <t>RESIDENTES DE INTENSIVOS Y URGENCIAS SPA</t>
  </si>
  <si>
    <t>77.460.264-K</t>
  </si>
  <si>
    <t>ANTONIETA</t>
  </si>
  <si>
    <t>CAMARICO 13902 LAS CONDES</t>
  </si>
  <si>
    <t>7 DIAS HABILES</t>
  </si>
  <si>
    <t>SI</t>
  </si>
  <si>
    <t>SERVICIO DE INSTALACION</t>
  </si>
  <si>
    <t>OPCION 2</t>
  </si>
  <si>
    <t>N° 10666</t>
  </si>
  <si>
    <t>PUERTA POSTFORMADA R8 /3 FTES</t>
  </si>
  <si>
    <t xml:space="preserve">HAYA NATURAL </t>
  </si>
  <si>
    <t>REPARACION PUERTA</t>
  </si>
  <si>
    <t xml:space="preserve">PUERTA POSTFORMADA R8 </t>
  </si>
  <si>
    <t>BISAGRAS CIERRE SUAVE</t>
  </si>
  <si>
    <t>DESCTO. 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</si>
</sst>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#,##0\ _€"/>
  </numFmts>
  <fonts count="3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u/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sz val="11"/>
      <color theme="1"/>
      <name val="Arial Narrow"/>
      <family val="2"/>
    </font>
    <font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33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3" fontId="22" fillId="18" borderId="26" xfId="0" applyNumberFormat="1" applyFont="1" applyFill="1" applyBorder="1" applyAlignment="1">
      <alignment horizontal="center"/>
    </xf>
    <xf numFmtId="0" fontId="22" fillId="0" borderId="31" xfId="0" applyFont="1" applyBorder="1" applyAlignment="1">
      <alignment horizontal="center"/>
    </xf>
    <xf numFmtId="0" fontId="23" fillId="0" borderId="0" xfId="0" applyFont="1"/>
    <xf numFmtId="167" fontId="22" fillId="0" borderId="0" xfId="2" applyNumberFormat="1" applyFont="1" applyFill="1" applyBorder="1" applyAlignment="1">
      <alignment horizontal="center"/>
    </xf>
    <xf numFmtId="167" fontId="22" fillId="0" borderId="0" xfId="2" applyNumberFormat="1" applyFont="1" applyFill="1" applyBorder="1" applyAlignment="1">
      <alignment horizontal="center" vertical="center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17" borderId="54" xfId="0" applyFill="1" applyBorder="1"/>
    <xf numFmtId="0" fontId="0" fillId="17" borderId="0" xfId="0" applyFill="1"/>
    <xf numFmtId="0" fontId="0" fillId="17" borderId="55" xfId="0" applyFill="1" applyBorder="1"/>
    <xf numFmtId="0" fontId="0" fillId="17" borderId="44" xfId="0" applyFill="1" applyBorder="1"/>
    <xf numFmtId="0" fontId="0" fillId="17" borderId="37" xfId="3" applyFont="1" applyFill="1" applyBorder="1" applyAlignment="1">
      <alignment horizontal="left"/>
    </xf>
    <xf numFmtId="0" fontId="0" fillId="17" borderId="37" xfId="0" applyFill="1" applyBorder="1"/>
    <xf numFmtId="0" fontId="8" fillId="8" borderId="47" xfId="0" applyFont="1" applyFill="1" applyBorder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14" fontId="0" fillId="8" borderId="46" xfId="0" applyNumberFormat="1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0" xfId="0" applyFill="1" applyAlignment="1">
      <alignment horizontal="left"/>
    </xf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14" fontId="0" fillId="17" borderId="0" xfId="0" applyNumberFormat="1" applyFill="1" applyAlignment="1">
      <alignment horizontal="left"/>
    </xf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0" fontId="22" fillId="5" borderId="47" xfId="0" applyFont="1" applyFill="1" applyBorder="1"/>
    <xf numFmtId="0" fontId="22" fillId="5" borderId="46" xfId="0" applyFont="1" applyFill="1" applyBorder="1"/>
    <xf numFmtId="0" fontId="22" fillId="5" borderId="53" xfId="0" applyFont="1" applyFill="1" applyBorder="1"/>
    <xf numFmtId="0" fontId="22" fillId="5" borderId="37" xfId="0" applyFont="1" applyFill="1" applyBorder="1"/>
    <xf numFmtId="0" fontId="22" fillId="5" borderId="56" xfId="0" applyFont="1" applyFill="1" applyBorder="1"/>
    <xf numFmtId="167" fontId="22" fillId="0" borderId="0" xfId="0" applyNumberFormat="1" applyFont="1"/>
    <xf numFmtId="0" fontId="14" fillId="8" borderId="0" xfId="0" applyFont="1" applyFill="1"/>
    <xf numFmtId="42" fontId="2" fillId="18" borderId="20" xfId="8" applyFont="1" applyFill="1" applyBorder="1"/>
    <xf numFmtId="42" fontId="2" fillId="0" borderId="29" xfId="8" applyFont="1" applyFill="1" applyBorder="1"/>
    <xf numFmtId="166" fontId="3" fillId="4" borderId="0" xfId="0" applyNumberFormat="1" applyFont="1" applyFill="1" applyAlignment="1">
      <alignment horizontal="center"/>
    </xf>
    <xf numFmtId="0" fontId="5" fillId="8" borderId="0" xfId="0" applyFont="1" applyFill="1"/>
    <xf numFmtId="0" fontId="7" fillId="8" borderId="54" xfId="0" applyFont="1" applyFill="1" applyBorder="1"/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0" fontId="26" fillId="0" borderId="0" xfId="0" applyFont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0" fontId="27" fillId="0" borderId="0" xfId="0" applyFont="1" applyAlignment="1">
      <alignment horizontal="left" vertical="center"/>
    </xf>
    <xf numFmtId="0" fontId="29" fillId="8" borderId="46" xfId="0" applyFont="1" applyFill="1" applyBorder="1"/>
    <xf numFmtId="175" fontId="30" fillId="0" borderId="0" xfId="0" applyNumberFormat="1" applyFont="1"/>
    <xf numFmtId="0" fontId="28" fillId="0" borderId="0" xfId="0" quotePrefix="1" applyFont="1"/>
    <xf numFmtId="167" fontId="0" fillId="0" borderId="0" xfId="0" applyNumberFormat="1" applyAlignment="1">
      <alignment horizontal="center" vertical="center"/>
    </xf>
    <xf numFmtId="0" fontId="22" fillId="0" borderId="28" xfId="0" applyFont="1" applyBorder="1" applyAlignment="1">
      <alignment horizontal="center"/>
    </xf>
    <xf numFmtId="42" fontId="2" fillId="0" borderId="27" xfId="8" applyFont="1" applyFill="1" applyBorder="1"/>
    <xf numFmtId="167" fontId="0" fillId="0" borderId="27" xfId="0" applyNumberFormat="1" applyBorder="1" applyAlignment="1">
      <alignment horizontal="center" vertical="center"/>
    </xf>
    <xf numFmtId="0" fontId="9" fillId="0" borderId="0" xfId="3"/>
    <xf numFmtId="169" fontId="3" fillId="6" borderId="0" xfId="2" applyNumberFormat="1" applyFont="1" applyFill="1" applyBorder="1" applyAlignment="1">
      <alignment horizontal="center"/>
    </xf>
    <xf numFmtId="166" fontId="0" fillId="0" borderId="6" xfId="0" applyNumberFormat="1" applyBorder="1" applyAlignment="1">
      <alignment horizontal="center" vertical="center"/>
    </xf>
    <xf numFmtId="0" fontId="0" fillId="0" borderId="6" xfId="0" applyBorder="1" applyAlignment="1">
      <alignment horizontal="center"/>
    </xf>
    <xf numFmtId="167" fontId="0" fillId="0" borderId="6" xfId="2" applyNumberFormat="1" applyFont="1" applyFill="1" applyBorder="1" applyAlignment="1">
      <alignment horizontal="center" vertical="center"/>
    </xf>
    <xf numFmtId="0" fontId="21" fillId="2" borderId="25" xfId="0" applyFont="1" applyFill="1" applyBorder="1" applyAlignment="1">
      <alignment horizontal="center" vertical="center"/>
    </xf>
    <xf numFmtId="0" fontId="21" fillId="2" borderId="42" xfId="0" applyFont="1" applyFill="1" applyBorder="1" applyAlignment="1">
      <alignment horizontal="center" vertical="center"/>
    </xf>
    <xf numFmtId="0" fontId="21" fillId="2" borderId="10" xfId="0" applyFont="1" applyFill="1" applyBorder="1" applyAlignment="1">
      <alignment horizontal="center" vertical="center"/>
    </xf>
    <xf numFmtId="0" fontId="25" fillId="2" borderId="2" xfId="0" applyFont="1" applyFill="1" applyBorder="1" applyAlignment="1">
      <alignment horizontal="left" indent="1"/>
    </xf>
    <xf numFmtId="0" fontId="24" fillId="2" borderId="9" xfId="0" applyFont="1" applyFill="1" applyBorder="1"/>
    <xf numFmtId="0" fontId="24" fillId="2" borderId="3" xfId="0" applyFont="1" applyFill="1" applyBorder="1" applyAlignment="1">
      <alignment horizontal="center"/>
    </xf>
    <xf numFmtId="0" fontId="7" fillId="0" borderId="6" xfId="0" applyFont="1" applyBorder="1" applyAlignment="1">
      <alignment horizontal="center" vertical="center"/>
    </xf>
    <xf numFmtId="0" fontId="11" fillId="5" borderId="44" xfId="0" applyFont="1" applyFill="1" applyBorder="1"/>
    <xf numFmtId="3" fontId="11" fillId="0" borderId="0" xfId="0" applyNumberFormat="1" applyFont="1"/>
    <xf numFmtId="0" fontId="7" fillId="0" borderId="0" xfId="0" applyFont="1" applyAlignment="1">
      <alignment horizontal="center" vertical="center"/>
    </xf>
    <xf numFmtId="0" fontId="8" fillId="2" borderId="0" xfId="0" applyFont="1" applyFill="1"/>
    <xf numFmtId="167" fontId="0" fillId="0" borderId="1" xfId="0" applyNumberFormat="1" applyBorder="1" applyAlignment="1">
      <alignment horizontal="center" vertical="center"/>
    </xf>
    <xf numFmtId="0" fontId="18" fillId="17" borderId="37" xfId="0" applyFont="1" applyFill="1" applyBorder="1" applyAlignment="1">
      <alignment horizontal="left"/>
    </xf>
    <xf numFmtId="0" fontId="18" fillId="17" borderId="56" xfId="0" applyFont="1" applyFill="1" applyBorder="1" applyAlignment="1">
      <alignment horizontal="left"/>
    </xf>
    <xf numFmtId="0" fontId="5" fillId="8" borderId="28" xfId="0" applyFont="1" applyFill="1" applyBorder="1" applyAlignment="1">
      <alignment horizontal="center" vertical="center"/>
    </xf>
    <xf numFmtId="0" fontId="5" fillId="8" borderId="36" xfId="0" applyFont="1" applyFill="1" applyBorder="1" applyAlignment="1">
      <alignment horizontal="center" vertical="center"/>
    </xf>
    <xf numFmtId="0" fontId="5" fillId="8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B36D98"/>
      <color rgb="FF8BCD4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19373</xdr:colOff>
      <xdr:row>27</xdr:row>
      <xdr:rowOff>154981</xdr:rowOff>
    </xdr:from>
    <xdr:to>
      <xdr:col>5</xdr:col>
      <xdr:colOff>1724187</xdr:colOff>
      <xdr:row>31</xdr:row>
      <xdr:rowOff>186690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5131313D-7BD6-432A-9943-29468F425BE8}"/>
            </a:ext>
          </a:extLst>
        </xdr:cNvPr>
        <xdr:cNvSpPr/>
      </xdr:nvSpPr>
      <xdr:spPr>
        <a:xfrm>
          <a:off x="432661" y="4610744"/>
          <a:ext cx="6154119" cy="89057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400" b="1"/>
            <a:t>OBSERVACIONES: PUERTAS ENCHAPADAS CON TAPACANTO PVC 0,4MM LO MAS PARECIDO A LA LAMINA</a:t>
          </a:r>
        </a:p>
        <a:p>
          <a:pPr algn="l"/>
          <a:r>
            <a:rPr lang="es-CL" sz="1400" b="1"/>
            <a:t>ABONO $ 190.000.- </a:t>
          </a:r>
        </a:p>
        <a:p>
          <a:pPr algn="l"/>
          <a:endParaRPr lang="es-CL" sz="1400" b="1" u="dbl" baseline="0">
            <a:solidFill>
              <a:srgbClr val="FF0000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61"/>
  <sheetViews>
    <sheetView tabSelected="1" topLeftCell="B18" zoomScale="118" zoomScaleNormal="118" workbookViewId="0">
      <selection activeCell="G24" sqref="G24:H27"/>
    </sheetView>
  </sheetViews>
  <sheetFormatPr baseColWidth="10" defaultRowHeight="14.4" x14ac:dyDescent="0.3"/>
  <cols>
    <col min="1" max="1" width="6" customWidth="1"/>
    <col min="2" max="2" width="11.5546875" customWidth="1"/>
    <col min="3" max="3" width="27.6640625" customWidth="1"/>
    <col min="4" max="4" width="11.6640625" customWidth="1"/>
    <col min="5" max="5" width="13.88671875" customWidth="1"/>
    <col min="6" max="6" width="27.21875" customWidth="1"/>
    <col min="7" max="7" width="14" customWidth="1"/>
    <col min="8" max="9" width="13.44140625" customWidth="1"/>
    <col min="11" max="11" width="11.33203125" style="18" customWidth="1"/>
    <col min="12" max="12" width="8.33203125" customWidth="1"/>
    <col min="13" max="13" width="7.44140625" customWidth="1"/>
    <col min="14" max="14" width="9.44140625" customWidth="1"/>
    <col min="15" max="15" width="9.554687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8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7" t="s">
        <v>146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14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147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15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C6" s="319" t="s">
        <v>165</v>
      </c>
      <c r="F6" s="59" t="s">
        <v>16</v>
      </c>
      <c r="N6" s="33" t="s">
        <v>21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126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12" t="s">
        <v>129</v>
      </c>
      <c r="C8" s="313"/>
      <c r="D8" s="314" t="s">
        <v>166</v>
      </c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254" t="s">
        <v>2</v>
      </c>
      <c r="C10" s="297" t="s">
        <v>158</v>
      </c>
      <c r="D10" s="255"/>
      <c r="E10" s="255"/>
      <c r="F10" s="256" t="s">
        <v>0</v>
      </c>
      <c r="G10" s="257">
        <v>45364</v>
      </c>
      <c r="H10" s="258"/>
      <c r="I10" s="260"/>
      <c r="J10" s="1"/>
      <c r="Q10" s="2"/>
      <c r="R10" s="3"/>
      <c r="S10" s="3"/>
      <c r="T10" s="4"/>
      <c r="U10" s="2"/>
      <c r="V10" s="3"/>
    </row>
    <row r="11" spans="2:23" ht="15.6" x14ac:dyDescent="0.3">
      <c r="B11" s="248" t="s">
        <v>12</v>
      </c>
      <c r="C11" s="317" t="s">
        <v>159</v>
      </c>
      <c r="D11" s="249"/>
      <c r="E11" s="249"/>
      <c r="F11" s="249" t="s">
        <v>125</v>
      </c>
      <c r="G11" s="272" t="s">
        <v>162</v>
      </c>
      <c r="H11" s="250"/>
      <c r="I11" s="249"/>
      <c r="P11" s="19"/>
      <c r="Q11" s="25" t="s">
        <v>20</v>
      </c>
      <c r="R11" s="19"/>
    </row>
    <row r="12" spans="2:23" x14ac:dyDescent="0.3">
      <c r="B12" s="259" t="s">
        <v>138</v>
      </c>
      <c r="C12" s="296"/>
      <c r="D12" s="260"/>
      <c r="E12" s="260"/>
      <c r="F12" s="260" t="s">
        <v>131</v>
      </c>
      <c r="G12" s="261" t="s">
        <v>144</v>
      </c>
      <c r="H12" s="262"/>
      <c r="I12" s="260"/>
      <c r="J12" s="29"/>
      <c r="P12" s="20"/>
      <c r="Q12" s="26" t="s">
        <v>19</v>
      </c>
      <c r="R12" s="20"/>
    </row>
    <row r="13" spans="2:23" ht="15.6" x14ac:dyDescent="0.3">
      <c r="B13" s="248" t="s">
        <v>4</v>
      </c>
      <c r="C13" s="299" t="s">
        <v>157</v>
      </c>
      <c r="D13" s="292"/>
      <c r="E13" s="249"/>
      <c r="F13" s="249" t="s">
        <v>140</v>
      </c>
      <c r="G13" s="249" t="s">
        <v>163</v>
      </c>
      <c r="H13" s="250"/>
      <c r="I13" s="249"/>
    </row>
    <row r="14" spans="2:23" ht="15.6" x14ac:dyDescent="0.3">
      <c r="B14" s="248" t="s">
        <v>139</v>
      </c>
      <c r="C14" s="304" t="s">
        <v>160</v>
      </c>
      <c r="D14" s="292"/>
      <c r="E14" s="249"/>
      <c r="F14" s="249" t="s">
        <v>141</v>
      </c>
      <c r="G14" s="249"/>
      <c r="H14" s="250"/>
      <c r="I14" s="249"/>
    </row>
    <row r="15" spans="2:23" x14ac:dyDescent="0.3">
      <c r="B15" s="286" t="s">
        <v>3</v>
      </c>
      <c r="C15" s="260" t="s">
        <v>161</v>
      </c>
      <c r="D15" s="260"/>
      <c r="E15" s="260"/>
      <c r="F15" s="281" t="s">
        <v>133</v>
      </c>
      <c r="G15" s="285" t="s">
        <v>150</v>
      </c>
      <c r="H15" s="262"/>
      <c r="I15" s="260"/>
      <c r="L15">
        <v>49980</v>
      </c>
    </row>
    <row r="16" spans="2:23" ht="15" thickBot="1" x14ac:dyDescent="0.35">
      <c r="B16" s="251" t="s">
        <v>13</v>
      </c>
      <c r="C16" s="252" t="s">
        <v>145</v>
      </c>
      <c r="D16" s="252"/>
      <c r="E16" s="253"/>
      <c r="F16" s="321" t="s">
        <v>156</v>
      </c>
      <c r="G16" s="321"/>
      <c r="H16" s="322"/>
      <c r="I16" s="288"/>
      <c r="L16">
        <f>L15/1.19</f>
        <v>42000</v>
      </c>
      <c r="S16" s="6"/>
      <c r="T16" s="6"/>
    </row>
    <row r="17" spans="2:24" ht="14.25" customHeight="1" x14ac:dyDescent="0.3">
      <c r="J17" s="8"/>
      <c r="U17" s="6"/>
      <c r="X17" s="6"/>
    </row>
    <row r="18" spans="2:24" ht="15.75" customHeight="1" thickBot="1" x14ac:dyDescent="0.35">
      <c r="J18" s="5"/>
      <c r="U18" s="9"/>
      <c r="W18" s="6"/>
      <c r="X18" s="6"/>
    </row>
    <row r="19" spans="2:24" ht="13.5" customHeight="1" x14ac:dyDescent="0.3">
      <c r="B19" s="323" t="s">
        <v>130</v>
      </c>
      <c r="C19" s="324"/>
      <c r="D19" s="324"/>
      <c r="E19" s="324"/>
      <c r="F19" s="324"/>
      <c r="G19" s="324"/>
      <c r="H19" s="325"/>
      <c r="I19" s="289"/>
      <c r="J19" s="5"/>
      <c r="K19" s="264"/>
      <c r="L19" s="264"/>
      <c r="M19" s="14">
        <v>0.05</v>
      </c>
      <c r="N19" s="14"/>
      <c r="O19" s="14"/>
      <c r="P19" s="265" t="s">
        <v>6</v>
      </c>
      <c r="Q19" s="36" t="s">
        <v>22</v>
      </c>
      <c r="R19" s="37" t="s">
        <v>137</v>
      </c>
      <c r="S19" s="10" t="s">
        <v>151</v>
      </c>
      <c r="U19" s="9"/>
      <c r="W19" s="6"/>
      <c r="X19" s="6"/>
    </row>
    <row r="20" spans="2:24" ht="18" thickBot="1" x14ac:dyDescent="0.35">
      <c r="B20" s="309" t="s">
        <v>142</v>
      </c>
      <c r="C20" s="310" t="s">
        <v>1</v>
      </c>
      <c r="D20" s="310" t="s">
        <v>10</v>
      </c>
      <c r="E20" s="310" t="s">
        <v>11</v>
      </c>
      <c r="F20" s="310" t="s">
        <v>8</v>
      </c>
      <c r="G20" s="310" t="s">
        <v>155</v>
      </c>
      <c r="H20" s="311" t="s">
        <v>6</v>
      </c>
      <c r="I20" s="290"/>
      <c r="J20" s="47"/>
      <c r="K20" s="294"/>
      <c r="L20" s="294" t="s">
        <v>98</v>
      </c>
      <c r="M20" s="293" t="s">
        <v>152</v>
      </c>
      <c r="N20" s="293" t="s">
        <v>11</v>
      </c>
      <c r="O20" s="284" t="s">
        <v>136</v>
      </c>
      <c r="P20" s="274" t="s">
        <v>18</v>
      </c>
      <c r="Q20" s="266">
        <v>127612</v>
      </c>
      <c r="R20" s="273">
        <v>3000</v>
      </c>
      <c r="S20" s="38"/>
      <c r="T20" s="14" t="s">
        <v>132</v>
      </c>
      <c r="U20" s="9"/>
      <c r="W20" s="4"/>
    </row>
    <row r="21" spans="2:24" ht="15" thickBot="1" x14ac:dyDescent="0.35">
      <c r="B21" s="7">
        <v>1</v>
      </c>
      <c r="C21" s="315" t="s">
        <v>167</v>
      </c>
      <c r="D21" s="306">
        <v>0.7</v>
      </c>
      <c r="E21" s="306">
        <v>0.92800000000000005</v>
      </c>
      <c r="F21" s="307" t="s">
        <v>168</v>
      </c>
      <c r="G21" s="308">
        <v>91818</v>
      </c>
      <c r="H21" s="303">
        <f>G21*B21</f>
        <v>91818</v>
      </c>
      <c r="I21" s="298"/>
      <c r="J21" s="47"/>
      <c r="K21" s="47"/>
      <c r="L21" s="47">
        <f>B21</f>
        <v>1</v>
      </c>
      <c r="M21" s="39">
        <f>D21+M$19</f>
        <v>0.75</v>
      </c>
      <c r="N21" s="39">
        <f>E21</f>
        <v>0.92800000000000005</v>
      </c>
      <c r="O21" s="284">
        <f>M21*N21</f>
        <v>0.69600000000000006</v>
      </c>
      <c r="P21" s="274">
        <f>O21*L21</f>
        <v>0.69600000000000006</v>
      </c>
      <c r="Q21" s="266">
        <f>P21*Q20</f>
        <v>88817.952000000005</v>
      </c>
      <c r="R21" s="273">
        <f>Q21+R20</f>
        <v>91817.952000000005</v>
      </c>
      <c r="S21" s="305"/>
      <c r="T21" s="14"/>
      <c r="U21" s="9"/>
      <c r="W21" s="4"/>
    </row>
    <row r="22" spans="2:24" ht="15" thickBot="1" x14ac:dyDescent="0.35">
      <c r="B22" s="7">
        <v>2</v>
      </c>
      <c r="C22" s="315" t="s">
        <v>170</v>
      </c>
      <c r="D22" s="306">
        <v>0.51</v>
      </c>
      <c r="E22" s="306">
        <v>0.32400000000000001</v>
      </c>
      <c r="F22" s="307" t="s">
        <v>168</v>
      </c>
      <c r="G22" s="308">
        <v>35230</v>
      </c>
      <c r="H22" s="303">
        <f t="shared" ref="H22:H24" si="0">G22*B22</f>
        <v>70460</v>
      </c>
      <c r="I22" s="298"/>
      <c r="J22" s="47"/>
      <c r="K22" s="47"/>
      <c r="L22" s="47">
        <f t="shared" ref="L22:L23" si="1">B22</f>
        <v>2</v>
      </c>
      <c r="M22" s="39">
        <f t="shared" ref="M22:M23" si="2">D22+M$19</f>
        <v>0.56000000000000005</v>
      </c>
      <c r="N22" s="39">
        <f t="shared" ref="N22:N23" si="3">E22</f>
        <v>0.32400000000000001</v>
      </c>
      <c r="O22" s="284">
        <f t="shared" ref="O22:O23" si="4">M22*N22</f>
        <v>0.18144000000000002</v>
      </c>
      <c r="P22" s="274">
        <f t="shared" ref="P22:P23" si="5">O22*L22</f>
        <v>0.36288000000000004</v>
      </c>
      <c r="Q22" s="266">
        <f t="shared" ref="Q22:Q23" si="6">P22*Q21</f>
        <v>32230.258421760005</v>
      </c>
      <c r="R22" s="273">
        <f t="shared" ref="R22:R23" si="7">Q22+R21</f>
        <v>124048.21042176001</v>
      </c>
      <c r="S22" s="305"/>
      <c r="T22" s="14"/>
      <c r="U22" s="9"/>
      <c r="W22" s="4"/>
    </row>
    <row r="23" spans="2:24" ht="15" thickBot="1" x14ac:dyDescent="0.35">
      <c r="B23" s="7">
        <v>1</v>
      </c>
      <c r="C23" s="315" t="s">
        <v>170</v>
      </c>
      <c r="D23" s="306">
        <v>0.16700000000000001</v>
      </c>
      <c r="E23" s="306">
        <v>0.64700000000000002</v>
      </c>
      <c r="F23" s="307" t="s">
        <v>168</v>
      </c>
      <c r="G23" s="308">
        <v>7525</v>
      </c>
      <c r="H23" s="303">
        <f t="shared" si="0"/>
        <v>7525</v>
      </c>
      <c r="I23" s="298"/>
      <c r="J23" s="47"/>
      <c r="K23" s="47"/>
      <c r="L23" s="47">
        <f t="shared" si="1"/>
        <v>1</v>
      </c>
      <c r="M23" s="39">
        <f t="shared" si="2"/>
        <v>0.21700000000000003</v>
      </c>
      <c r="N23" s="39">
        <f t="shared" si="3"/>
        <v>0.64700000000000002</v>
      </c>
      <c r="O23" s="284">
        <f t="shared" si="4"/>
        <v>0.14039900000000002</v>
      </c>
      <c r="P23" s="274">
        <f t="shared" si="5"/>
        <v>0.14039900000000002</v>
      </c>
      <c r="Q23" s="266">
        <f t="shared" si="6"/>
        <v>4525.096052156684</v>
      </c>
      <c r="R23" s="273">
        <f t="shared" si="7"/>
        <v>128573.3064739167</v>
      </c>
      <c r="S23" s="305"/>
      <c r="T23" s="14"/>
      <c r="U23" s="9"/>
      <c r="W23" s="4"/>
    </row>
    <row r="24" spans="2:24" ht="15" thickBot="1" x14ac:dyDescent="0.35">
      <c r="B24" s="7">
        <v>4</v>
      </c>
      <c r="C24" s="315" t="s">
        <v>171</v>
      </c>
      <c r="D24" s="306"/>
      <c r="E24" s="306"/>
      <c r="F24" s="307"/>
      <c r="G24" s="308">
        <v>2500</v>
      </c>
      <c r="H24" s="303">
        <f t="shared" si="0"/>
        <v>10000</v>
      </c>
      <c r="I24" s="298"/>
      <c r="J24" s="47"/>
      <c r="K24" s="47"/>
      <c r="L24" s="47"/>
      <c r="M24" s="39"/>
      <c r="N24" s="39"/>
      <c r="O24" s="284"/>
      <c r="P24" s="274"/>
      <c r="Q24" s="266"/>
      <c r="R24" s="273"/>
      <c r="S24" s="305"/>
      <c r="T24" s="14"/>
      <c r="U24" s="9"/>
      <c r="W24" s="4"/>
    </row>
    <row r="25" spans="2:24" ht="15" thickBot="1" x14ac:dyDescent="0.35">
      <c r="B25" s="7">
        <v>1</v>
      </c>
      <c r="C25" s="315" t="s">
        <v>169</v>
      </c>
      <c r="D25" s="306"/>
      <c r="E25" s="306"/>
      <c r="F25" s="307"/>
      <c r="G25" s="308">
        <v>7500</v>
      </c>
      <c r="H25" s="303">
        <f t="shared" ref="H25:H26" si="8">G25*B25</f>
        <v>7500</v>
      </c>
      <c r="I25" s="298"/>
      <c r="J25" s="47"/>
      <c r="K25" s="47"/>
      <c r="L25" s="47"/>
      <c r="M25" s="39"/>
      <c r="N25" s="39"/>
      <c r="O25" s="284"/>
      <c r="P25" s="274"/>
      <c r="Q25" s="266"/>
      <c r="R25" s="273"/>
      <c r="S25" s="305"/>
      <c r="T25" s="14"/>
      <c r="U25" s="9"/>
      <c r="W25" s="4"/>
    </row>
    <row r="26" spans="2:24" x14ac:dyDescent="0.3">
      <c r="B26" s="7">
        <v>1</v>
      </c>
      <c r="C26" s="315" t="s">
        <v>164</v>
      </c>
      <c r="D26" s="306"/>
      <c r="E26" s="306"/>
      <c r="F26" s="307"/>
      <c r="G26" s="308">
        <v>150000</v>
      </c>
      <c r="H26" s="303">
        <f t="shared" si="8"/>
        <v>150000</v>
      </c>
      <c r="I26" s="298"/>
      <c r="J26" s="47"/>
      <c r="K26" s="47"/>
      <c r="L26" s="47"/>
      <c r="M26" s="39"/>
      <c r="N26" s="39"/>
      <c r="O26" s="284"/>
      <c r="P26" s="274"/>
      <c r="Q26" s="266"/>
      <c r="R26" s="273"/>
      <c r="S26" s="305"/>
      <c r="T26" s="14"/>
      <c r="U26" s="9"/>
      <c r="W26" s="4"/>
    </row>
    <row r="27" spans="2:24" x14ac:dyDescent="0.3">
      <c r="B27" s="5"/>
      <c r="C27" s="318"/>
      <c r="D27" s="22"/>
      <c r="E27" s="22"/>
      <c r="F27" s="6"/>
      <c r="G27" s="49" t="s">
        <v>172</v>
      </c>
      <c r="H27" s="320">
        <v>-16865</v>
      </c>
      <c r="I27" s="298"/>
      <c r="J27" s="47"/>
      <c r="K27" s="47"/>
      <c r="L27" s="47"/>
      <c r="M27" s="39"/>
      <c r="N27" s="39"/>
      <c r="O27" s="284"/>
      <c r="P27" s="274"/>
      <c r="Q27" s="266"/>
      <c r="R27" s="273"/>
      <c r="S27" s="305"/>
      <c r="T27" s="14"/>
      <c r="U27" s="9"/>
      <c r="W27" s="4"/>
    </row>
    <row r="28" spans="2:24" ht="15" thickBot="1" x14ac:dyDescent="0.35">
      <c r="B28" s="5"/>
      <c r="C28" s="5"/>
      <c r="D28" s="22"/>
      <c r="E28" s="22"/>
      <c r="F28" s="6"/>
      <c r="G28" s="23"/>
      <c r="H28" s="300"/>
      <c r="I28" s="298"/>
      <c r="J28" s="47"/>
      <c r="K28" s="47"/>
      <c r="L28" s="47"/>
      <c r="M28" s="39"/>
      <c r="N28" s="39"/>
      <c r="O28" s="284"/>
      <c r="P28" s="274"/>
      <c r="Q28" s="266"/>
      <c r="R28" s="273"/>
      <c r="S28" s="38"/>
      <c r="T28" s="14"/>
      <c r="U28" s="9"/>
      <c r="W28" s="4"/>
    </row>
    <row r="29" spans="2:24" s="230" customFormat="1" ht="17.399999999999999" x14ac:dyDescent="0.35">
      <c r="B29" s="295"/>
      <c r="E29" s="233"/>
      <c r="F29" s="234"/>
      <c r="G29" s="301" t="s">
        <v>30</v>
      </c>
      <c r="H29" s="302">
        <f>SUM(H21:H28)</f>
        <v>320438</v>
      </c>
      <c r="I29" s="287"/>
      <c r="J29" s="232"/>
      <c r="K29" s="264"/>
      <c r="L29" s="47"/>
      <c r="M29" s="39"/>
      <c r="N29" s="12"/>
      <c r="O29" s="12"/>
      <c r="P29" s="267">
        <f>SUM(P21:P23)</f>
        <v>1.199279</v>
      </c>
      <c r="Q29" s="14"/>
      <c r="R29" s="12"/>
      <c r="S29" s="244">
        <f>SUM(S21:S28)</f>
        <v>0</v>
      </c>
      <c r="T29" s="14"/>
      <c r="U29" s="9"/>
      <c r="V29" s="231"/>
    </row>
    <row r="30" spans="2:24" s="230" customFormat="1" ht="17.399999999999999" x14ac:dyDescent="0.35">
      <c r="B30" s="235"/>
      <c r="C30" s="236"/>
      <c r="D30" s="237"/>
      <c r="E30" s="235" t="s">
        <v>127</v>
      </c>
      <c r="G30" s="238" t="s">
        <v>31</v>
      </c>
      <c r="H30" s="282">
        <f>H29*19%</f>
        <v>60883.22</v>
      </c>
      <c r="I30" s="287"/>
      <c r="K30" s="264"/>
      <c r="L30" s="47"/>
      <c r="M30" s="39">
        <f>SUM(M21:M29)*2</f>
        <v>3.0540000000000003</v>
      </c>
      <c r="N30" s="12"/>
      <c r="O30" s="12"/>
      <c r="P30" s="267">
        <f>P29</f>
        <v>1.199279</v>
      </c>
      <c r="Q30" s="14"/>
      <c r="R30" s="12"/>
      <c r="S30" s="244"/>
      <c r="T30" s="14"/>
      <c r="U30" s="9"/>
    </row>
    <row r="31" spans="2:24" s="230" customFormat="1" ht="18" thickBot="1" x14ac:dyDescent="0.4">
      <c r="G31" s="239" t="s">
        <v>6</v>
      </c>
      <c r="H31" s="283">
        <f>H29+H30</f>
        <v>381321.22</v>
      </c>
      <c r="K31" s="264"/>
      <c r="L31" s="47"/>
      <c r="M31" s="14"/>
      <c r="N31" s="12"/>
      <c r="O31" s="12"/>
      <c r="P31" s="39">
        <f>P30*20%</f>
        <v>0.23985580000000001</v>
      </c>
      <c r="Q31" s="39" t="s">
        <v>134</v>
      </c>
      <c r="R31" s="42"/>
      <c r="S31" s="245">
        <f>S29+S30</f>
        <v>0</v>
      </c>
      <c r="T31" s="14"/>
      <c r="U31" s="9"/>
      <c r="W31" s="231"/>
    </row>
    <row r="32" spans="2:24" s="230" customFormat="1" ht="17.399999999999999" x14ac:dyDescent="0.35">
      <c r="K32" s="264"/>
      <c r="L32" s="47"/>
      <c r="M32" s="14"/>
      <c r="N32" s="12"/>
      <c r="O32" s="12"/>
      <c r="P32" s="46">
        <f>P30+P31</f>
        <v>1.4391347999999999</v>
      </c>
      <c r="Q32" s="14"/>
      <c r="R32" s="14"/>
      <c r="S32" s="243">
        <v>40</v>
      </c>
      <c r="T32" s="14"/>
      <c r="U32" s="9"/>
      <c r="W32" s="231"/>
    </row>
    <row r="33" spans="2:21" s="230" customFormat="1" ht="17.399999999999999" x14ac:dyDescent="0.35">
      <c r="B33" s="138"/>
      <c r="K33" s="264"/>
      <c r="L33" s="47"/>
      <c r="M33" s="14"/>
      <c r="N33" s="14"/>
      <c r="O33" s="14"/>
      <c r="P33" s="14"/>
      <c r="Q33" s="14"/>
      <c r="R33" s="14"/>
      <c r="S33" s="243"/>
      <c r="T33" s="14"/>
      <c r="U33" s="9"/>
    </row>
    <row r="34" spans="2:21" s="230" customFormat="1" ht="17.399999999999999" x14ac:dyDescent="0.35">
      <c r="E34" s="240"/>
      <c r="G34" s="241"/>
      <c r="H34" s="280"/>
      <c r="I34" s="280"/>
      <c r="K34" s="264"/>
      <c r="L34" s="47"/>
      <c r="M34" s="39">
        <f>P32</f>
        <v>1.4391347999999999</v>
      </c>
      <c r="N34" s="12">
        <v>3500</v>
      </c>
      <c r="O34" s="12">
        <f t="shared" ref="O34:O39" si="9">M34*N34</f>
        <v>5036.9717999999993</v>
      </c>
      <c r="P34" s="14" t="s">
        <v>23</v>
      </c>
      <c r="Q34" s="14" t="s">
        <v>24</v>
      </c>
      <c r="R34" s="14"/>
      <c r="S34" s="246"/>
      <c r="T34" s="14"/>
      <c r="U34" s="9"/>
    </row>
    <row r="35" spans="2:21" s="230" customFormat="1" ht="18" thickBot="1" x14ac:dyDescent="0.4">
      <c r="G35" s="242"/>
      <c r="K35" s="264"/>
      <c r="L35" s="47"/>
      <c r="M35" s="263">
        <v>0.5</v>
      </c>
      <c r="N35" s="12">
        <v>45000</v>
      </c>
      <c r="O35" s="12">
        <f t="shared" si="9"/>
        <v>22500</v>
      </c>
      <c r="P35" s="39" t="s">
        <v>33</v>
      </c>
      <c r="Q35" s="42"/>
      <c r="R35" s="14"/>
      <c r="S35" s="245"/>
      <c r="T35" s="14"/>
      <c r="U35" s="9"/>
    </row>
    <row r="36" spans="2:21" s="230" customFormat="1" ht="17.399999999999999" x14ac:dyDescent="0.35">
      <c r="B36" s="275" t="s">
        <v>135</v>
      </c>
      <c r="C36" s="276"/>
      <c r="D36" s="276"/>
      <c r="E36" s="276"/>
      <c r="F36" s="276"/>
      <c r="G36" s="277"/>
      <c r="K36" s="12"/>
      <c r="L36" s="264"/>
      <c r="M36" s="14"/>
      <c r="N36" s="12">
        <v>65361</v>
      </c>
      <c r="O36" s="12">
        <f t="shared" si="9"/>
        <v>0</v>
      </c>
      <c r="P36" s="39" t="s">
        <v>32</v>
      </c>
      <c r="Q36" s="42"/>
      <c r="S36" s="245"/>
      <c r="T36" s="270"/>
    </row>
    <row r="37" spans="2:21" s="230" customFormat="1" ht="18" thickBot="1" x14ac:dyDescent="0.4">
      <c r="B37" s="316" t="s">
        <v>143</v>
      </c>
      <c r="C37" s="278"/>
      <c r="D37" s="278"/>
      <c r="E37" s="278"/>
      <c r="F37" s="278"/>
      <c r="G37" s="279"/>
      <c r="K37" s="12"/>
      <c r="L37" s="264"/>
      <c r="M37" s="14">
        <v>1</v>
      </c>
      <c r="N37" s="14">
        <v>50000</v>
      </c>
      <c r="O37" s="12">
        <f t="shared" si="9"/>
        <v>50000</v>
      </c>
      <c r="P37" s="14" t="s">
        <v>153</v>
      </c>
      <c r="Q37" s="17"/>
      <c r="S37" s="243"/>
      <c r="T37" s="270"/>
    </row>
    <row r="38" spans="2:21" ht="14.4" customHeight="1" x14ac:dyDescent="0.35">
      <c r="B38" s="24" t="s">
        <v>148</v>
      </c>
      <c r="C38" s="230"/>
      <c r="D38" s="230"/>
      <c r="E38" s="230"/>
      <c r="F38" s="230"/>
      <c r="K38" s="12"/>
      <c r="L38" s="264"/>
      <c r="M38" s="263"/>
      <c r="N38" s="12">
        <v>300</v>
      </c>
      <c r="O38" s="12">
        <f t="shared" si="9"/>
        <v>0</v>
      </c>
      <c r="P38" s="14" t="s">
        <v>34</v>
      </c>
      <c r="Q38" s="14"/>
      <c r="R38" s="230">
        <v>1.52</v>
      </c>
      <c r="S38" s="243"/>
      <c r="T38" s="243"/>
      <c r="U38" s="230"/>
    </row>
    <row r="39" spans="2:21" ht="17.399999999999999" x14ac:dyDescent="0.35">
      <c r="B39" s="24" t="s">
        <v>149</v>
      </c>
      <c r="K39" s="264"/>
      <c r="L39" s="264"/>
      <c r="M39" s="291"/>
      <c r="N39" s="12">
        <v>1500</v>
      </c>
      <c r="O39" s="12">
        <f t="shared" si="9"/>
        <v>0</v>
      </c>
      <c r="P39" s="14" t="s">
        <v>25</v>
      </c>
      <c r="Q39" s="14"/>
      <c r="R39">
        <v>2.44</v>
      </c>
      <c r="T39" s="243">
        <v>1500</v>
      </c>
      <c r="U39" s="230"/>
    </row>
    <row r="40" spans="2:21" ht="17.399999999999999" x14ac:dyDescent="0.35">
      <c r="B40" s="29" t="s">
        <v>128</v>
      </c>
      <c r="F40" s="229" t="s">
        <v>17</v>
      </c>
      <c r="G40" s="23"/>
      <c r="K40" s="264"/>
      <c r="L40" s="264"/>
      <c r="M40" s="14"/>
      <c r="N40" s="12"/>
      <c r="O40" s="12">
        <f>SUM(O34:O39)</f>
        <v>77536.971799999999</v>
      </c>
      <c r="P40" s="39" t="s">
        <v>26</v>
      </c>
      <c r="Q40" s="14"/>
      <c r="R40">
        <f>R38*R39</f>
        <v>3.7088000000000001</v>
      </c>
      <c r="T40" s="243">
        <f>S32*T39</f>
        <v>60000</v>
      </c>
      <c r="U40" s="230"/>
    </row>
    <row r="41" spans="2:21" ht="17.399999999999999" x14ac:dyDescent="0.35">
      <c r="C41" s="228"/>
      <c r="D41" s="22"/>
      <c r="E41" s="22"/>
      <c r="F41" s="21"/>
      <c r="G41" s="23"/>
      <c r="I41" t="e">
        <f>+A17:I3A1:I41</f>
        <v>#NAME?</v>
      </c>
      <c r="K41" s="264"/>
      <c r="L41" s="264"/>
      <c r="M41" s="268" t="s">
        <v>35</v>
      </c>
      <c r="N41" s="12"/>
      <c r="O41" s="269">
        <f>O40*2.3</f>
        <v>178335.03513999999</v>
      </c>
      <c r="P41" s="14" t="s">
        <v>154</v>
      </c>
      <c r="Q41" s="14"/>
      <c r="R41" s="40">
        <f>P32/R40</f>
        <v>0.38803246333045727</v>
      </c>
      <c r="T41" s="271" t="e">
        <f>T40/#REF!</f>
        <v>#REF!</v>
      </c>
      <c r="U41" s="230"/>
    </row>
    <row r="42" spans="2:21" ht="15" customHeight="1" x14ac:dyDescent="0.35">
      <c r="L42" s="264"/>
      <c r="M42" s="14"/>
      <c r="N42" s="12"/>
      <c r="O42" s="12">
        <f>O41/P30</f>
        <v>148701.87432615762</v>
      </c>
      <c r="P42" s="45" t="s">
        <v>27</v>
      </c>
      <c r="Q42" s="14"/>
      <c r="R42" s="14"/>
      <c r="T42" s="243"/>
      <c r="U42" s="230"/>
    </row>
    <row r="43" spans="2:21" ht="17.399999999999999" x14ac:dyDescent="0.35">
      <c r="L43" s="264"/>
      <c r="M43" s="13"/>
      <c r="N43" s="14"/>
      <c r="O43" s="17">
        <f>O41/O40</f>
        <v>2.2999999999999998</v>
      </c>
      <c r="P43" s="15"/>
      <c r="T43" s="243"/>
      <c r="U43" s="230"/>
    </row>
    <row r="44" spans="2:21" ht="17.399999999999999" x14ac:dyDescent="0.35">
      <c r="L44" s="12"/>
      <c r="M44" s="230"/>
      <c r="N44" s="230"/>
      <c r="O44" s="230"/>
      <c r="P44" s="230"/>
      <c r="Q44" s="230"/>
      <c r="R44" s="230"/>
      <c r="S44" s="230"/>
      <c r="T44" s="243"/>
      <c r="U44" s="230"/>
    </row>
    <row r="46" spans="2:21" x14ac:dyDescent="0.3">
      <c r="N46" s="54"/>
      <c r="O46" s="54"/>
    </row>
    <row r="47" spans="2:21" x14ac:dyDescent="0.3">
      <c r="R47" s="18"/>
      <c r="S47" s="18"/>
    </row>
    <row r="48" spans="2:21" x14ac:dyDescent="0.3">
      <c r="R48" s="18"/>
      <c r="S48" s="18"/>
    </row>
    <row r="49" spans="14:19" x14ac:dyDescent="0.3">
      <c r="R49" s="18"/>
      <c r="S49" s="18"/>
    </row>
    <row r="50" spans="14:19" x14ac:dyDescent="0.3">
      <c r="R50" s="18"/>
      <c r="S50" s="18"/>
    </row>
    <row r="51" spans="14:19" x14ac:dyDescent="0.3">
      <c r="R51" s="18"/>
      <c r="S51" s="18"/>
    </row>
    <row r="52" spans="14:19" x14ac:dyDescent="0.3">
      <c r="R52" s="18"/>
      <c r="S52" s="18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8" spans="14:19" x14ac:dyDescent="0.3">
      <c r="N58" s="43"/>
    </row>
    <row r="59" spans="14:19" x14ac:dyDescent="0.3">
      <c r="N59" s="43"/>
    </row>
    <row r="60" spans="14:19" x14ac:dyDescent="0.3">
      <c r="N60" s="6"/>
    </row>
    <row r="61" spans="14:19" x14ac:dyDescent="0.3">
      <c r="N61" s="6"/>
    </row>
  </sheetData>
  <mergeCells count="2">
    <mergeCell ref="F16:H16"/>
    <mergeCell ref="B19:H19"/>
  </mergeCells>
  <phoneticPr fontId="31" type="noConversion"/>
  <hyperlinks>
    <hyperlink ref="F40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7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7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107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45364</v>
      </c>
    </row>
    <row r="6" spans="2:31" ht="16.2" thickBot="1" x14ac:dyDescent="0.35">
      <c r="B6" s="140" t="s">
        <v>2</v>
      </c>
      <c r="C6" s="139" t="str">
        <f>'2229'!C10</f>
        <v>RESIDENTES DE INTENSIVOS Y URGENCIAS SPA</v>
      </c>
      <c r="D6" s="138"/>
      <c r="E6" s="138"/>
      <c r="F6" s="138"/>
      <c r="N6" s="75" t="s">
        <v>106</v>
      </c>
      <c r="O6" s="75"/>
      <c r="P6" s="142" t="s">
        <v>105</v>
      </c>
      <c r="Q6" s="142"/>
    </row>
    <row r="7" spans="2:31" ht="16.2" thickBot="1" x14ac:dyDescent="0.35">
      <c r="B7" s="140" t="s">
        <v>3</v>
      </c>
      <c r="C7" s="139">
        <f>'2229'!C12</f>
        <v>0</v>
      </c>
      <c r="D7" s="138"/>
      <c r="E7" s="138"/>
      <c r="F7" s="138"/>
      <c r="H7" s="327" t="s">
        <v>100</v>
      </c>
      <c r="I7" s="328"/>
      <c r="J7" s="328"/>
      <c r="K7" s="329"/>
      <c r="N7" s="75"/>
      <c r="O7" s="326" t="s">
        <v>104</v>
      </c>
      <c r="P7" s="141" t="s">
        <v>103</v>
      </c>
      <c r="Q7" s="141"/>
    </row>
    <row r="8" spans="2:31" ht="16.2" thickBot="1" x14ac:dyDescent="0.35">
      <c r="B8" s="140" t="s">
        <v>102</v>
      </c>
      <c r="C8" s="139" t="str">
        <f>'2229'!D8</f>
        <v>N° 10666</v>
      </c>
      <c r="D8" s="138"/>
      <c r="E8" s="138"/>
      <c r="F8" s="138"/>
      <c r="H8" s="182" t="s">
        <v>119</v>
      </c>
      <c r="I8" s="154" t="s">
        <v>118</v>
      </c>
      <c r="J8" s="227" t="s">
        <v>97</v>
      </c>
      <c r="K8" s="135" t="s">
        <v>6</v>
      </c>
      <c r="L8" s="134" t="s">
        <v>6</v>
      </c>
      <c r="N8" s="75"/>
      <c r="O8" s="326"/>
      <c r="P8" s="75" t="s">
        <v>101</v>
      </c>
      <c r="Q8" s="75"/>
      <c r="X8">
        <f>SUM(Q11:Q16)</f>
        <v>6</v>
      </c>
    </row>
    <row r="9" spans="2:31" ht="15" thickBot="1" x14ac:dyDescent="0.35">
      <c r="H9" s="197" t="s">
        <v>98</v>
      </c>
      <c r="I9" s="198" t="s">
        <v>117</v>
      </c>
      <c r="J9" s="183" t="s">
        <v>94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-31864.458366787439</v>
      </c>
    </row>
    <row r="10" spans="2:31" ht="16.2" thickBot="1" x14ac:dyDescent="0.35">
      <c r="D10" s="218" t="s">
        <v>30</v>
      </c>
      <c r="E10" s="219" t="s">
        <v>53</v>
      </c>
      <c r="F10" s="220" t="s">
        <v>6</v>
      </c>
      <c r="H10" s="190">
        <v>3</v>
      </c>
      <c r="I10" s="204">
        <v>350</v>
      </c>
      <c r="J10" s="201" t="s">
        <v>34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95</v>
      </c>
      <c r="D11" s="133">
        <f>'2229'!H29</f>
        <v>320438</v>
      </c>
      <c r="E11" s="132">
        <f>D11*0.19</f>
        <v>60883.22</v>
      </c>
      <c r="F11" s="131">
        <f>E11+D11</f>
        <v>381321.22</v>
      </c>
      <c r="H11" s="191">
        <v>3</v>
      </c>
      <c r="I11" s="174">
        <v>500</v>
      </c>
      <c r="J11" s="148" t="s">
        <v>25</v>
      </c>
      <c r="K11" s="158">
        <f t="shared" si="0"/>
        <v>1500</v>
      </c>
      <c r="Q11" s="7">
        <v>1</v>
      </c>
      <c r="R11" s="7" t="s">
        <v>37</v>
      </c>
      <c r="S11" s="51">
        <v>2.8</v>
      </c>
      <c r="T11" s="51">
        <v>0.62</v>
      </c>
      <c r="U11" s="7" t="s">
        <v>40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74125.541633212561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99</v>
      </c>
      <c r="D12" s="136">
        <f>SUM(M43:M45)</f>
        <v>78334.090787439607</v>
      </c>
      <c r="F12" s="61"/>
      <c r="H12" s="191">
        <v>0</v>
      </c>
      <c r="I12" s="174">
        <v>7500</v>
      </c>
      <c r="J12" s="150" t="s">
        <v>113</v>
      </c>
      <c r="K12" s="158">
        <f t="shared" si="0"/>
        <v>0</v>
      </c>
      <c r="L12" s="61"/>
      <c r="Q12" s="7">
        <v>1</v>
      </c>
      <c r="R12" s="7" t="s">
        <v>37</v>
      </c>
      <c r="S12" s="51">
        <v>2.2999999999999998</v>
      </c>
      <c r="T12" s="51">
        <v>0.62</v>
      </c>
      <c r="U12" s="7" t="s">
        <v>40</v>
      </c>
      <c r="V12" s="55">
        <v>87990</v>
      </c>
      <c r="W12" s="49">
        <f t="shared" si="1"/>
        <v>87990</v>
      </c>
      <c r="X12" s="176">
        <f t="shared" si="2"/>
        <v>56125.541633212561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93</v>
      </c>
      <c r="D13" s="217">
        <f>D11-D12</f>
        <v>242103.90921256039</v>
      </c>
      <c r="E13" s="221">
        <f>(D11/D12)-1</f>
        <v>3.0906583172007691</v>
      </c>
      <c r="H13" s="191">
        <v>0</v>
      </c>
      <c r="I13" s="174">
        <v>50</v>
      </c>
      <c r="J13" s="150" t="s">
        <v>114</v>
      </c>
      <c r="K13" s="158">
        <f t="shared" si="0"/>
        <v>0</v>
      </c>
      <c r="L13" s="61"/>
      <c r="Q13" s="7">
        <v>1</v>
      </c>
      <c r="R13" s="7" t="s">
        <v>37</v>
      </c>
      <c r="S13" s="51">
        <v>2.0299999999999998</v>
      </c>
      <c r="T13" s="51">
        <v>0.62</v>
      </c>
      <c r="U13" s="7" t="s">
        <v>40</v>
      </c>
      <c r="V13" s="55">
        <v>78990</v>
      </c>
      <c r="W13" s="49">
        <f t="shared" si="1"/>
        <v>78990</v>
      </c>
      <c r="X13" s="176">
        <f t="shared" si="2"/>
        <v>47125.541633212561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124</v>
      </c>
      <c r="E14" s="179" t="s">
        <v>30</v>
      </c>
      <c r="F14" s="178" t="s">
        <v>112</v>
      </c>
      <c r="H14" s="191">
        <v>0</v>
      </c>
      <c r="I14" s="174">
        <v>50</v>
      </c>
      <c r="J14" s="150" t="s">
        <v>115</v>
      </c>
      <c r="K14" s="158">
        <f t="shared" si="0"/>
        <v>0</v>
      </c>
      <c r="L14" s="61"/>
      <c r="P14" s="126"/>
      <c r="Q14" s="7">
        <v>1</v>
      </c>
      <c r="R14" s="7" t="s">
        <v>37</v>
      </c>
      <c r="S14" s="51">
        <v>1.08</v>
      </c>
      <c r="T14" s="51">
        <v>0.62</v>
      </c>
      <c r="U14" s="7" t="s">
        <v>40</v>
      </c>
      <c r="V14" s="55">
        <v>39990</v>
      </c>
      <c r="W14" s="49">
        <f t="shared" si="1"/>
        <v>39990</v>
      </c>
      <c r="X14" s="176">
        <f t="shared" si="2"/>
        <v>8125.5416332125606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123</v>
      </c>
      <c r="D15" s="214">
        <v>0.65</v>
      </c>
      <c r="E15" s="215">
        <f>(100%+D15)*D12</f>
        <v>129251.24979927535</v>
      </c>
      <c r="F15" s="216">
        <f>E15-D12</f>
        <v>50917.159011835742</v>
      </c>
      <c r="H15" s="191">
        <v>0</v>
      </c>
      <c r="I15" s="174">
        <v>10</v>
      </c>
      <c r="J15" s="150" t="s">
        <v>116</v>
      </c>
      <c r="K15" s="158">
        <f t="shared" si="0"/>
        <v>0</v>
      </c>
      <c r="L15" s="61"/>
      <c r="Q15" s="7">
        <v>1</v>
      </c>
      <c r="R15" s="7" t="s">
        <v>37</v>
      </c>
      <c r="S15" s="51">
        <v>1.08</v>
      </c>
      <c r="T15" s="51">
        <v>0.62</v>
      </c>
      <c r="U15" s="7" t="s">
        <v>40</v>
      </c>
      <c r="V15" s="55">
        <v>39990</v>
      </c>
      <c r="W15" s="49">
        <f t="shared" si="1"/>
        <v>39990</v>
      </c>
      <c r="X15" s="176">
        <f t="shared" si="2"/>
        <v>8125.5416332125606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92</v>
      </c>
      <c r="K16" s="158">
        <f t="shared" si="0"/>
        <v>0</v>
      </c>
      <c r="L16" s="61"/>
      <c r="Q16" s="7">
        <v>1</v>
      </c>
      <c r="R16" s="7" t="s">
        <v>37</v>
      </c>
      <c r="S16" s="51">
        <v>2.06</v>
      </c>
      <c r="T16" s="51">
        <v>0.62</v>
      </c>
      <c r="U16" s="7" t="s">
        <v>40</v>
      </c>
      <c r="V16" s="55">
        <v>79990</v>
      </c>
      <c r="W16" s="49">
        <f t="shared" si="1"/>
        <v>79990</v>
      </c>
      <c r="X16" s="176">
        <f t="shared" si="2"/>
        <v>48125.541633212561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90</v>
      </c>
      <c r="C17" s="129" t="s">
        <v>89</v>
      </c>
      <c r="D17" s="129" t="s">
        <v>30</v>
      </c>
      <c r="E17" s="128" t="s">
        <v>53</v>
      </c>
      <c r="F17" s="127" t="s">
        <v>6</v>
      </c>
      <c r="H17" s="193">
        <v>1</v>
      </c>
      <c r="I17" s="202"/>
      <c r="J17" s="188" t="s">
        <v>91</v>
      </c>
      <c r="K17" s="158">
        <f t="shared" si="0"/>
        <v>0</v>
      </c>
      <c r="L17" s="61"/>
      <c r="Q17" s="7">
        <v>6</v>
      </c>
      <c r="R17" s="7" t="s">
        <v>38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87</v>
      </c>
      <c r="D18" s="122">
        <f>'2229'!N35</f>
        <v>45000</v>
      </c>
      <c r="E18" s="123">
        <f>D18*0.19</f>
        <v>8550</v>
      </c>
      <c r="F18" s="120">
        <f>SUM(D18:E18)</f>
        <v>53550</v>
      </c>
      <c r="H18" s="192">
        <v>1</v>
      </c>
      <c r="I18" s="202"/>
      <c r="J18" s="184" t="s">
        <v>88</v>
      </c>
      <c r="K18" s="158">
        <f t="shared" si="0"/>
        <v>0</v>
      </c>
      <c r="L18" s="61"/>
      <c r="Q18" s="7">
        <v>1</v>
      </c>
      <c r="R18" s="56" t="s">
        <v>39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33</v>
      </c>
      <c r="D19" s="122">
        <f>'2229'!N34</f>
        <v>3500</v>
      </c>
      <c r="E19" s="123">
        <f>D19*0.19</f>
        <v>665</v>
      </c>
      <c r="F19" s="120">
        <f>SUM(D19:E19)</f>
        <v>4165</v>
      </c>
      <c r="H19" s="192">
        <v>1</v>
      </c>
      <c r="I19" s="202"/>
      <c r="J19" s="184" t="s">
        <v>86</v>
      </c>
      <c r="K19" s="158">
        <f t="shared" si="0"/>
        <v>0</v>
      </c>
      <c r="L19" s="61"/>
      <c r="Q19" s="16"/>
      <c r="T19" s="5"/>
      <c r="U19" s="6"/>
      <c r="V19" s="30" t="s">
        <v>30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23</v>
      </c>
      <c r="D20" s="122">
        <f>'2229'!N33</f>
        <v>0</v>
      </c>
      <c r="E20" s="121">
        <f>D20*0.19</f>
        <v>0</v>
      </c>
      <c r="F20" s="120">
        <f>SUM(D20:E20)</f>
        <v>0</v>
      </c>
      <c r="H20" s="192">
        <v>1</v>
      </c>
      <c r="I20" s="202"/>
      <c r="J20" s="184" t="s">
        <v>85</v>
      </c>
      <c r="K20" s="158">
        <f t="shared" si="0"/>
        <v>0</v>
      </c>
      <c r="V20" s="31" t="s">
        <v>31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48500</v>
      </c>
      <c r="E21" s="116">
        <f>SUM(E18:E20)</f>
        <v>9215</v>
      </c>
      <c r="F21" s="115">
        <f>SUM(F18:F20)</f>
        <v>57715</v>
      </c>
      <c r="H21" s="192">
        <v>1</v>
      </c>
      <c r="I21" s="202"/>
      <c r="J21" s="184" t="s">
        <v>84</v>
      </c>
      <c r="K21" s="158">
        <f t="shared" si="0"/>
        <v>0</v>
      </c>
      <c r="M21" s="153">
        <f>B32/9</f>
        <v>2318.840579710145</v>
      </c>
      <c r="Q21" s="50" t="s">
        <v>41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82</v>
      </c>
      <c r="C22" s="113" t="s">
        <v>81</v>
      </c>
      <c r="D22" s="112" t="s">
        <v>80</v>
      </c>
      <c r="E22" s="111" t="s">
        <v>79</v>
      </c>
      <c r="F22" s="110" t="s">
        <v>6</v>
      </c>
      <c r="H22" s="192">
        <v>1</v>
      </c>
      <c r="I22" s="202"/>
      <c r="J22" s="148" t="s">
        <v>83</v>
      </c>
      <c r="K22" s="158">
        <f t="shared" si="0"/>
        <v>0</v>
      </c>
      <c r="M22" s="105"/>
      <c r="N22" s="58"/>
      <c r="Q22" s="50" t="s">
        <v>36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28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78</v>
      </c>
      <c r="K23" s="158">
        <f t="shared" si="0"/>
        <v>0</v>
      </c>
      <c r="M23" s="105"/>
      <c r="N23" s="58"/>
      <c r="Q23" s="50" t="s">
        <v>29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76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119</v>
      </c>
      <c r="I24" s="155" t="s">
        <v>117</v>
      </c>
      <c r="J24" s="181" t="s">
        <v>77</v>
      </c>
      <c r="K24" s="152" t="s">
        <v>96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75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110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73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74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72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71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70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108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69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120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25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121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67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122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66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43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42</v>
      </c>
      <c r="K33" s="97">
        <f t="shared" si="5"/>
        <v>0</v>
      </c>
    </row>
    <row r="34" spans="2:16" ht="15" thickBot="1" x14ac:dyDescent="0.35">
      <c r="B34" s="83" t="s">
        <v>65</v>
      </c>
      <c r="C34" s="82" t="s">
        <v>64</v>
      </c>
      <c r="D34" s="81">
        <f>L9</f>
        <v>2550</v>
      </c>
      <c r="H34" s="192">
        <v>1</v>
      </c>
      <c r="I34" s="174"/>
      <c r="J34" s="148" t="s">
        <v>109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63</v>
      </c>
      <c r="D35" s="78">
        <f>L24</f>
        <v>0</v>
      </c>
      <c r="H35" s="194">
        <v>6</v>
      </c>
      <c r="I35" s="206"/>
      <c r="J35" s="180" t="s">
        <v>111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61</v>
      </c>
      <c r="D36" s="78">
        <f>L36</f>
        <v>18467.665666666668</v>
      </c>
      <c r="E36" s="58"/>
      <c r="H36" s="151" t="s">
        <v>98</v>
      </c>
      <c r="I36" s="155" t="s">
        <v>117</v>
      </c>
      <c r="J36" s="189" t="s">
        <v>68</v>
      </c>
      <c r="K36" s="152" t="s">
        <v>96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44</v>
      </c>
      <c r="D37" s="73"/>
      <c r="H37" s="199">
        <f>$E$33</f>
        <v>3.9000000000000004</v>
      </c>
      <c r="I37" s="204">
        <f>32609.69/9</f>
        <v>3623.2988888888885</v>
      </c>
      <c r="J37" s="187" t="s">
        <v>47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45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46</v>
      </c>
      <c r="K39" s="84">
        <f>I39*H39</f>
        <v>565.5</v>
      </c>
    </row>
    <row r="40" spans="2:16" ht="15" thickBot="1" x14ac:dyDescent="0.35">
      <c r="B40" s="68" t="s">
        <v>54</v>
      </c>
      <c r="C40" s="67" t="s">
        <v>53</v>
      </c>
      <c r="D40" s="66">
        <f>E11-E21</f>
        <v>51668.22</v>
      </c>
    </row>
    <row r="41" spans="2:16" ht="15" thickBot="1" x14ac:dyDescent="0.35">
      <c r="H41" s="330" t="s">
        <v>62</v>
      </c>
      <c r="I41" s="331"/>
      <c r="J41" s="331"/>
      <c r="K41" s="331"/>
      <c r="L41" s="331"/>
      <c r="M41" s="332"/>
    </row>
    <row r="42" spans="2:16" ht="15" thickBot="1" x14ac:dyDescent="0.35">
      <c r="B42" s="75" t="s">
        <v>48</v>
      </c>
      <c r="C42" s="75"/>
      <c r="D42" s="207">
        <f>E33</f>
        <v>3.9000000000000004</v>
      </c>
      <c r="H42" s="77" t="s">
        <v>60</v>
      </c>
      <c r="I42" s="159" t="s">
        <v>59</v>
      </c>
      <c r="J42" s="160"/>
      <c r="K42" s="160"/>
      <c r="L42" s="161"/>
      <c r="M42" s="76">
        <f>D11</f>
        <v>320438</v>
      </c>
    </row>
    <row r="43" spans="2:16" ht="15" thickBot="1" x14ac:dyDescent="0.35">
      <c r="D43" s="57"/>
      <c r="H43" s="72" t="s">
        <v>58</v>
      </c>
      <c r="I43" s="162" t="s">
        <v>57</v>
      </c>
      <c r="J43" s="163"/>
      <c r="K43" s="163"/>
      <c r="L43" s="164"/>
      <c r="M43" s="64">
        <f>D21</f>
        <v>48500</v>
      </c>
    </row>
    <row r="44" spans="2:16" x14ac:dyDescent="0.3">
      <c r="D44" s="57"/>
      <c r="I44" s="165" t="s">
        <v>56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55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52</v>
      </c>
      <c r="J46" s="172"/>
      <c r="K46" s="172"/>
      <c r="L46" s="173"/>
      <c r="M46" s="62">
        <f>M42-(SUM(M43:M45))</f>
        <v>242103.90921256039</v>
      </c>
    </row>
    <row r="47" spans="2:16" x14ac:dyDescent="0.3">
      <c r="I47" s="162" t="s">
        <v>51</v>
      </c>
      <c r="J47" s="163"/>
      <c r="K47" s="163"/>
      <c r="L47" s="164"/>
      <c r="M47" s="64"/>
    </row>
    <row r="48" spans="2:16" ht="15" thickBot="1" x14ac:dyDescent="0.35">
      <c r="D48" s="60"/>
      <c r="I48" s="168" t="s">
        <v>50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49</v>
      </c>
      <c r="J49" s="172"/>
      <c r="K49" s="172"/>
      <c r="L49" s="173"/>
      <c r="M49" s="62">
        <f>M46-SUM(M47:M48)</f>
        <v>242103.90921256039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2024-03-21T15:34:17Z</cp:lastPrinted>
  <dcterms:created xsi:type="dcterms:W3CDTF">2013-03-18T13:35:42Z</dcterms:created>
  <dcterms:modified xsi:type="dcterms:W3CDTF">2024-03-21T16:10:26Z</dcterms:modified>
</cp:coreProperties>
</file>