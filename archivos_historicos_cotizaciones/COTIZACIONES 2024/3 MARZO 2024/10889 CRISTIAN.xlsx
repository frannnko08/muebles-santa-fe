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 2024\"/>
    </mc:Choice>
  </mc:AlternateContent>
  <xr:revisionPtr revIDLastSave="0" documentId="13_ncr:1_{58703C50-A956-4004-BCBB-36A0072EA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K21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M20" i="1" l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R26" i="1"/>
  <c r="H21" i="1" l="1"/>
  <c r="H24" i="1" s="1"/>
  <c r="K15" i="1" s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<sst xmlns="http://schemas.openxmlformats.org/spreadsheetml/2006/main" count="219" uniqueCount="165">
  <si>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</si>
  <si>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</si>
  <si>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</si>
  <si>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</si>
  <si>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</si>
  <si>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</si>
  <si>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</si>
  <si>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</si>
  <si>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</si>
  <si>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</si>
  <si>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</si>
  <si>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</si>
  <si>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</si>
  <si>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</si>
  <si>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</si>
  <si>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</si>
  <si>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</si>
  <si>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</si>
  <si>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</si>
  <si>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</si>
  <si>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</si>
  <si>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</si>
  <si>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</si>
  <si>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</si>
  <si>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</si>
  <si>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</si>
  <si>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</si>
  <si>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</si>
  <si>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</si>
  <si>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</si>
  <si>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</si>
  <si>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</si>
  <si>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</si>
  <si>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</si>
  <si>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</si>
  <si>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</si>
  <si>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</si>
  <si>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</si>
  <si>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</si>
  <si>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</si>
  <si>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</si>
  <si>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</si>
  <si>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</si>
  <si>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</si>
  <si>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</si>
  <si>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</si>
  <si>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</si>
  <si>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</si>
  <si>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</si>
  <si>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</si>
  <si>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</si>
  <si>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</si>
  <si>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</si>
  <si>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</si>
  <si>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</si>
  <si>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</si>
  <si>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</si>
  <si>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</si>
  <si>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</si>
  <si>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</si>
  <si>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</si>
  <si>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</si>
  <si>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</si>
  <si>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</si>
  <si>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</si>
  <si>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</si>
  <si>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</si>
  <si>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</si>
  <si>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</si>
  <si>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</si>
  <si>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</si>
  <si>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</si>
  <si>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</si>
  <si>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</si>
  <si>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</si>
  <si>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</si>
  <si>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</si>
  <si>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</si>
  <si>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</si>
  <si>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</si>
  <si>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</si>
  <si>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</si>
  <si>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</si>
  <si>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</si>
  <si>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</si>
  <si>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</si>
  <si>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</si>
  <si>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</si>
  <si>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</si>
  <si>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</si>
  <si>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</si>
  <si>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</si>
  <si>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</si>
  <si>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</si>
  <si>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</si>
  <si>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</si>
  <si>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</si>
  <si>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</si>
  <si>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</si>
  <si>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</si>
  <si>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</si>
  <si>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</si>
  <si>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</si>
  <si>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</si>
  <si>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</si>
  <si>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</si>
  <si>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</si>
  <si>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</si>
  <si>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</si>
  <si>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</si>
  <si>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</si>
  <si>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</si>
  <si>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</si>
  <si>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</si>
  <si>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</si>
  <si>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</si>
  <si>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</si>
  <si>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</si>
  <si>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</si>
  <si>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</si>
  <si>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</si>
  <si>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</si>
  <si>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</si>
  <si>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</si>
  <si>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</si>
  <si>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</si>
  <si>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</si>
  <si>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</si>
  <si>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</si>
  <si>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</si>
  <si>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</si>
  <si>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</si>
  <si>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</si>
  <si>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</si>
  <si>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</si>
  <si>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</si>
  <si>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</si>
  <si>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</si>
  <si>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</si>
  <si>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</si>
  <si>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</si>
  <si>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</si>
  <si>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</si>
  <si>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</si>
  <si>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</si>
  <si>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</si>
  <si>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</si>
  <si>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</si>
  <si>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</si>
  <si>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</si>
  <si>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</si>
  <si>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</si>
  <si>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</si>
  <si>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</si>
  <si>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</si>
  <si>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</si>
  <si>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CUBIERTA CON RESPALDO R8</t>
  </si>
  <si>
    <t>SANTIAGO</t>
  </si>
  <si>
    <t>5 DIAS HABILES</t>
  </si>
  <si>
    <t>DURACION COTIZACION: 5 DIAS                   FRANCO DONOSO</t>
  </si>
  <si>
    <t>BLANCO MT</t>
  </si>
  <si>
    <t>SI</t>
  </si>
  <si>
    <t>N° 10889</t>
  </si>
  <si>
    <t>CRISTIAN</t>
  </si>
  <si>
    <t>+56 9 9222 4610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</si>
</sst>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27</xdr:row>
      <xdr:rowOff>9525</xdr:rowOff>
    </xdr:from>
    <xdr:to>
      <xdr:col>5</xdr:col>
      <xdr:colOff>1749491</xdr:colOff>
      <xdr:row>30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223973</xdr:rowOff>
    </xdr:from>
    <xdr:to>
      <xdr:col>5</xdr:col>
      <xdr:colOff>1749490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SIN ENCHAPAR.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zoomScale="98" zoomScaleNormal="98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5.8867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163</v>
      </c>
      <c r="D10" s="243"/>
      <c r="E10" s="243"/>
      <c r="F10" s="244" t="s">
        <v>0</v>
      </c>
      <c r="G10" s="276">
        <v>45379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161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 t="s">
        <v>164</v>
      </c>
      <c r="D15" s="294"/>
      <c r="E15" s="247"/>
      <c r="F15" s="247" t="s">
        <v>136</v>
      </c>
      <c r="G15" s="295" t="s">
        <v>137</v>
      </c>
      <c r="H15" s="248"/>
      <c r="K15" s="18">
        <f>H24/L13</f>
        <v>1293.3104912067922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155</v>
      </c>
      <c r="H16" s="289"/>
    </row>
    <row r="17" spans="1:24" ht="15" thickBot="1" x14ac:dyDescent="0.35">
      <c r="B17" s="296" t="s">
        <v>13</v>
      </c>
      <c r="C17" s="297" t="s">
        <v>157</v>
      </c>
      <c r="D17" s="298"/>
      <c r="E17" s="299"/>
      <c r="F17" s="328" t="s">
        <v>159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79075.60252131999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23">
        <v>1</v>
      </c>
      <c r="C21" s="324" t="s">
        <v>156</v>
      </c>
      <c r="D21" s="325">
        <v>0.82</v>
      </c>
      <c r="E21" s="325">
        <v>0.62</v>
      </c>
      <c r="F21" s="324" t="s">
        <v>160</v>
      </c>
      <c r="G21" s="326">
        <f>P21</f>
        <v>42653.380000000005</v>
      </c>
      <c r="H21" s="327">
        <f t="shared" ref="H21" si="1">G21*B21</f>
        <v>42653.380000000005</v>
      </c>
      <c r="I21" s="265"/>
      <c r="J21" s="47"/>
      <c r="K21" s="316">
        <f t="shared" si="0"/>
        <v>1</v>
      </c>
      <c r="L21" s="317">
        <f t="shared" ref="L21:M21" si="2">D21+L$19</f>
        <v>0.87</v>
      </c>
      <c r="M21" s="317">
        <f t="shared" si="2"/>
        <v>0.62</v>
      </c>
      <c r="N21" s="261">
        <f>L21*M21</f>
        <v>0.53939999999999999</v>
      </c>
      <c r="O21" s="259">
        <f>N21*K21</f>
        <v>0.53939999999999999</v>
      </c>
      <c r="P21" s="252">
        <f>P$20*N21</f>
        <v>42653.380000000005</v>
      </c>
      <c r="Q21" s="258">
        <f>P21+Q$20</f>
        <v>45653.380000000005</v>
      </c>
      <c r="R21" s="307">
        <f>K21*L21</f>
        <v>0.87</v>
      </c>
      <c r="S21" s="14"/>
      <c r="T21" s="9"/>
      <c r="W21" s="4"/>
    </row>
    <row r="22" spans="1:24" ht="17.399999999999999" x14ac:dyDescent="0.3">
      <c r="B22" s="285"/>
      <c r="C22" s="285"/>
      <c r="D22" s="286"/>
      <c r="E22" s="286"/>
      <c r="F22" s="285"/>
      <c r="G22" s="311"/>
      <c r="H22" s="311"/>
      <c r="I22" s="265"/>
      <c r="K22" s="318"/>
      <c r="L22" s="319"/>
      <c r="M22" s="319"/>
      <c r="N22" s="261"/>
      <c r="O22" s="259"/>
      <c r="P22" s="252"/>
      <c r="Q22" s="258"/>
      <c r="R22" s="307"/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42653.380000000005</v>
      </c>
      <c r="I24" s="265"/>
      <c r="J24" s="47"/>
      <c r="K24" s="47"/>
      <c r="L24" s="39">
        <f>SUM(L21:L23)</f>
        <v>0.87</v>
      </c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8104.1422000000011</v>
      </c>
      <c r="I25" s="265"/>
      <c r="J25" s="47"/>
      <c r="K25" s="47"/>
      <c r="L25" s="39"/>
      <c r="M25" s="12"/>
      <c r="N25" s="12"/>
      <c r="O25" s="253">
        <f>SUM(O21:O21)</f>
        <v>0.53939999999999999</v>
      </c>
      <c r="P25" s="14"/>
      <c r="Q25" s="12"/>
      <c r="R25" s="238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50757.522200000007</v>
      </c>
      <c r="I26" s="265"/>
      <c r="J26" s="47"/>
      <c r="K26" s="47"/>
      <c r="L26" s="39"/>
      <c r="M26" s="12"/>
      <c r="N26" s="12"/>
      <c r="O26" s="253">
        <f>O25</f>
        <v>0.53939999999999999</v>
      </c>
      <c r="P26" s="14"/>
      <c r="Q26" s="12"/>
      <c r="R26" s="238">
        <f>SUM(R21:R25)</f>
        <v>0.87</v>
      </c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/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313"/>
      <c r="K28" s="47"/>
      <c r="L28" s="14"/>
      <c r="M28" s="12"/>
      <c r="N28" s="12"/>
      <c r="O28" s="46">
        <f>O26+O27</f>
        <v>0.53939999999999999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J29" s="313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O28</f>
        <v>0.53939999999999999</v>
      </c>
      <c r="M30" s="12">
        <v>3500</v>
      </c>
      <c r="N30" s="12">
        <f t="shared" ref="N30:N35" si="3">L30*M30</f>
        <v>1887.8999999999999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0.1</v>
      </c>
      <c r="M31" s="12">
        <v>25000</v>
      </c>
      <c r="N31" s="12">
        <f t="shared" si="3"/>
        <v>2500</v>
      </c>
      <c r="O31" s="39" t="s">
        <v>154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153</v>
      </c>
      <c r="I32" s="262"/>
      <c r="J32" s="47"/>
      <c r="K32" s="250"/>
      <c r="L32" s="14"/>
      <c r="M32" s="250">
        <v>150000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146</v>
      </c>
      <c r="C33"/>
      <c r="D33"/>
      <c r="E33"/>
      <c r="F33"/>
      <c r="I33" s="262"/>
      <c r="J33" s="312"/>
      <c r="K33" s="250"/>
      <c r="L33" s="14">
        <v>1</v>
      </c>
      <c r="M33" s="250">
        <v>15000</v>
      </c>
      <c r="N33" s="12">
        <f t="shared" si="3"/>
        <v>15000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12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1.83</v>
      </c>
      <c r="R34" s="237"/>
      <c r="S34" s="237"/>
    </row>
    <row r="35" spans="2:23" s="230" customFormat="1" ht="17.399999999999999" x14ac:dyDescent="0.35">
      <c r="I35" s="302"/>
      <c r="J35" s="47"/>
      <c r="K35" s="250"/>
      <c r="L35" s="266"/>
      <c r="M35" s="12">
        <v>1500</v>
      </c>
      <c r="N35" s="12">
        <f t="shared" si="3"/>
        <v>0</v>
      </c>
      <c r="O35" s="14" t="s">
        <v>24</v>
      </c>
      <c r="P35" s="14"/>
      <c r="Q35">
        <v>3.66</v>
      </c>
      <c r="R35"/>
      <c r="S35" s="237">
        <v>1500</v>
      </c>
      <c r="W35" s="231"/>
    </row>
    <row r="36" spans="2:23" s="230" customFormat="1" ht="17.399999999999999" x14ac:dyDescent="0.35">
      <c r="I36" s="265"/>
      <c r="J36" s="47"/>
      <c r="K36" s="250"/>
      <c r="L36" s="14"/>
      <c r="M36" s="12"/>
      <c r="N36" s="12">
        <f>SUM(N30:N35)</f>
        <v>19387.900000000001</v>
      </c>
      <c r="O36" s="39" t="s">
        <v>25</v>
      </c>
      <c r="P36" s="14"/>
      <c r="Q36">
        <f>Q34*Q35</f>
        <v>6.6978000000000009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68410</v>
      </c>
      <c r="K37" s="250"/>
      <c r="L37" s="254" t="s">
        <v>35</v>
      </c>
      <c r="M37" s="12"/>
      <c r="N37" s="255">
        <f>N36*2.2</f>
        <v>42653.380000000005</v>
      </c>
      <c r="O37" s="14" t="s">
        <v>142</v>
      </c>
      <c r="P37" s="14"/>
      <c r="Q37" s="46">
        <f>O26/Q36</f>
        <v>8.0533906655916851E-2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57487.394957983197</v>
      </c>
      <c r="K38" s="250"/>
      <c r="L38" s="14"/>
      <c r="M38" s="12"/>
      <c r="N38" s="12">
        <f>N37/O26</f>
        <v>79075.60252131999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0.11790163934426229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45379</v>
      </c>
    </row>
    <row r="6" spans="2:31" ht="16.2" thickBot="1" x14ac:dyDescent="0.35">
      <c r="B6" s="140" t="s">
        <v>2</v>
      </c>
      <c r="C6" s="139" t="str">
        <f>'2229'!C10</f>
        <v>CRISTIAN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10889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2302.1507998792258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42653.380000000005</v>
      </c>
      <c r="E11" s="132">
        <f>D11*0.19</f>
        <v>8104.1422000000011</v>
      </c>
      <c r="F11" s="131">
        <f>E11+D11</f>
        <v>50757.522200000007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108292.15079987922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34221.990787439616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90292.150799879222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8431.3892125603888</v>
      </c>
      <c r="E13" s="221">
        <f>(D11/D12)-1</f>
        <v>0.24637342885542868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81292.150799879222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42292.150799879222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56466.28479927536</v>
      </c>
      <c r="F15" s="216">
        <f>E15-D12</f>
        <v>22244.294011835744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42292.150799879222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82292.150799879222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2500</v>
      </c>
      <c r="E19" s="123">
        <f>D19*0.19</f>
        <v>475</v>
      </c>
      <c r="F19" s="120">
        <f>SUM(D19:E19)</f>
        <v>2975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1887.8999999999999</v>
      </c>
      <c r="E20" s="121">
        <f>D20*0.19</f>
        <v>358.70099999999996</v>
      </c>
      <c r="F20" s="120">
        <f>SUM(D20:E20)</f>
        <v>2246.6009999999997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4387.8999999999996</v>
      </c>
      <c r="E21" s="116">
        <f>SUM(E18:E20)</f>
        <v>833.70100000000002</v>
      </c>
      <c r="F21" s="115">
        <f>SUM(F18:F20)</f>
        <v>5221.6009999999997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7270.4412000000011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42653.380000000005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4387.8999999999996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8431.3892125603888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8431.3892125603888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2024-03-28T13:51:54Z</cp:lastPrinted>
  <dcterms:created xsi:type="dcterms:W3CDTF">2013-03-18T13:35:42Z</dcterms:created>
  <dcterms:modified xsi:type="dcterms:W3CDTF">2024-03-28T19:34:41Z</dcterms:modified>
</cp:coreProperties>
</file>