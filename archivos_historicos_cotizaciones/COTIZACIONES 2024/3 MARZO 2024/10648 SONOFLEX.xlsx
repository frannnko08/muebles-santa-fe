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 2024\"/>
    </mc:Choice>
  </mc:AlternateContent>
  <xr:revisionPtr revIDLastSave="0" documentId="13_ncr:1_{F8954115-1B11-4266-96BA-118CC23618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4" i="1" l="1"/>
  <c r="Q45" i="1"/>
  <c r="Q43" i="1"/>
  <c r="V27" i="1" l="1"/>
  <c r="U27" i="1"/>
  <c r="U24" i="1"/>
  <c r="J35" i="1"/>
  <c r="R22" i="1"/>
  <c r="L22" i="1"/>
  <c r="M22" i="1"/>
  <c r="N22" i="1"/>
  <c r="O22" i="1" s="1"/>
  <c r="K21" i="1"/>
  <c r="H22" i="1"/>
  <c r="R23" i="1"/>
  <c r="O24" i="1"/>
  <c r="N24" i="1"/>
  <c r="N33" i="1"/>
  <c r="N23" i="1"/>
  <c r="O23" i="1" s="1"/>
  <c r="M21" i="1"/>
  <c r="L21" i="1" l="1"/>
  <c r="R21" i="1" s="1"/>
  <c r="J40" i="1"/>
  <c r="N21" i="1" l="1"/>
  <c r="R27" i="1"/>
  <c r="R28" i="1" s="1"/>
  <c r="R29" i="1" s="1"/>
  <c r="L25" i="1"/>
  <c r="S21" i="1"/>
  <c r="U33" i="1"/>
  <c r="U34" i="1" s="1"/>
  <c r="O21" i="1" l="1"/>
  <c r="N32" i="1"/>
  <c r="O26" i="1" l="1"/>
  <c r="O27" i="1" s="1"/>
  <c r="O28" i="1" s="1"/>
  <c r="O29" i="1" s="1"/>
  <c r="L31" i="1" s="1"/>
  <c r="N31" i="1" s="1"/>
  <c r="M20" i="1"/>
  <c r="K20" i="1"/>
  <c r="Q37" i="1" l="1"/>
  <c r="N3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Q38" i="1" l="1"/>
  <c r="N37" i="1" l="1"/>
  <c r="N38" i="1" s="1"/>
  <c r="D20" i="3"/>
  <c r="E20" i="3" s="1"/>
  <c r="E21" i="3" s="1"/>
  <c r="N39" i="1" l="1"/>
  <c r="P20" i="1" s="1"/>
  <c r="P22" i="1" s="1"/>
  <c r="Q22" i="1" s="1"/>
  <c r="D21" i="3"/>
  <c r="M43" i="3" s="1"/>
  <c r="D12" i="3" s="1"/>
  <c r="F20" i="3"/>
  <c r="F21" i="3" s="1"/>
  <c r="P23" i="1" l="1"/>
  <c r="Q23" i="1" s="1"/>
  <c r="P21" i="1"/>
  <c r="N40" i="1"/>
  <c r="E15" i="3"/>
  <c r="F15" i="3" l="1"/>
  <c r="Q21" i="1" l="1"/>
  <c r="H21" i="1" l="1"/>
  <c r="H25" i="1" l="1"/>
  <c r="H26" i="1" s="1"/>
  <c r="H27" i="1" l="1"/>
  <c r="D11" i="3"/>
  <c r="X9" i="3" s="1"/>
  <c r="X15" i="3" s="1"/>
  <c r="D13" i="3" l="1"/>
  <c r="E13" i="3"/>
  <c r="X14" i="3"/>
  <c r="X11" i="3"/>
  <c r="X13" i="3"/>
  <c r="X12" i="3"/>
  <c r="M42" i="3"/>
  <c r="M46" i="3" s="1"/>
  <c r="M49" i="3" s="1"/>
  <c r="X16" i="3"/>
  <c r="E11" i="3"/>
  <c r="D40" i="3" s="1"/>
  <c r="F11" i="3" l="1"/>
</calcChain>
</file>

<file path=xl/sharedStrings.xml><?xml version="1.0" encoding="utf-8"?>
<sst xmlns="http://schemas.openxmlformats.org/spreadsheetml/2006/main" count="233" uniqueCount="176">
  <si>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</si>
  <si>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</si>
  <si>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</si>
  <si>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</si>
  <si>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</si>
  <si>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</si>
  <si>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</si>
  <si>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</si>
  <si>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</si>
  <si>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</si>
  <si>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</si>
  <si>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</si>
  <si>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</si>
  <si>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</si>
  <si>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</si>
  <si>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</si>
  <si>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</si>
  <si>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</si>
  <si>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</si>
  <si>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</si>
  <si>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</si>
  <si>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</si>
  <si>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</si>
  <si>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</si>
  <si>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</si>
  <si>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</si>
  <si>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</si>
  <si>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</si>
  <si>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</si>
  <si>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</si>
  <si>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</si>
  <si>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</si>
  <si>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</si>
  <si>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</si>
  <si>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</si>
  <si>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</si>
  <si>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</si>
  <si>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</si>
  <si>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</si>
  <si>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</si>
  <si>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</si>
  <si>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</si>
  <si>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</si>
  <si>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</si>
  <si>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</si>
  <si>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</si>
  <si>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</si>
  <si>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</si>
  <si>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</si>
  <si>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</si>
  <si>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</si>
  <si>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</si>
  <si>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</si>
  <si>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</si>
  <si>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</si>
  <si>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</si>
  <si>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</si>
  <si>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</si>
  <si>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</si>
  <si>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</si>
  <si>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</si>
  <si>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</si>
  <si>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</si>
  <si>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</si>
  <si>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</si>
  <si>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</si>
  <si>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</si>
  <si>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</si>
  <si>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</si>
  <si>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</si>
  <si>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</si>
  <si>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</si>
  <si>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</si>
  <si>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</si>
  <si>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</si>
  <si>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</si>
  <si>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</si>
  <si>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</si>
  <si>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</si>
  <si>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</si>
  <si>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</si>
  <si>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</si>
  <si>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</si>
  <si>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</si>
  <si>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</si>
  <si>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</si>
  <si>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</si>
  <si>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</si>
  <si>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</si>
  <si>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</si>
  <si>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</si>
  <si>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</si>
  <si>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</si>
  <si>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</si>
  <si>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</si>
  <si>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</si>
  <si>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</si>
  <si>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</si>
  <si>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</si>
  <si>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</si>
  <si>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</si>
  <si>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</si>
  <si>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</si>
  <si>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</si>
  <si>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</si>
  <si>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</si>
  <si>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</si>
  <si>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</si>
  <si>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</si>
  <si>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</si>
  <si>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</si>
  <si>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</si>
  <si>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</si>
  <si>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</si>
  <si>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</si>
  <si>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</si>
  <si>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</si>
  <si>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</si>
  <si>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</si>
  <si>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</si>
  <si>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</si>
  <si>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</si>
  <si>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</si>
  <si>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</si>
  <si>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</si>
  <si>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</si>
  <si>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</si>
  <si>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</si>
  <si>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</si>
  <si>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</si>
  <si>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</si>
  <si>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</si>
  <si>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</si>
  <si>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</si>
  <si>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</si>
  <si>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</si>
  <si>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</si>
  <si>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</si>
  <si>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</si>
  <si>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</si>
  <si>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</si>
  <si>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</si>
  <si>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</si>
  <si>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</si>
  <si>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</si>
  <si>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</si>
  <si>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</si>
  <si>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</si>
  <si>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</si>
  <si>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</si>
  <si>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</si>
  <si>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</si>
  <si>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</si>
  <si>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</si>
  <si>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</si>
  <si>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</si>
  <si>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</si>
  <si>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</si>
  <si>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</si>
  <si>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</si>
  <si>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</si>
  <si>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</si>
  <si>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</si>
  <si>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</si>
  <si>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</si>
  <si>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</si>
  <si>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</si>
  <si>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SONOFLEX CHILE SPA</t>
  </si>
  <si>
    <t>+569 95099721</t>
  </si>
  <si>
    <t>TAPACANTO 100 MTS RECHAU</t>
  </si>
  <si>
    <t>RICARDO PEREZ</t>
  </si>
  <si>
    <t>FRENCH WALNUT 1510 UP</t>
  </si>
  <si>
    <t>ENCHAPE RECTO 1 CARA MDF 12MM</t>
  </si>
  <si>
    <t>N° 10648</t>
  </si>
  <si>
    <t>BLANCO OPACO</t>
  </si>
  <si>
    <t>5 DIAS HABILES2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</si>
</sst>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32" fillId="0" borderId="1" xfId="0" applyFont="1" applyBorder="1" applyAlignment="1">
      <alignment horizontal="center" vertical="center"/>
    </xf>
    <xf numFmtId="166" fontId="32" fillId="0" borderId="57" xfId="0" applyNumberFormat="1" applyFont="1" applyBorder="1" applyAlignment="1">
      <alignment horizontal="center" vertical="center"/>
    </xf>
    <xf numFmtId="167" fontId="11" fillId="0" borderId="34" xfId="2" applyNumberFormat="1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29</xdr:row>
      <xdr:rowOff>26670</xdr:rowOff>
    </xdr:from>
    <xdr:to>
      <xdr:col>7</xdr:col>
      <xdr:colOff>1034435</xdr:colOff>
      <xdr:row>32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18436</xdr:colOff>
      <xdr:row>24</xdr:row>
      <xdr:rowOff>9525</xdr:rowOff>
    </xdr:from>
    <xdr:to>
      <xdr:col>5</xdr:col>
      <xdr:colOff>1635064</xdr:colOff>
      <xdr:row>27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871" y="4976864"/>
          <a:ext cx="7290661" cy="817409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MEDIDAS DEL SUSTRATO PUEDE QUE NO SEAN EXACTAS, SON APROXIMADAS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4" zoomScale="93" zoomScaleNormal="93" workbookViewId="0">
      <selection activeCell="F15" sqref="F15"/>
    </sheetView>
  </sheetViews>
  <sheetFormatPr baseColWidth="10" defaultRowHeight="14.4" x14ac:dyDescent="0.3"/>
  <cols>
    <col min="1" max="1" width="6" customWidth="1"/>
    <col min="2" max="2" width="10.5546875" customWidth="1"/>
    <col min="3" max="3" width="52.6640625" customWidth="1"/>
    <col min="4" max="4" width="14.44140625" customWidth="1"/>
    <col min="5" max="5" width="10.5546875" customWidth="1"/>
    <col min="6" max="6" width="33.88671875" customWidth="1"/>
    <col min="7" max="7" width="16.109375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142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138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143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124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126</v>
      </c>
      <c r="C8" s="293"/>
      <c r="D8" s="294" t="s">
        <v>173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9" t="s">
        <v>162</v>
      </c>
      <c r="C10" s="279" t="s">
        <v>167</v>
      </c>
      <c r="D10" s="243"/>
      <c r="E10" s="243"/>
      <c r="F10" s="244" t="s">
        <v>0</v>
      </c>
      <c r="G10" s="277">
        <v>45355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2"/>
      <c r="F11" t="s">
        <v>123</v>
      </c>
      <c r="G11" s="289" t="s">
        <v>175</v>
      </c>
      <c r="H11" s="290"/>
      <c r="P11" s="19"/>
      <c r="Q11" s="25" t="s">
        <v>19</v>
      </c>
      <c r="R11" s="19"/>
    </row>
    <row r="12" spans="2:23" ht="16.8" x14ac:dyDescent="0.4">
      <c r="B12" s="246" t="s">
        <v>145</v>
      </c>
      <c r="C12" s="317"/>
      <c r="D12" s="247"/>
      <c r="E12" s="247"/>
      <c r="F12" s="247" t="s">
        <v>127</v>
      </c>
      <c r="G12" s="278" t="s">
        <v>135</v>
      </c>
      <c r="H12" s="248"/>
      <c r="P12" s="19"/>
      <c r="Q12" s="25"/>
      <c r="R12" s="19"/>
    </row>
    <row r="13" spans="2:23" x14ac:dyDescent="0.3">
      <c r="B13" s="288" t="s">
        <v>146</v>
      </c>
      <c r="C13" t="s">
        <v>170</v>
      </c>
      <c r="G13" s="318"/>
      <c r="H13" s="290"/>
      <c r="P13" s="19"/>
      <c r="Q13" s="25"/>
      <c r="R13" s="19"/>
    </row>
    <row r="14" spans="2:23" x14ac:dyDescent="0.3">
      <c r="B14" s="246" t="s">
        <v>139</v>
      </c>
      <c r="C14" s="324"/>
      <c r="D14" s="247"/>
      <c r="E14" s="247"/>
      <c r="F14" s="325" t="s">
        <v>136</v>
      </c>
      <c r="G14" s="291" t="s">
        <v>135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t="s">
        <v>168</v>
      </c>
      <c r="D15" s="320"/>
      <c r="F15" t="s">
        <v>134</v>
      </c>
      <c r="G15" s="319" t="s">
        <v>135</v>
      </c>
      <c r="H15" s="290"/>
    </row>
    <row r="16" spans="2:23" ht="16.8" x14ac:dyDescent="0.4">
      <c r="B16" s="326" t="s">
        <v>3</v>
      </c>
      <c r="C16" s="317"/>
      <c r="D16" s="247"/>
      <c r="E16" s="247"/>
      <c r="F16" s="327" t="s">
        <v>129</v>
      </c>
      <c r="G16" s="328" t="s">
        <v>163</v>
      </c>
      <c r="H16" s="248"/>
    </row>
    <row r="17" spans="2:24" ht="15" thickBot="1" x14ac:dyDescent="0.35">
      <c r="B17" s="321" t="s">
        <v>13</v>
      </c>
      <c r="C17" s="322" t="s">
        <v>166</v>
      </c>
      <c r="D17" s="323"/>
      <c r="E17" s="119"/>
      <c r="F17" s="334" t="s">
        <v>165</v>
      </c>
      <c r="G17" s="334"/>
      <c r="H17" s="335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6" t="s">
        <v>147</v>
      </c>
      <c r="C19" s="337"/>
      <c r="D19" s="337"/>
      <c r="E19" s="337"/>
      <c r="F19" s="337"/>
      <c r="G19" s="337"/>
      <c r="H19" s="338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133</v>
      </c>
      <c r="R19" s="10" t="s">
        <v>137</v>
      </c>
      <c r="T19" s="9"/>
      <c r="U19" s="9"/>
      <c r="W19" s="6"/>
      <c r="X19" s="6"/>
    </row>
    <row r="20" spans="2:24" ht="18" thickBot="1" x14ac:dyDescent="0.35">
      <c r="B20" s="310" t="s">
        <v>7</v>
      </c>
      <c r="C20" s="311" t="s">
        <v>1</v>
      </c>
      <c r="D20" s="311" t="s">
        <v>10</v>
      </c>
      <c r="E20" s="311" t="s">
        <v>11</v>
      </c>
      <c r="F20" s="311" t="s">
        <v>8</v>
      </c>
      <c r="G20" s="311" t="s">
        <v>5</v>
      </c>
      <c r="H20" s="312" t="s">
        <v>6</v>
      </c>
      <c r="I20" s="265"/>
      <c r="J20" s="47"/>
      <c r="K20" s="268" t="str">
        <f>B20</f>
        <v>UNIDAD</v>
      </c>
      <c r="L20" s="267" t="s">
        <v>131</v>
      </c>
      <c r="M20" s="39" t="str">
        <f t="shared" ref="M20" si="0">E20</f>
        <v>ANCHO</v>
      </c>
      <c r="N20" s="261" t="s">
        <v>132</v>
      </c>
      <c r="O20" s="259" t="s">
        <v>17</v>
      </c>
      <c r="P20" s="252">
        <f>N39</f>
        <v>47977.06615937435</v>
      </c>
      <c r="Q20" s="258">
        <v>1000</v>
      </c>
      <c r="R20" s="38"/>
      <c r="S20" s="14" t="s">
        <v>128</v>
      </c>
      <c r="T20" s="9"/>
      <c r="W20" s="4"/>
    </row>
    <row r="21" spans="2:24" ht="18" thickBot="1" x14ac:dyDescent="0.35">
      <c r="B21" s="313">
        <v>5</v>
      </c>
      <c r="C21" s="314" t="s">
        <v>172</v>
      </c>
      <c r="D21" s="315">
        <v>2.44</v>
      </c>
      <c r="E21" s="330">
        <v>1.52</v>
      </c>
      <c r="F21" s="329" t="s">
        <v>171</v>
      </c>
      <c r="G21" s="331">
        <v>182584</v>
      </c>
      <c r="H21" s="316">
        <f>G21*B21</f>
        <v>912920</v>
      </c>
      <c r="I21" s="265"/>
      <c r="J21" s="47"/>
      <c r="K21" s="47">
        <f>B21</f>
        <v>5</v>
      </c>
      <c r="L21" s="39">
        <f>D21+L$19</f>
        <v>2.4899999999999998</v>
      </c>
      <c r="M21" s="39">
        <f>E21</f>
        <v>1.52</v>
      </c>
      <c r="N21" s="261">
        <f>L21*M21</f>
        <v>3.7847999999999997</v>
      </c>
      <c r="O21" s="259">
        <f>N21*K21</f>
        <v>18.923999999999999</v>
      </c>
      <c r="P21" s="252">
        <f>N21*P$20</f>
        <v>181583.60000000003</v>
      </c>
      <c r="Q21" s="258">
        <f t="shared" ref="Q21" si="1">P21+Q$20</f>
        <v>182583.60000000003</v>
      </c>
      <c r="R21" s="299">
        <f>L21*K21*2</f>
        <v>24.9</v>
      </c>
      <c r="S21" s="46">
        <f>M21*K21*2</f>
        <v>15.2</v>
      </c>
      <c r="T21" s="9"/>
      <c r="W21" s="4"/>
    </row>
    <row r="22" spans="2:24" ht="17.399999999999999" x14ac:dyDescent="0.3">
      <c r="B22" s="313">
        <v>5</v>
      </c>
      <c r="C22" s="314" t="s">
        <v>172</v>
      </c>
      <c r="D22" s="315">
        <v>2.44</v>
      </c>
      <c r="E22" s="330">
        <v>1.52</v>
      </c>
      <c r="F22" s="329" t="s">
        <v>174</v>
      </c>
      <c r="G22" s="333">
        <v>85784</v>
      </c>
      <c r="H22" s="316">
        <f>G22*B22</f>
        <v>428920</v>
      </c>
      <c r="I22" s="265"/>
      <c r="J22" s="47"/>
      <c r="K22" s="47"/>
      <c r="L22" s="39">
        <f>D22+L$19</f>
        <v>2.4899999999999998</v>
      </c>
      <c r="M22" s="39">
        <f>E22</f>
        <v>1.52</v>
      </c>
      <c r="N22" s="261">
        <f>L22*M22</f>
        <v>3.7847999999999997</v>
      </c>
      <c r="O22" s="259">
        <f>N22*K22</f>
        <v>0</v>
      </c>
      <c r="P22" s="252">
        <f>N22*P$20</f>
        <v>181583.60000000003</v>
      </c>
      <c r="Q22" s="258">
        <f t="shared" ref="Q22" si="2">P22+Q$20</f>
        <v>182583.60000000003</v>
      </c>
      <c r="R22" s="299">
        <f>L22*K22*2</f>
        <v>0</v>
      </c>
      <c r="S22" s="46"/>
      <c r="T22" s="9"/>
      <c r="U22">
        <v>1220</v>
      </c>
      <c r="W22" s="4">
        <v>200</v>
      </c>
    </row>
    <row r="23" spans="2:24" ht="17.399999999999999" x14ac:dyDescent="0.3">
      <c r="B23" s="286"/>
      <c r="C23" s="286"/>
      <c r="D23" s="287"/>
      <c r="E23" s="287"/>
      <c r="F23" s="286"/>
      <c r="G23" s="332"/>
      <c r="H23" s="332"/>
      <c r="I23" s="265"/>
      <c r="J23" s="47"/>
      <c r="K23" s="47"/>
      <c r="L23" s="39">
        <v>1.2</v>
      </c>
      <c r="M23" s="39">
        <v>3.5000000000000003E-2</v>
      </c>
      <c r="N23" s="261">
        <f>L23*M23</f>
        <v>4.2000000000000003E-2</v>
      </c>
      <c r="O23" s="259">
        <f>N23*K23</f>
        <v>0</v>
      </c>
      <c r="P23" s="252">
        <f>N23*P$20</f>
        <v>2015.0367786937229</v>
      </c>
      <c r="Q23" s="258">
        <f t="shared" ref="Q23" si="3">P23+Q$20</f>
        <v>3015.0367786937231</v>
      </c>
      <c r="R23" s="299">
        <f>L23*K23*2</f>
        <v>0</v>
      </c>
      <c r="S23" s="46"/>
      <c r="T23" s="9"/>
      <c r="U23">
        <v>50</v>
      </c>
      <c r="W23" s="4">
        <v>24</v>
      </c>
    </row>
    <row r="24" spans="2:24" ht="18" thickBot="1" x14ac:dyDescent="0.35">
      <c r="B24" s="286"/>
      <c r="C24" s="286"/>
      <c r="D24" s="287"/>
      <c r="E24" s="287"/>
      <c r="F24" s="286"/>
      <c r="G24" s="265"/>
      <c r="H24" s="233"/>
      <c r="I24" s="233"/>
      <c r="J24" s="47"/>
      <c r="K24" s="47"/>
      <c r="L24" s="39">
        <v>1.2</v>
      </c>
      <c r="M24" s="39">
        <v>3.5000000000000003E-2</v>
      </c>
      <c r="N24" s="261">
        <f>L24*M24</f>
        <v>4.2000000000000003E-2</v>
      </c>
      <c r="O24" s="259">
        <f>L24*K24</f>
        <v>0</v>
      </c>
      <c r="P24" s="252"/>
      <c r="Q24" s="258"/>
      <c r="R24" s="299"/>
      <c r="S24" s="14"/>
      <c r="T24" s="9"/>
      <c r="U24">
        <f>U22/U23</f>
        <v>24.4</v>
      </c>
      <c r="W24" s="4">
        <f>W22/W23</f>
        <v>8.3333333333333339</v>
      </c>
    </row>
    <row r="25" spans="2:24" ht="17.399999999999999" x14ac:dyDescent="0.3">
      <c r="B25" s="286"/>
      <c r="C25" s="286"/>
      <c r="D25" s="287"/>
      <c r="E25" s="287"/>
      <c r="F25" s="286"/>
      <c r="G25" s="300" t="s">
        <v>29</v>
      </c>
      <c r="H25" s="301">
        <f>SUM(H21:H23)</f>
        <v>1341840</v>
      </c>
      <c r="I25" s="265"/>
      <c r="J25" s="47"/>
      <c r="K25" s="47"/>
      <c r="L25" s="39">
        <f>SUM(L21:L24)</f>
        <v>7.38</v>
      </c>
      <c r="M25" s="39"/>
      <c r="N25" s="261"/>
      <c r="O25" s="259"/>
      <c r="P25" s="252"/>
      <c r="Q25" s="258"/>
      <c r="R25" s="299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298" t="s">
        <v>51</v>
      </c>
      <c r="H26" s="296">
        <f>H25*19%</f>
        <v>254949.6</v>
      </c>
      <c r="I26" s="265"/>
      <c r="J26" s="47"/>
      <c r="K26" s="47"/>
      <c r="L26" s="39"/>
      <c r="M26" s="12"/>
      <c r="N26" s="12"/>
      <c r="O26" s="253">
        <f>SUM(O21:O24)</f>
        <v>18.923999999999999</v>
      </c>
      <c r="P26" s="14"/>
      <c r="Q26" s="12"/>
      <c r="R26" s="239"/>
      <c r="S26" s="14"/>
      <c r="T26" s="9"/>
      <c r="U26">
        <v>96</v>
      </c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297">
        <f>H25+H26</f>
        <v>1596789.6</v>
      </c>
      <c r="I27" s="265"/>
      <c r="J27" s="47"/>
      <c r="K27" s="47"/>
      <c r="L27" s="39"/>
      <c r="M27" s="12"/>
      <c r="N27" s="12"/>
      <c r="O27" s="253">
        <f>O26</f>
        <v>18.923999999999999</v>
      </c>
      <c r="P27" s="14"/>
      <c r="Q27" s="12"/>
      <c r="R27" s="41">
        <f>SUM(R21:R26)</f>
        <v>24.9</v>
      </c>
      <c r="S27" s="14"/>
      <c r="T27" s="9"/>
      <c r="U27">
        <f>U26/24</f>
        <v>4</v>
      </c>
      <c r="V27">
        <f>U26/12</f>
        <v>8</v>
      </c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3.7848000000000002</v>
      </c>
      <c r="P28" s="39" t="s">
        <v>130</v>
      </c>
      <c r="Q28" s="42"/>
      <c r="R28" s="240">
        <f>R27*20%</f>
        <v>4.9800000000000004</v>
      </c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47"/>
      <c r="K29" s="47"/>
      <c r="L29" s="14"/>
      <c r="M29" s="12"/>
      <c r="N29" s="12"/>
      <c r="O29" s="46">
        <f>O27+O28</f>
        <v>22.7088</v>
      </c>
      <c r="P29" s="14"/>
      <c r="Q29" s="14"/>
      <c r="R29" s="41">
        <f>R27+R28</f>
        <v>29.88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3"/>
      <c r="F30" s="234"/>
      <c r="G30" s="230"/>
      <c r="H30" s="275"/>
      <c r="I30" s="265"/>
      <c r="J30" s="47"/>
      <c r="K30" s="47"/>
      <c r="L30" s="14"/>
      <c r="M30" s="14"/>
      <c r="N30" s="14"/>
      <c r="O30" s="14"/>
      <c r="P30" s="14"/>
      <c r="Q30" s="14"/>
      <c r="R30" s="14"/>
      <c r="S30" s="14"/>
      <c r="T30" s="306" t="s">
        <v>22</v>
      </c>
      <c r="U30" s="303" t="s">
        <v>152</v>
      </c>
      <c r="V30" s="307">
        <v>44971</v>
      </c>
      <c r="W30" s="308"/>
    </row>
    <row r="31" spans="2:24" ht="17.399999999999999" x14ac:dyDescent="0.35">
      <c r="B31" s="235"/>
      <c r="C31" s="236"/>
      <c r="D31" s="237"/>
      <c r="E31" s="235"/>
      <c r="F31" s="230"/>
      <c r="G31" s="230"/>
      <c r="I31" s="265"/>
      <c r="J31" s="47"/>
      <c r="K31" s="47"/>
      <c r="L31" s="39">
        <f>O29</f>
        <v>22.7088</v>
      </c>
      <c r="M31" s="12">
        <v>2500</v>
      </c>
      <c r="N31" s="12">
        <f>M31*J31</f>
        <v>0</v>
      </c>
      <c r="O31" s="14" t="s">
        <v>22</v>
      </c>
      <c r="P31" s="14"/>
      <c r="Q31" s="14"/>
      <c r="R31" s="241"/>
      <c r="S31" s="14"/>
      <c r="T31" s="306" t="s">
        <v>153</v>
      </c>
      <c r="U31" s="303">
        <v>3625</v>
      </c>
      <c r="V31" s="59" t="s">
        <v>154</v>
      </c>
      <c r="W31" s="308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5</v>
      </c>
      <c r="M32" s="12">
        <v>17538</v>
      </c>
      <c r="N32" s="12">
        <f t="shared" ref="N32:N36" si="4">L32*M32</f>
        <v>87690</v>
      </c>
      <c r="O32" s="39" t="s">
        <v>31</v>
      </c>
      <c r="P32" s="42"/>
      <c r="Q32" s="14"/>
      <c r="R32" s="240"/>
      <c r="S32" s="14"/>
      <c r="T32" s="306"/>
      <c r="U32" s="59">
        <v>906.25</v>
      </c>
      <c r="V32" s="59" t="s">
        <v>155</v>
      </c>
      <c r="W32" s="308"/>
    </row>
    <row r="33" spans="2:23" s="230" customFormat="1" ht="17.399999999999999" x14ac:dyDescent="0.35">
      <c r="I33" s="262"/>
      <c r="J33" s="232">
        <v>16</v>
      </c>
      <c r="K33" s="250"/>
      <c r="L33" s="14"/>
      <c r="M33" s="250">
        <v>8900</v>
      </c>
      <c r="N33" s="12">
        <f t="shared" si="4"/>
        <v>0</v>
      </c>
      <c r="O33" s="39" t="s">
        <v>169</v>
      </c>
      <c r="P33" s="42"/>
      <c r="R33" s="240"/>
      <c r="S33" s="256"/>
      <c r="T33" s="59"/>
      <c r="U33" s="59">
        <f>U32*20%</f>
        <v>181.25</v>
      </c>
      <c r="V33" s="308" t="s">
        <v>156</v>
      </c>
      <c r="W33" s="59"/>
    </row>
    <row r="34" spans="2:23" s="230" customFormat="1" ht="17.399999999999999" x14ac:dyDescent="0.35">
      <c r="B34" s="24" t="s">
        <v>151</v>
      </c>
      <c r="I34" s="262"/>
      <c r="J34" s="232">
        <v>100</v>
      </c>
      <c r="K34" s="250"/>
      <c r="L34" s="14">
        <v>5</v>
      </c>
      <c r="M34" s="250">
        <v>65000</v>
      </c>
      <c r="N34" s="12">
        <f t="shared" si="4"/>
        <v>325000</v>
      </c>
      <c r="O34" s="14" t="s">
        <v>141</v>
      </c>
      <c r="P34" s="17"/>
      <c r="R34" s="238"/>
      <c r="S34" s="256"/>
      <c r="T34" s="59"/>
      <c r="U34" s="59">
        <f>U32+U33</f>
        <v>1087.5</v>
      </c>
      <c r="V34" s="308" t="s">
        <v>157</v>
      </c>
      <c r="W34" s="59"/>
    </row>
    <row r="35" spans="2:23" s="230" customFormat="1" ht="17.399999999999999" x14ac:dyDescent="0.35">
      <c r="B35" s="24" t="s">
        <v>144</v>
      </c>
      <c r="C35"/>
      <c r="D35"/>
      <c r="E35"/>
      <c r="F35"/>
      <c r="I35" s="262"/>
      <c r="J35" s="230">
        <f>J33*J34</f>
        <v>1600</v>
      </c>
      <c r="K35" s="250"/>
      <c r="L35" s="249"/>
      <c r="M35" s="250">
        <v>300</v>
      </c>
      <c r="N35" s="12">
        <f t="shared" si="4"/>
        <v>0</v>
      </c>
      <c r="O35" s="14" t="s">
        <v>32</v>
      </c>
      <c r="P35" s="14"/>
      <c r="Q35" s="230">
        <v>1.52</v>
      </c>
      <c r="R35" s="238"/>
      <c r="S35" s="238"/>
    </row>
    <row r="36" spans="2:23" s="230" customFormat="1" ht="17.399999999999999" x14ac:dyDescent="0.35">
      <c r="B36" s="29" t="s">
        <v>125</v>
      </c>
      <c r="C36"/>
      <c r="D36"/>
      <c r="E36"/>
      <c r="F36" s="229" t="s">
        <v>16</v>
      </c>
      <c r="I36" s="295"/>
      <c r="K36" s="250"/>
      <c r="L36" s="266"/>
      <c r="M36" s="12">
        <v>1500</v>
      </c>
      <c r="N36" s="12">
        <f t="shared" si="4"/>
        <v>0</v>
      </c>
      <c r="O36" s="14" t="s">
        <v>23</v>
      </c>
      <c r="P36" s="14"/>
      <c r="Q36">
        <v>2.44</v>
      </c>
      <c r="R36"/>
      <c r="S36" s="238"/>
      <c r="W36" s="231"/>
    </row>
    <row r="37" spans="2:23" s="230" customFormat="1" ht="17.399999999999999" x14ac:dyDescent="0.35">
      <c r="K37" s="250"/>
      <c r="L37" s="14"/>
      <c r="M37" s="12"/>
      <c r="N37" s="12">
        <f>SUM(N31:N36)</f>
        <v>412690</v>
      </c>
      <c r="O37" s="39" t="s">
        <v>24</v>
      </c>
      <c r="P37" s="14"/>
      <c r="Q37">
        <f>Q35*Q36</f>
        <v>3.7088000000000001</v>
      </c>
      <c r="R37"/>
      <c r="S37" s="238"/>
      <c r="W37" s="231"/>
    </row>
    <row r="38" spans="2:23" s="230" customFormat="1" ht="17.399999999999999" x14ac:dyDescent="0.35">
      <c r="K38" s="250"/>
      <c r="L38" s="254" t="s">
        <v>33</v>
      </c>
      <c r="M38" s="12"/>
      <c r="N38" s="255">
        <f>N37*2.2</f>
        <v>907918.00000000012</v>
      </c>
      <c r="O38" s="14" t="s">
        <v>140</v>
      </c>
      <c r="P38" s="14">
        <v>0</v>
      </c>
      <c r="Q38" s="40">
        <f>O29/Q37</f>
        <v>6.1229508196721314</v>
      </c>
      <c r="R38"/>
      <c r="S38" s="257"/>
    </row>
    <row r="39" spans="2:23" s="230" customFormat="1" ht="17.399999999999999" x14ac:dyDescent="0.35">
      <c r="G39"/>
      <c r="H39" s="260"/>
      <c r="I39" s="260"/>
      <c r="J39" s="230">
        <v>10590</v>
      </c>
      <c r="K39" s="250"/>
      <c r="L39" s="14"/>
      <c r="M39" s="12"/>
      <c r="N39" s="12">
        <f>N38/O27</f>
        <v>47977.06615937435</v>
      </c>
      <c r="O39" s="45" t="s">
        <v>25</v>
      </c>
      <c r="P39" s="14"/>
      <c r="Q39" s="14"/>
      <c r="R39"/>
      <c r="S39" s="238"/>
      <c r="T39" s="59" t="s">
        <v>158</v>
      </c>
      <c r="U39" s="303">
        <v>43650</v>
      </c>
    </row>
    <row r="40" spans="2:23" s="230" customFormat="1" ht="17.399999999999999" x14ac:dyDescent="0.35">
      <c r="G40"/>
      <c r="H40" s="230" t="s">
        <v>164</v>
      </c>
      <c r="J40" s="230">
        <f>J39/1.19</f>
        <v>8899.1596638655465</v>
      </c>
      <c r="K40" s="250"/>
      <c r="L40" s="13"/>
      <c r="M40" s="14"/>
      <c r="N40" s="17">
        <f>N38/N37</f>
        <v>2.2000000000000002</v>
      </c>
      <c r="O40" s="15"/>
      <c r="P40"/>
      <c r="Q40"/>
      <c r="R40"/>
      <c r="S40" s="238"/>
      <c r="T40" s="59" t="s">
        <v>160</v>
      </c>
      <c r="U40" s="304" t="s">
        <v>159</v>
      </c>
      <c r="V40" s="59">
        <v>2.4</v>
      </c>
    </row>
    <row r="41" spans="2:23" s="230" customFormat="1" ht="17.399999999999999" x14ac:dyDescent="0.35">
      <c r="G41" s="23"/>
      <c r="K41" s="12"/>
      <c r="Q41" s="230">
        <v>1520</v>
      </c>
      <c r="S41" s="238"/>
      <c r="T41" s="59" t="s">
        <v>161</v>
      </c>
      <c r="U41" s="305">
        <v>395.37</v>
      </c>
    </row>
    <row r="42" spans="2:23" s="230" customFormat="1" ht="17.399999999999999" x14ac:dyDescent="0.35">
      <c r="B42"/>
      <c r="C42" s="228"/>
      <c r="D42" s="22"/>
      <c r="E42" s="22"/>
      <c r="F42" s="21"/>
      <c r="G42" s="23"/>
      <c r="K42" s="12"/>
      <c r="Q42" s="230">
        <v>38</v>
      </c>
      <c r="S42" s="238"/>
      <c r="T42" s="59" t="s">
        <v>156</v>
      </c>
      <c r="U42" s="59">
        <v>474.45</v>
      </c>
    </row>
    <row r="43" spans="2:23" ht="14.4" customHeight="1" x14ac:dyDescent="0.3">
      <c r="K43" s="12"/>
      <c r="Q43">
        <f>Q41/Q42</f>
        <v>40</v>
      </c>
      <c r="T43" s="59"/>
      <c r="U43" s="59"/>
    </row>
    <row r="44" spans="2:23" x14ac:dyDescent="0.3">
      <c r="K44" s="250"/>
      <c r="Q44">
        <v>5</v>
      </c>
    </row>
    <row r="45" spans="2:23" x14ac:dyDescent="0.3">
      <c r="K45" s="250"/>
      <c r="Q45">
        <f>Q43*Q44</f>
        <v>200</v>
      </c>
      <c r="S45" s="270"/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27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148</v>
      </c>
    </row>
    <row r="75" spans="3:14" x14ac:dyDescent="0.3">
      <c r="C75" t="s">
        <v>147</v>
      </c>
    </row>
    <row r="78" spans="3:14" x14ac:dyDescent="0.3">
      <c r="C78" t="s">
        <v>147</v>
      </c>
    </row>
    <row r="155" spans="3:3" x14ac:dyDescent="0.3">
      <c r="C155" t="s">
        <v>147</v>
      </c>
    </row>
    <row r="156" spans="3:3" x14ac:dyDescent="0.3">
      <c r="C156" t="s">
        <v>149</v>
      </c>
    </row>
    <row r="157" spans="3:3" x14ac:dyDescent="0.3">
      <c r="C157" t="s">
        <v>150</v>
      </c>
    </row>
    <row r="582" spans="3:3" x14ac:dyDescent="0.3">
      <c r="C582" t="s">
        <v>147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45355</v>
      </c>
    </row>
    <row r="6" spans="2:31" ht="16.2" thickBot="1" x14ac:dyDescent="0.35">
      <c r="B6" s="140" t="s">
        <v>2</v>
      </c>
      <c r="C6" s="139" t="str">
        <f>'2229'!C10</f>
        <v>SONOFLEX CHILE SPA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10648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-191320.87503345413</v>
      </c>
    </row>
    <row r="10" spans="2:31" ht="16.2" thickBot="1" x14ac:dyDescent="0.35">
      <c r="D10" s="218" t="s">
        <v>29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1341840</v>
      </c>
      <c r="E11" s="132">
        <f>D11*0.19</f>
        <v>254949.6</v>
      </c>
      <c r="F11" s="131">
        <f>E11+D11</f>
        <v>1596789.6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-85330.875033454126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117524.09078743961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-103330.87503345413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1224315.9092125604</v>
      </c>
      <c r="E13" s="221">
        <f>(D11/D12)-1</f>
        <v>10.417573971509587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-112330.87503345413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29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-151330.87503345413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193914.74979927533</v>
      </c>
      <c r="F15" s="216">
        <f>E15-D12</f>
        <v>76390.659011835727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-151330.87503345413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-111330.87503345413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29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'2229'!N32</f>
        <v>87690</v>
      </c>
      <c r="E19" s="123">
        <f>D19*0.19</f>
        <v>16661.099999999999</v>
      </c>
      <c r="F19" s="120">
        <f>SUM(D19:E19)</f>
        <v>104351.1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0</v>
      </c>
      <c r="E20" s="121">
        <f>D20*0.19</f>
        <v>0</v>
      </c>
      <c r="F20" s="120">
        <f>SUM(D20:E20)</f>
        <v>0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87690</v>
      </c>
      <c r="E21" s="116">
        <f>SUM(E18:E20)</f>
        <v>16661.099999999999</v>
      </c>
      <c r="F21" s="115">
        <f>SUM(F18:F20)</f>
        <v>104351.1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238288.5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1341840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87690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1224315.9092125604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1224315.9092125604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2024-02-28T21:27:11Z</cp:lastPrinted>
  <dcterms:created xsi:type="dcterms:W3CDTF">2013-03-18T13:35:42Z</dcterms:created>
  <dcterms:modified xsi:type="dcterms:W3CDTF">2024-03-04T21:48:21Z</dcterms:modified>
</cp:coreProperties>
</file>