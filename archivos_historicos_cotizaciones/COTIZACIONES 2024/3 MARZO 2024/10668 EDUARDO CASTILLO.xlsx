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7CF1A2FD-51B7-4EA6-A5FB-CB84DE1E7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K22" i="1"/>
  <c r="L22" i="1"/>
  <c r="M22" i="1"/>
  <c r="K21" i="1"/>
  <c r="J39" i="1"/>
  <c r="L21" i="1"/>
  <c r="M21" i="1"/>
  <c r="R22" i="1" l="1"/>
  <c r="N22" i="1"/>
  <c r="O22" i="1" s="1"/>
  <c r="L24" i="1"/>
  <c r="S21" i="1"/>
  <c r="R21" i="1"/>
  <c r="N21" i="1"/>
  <c r="O21" i="1" s="1"/>
  <c r="U32" i="1"/>
  <c r="U33" i="1" s="1"/>
  <c r="O25" i="1" l="1"/>
  <c r="R26" i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H22" i="1" s="1"/>
  <c r="P21" i="1"/>
  <c r="F15" i="3"/>
  <c r="Q21" i="1" l="1"/>
  <c r="H21" i="1" s="1"/>
  <c r="H24" i="1" s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<sst xmlns="http://schemas.openxmlformats.org/spreadsheetml/2006/main" count="232" uniqueCount="175">
  <si>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</si>
  <si>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</si>
  <si>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</si>
  <si>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</si>
  <si>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</si>
  <si>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</si>
  <si>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</si>
  <si>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</si>
  <si>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</si>
  <si>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</si>
  <si>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</si>
  <si>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</si>
  <si>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</si>
  <si>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</si>
  <si>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</si>
  <si>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</si>
  <si>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</si>
  <si>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</si>
  <si>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</si>
  <si>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</si>
  <si>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</si>
  <si>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</si>
  <si>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</si>
  <si>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</si>
  <si>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</si>
  <si>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</si>
  <si>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</si>
  <si>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</si>
  <si>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</si>
  <si>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</si>
  <si>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</si>
  <si>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</si>
  <si>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</si>
  <si>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</si>
  <si>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</si>
  <si>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</si>
  <si>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</si>
  <si>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</si>
  <si>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</si>
  <si>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</si>
  <si>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</si>
  <si>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</si>
  <si>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</si>
  <si>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</si>
  <si>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</si>
  <si>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</si>
  <si>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</si>
  <si>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</si>
  <si>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</si>
  <si>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</si>
  <si>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</si>
  <si>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</si>
  <si>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</si>
  <si>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</si>
  <si>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</si>
  <si>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</si>
  <si>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</si>
  <si>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</si>
  <si>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</si>
  <si>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</si>
  <si>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</si>
  <si>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</si>
  <si>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</si>
  <si>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</si>
  <si>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</si>
  <si>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</si>
  <si>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</si>
  <si>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</si>
  <si>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</si>
  <si>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</si>
  <si>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</si>
  <si>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</si>
  <si>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</si>
  <si>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</si>
  <si>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</si>
  <si>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</si>
  <si>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</si>
  <si>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</si>
  <si>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</si>
  <si>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</si>
  <si>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</si>
  <si>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</si>
  <si>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</si>
  <si>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</si>
  <si>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</si>
  <si>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</si>
  <si>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</si>
  <si>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</si>
  <si>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</si>
  <si>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</si>
  <si>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</si>
  <si>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</si>
  <si>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</si>
  <si>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</si>
  <si>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</si>
  <si>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</si>
  <si>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</si>
  <si>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</si>
  <si>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</si>
  <si>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</si>
  <si>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</si>
  <si>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</si>
  <si>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</si>
  <si>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</si>
  <si>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</si>
  <si>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</si>
  <si>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</si>
  <si>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</si>
  <si>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</si>
  <si>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</si>
  <si>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</si>
  <si>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</si>
  <si>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</si>
  <si>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</si>
  <si>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</si>
  <si>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</si>
  <si>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</si>
  <si>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</si>
  <si>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</si>
  <si>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</si>
  <si>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</si>
  <si>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</si>
  <si>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</si>
  <si>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</si>
  <si>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</si>
  <si>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</si>
  <si>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</si>
  <si>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</si>
  <si>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</si>
  <si>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</si>
  <si>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</si>
  <si>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</si>
  <si>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</si>
  <si>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</si>
  <si>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</si>
  <si>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</si>
  <si>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</si>
  <si>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</si>
  <si>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</si>
  <si>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</si>
  <si>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</si>
  <si>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</si>
  <si>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</si>
  <si>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</si>
  <si>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</si>
  <si>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</si>
  <si>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</si>
  <si>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</si>
  <si>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</si>
  <si>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</si>
  <si>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</si>
  <si>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</si>
  <si>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</si>
  <si>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</si>
  <si>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</si>
  <si>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</si>
  <si>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</si>
  <si>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</si>
  <si>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</si>
  <si>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</si>
  <si>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</si>
  <si>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</si>
  <si>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</si>
  <si>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</si>
  <si>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</si>
  <si>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</si>
  <si>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SANTIAGO</t>
  </si>
  <si>
    <t>10 DIAS HABILES</t>
  </si>
  <si>
    <t>EDUARDO CASTILLO</t>
  </si>
  <si>
    <t>  '+56 9 8456 2994</t>
  </si>
  <si>
    <t>CUBIERTA CON RESPALDO 90° R8</t>
  </si>
  <si>
    <t>BELARUS CHERRY 10277</t>
  </si>
  <si>
    <t>DURACION COTIZACION: 5 DIAS                            FRANCO DONOSO</t>
  </si>
  <si>
    <t>N° 10668</t>
  </si>
  <si>
    <t>CUBIERTA MESA 4 LADOS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</si>
</sst>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28</xdr:row>
      <xdr:rowOff>9525</xdr:rowOff>
    </xdr:from>
    <xdr:to>
      <xdr:col>5</xdr:col>
      <xdr:colOff>1747276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720428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16390</xdr:colOff>
      <xdr:row>23</xdr:row>
      <xdr:rowOff>9525</xdr:rowOff>
    </xdr:from>
    <xdr:to>
      <xdr:col>5</xdr:col>
      <xdr:colOff>1745225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7" y="4606106"/>
          <a:ext cx="7677352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SOBREMEDIDAS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168</v>
      </c>
      <c r="D10" s="243"/>
      <c r="E10" s="243"/>
      <c r="F10" s="244" t="s">
        <v>0</v>
      </c>
      <c r="G10" s="277">
        <v>45336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9" t="s">
        <v>172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72792.051282051296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</v>
      </c>
      <c r="C21" s="324" t="s">
        <v>170</v>
      </c>
      <c r="D21" s="325">
        <v>2.11</v>
      </c>
      <c r="E21" s="325">
        <v>0.6</v>
      </c>
      <c r="F21" s="324" t="s">
        <v>171</v>
      </c>
      <c r="G21" s="326">
        <f>Q21</f>
        <v>97338.49846153846</v>
      </c>
      <c r="H21" s="327">
        <f>G21*B21</f>
        <v>97338.49846153846</v>
      </c>
      <c r="I21" s="265"/>
      <c r="J21" s="47"/>
      <c r="K21" s="47">
        <f>B21</f>
        <v>1</v>
      </c>
      <c r="L21" s="39">
        <f t="shared" ref="L21" si="1">D21+L$19</f>
        <v>2.1599999999999997</v>
      </c>
      <c r="M21" s="39">
        <f t="shared" ref="M21" si="2">E21+M$19</f>
        <v>0.6</v>
      </c>
      <c r="N21" s="261">
        <f t="shared" ref="N21" si="3">L21*M21</f>
        <v>1.2959999999999998</v>
      </c>
      <c r="O21" s="259">
        <f t="shared" ref="O21" si="4">N21*K21</f>
        <v>1.2959999999999998</v>
      </c>
      <c r="P21" s="252">
        <f t="shared" ref="P21" si="5">P$20*N21</f>
        <v>94338.49846153846</v>
      </c>
      <c r="Q21" s="258">
        <f t="shared" ref="Q21" si="6">P21+Q$20</f>
        <v>97338.49846153846</v>
      </c>
      <c r="R21" s="309">
        <f>L21*K21*2</f>
        <v>4.3199999999999994</v>
      </c>
      <c r="S21" s="46">
        <f>M21*K21*2</f>
        <v>1.2</v>
      </c>
      <c r="T21" s="9"/>
      <c r="W21" s="4"/>
    </row>
    <row r="22" spans="2:24" ht="18" thickBot="1" x14ac:dyDescent="0.35">
      <c r="B22" s="341">
        <v>1</v>
      </c>
      <c r="C22" s="342" t="s">
        <v>174</v>
      </c>
      <c r="D22" s="343">
        <v>0.78</v>
      </c>
      <c r="E22" s="343">
        <v>0.6</v>
      </c>
      <c r="F22" s="342" t="s">
        <v>171</v>
      </c>
      <c r="G22" s="344">
        <f>Q22</f>
        <v>39250.441538461542</v>
      </c>
      <c r="H22" s="345">
        <f>G22*B22</f>
        <v>39250.441538461542</v>
      </c>
      <c r="I22" s="265"/>
      <c r="J22" s="47"/>
      <c r="K22" s="47">
        <f t="shared" ref="K22" si="7">B22</f>
        <v>1</v>
      </c>
      <c r="L22" s="39">
        <f t="shared" ref="L22" si="8">D22+L$19</f>
        <v>0.83000000000000007</v>
      </c>
      <c r="M22" s="39">
        <f t="shared" ref="M22" si="9">E22+M$19</f>
        <v>0.6</v>
      </c>
      <c r="N22" s="261">
        <f t="shared" ref="N22" si="10">L22*M22</f>
        <v>0.498</v>
      </c>
      <c r="O22" s="259">
        <f t="shared" ref="O22" si="11">N22*K22</f>
        <v>0.498</v>
      </c>
      <c r="P22" s="252">
        <f t="shared" ref="P22" si="12">P$20*N22</f>
        <v>36250.441538461542</v>
      </c>
      <c r="Q22" s="258">
        <f t="shared" ref="Q22" si="13">P22+Q$20</f>
        <v>39250.441538461542</v>
      </c>
      <c r="R22" s="309">
        <f t="shared" ref="R22" si="14">L22*K22*2</f>
        <v>1.6600000000000001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136588.94</v>
      </c>
      <c r="I24" s="265"/>
      <c r="J24" s="47"/>
      <c r="K24" s="47"/>
      <c r="L24" s="39">
        <f>SUM(L21:L23)</f>
        <v>2.9899999999999998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H24*0.19</f>
        <v>25951.8986</v>
      </c>
      <c r="I25" s="265"/>
      <c r="J25" s="47"/>
      <c r="K25" s="47"/>
      <c r="L25" s="39"/>
      <c r="M25" s="12"/>
      <c r="N25" s="12"/>
      <c r="O25" s="253">
        <f>SUM(O21:O22)</f>
        <v>1.7939999999999998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162540.83860000002</v>
      </c>
      <c r="I26" s="265"/>
      <c r="J26" s="47"/>
      <c r="K26" s="47"/>
      <c r="L26" s="39"/>
      <c r="M26" s="12"/>
      <c r="N26" s="12"/>
      <c r="O26" s="253">
        <f>O25</f>
        <v>1.7939999999999998</v>
      </c>
      <c r="P26" s="14"/>
      <c r="Q26" s="12"/>
      <c r="R26" s="239">
        <f>SUM(R21:R25)</f>
        <v>5.9799999999999995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0.35880000000000001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2.1528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2.1528</v>
      </c>
      <c r="M30" s="12">
        <v>3500</v>
      </c>
      <c r="N30" s="12">
        <f t="shared" ref="N30:N35" si="15">L30*M30</f>
        <v>7534.8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15"/>
        <v>25000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/>
      <c r="M32" s="250">
        <v>46500</v>
      </c>
      <c r="N32" s="12">
        <f t="shared" si="1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21003</v>
      </c>
      <c r="N33" s="12">
        <f t="shared" si="15"/>
        <v>21003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v>2.16</v>
      </c>
      <c r="M35" s="12">
        <v>1500</v>
      </c>
      <c r="N35" s="12">
        <f t="shared" si="15"/>
        <v>3240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56777.8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130588.94</v>
      </c>
      <c r="O37" s="14" t="s">
        <v>141</v>
      </c>
      <c r="P37" s="14"/>
      <c r="Q37" s="40">
        <f>O28/Q36</f>
        <v>0.58045729076790331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72792.051282051296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45336</v>
      </c>
    </row>
    <row r="6" spans="2:31" ht="16.2" thickBot="1" x14ac:dyDescent="0.35">
      <c r="B6" s="140" t="s">
        <v>2</v>
      </c>
      <c r="C6" s="139" t="str">
        <f>'2229'!C10</f>
        <v>EDUARDO CASTILLO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10668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-5613.3783667874422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136588.94</v>
      </c>
      <c r="E11" s="132">
        <f>D11*0.19</f>
        <v>25951.8986</v>
      </c>
      <c r="F11" s="131">
        <f>E11+D11</f>
        <v>162540.83860000002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100376.62163321256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62368.89078743961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82376.621633212562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74220.049212560392</v>
      </c>
      <c r="E13" s="221">
        <f>(D11/D12)-1</f>
        <v>1.190017142769316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73376.621633212562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34376.621633212555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102908.66979927535</v>
      </c>
      <c r="F15" s="216">
        <f>E15-D12</f>
        <v>40539.779011835737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34376.621633212555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74376.621633212562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7534.8</v>
      </c>
      <c r="E20" s="121">
        <f>D20*0.19</f>
        <v>1431.6120000000001</v>
      </c>
      <c r="F20" s="120">
        <f>SUM(D20:E20)</f>
        <v>8966.4120000000003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32534.799999999999</v>
      </c>
      <c r="E21" s="116">
        <f>SUM(E18:E20)</f>
        <v>6181.6120000000001</v>
      </c>
      <c r="F21" s="115">
        <f>SUM(F18:F20)</f>
        <v>38716.411999999997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19770.286599999999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136588.94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32534.799999999999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74220.049212560392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74220.049212560392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2024-03-14T13:34:31Z</cp:lastPrinted>
  <dcterms:created xsi:type="dcterms:W3CDTF">2013-03-18T13:35:42Z</dcterms:created>
  <dcterms:modified xsi:type="dcterms:W3CDTF">2024-03-14T13:41:34Z</dcterms:modified>
</cp:coreProperties>
</file>