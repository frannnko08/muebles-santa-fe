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8E5DB305-F373-464A-B831-2C2B160B24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" i="1" l="1"/>
  <c r="H21" i="1" l="1"/>
  <c r="O32" i="1"/>
  <c r="O33" i="1"/>
  <c r="H22" i="1"/>
  <c r="O34" i="1"/>
  <c r="O35" i="1"/>
  <c r="T36" i="1"/>
  <c r="T37" i="1" s="1"/>
  <c r="R36" i="1"/>
  <c r="O31" i="1"/>
  <c r="S25" i="1"/>
  <c r="S27" i="1" s="1"/>
  <c r="H25" i="1" l="1"/>
  <c r="M26" i="1"/>
  <c r="P26" i="1" l="1"/>
  <c r="P27" i="1" s="1"/>
  <c r="P28" i="1" s="1"/>
  <c r="M30" i="1" s="1"/>
  <c r="O30" i="1" l="1"/>
  <c r="O36" i="1" s="1"/>
  <c r="O37" i="1" s="1"/>
  <c r="R37" i="1"/>
  <c r="O39" i="1" l="1"/>
  <c r="O38" i="1"/>
  <c r="I37" i="1" l="1"/>
  <c r="L16" i="1" l="1"/>
  <c r="H26" i="1" l="1"/>
  <c r="C7" i="3" l="1"/>
  <c r="C5" i="3"/>
  <c r="C6" i="3"/>
  <c r="C8" i="3" l="1"/>
  <c r="X8" i="3"/>
  <c r="K10" i="3"/>
  <c r="K11" i="3"/>
  <c r="W11" i="3"/>
  <c r="K12" i="3"/>
  <c r="W12" i="3"/>
  <c r="W19" i="3" s="1"/>
  <c r="W20" i="3" s="1"/>
  <c r="W21" i="3" s="1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L24" i="3"/>
  <c r="D35" i="3" s="1"/>
  <c r="Y19" i="3"/>
  <c r="H39" i="3"/>
  <c r="K39" i="3" s="1"/>
  <c r="D42" i="3"/>
  <c r="L9" i="3"/>
  <c r="D34" i="3" s="1"/>
  <c r="Y20" i="3"/>
  <c r="Y21" i="3" s="1"/>
  <c r="F23" i="3"/>
  <c r="D32" i="3"/>
  <c r="F32" i="3" s="1"/>
  <c r="A32" i="3"/>
  <c r="L36" i="3" l="1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H27" i="1" l="1"/>
  <c r="D11" i="3" l="1"/>
  <c r="E11" i="3" l="1"/>
  <c r="M42" i="3"/>
  <c r="F11" i="3" l="1"/>
  <c r="D20" i="3" l="1"/>
  <c r="E20" i="3" l="1"/>
  <c r="E21" i="3" s="1"/>
  <c r="D40" i="3" s="1"/>
  <c r="D21" i="3"/>
  <c r="M43" i="3" s="1"/>
  <c r="F20" i="3" l="1"/>
  <c r="F21" i="3" s="1"/>
  <c r="M46" i="3"/>
  <c r="M49" i="3" s="1"/>
  <c r="D12" i="3"/>
  <c r="D13" i="3" l="1"/>
  <c r="E13" i="3"/>
  <c r="E15" i="3"/>
  <c r="F15" i="3" l="1"/>
  <c r="X9" i="3"/>
  <c r="X14" i="3" l="1"/>
  <c r="X12" i="3"/>
  <c r="X13" i="3"/>
  <c r="X16" i="3"/>
  <c r="X15" i="3"/>
  <c r="X11" i="3"/>
</calcChain>
</file>

<file path=xl/sharedStrings.xml><?xml version="1.0" encoding="utf-8"?>
<sst xmlns="http://schemas.openxmlformats.org/spreadsheetml/2006/main" count="216" uniqueCount="168">
  <si>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</si>
  <si>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</si>
  <si>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</si>
  <si>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</si>
  <si>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</si>
  <si>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</si>
  <si>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</si>
  <si>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</si>
  <si>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</si>
  <si>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</si>
  <si>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</si>
  <si>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</si>
  <si>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</si>
  <si>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</si>
  <si>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VENTAS POR MAYOR Y MENOR DE MUEBLES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</si>
  <si>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</si>
  <si>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</si>
  <si>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</si>
  <si>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</si>
  <si>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</si>
  <si>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</si>
  <si>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</si>
  <si>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</si>
  <si>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</si>
  <si>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</si>
  <si>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</si>
  <si>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</si>
  <si>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</si>
  <si>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</si>
  <si>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</si>
  <si>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</si>
  <si>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</si>
  <si>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</si>
  <si>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</si>
  <si>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</si>
  <si>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</si>
  <si>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</si>
  <si>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</si>
  <si>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</si>
  <si>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</si>
  <si>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</si>
  <si>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</si>
  <si>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</si>
  <si>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</si>
  <si>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</si>
  <si>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</si>
  <si>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</si>
  <si>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</si>
  <si>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</si>
  <si>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</si>
  <si>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</si>
  <si>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</si>
  <si>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</si>
  <si>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</si>
  <si>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</si>
  <si>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</si>
  <si>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</si>
  <si>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</si>
  <si>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</si>
  <si>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</si>
  <si>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</si>
  <si>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</si>
  <si>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</si>
  <si>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</si>
  <si>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</si>
  <si>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</si>
  <si>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</si>
  <si>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</si>
  <si>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</si>
  <si>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</si>
  <si>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</si>
  <si>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</si>
  <si>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</si>
  <si>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</si>
  <si>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</si>
  <si>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</si>
  <si>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</si>
  <si>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</si>
  <si>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</si>
  <si>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</si>
  <si>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</si>
  <si>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</si>
  <si>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</si>
  <si>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</si>
  <si>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</si>
  <si>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</si>
  <si>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</si>
  <si>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</si>
  <si>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</si>
  <si>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</si>
  <si>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</si>
  <si>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</si>
  <si>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</si>
  <si>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</si>
  <si>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</si>
  <si>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</si>
  <si>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</si>
  <si>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</si>
  <si>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</si>
  <si>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</si>
  <si>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</si>
  <si>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</si>
  <si>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</si>
  <si>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</si>
  <si>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</si>
  <si>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</si>
  <si>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</si>
  <si>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</si>
  <si>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</si>
  <si>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</si>
  <si>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</si>
  <si>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</si>
  <si>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</si>
  <si>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</si>
  <si>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</si>
  <si>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</si>
  <si>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</si>
  <si>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</si>
  <si>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</si>
  <si>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</si>
  <si>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</si>
  <si>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</si>
  <si>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</si>
  <si>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</si>
  <si>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</si>
  <si>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</si>
  <si>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</si>
  <si>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>ACEPTADO POR:</t>
  </si>
  <si>
    <t xml:space="preserve">VISITANOS Y DESCUBRE NUESTROS PRODUCTOS EN </t>
  </si>
  <si>
    <t>P R E S U P U E S T O</t>
  </si>
  <si>
    <t xml:space="preserve">D E T A L L E </t>
  </si>
  <si>
    <t>SERVICIO EXPRESS</t>
  </si>
  <si>
    <t>m/l</t>
  </si>
  <si>
    <t>FORMA DE PAGO:</t>
  </si>
  <si>
    <t>20% PERDIDA</t>
  </si>
  <si>
    <t>DEBE VERIFICAR QUE TODA LA INFORMACION ESTE CORRECTA, NO NOS</t>
  </si>
  <si>
    <t>MT</t>
  </si>
  <si>
    <t>ENCHAPE</t>
  </si>
  <si>
    <t>GIRO:</t>
  </si>
  <si>
    <t>CONTACTO:</t>
  </si>
  <si>
    <t xml:space="preserve">DESPACHO:  </t>
  </si>
  <si>
    <t>ORDEN DE COMPRA:</t>
  </si>
  <si>
    <t>STOCK</t>
  </si>
  <si>
    <t>HACEMOS RESPONSABLE POR DAÑO DE TRANSPORTE Y SI EXISTEN DIFERENCIAS CON LO PRESUPUESTADO.</t>
  </si>
  <si>
    <t>NO</t>
  </si>
  <si>
    <t>SANTIAGO</t>
  </si>
  <si>
    <t>MUEBLES SANTA FE SPA</t>
  </si>
  <si>
    <t>RUT: 77.054.606-0</t>
  </si>
  <si>
    <r>
      <t xml:space="preserve">CUENTA CORRIENTE 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SANTANDER N°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</si>
  <si>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RUT : 77.054.606-0 VENTAS@TOPMOBILI.CL</t>
  </si>
  <si>
    <t>ABONO 50%, SALDO C/ENTREGA</t>
  </si>
  <si>
    <t>MT/L</t>
  </si>
  <si>
    <t>ALTO</t>
  </si>
  <si>
    <t>LAMINA 122X244</t>
  </si>
  <si>
    <t>FACTOR 2,3 PARA 90°</t>
  </si>
  <si>
    <t>VALOR MT2</t>
  </si>
  <si>
    <t>VALIDEZ COTIZACION: 5 DIAS HABILES                                             FD</t>
  </si>
  <si>
    <t>+5693447 9380</t>
  </si>
  <si>
    <t>RESIDENTES DE INTENSIVOS Y URGENCIAS SPA</t>
  </si>
  <si>
    <t>77.460.264-K</t>
  </si>
  <si>
    <t>ANTONIETA</t>
  </si>
  <si>
    <t>CAMARICO 13902 LAS CONDES</t>
  </si>
  <si>
    <t>7 DIAS HABILES</t>
  </si>
  <si>
    <t>SI</t>
  </si>
  <si>
    <t>SERVICIO DE INSTALACION</t>
  </si>
  <si>
    <t>OPCION 2</t>
  </si>
  <si>
    <t>N° 10667</t>
  </si>
  <si>
    <t>REPARACION PUERTAS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</si>
</sst>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#,##0\ _€"/>
  </numFmts>
  <fonts count="3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sz val="11"/>
      <color theme="1"/>
      <name val="Arial Narrow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3" fontId="22" fillId="18" borderId="26" xfId="0" applyNumberFormat="1" applyFont="1" applyFill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23" fillId="0" borderId="0" xfId="0" applyFont="1"/>
    <xf numFmtId="167" fontId="22" fillId="0" borderId="0" xfId="2" applyNumberFormat="1" applyFont="1" applyFill="1" applyBorder="1" applyAlignment="1">
      <alignment horizontal="center"/>
    </xf>
    <xf numFmtId="167" fontId="22" fillId="0" borderId="0" xfId="2" applyNumberFormat="1" applyFont="1" applyFill="1" applyBorder="1" applyAlignment="1">
      <alignment horizontal="center" vertical="center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17" borderId="54" xfId="0" applyFill="1" applyBorder="1"/>
    <xf numFmtId="0" fontId="0" fillId="17" borderId="0" xfId="0" applyFill="1"/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14" fontId="0" fillId="8" borderId="46" xfId="0" applyNumberFormat="1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0" xfId="0" applyFill="1" applyAlignment="1">
      <alignment horizontal="left"/>
    </xf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14" fontId="0" fillId="17" borderId="0" xfId="0" applyNumberFormat="1" applyFill="1" applyAlignment="1">
      <alignment horizontal="left"/>
    </xf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0" fontId="22" fillId="5" borderId="47" xfId="0" applyFont="1" applyFill="1" applyBorder="1"/>
    <xf numFmtId="0" fontId="22" fillId="5" borderId="46" xfId="0" applyFont="1" applyFill="1" applyBorder="1"/>
    <xf numFmtId="0" fontId="22" fillId="5" borderId="53" xfId="0" applyFont="1" applyFill="1" applyBorder="1"/>
    <xf numFmtId="0" fontId="22" fillId="5" borderId="37" xfId="0" applyFont="1" applyFill="1" applyBorder="1"/>
    <xf numFmtId="0" fontId="22" fillId="5" borderId="56" xfId="0" applyFont="1" applyFill="1" applyBorder="1"/>
    <xf numFmtId="167" fontId="22" fillId="0" borderId="0" xfId="0" applyNumberFormat="1" applyFont="1"/>
    <xf numFmtId="0" fontId="14" fillId="8" borderId="0" xfId="0" applyFont="1" applyFill="1"/>
    <xf numFmtId="42" fontId="2" fillId="18" borderId="20" xfId="8" applyFont="1" applyFill="1" applyBorder="1"/>
    <xf numFmtId="42" fontId="2" fillId="0" borderId="29" xfId="8" applyFont="1" applyFill="1" applyBorder="1"/>
    <xf numFmtId="166" fontId="3" fillId="4" borderId="0" xfId="0" applyNumberFormat="1" applyFont="1" applyFill="1" applyAlignment="1">
      <alignment horizontal="center"/>
    </xf>
    <xf numFmtId="0" fontId="5" fillId="8" borderId="0" xfId="0" applyFont="1" applyFill="1"/>
    <xf numFmtId="0" fontId="7" fillId="8" borderId="54" xfId="0" applyFont="1" applyFill="1" applyBorder="1"/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0" fontId="26" fillId="0" borderId="0" xfId="0" applyFont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9" fillId="8" borderId="46" xfId="0" applyFont="1" applyFill="1" applyBorder="1"/>
    <xf numFmtId="175" fontId="30" fillId="0" borderId="0" xfId="0" applyNumberFormat="1" applyFont="1"/>
    <xf numFmtId="0" fontId="28" fillId="0" borderId="0" xfId="0" quotePrefix="1" applyFont="1"/>
    <xf numFmtId="167" fontId="0" fillId="0" borderId="0" xfId="0" applyNumberFormat="1" applyAlignment="1">
      <alignment horizontal="center" vertical="center"/>
    </xf>
    <xf numFmtId="0" fontId="22" fillId="0" borderId="28" xfId="0" applyFont="1" applyBorder="1" applyAlignment="1">
      <alignment horizontal="center"/>
    </xf>
    <xf numFmtId="42" fontId="2" fillId="0" borderId="27" xfId="8" applyFont="1" applyFill="1" applyBorder="1"/>
    <xf numFmtId="167" fontId="0" fillId="0" borderId="27" xfId="0" applyNumberFormat="1" applyBorder="1" applyAlignment="1">
      <alignment horizontal="center" vertical="center"/>
    </xf>
    <xf numFmtId="0" fontId="9" fillId="0" borderId="0" xfId="3"/>
    <xf numFmtId="169" fontId="3" fillId="6" borderId="0" xfId="2" applyNumberFormat="1" applyFont="1" applyFill="1" applyBorder="1" applyAlignment="1">
      <alignment horizontal="center"/>
    </xf>
    <xf numFmtId="16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167" fontId="0" fillId="0" borderId="6" xfId="2" applyNumberFormat="1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21" fillId="2" borderId="42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left" indent="1"/>
    </xf>
    <xf numFmtId="0" fontId="24" fillId="2" borderId="9" xfId="0" applyFont="1" applyFill="1" applyBorder="1"/>
    <xf numFmtId="0" fontId="24" fillId="2" borderId="3" xfId="0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11" fillId="5" borderId="44" xfId="0" applyFont="1" applyFill="1" applyBorder="1"/>
    <xf numFmtId="3" fontId="11" fillId="0" borderId="0" xfId="0" applyNumberFormat="1" applyFont="1"/>
    <xf numFmtId="0" fontId="7" fillId="0" borderId="0" xfId="0" applyFont="1" applyAlignment="1">
      <alignment horizontal="center" vertical="center"/>
    </xf>
    <xf numFmtId="0" fontId="8" fillId="2" borderId="0" xfId="0" applyFont="1" applyFill="1"/>
    <xf numFmtId="0" fontId="18" fillId="17" borderId="37" xfId="0" applyFont="1" applyFill="1" applyBorder="1" applyAlignment="1">
      <alignment horizontal="left"/>
    </xf>
    <xf numFmtId="0" fontId="18" fillId="17" borderId="56" xfId="0" applyFont="1" applyFill="1" applyBorder="1" applyAlignment="1">
      <alignment horizontal="left"/>
    </xf>
    <xf numFmtId="0" fontId="5" fillId="8" borderId="28" xfId="0" applyFont="1" applyFill="1" applyBorder="1" applyAlignment="1">
      <alignment horizontal="center" vertical="center"/>
    </xf>
    <xf numFmtId="0" fontId="5" fillId="8" borderId="36" xfId="0" applyFont="1" applyFill="1" applyBorder="1" applyAlignment="1">
      <alignment horizontal="center" vertical="center"/>
    </xf>
    <xf numFmtId="0" fontId="5" fillId="8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19373</xdr:colOff>
      <xdr:row>23</xdr:row>
      <xdr:rowOff>154981</xdr:rowOff>
    </xdr:from>
    <xdr:to>
      <xdr:col>5</xdr:col>
      <xdr:colOff>1724187</xdr:colOff>
      <xdr:row>27</xdr:row>
      <xdr:rowOff>186690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131313D-7BD6-432A-9943-29468F425BE8}"/>
            </a:ext>
          </a:extLst>
        </xdr:cNvPr>
        <xdr:cNvSpPr/>
      </xdr:nvSpPr>
      <xdr:spPr>
        <a:xfrm>
          <a:off x="432661" y="4610744"/>
          <a:ext cx="6154119" cy="89057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PUERTAS ENCHAPADAS CON TAPACANTO PVC 0,4MM LO MAS PARECIDO A LA LAMINA</a:t>
          </a:r>
        </a:p>
        <a:p>
          <a:pPr algn="l"/>
          <a:endParaRPr lang="es-CL" sz="1400" b="1" u="dbl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7"/>
  <sheetViews>
    <sheetView tabSelected="1" topLeftCell="B8" zoomScale="118" zoomScaleNormal="118" workbookViewId="0">
      <selection activeCell="G23" sqref="G23"/>
    </sheetView>
  </sheetViews>
  <sheetFormatPr baseColWidth="10" defaultRowHeight="14.4" x14ac:dyDescent="0.3"/>
  <cols>
    <col min="1" max="1" width="6" customWidth="1"/>
    <col min="2" max="2" width="11.5546875" customWidth="1"/>
    <col min="3" max="3" width="27.6640625" customWidth="1"/>
    <col min="4" max="4" width="11.6640625" customWidth="1"/>
    <col min="5" max="5" width="13.88671875" customWidth="1"/>
    <col min="6" max="6" width="27.21875" customWidth="1"/>
    <col min="7" max="7" width="14" customWidth="1"/>
    <col min="8" max="9" width="13.44140625" customWidth="1"/>
    <col min="11" max="11" width="11.33203125" style="18" customWidth="1"/>
    <col min="12" max="12" width="8.33203125" customWidth="1"/>
    <col min="13" max="13" width="7.44140625" customWidth="1"/>
    <col min="14" max="14" width="9.44140625" customWidth="1"/>
    <col min="15" max="15" width="9.554687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7" t="s">
        <v>146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147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15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C6" s="319" t="s">
        <v>165</v>
      </c>
      <c r="F6" s="59" t="s">
        <v>16</v>
      </c>
      <c r="N6" s="33" t="s">
        <v>21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12" t="s">
        <v>129</v>
      </c>
      <c r="C8" s="313"/>
      <c r="D8" s="314" t="s">
        <v>166</v>
      </c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54" t="s">
        <v>2</v>
      </c>
      <c r="C10" s="297" t="s">
        <v>158</v>
      </c>
      <c r="D10" s="255"/>
      <c r="E10" s="255"/>
      <c r="F10" s="256" t="s">
        <v>0</v>
      </c>
      <c r="G10" s="257">
        <v>45364</v>
      </c>
      <c r="H10" s="258"/>
      <c r="I10" s="260"/>
      <c r="J10" s="1"/>
      <c r="Q10" s="2"/>
      <c r="R10" s="3"/>
      <c r="S10" s="3"/>
      <c r="T10" s="4"/>
      <c r="U10" s="2"/>
      <c r="V10" s="3"/>
    </row>
    <row r="11" spans="2:23" ht="15.6" x14ac:dyDescent="0.3">
      <c r="B11" s="248" t="s">
        <v>12</v>
      </c>
      <c r="C11" s="317" t="s">
        <v>159</v>
      </c>
      <c r="D11" s="249"/>
      <c r="E11" s="249"/>
      <c r="F11" s="249" t="s">
        <v>125</v>
      </c>
      <c r="G11" s="272" t="s">
        <v>162</v>
      </c>
      <c r="H11" s="250"/>
      <c r="I11" s="249"/>
      <c r="P11" s="19"/>
      <c r="Q11" s="25" t="s">
        <v>20</v>
      </c>
      <c r="R11" s="19"/>
    </row>
    <row r="12" spans="2:23" x14ac:dyDescent="0.3">
      <c r="B12" s="259" t="s">
        <v>138</v>
      </c>
      <c r="C12" s="296"/>
      <c r="D12" s="260"/>
      <c r="E12" s="260"/>
      <c r="F12" s="260" t="s">
        <v>131</v>
      </c>
      <c r="G12" s="261" t="s">
        <v>144</v>
      </c>
      <c r="H12" s="262"/>
      <c r="I12" s="260"/>
      <c r="J12" s="29"/>
      <c r="P12" s="20"/>
      <c r="Q12" s="26" t="s">
        <v>19</v>
      </c>
      <c r="R12" s="20"/>
    </row>
    <row r="13" spans="2:23" ht="15.6" x14ac:dyDescent="0.3">
      <c r="B13" s="248" t="s">
        <v>4</v>
      </c>
      <c r="C13" s="299" t="s">
        <v>157</v>
      </c>
      <c r="D13" s="292"/>
      <c r="E13" s="249"/>
      <c r="F13" s="249" t="s">
        <v>140</v>
      </c>
      <c r="G13" s="249" t="s">
        <v>163</v>
      </c>
      <c r="H13" s="250"/>
      <c r="I13" s="249"/>
    </row>
    <row r="14" spans="2:23" ht="15.6" x14ac:dyDescent="0.3">
      <c r="B14" s="248" t="s">
        <v>139</v>
      </c>
      <c r="C14" s="304" t="s">
        <v>160</v>
      </c>
      <c r="D14" s="292"/>
      <c r="E14" s="249"/>
      <c r="F14" s="249" t="s">
        <v>141</v>
      </c>
      <c r="G14" s="249"/>
      <c r="H14" s="250"/>
      <c r="I14" s="249"/>
    </row>
    <row r="15" spans="2:23" x14ac:dyDescent="0.3">
      <c r="B15" s="286" t="s">
        <v>3</v>
      </c>
      <c r="C15" s="260" t="s">
        <v>161</v>
      </c>
      <c r="D15" s="260"/>
      <c r="E15" s="260"/>
      <c r="F15" s="281" t="s">
        <v>133</v>
      </c>
      <c r="G15" s="285" t="s">
        <v>150</v>
      </c>
      <c r="H15" s="262"/>
      <c r="I15" s="260"/>
      <c r="L15">
        <v>49980</v>
      </c>
    </row>
    <row r="16" spans="2:23" ht="15" thickBot="1" x14ac:dyDescent="0.35">
      <c r="B16" s="251" t="s">
        <v>13</v>
      </c>
      <c r="C16" s="252" t="s">
        <v>145</v>
      </c>
      <c r="D16" s="252"/>
      <c r="E16" s="253"/>
      <c r="F16" s="320" t="s">
        <v>156</v>
      </c>
      <c r="G16" s="320"/>
      <c r="H16" s="321"/>
      <c r="I16" s="288"/>
      <c r="L16">
        <f>L15/1.19</f>
        <v>42000</v>
      </c>
      <c r="S16" s="6"/>
      <c r="T16" s="6"/>
    </row>
    <row r="17" spans="2:24" ht="14.25" customHeight="1" x14ac:dyDescent="0.3">
      <c r="J17" s="8"/>
      <c r="U17" s="6"/>
      <c r="X17" s="6"/>
    </row>
    <row r="18" spans="2:24" ht="15.75" customHeight="1" thickBot="1" x14ac:dyDescent="0.35">
      <c r="J18" s="5"/>
      <c r="U18" s="9"/>
      <c r="W18" s="6"/>
      <c r="X18" s="6"/>
    </row>
    <row r="19" spans="2:24" ht="13.5" customHeight="1" x14ac:dyDescent="0.3">
      <c r="B19" s="322" t="s">
        <v>130</v>
      </c>
      <c r="C19" s="323"/>
      <c r="D19" s="323"/>
      <c r="E19" s="323"/>
      <c r="F19" s="323"/>
      <c r="G19" s="323"/>
      <c r="H19" s="324"/>
      <c r="I19" s="289"/>
      <c r="J19" s="5"/>
      <c r="K19" s="264"/>
      <c r="L19" s="264"/>
      <c r="M19" s="14">
        <v>0.05</v>
      </c>
      <c r="N19" s="14"/>
      <c r="O19" s="14"/>
      <c r="P19" s="265" t="s">
        <v>6</v>
      </c>
      <c r="Q19" s="36" t="s">
        <v>22</v>
      </c>
      <c r="R19" s="37" t="s">
        <v>137</v>
      </c>
      <c r="S19" s="10" t="s">
        <v>151</v>
      </c>
      <c r="U19" s="9"/>
      <c r="W19" s="6"/>
      <c r="X19" s="6"/>
    </row>
    <row r="20" spans="2:24" ht="18" thickBot="1" x14ac:dyDescent="0.35">
      <c r="B20" s="309" t="s">
        <v>142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155</v>
      </c>
      <c r="H20" s="311" t="s">
        <v>6</v>
      </c>
      <c r="I20" s="290"/>
      <c r="J20" s="47"/>
      <c r="K20" s="294"/>
      <c r="L20" s="294" t="s">
        <v>98</v>
      </c>
      <c r="M20" s="293" t="s">
        <v>152</v>
      </c>
      <c r="N20" s="293" t="s">
        <v>11</v>
      </c>
      <c r="O20" s="284" t="s">
        <v>136</v>
      </c>
      <c r="P20" s="274" t="s">
        <v>18</v>
      </c>
      <c r="Q20" s="266">
        <v>127612</v>
      </c>
      <c r="R20" s="273">
        <v>3000</v>
      </c>
      <c r="S20" s="38"/>
      <c r="T20" s="14" t="s">
        <v>132</v>
      </c>
      <c r="U20" s="9"/>
      <c r="W20" s="4"/>
    </row>
    <row r="21" spans="2:24" ht="15" thickBot="1" x14ac:dyDescent="0.35">
      <c r="B21" s="7">
        <v>2</v>
      </c>
      <c r="C21" s="315" t="s">
        <v>167</v>
      </c>
      <c r="D21" s="306"/>
      <c r="E21" s="306"/>
      <c r="F21" s="307"/>
      <c r="G21" s="308">
        <v>7500</v>
      </c>
      <c r="H21" s="303">
        <f t="shared" ref="H21:H22" si="0">G21*B21</f>
        <v>15000</v>
      </c>
      <c r="I21" s="298"/>
      <c r="J21" s="47"/>
      <c r="K21" s="47"/>
      <c r="L21" s="47"/>
      <c r="M21" s="39"/>
      <c r="N21" s="39"/>
      <c r="O21" s="284"/>
      <c r="P21" s="274"/>
      <c r="Q21" s="266"/>
      <c r="R21" s="273"/>
      <c r="S21" s="305"/>
      <c r="T21" s="14"/>
      <c r="U21" s="9"/>
      <c r="W21" s="4"/>
    </row>
    <row r="22" spans="2:24" x14ac:dyDescent="0.3">
      <c r="B22" s="7">
        <v>1</v>
      </c>
      <c r="C22" s="315" t="s">
        <v>164</v>
      </c>
      <c r="D22" s="306"/>
      <c r="E22" s="306"/>
      <c r="F22" s="307"/>
      <c r="G22" s="308">
        <v>80000</v>
      </c>
      <c r="H22" s="303">
        <f t="shared" si="0"/>
        <v>80000</v>
      </c>
      <c r="I22" s="298"/>
      <c r="J22" s="47"/>
      <c r="K22" s="47"/>
      <c r="L22" s="47"/>
      <c r="M22" s="39"/>
      <c r="N22" s="39"/>
      <c r="O22" s="284"/>
      <c r="P22" s="274"/>
      <c r="Q22" s="266"/>
      <c r="R22" s="273"/>
      <c r="S22" s="305"/>
      <c r="T22" s="14"/>
      <c r="U22" s="9"/>
      <c r="W22" s="4"/>
    </row>
    <row r="23" spans="2:24" x14ac:dyDescent="0.3">
      <c r="B23" s="5"/>
      <c r="C23" s="318"/>
      <c r="D23" s="22"/>
      <c r="E23" s="22"/>
      <c r="F23" s="6"/>
      <c r="G23" s="23"/>
      <c r="H23" s="300"/>
      <c r="I23" s="298"/>
      <c r="J23" s="47"/>
      <c r="K23" s="47"/>
      <c r="L23" s="47"/>
      <c r="M23" s="39"/>
      <c r="N23" s="39"/>
      <c r="O23" s="284"/>
      <c r="P23" s="274"/>
      <c r="Q23" s="266"/>
      <c r="R23" s="273"/>
      <c r="S23" s="305"/>
      <c r="T23" s="14"/>
      <c r="U23" s="9"/>
      <c r="W23" s="4"/>
    </row>
    <row r="24" spans="2:24" ht="15" thickBot="1" x14ac:dyDescent="0.35">
      <c r="B24" s="5"/>
      <c r="C24" s="5"/>
      <c r="D24" s="22"/>
      <c r="E24" s="22"/>
      <c r="F24" s="6"/>
      <c r="G24" s="23"/>
      <c r="H24" s="300"/>
      <c r="I24" s="298"/>
      <c r="J24" s="47"/>
      <c r="K24" s="47"/>
      <c r="L24" s="47"/>
      <c r="M24" s="39"/>
      <c r="N24" s="39"/>
      <c r="O24" s="284"/>
      <c r="P24" s="274"/>
      <c r="Q24" s="266"/>
      <c r="R24" s="273"/>
      <c r="S24" s="38"/>
      <c r="T24" s="14"/>
      <c r="U24" s="9"/>
      <c r="W24" s="4"/>
    </row>
    <row r="25" spans="2:24" s="230" customFormat="1" ht="17.399999999999999" x14ac:dyDescent="0.35">
      <c r="B25" s="295"/>
      <c r="E25" s="233"/>
      <c r="F25" s="234"/>
      <c r="G25" s="301" t="s">
        <v>30</v>
      </c>
      <c r="H25" s="302">
        <f>SUM(H21:H22)</f>
        <v>95000</v>
      </c>
      <c r="I25" s="287"/>
      <c r="J25" s="232"/>
      <c r="K25" s="264"/>
      <c r="L25" s="47"/>
      <c r="M25" s="39"/>
      <c r="N25" s="12"/>
      <c r="O25" s="12"/>
      <c r="P25" s="267" t="e">
        <f>SUM(#REF!)</f>
        <v>#REF!</v>
      </c>
      <c r="Q25" s="14"/>
      <c r="R25" s="12"/>
      <c r="S25" s="244">
        <f>SUM(S21:S24)</f>
        <v>0</v>
      </c>
      <c r="T25" s="14"/>
      <c r="U25" s="9"/>
      <c r="V25" s="231"/>
    </row>
    <row r="26" spans="2:24" s="230" customFormat="1" ht="17.399999999999999" x14ac:dyDescent="0.35">
      <c r="B26" s="235"/>
      <c r="C26" s="236"/>
      <c r="D26" s="237"/>
      <c r="E26" s="235" t="s">
        <v>127</v>
      </c>
      <c r="G26" s="238" t="s">
        <v>31</v>
      </c>
      <c r="H26" s="282">
        <f>H25*19%</f>
        <v>18050</v>
      </c>
      <c r="I26" s="287"/>
      <c r="K26" s="264"/>
      <c r="L26" s="47"/>
      <c r="M26" s="39">
        <f>SUM(M21:M25)*2</f>
        <v>0</v>
      </c>
      <c r="N26" s="12"/>
      <c r="O26" s="12"/>
      <c r="P26" s="267" t="e">
        <f>P25</f>
        <v>#REF!</v>
      </c>
      <c r="Q26" s="14"/>
      <c r="R26" s="12"/>
      <c r="S26" s="244"/>
      <c r="T26" s="14"/>
      <c r="U26" s="9"/>
    </row>
    <row r="27" spans="2:24" s="230" customFormat="1" ht="18" thickBot="1" x14ac:dyDescent="0.4">
      <c r="G27" s="239" t="s">
        <v>6</v>
      </c>
      <c r="H27" s="283">
        <f>H25+H26</f>
        <v>113050</v>
      </c>
      <c r="K27" s="264"/>
      <c r="L27" s="47"/>
      <c r="M27" s="14"/>
      <c r="N27" s="12"/>
      <c r="O27" s="12"/>
      <c r="P27" s="39" t="e">
        <f>P26*20%</f>
        <v>#REF!</v>
      </c>
      <c r="Q27" s="39" t="s">
        <v>134</v>
      </c>
      <c r="R27" s="42"/>
      <c r="S27" s="245">
        <f>S25+S26</f>
        <v>0</v>
      </c>
      <c r="T27" s="14"/>
      <c r="U27" s="9"/>
      <c r="W27" s="231"/>
    </row>
    <row r="28" spans="2:24" s="230" customFormat="1" ht="17.399999999999999" x14ac:dyDescent="0.35">
      <c r="K28" s="264"/>
      <c r="L28" s="47"/>
      <c r="M28" s="14"/>
      <c r="N28" s="12"/>
      <c r="O28" s="12"/>
      <c r="P28" s="46" t="e">
        <f>P26+P27</f>
        <v>#REF!</v>
      </c>
      <c r="Q28" s="14"/>
      <c r="R28" s="14"/>
      <c r="S28" s="243">
        <v>40</v>
      </c>
      <c r="T28" s="14"/>
      <c r="U28" s="9"/>
      <c r="W28" s="231"/>
    </row>
    <row r="29" spans="2:24" s="230" customFormat="1" ht="17.399999999999999" x14ac:dyDescent="0.35">
      <c r="B29" s="138"/>
      <c r="K29" s="264"/>
      <c r="L29" s="47"/>
      <c r="M29" s="14"/>
      <c r="N29" s="14"/>
      <c r="O29" s="14"/>
      <c r="P29" s="14"/>
      <c r="Q29" s="14"/>
      <c r="R29" s="14"/>
      <c r="S29" s="243"/>
      <c r="T29" s="14"/>
      <c r="U29" s="9"/>
    </row>
    <row r="30" spans="2:24" s="230" customFormat="1" ht="17.399999999999999" x14ac:dyDescent="0.35">
      <c r="E30" s="240"/>
      <c r="G30" s="241"/>
      <c r="H30" s="280"/>
      <c r="I30" s="280"/>
      <c r="K30" s="264"/>
      <c r="L30" s="47"/>
      <c r="M30" s="39" t="e">
        <f>P28</f>
        <v>#REF!</v>
      </c>
      <c r="N30" s="12">
        <v>3500</v>
      </c>
      <c r="O30" s="12" t="e">
        <f t="shared" ref="O30:O35" si="1">M30*N30</f>
        <v>#REF!</v>
      </c>
      <c r="P30" s="14" t="s">
        <v>23</v>
      </c>
      <c r="Q30" s="14" t="s">
        <v>24</v>
      </c>
      <c r="R30" s="14"/>
      <c r="S30" s="246"/>
      <c r="T30" s="14"/>
      <c r="U30" s="9"/>
    </row>
    <row r="31" spans="2:24" s="230" customFormat="1" ht="18" thickBot="1" x14ac:dyDescent="0.4">
      <c r="G31" s="242"/>
      <c r="K31" s="264"/>
      <c r="L31" s="47"/>
      <c r="M31" s="263">
        <v>0.5</v>
      </c>
      <c r="N31" s="12">
        <v>45000</v>
      </c>
      <c r="O31" s="12">
        <f t="shared" si="1"/>
        <v>22500</v>
      </c>
      <c r="P31" s="39" t="s">
        <v>33</v>
      </c>
      <c r="Q31" s="42"/>
      <c r="R31" s="14"/>
      <c r="S31" s="245"/>
      <c r="T31" s="14"/>
      <c r="U31" s="9"/>
    </row>
    <row r="32" spans="2:24" s="230" customFormat="1" ht="17.399999999999999" x14ac:dyDescent="0.35">
      <c r="B32" s="275" t="s">
        <v>135</v>
      </c>
      <c r="C32" s="276"/>
      <c r="D32" s="276"/>
      <c r="E32" s="276"/>
      <c r="F32" s="276"/>
      <c r="G32" s="277"/>
      <c r="K32" s="12"/>
      <c r="L32" s="264"/>
      <c r="M32" s="14"/>
      <c r="N32" s="12">
        <v>65361</v>
      </c>
      <c r="O32" s="12">
        <f t="shared" si="1"/>
        <v>0</v>
      </c>
      <c r="P32" s="39" t="s">
        <v>32</v>
      </c>
      <c r="Q32" s="42"/>
      <c r="S32" s="245"/>
      <c r="T32" s="270"/>
    </row>
    <row r="33" spans="2:21" s="230" customFormat="1" ht="18" thickBot="1" x14ac:dyDescent="0.4">
      <c r="B33" s="316" t="s">
        <v>143</v>
      </c>
      <c r="C33" s="278"/>
      <c r="D33" s="278"/>
      <c r="E33" s="278"/>
      <c r="F33" s="278"/>
      <c r="G33" s="279"/>
      <c r="K33" s="12"/>
      <c r="L33" s="264"/>
      <c r="M33" s="14">
        <v>1</v>
      </c>
      <c r="N33" s="14">
        <v>50000</v>
      </c>
      <c r="O33" s="12">
        <f t="shared" si="1"/>
        <v>50000</v>
      </c>
      <c r="P33" s="14" t="s">
        <v>153</v>
      </c>
      <c r="Q33" s="17"/>
      <c r="S33" s="243"/>
      <c r="T33" s="270"/>
    </row>
    <row r="34" spans="2:21" ht="14.4" customHeight="1" x14ac:dyDescent="0.35">
      <c r="B34" s="24" t="s">
        <v>148</v>
      </c>
      <c r="C34" s="230"/>
      <c r="D34" s="230"/>
      <c r="E34" s="230"/>
      <c r="F34" s="230"/>
      <c r="K34" s="12"/>
      <c r="L34" s="264"/>
      <c r="M34" s="263"/>
      <c r="N34" s="12">
        <v>300</v>
      </c>
      <c r="O34" s="12">
        <f t="shared" si="1"/>
        <v>0</v>
      </c>
      <c r="P34" s="14" t="s">
        <v>34</v>
      </c>
      <c r="Q34" s="14"/>
      <c r="R34" s="230">
        <v>1.52</v>
      </c>
      <c r="S34" s="243"/>
      <c r="T34" s="243"/>
      <c r="U34" s="230"/>
    </row>
    <row r="35" spans="2:21" ht="17.399999999999999" x14ac:dyDescent="0.35">
      <c r="B35" s="24" t="s">
        <v>149</v>
      </c>
      <c r="K35" s="264"/>
      <c r="L35" s="264"/>
      <c r="M35" s="291"/>
      <c r="N35" s="12">
        <v>1500</v>
      </c>
      <c r="O35" s="12">
        <f t="shared" si="1"/>
        <v>0</v>
      </c>
      <c r="P35" s="14" t="s">
        <v>25</v>
      </c>
      <c r="Q35" s="14"/>
      <c r="R35">
        <v>2.44</v>
      </c>
      <c r="T35" s="243">
        <v>1500</v>
      </c>
      <c r="U35" s="230"/>
    </row>
    <row r="36" spans="2:21" ht="17.399999999999999" x14ac:dyDescent="0.35">
      <c r="B36" s="29" t="s">
        <v>128</v>
      </c>
      <c r="F36" s="229" t="s">
        <v>17</v>
      </c>
      <c r="G36" s="23"/>
      <c r="K36" s="264"/>
      <c r="L36" s="264"/>
      <c r="M36" s="14"/>
      <c r="N36" s="12"/>
      <c r="O36" s="12" t="e">
        <f>SUM(O30:O35)</f>
        <v>#REF!</v>
      </c>
      <c r="P36" s="39" t="s">
        <v>26</v>
      </c>
      <c r="Q36" s="14"/>
      <c r="R36">
        <f>R34*R35</f>
        <v>3.7088000000000001</v>
      </c>
      <c r="T36" s="243">
        <f>S28*T35</f>
        <v>60000</v>
      </c>
      <c r="U36" s="230"/>
    </row>
    <row r="37" spans="2:21" ht="17.399999999999999" x14ac:dyDescent="0.35">
      <c r="C37" s="228"/>
      <c r="D37" s="22"/>
      <c r="E37" s="22"/>
      <c r="F37" s="21"/>
      <c r="G37" s="23"/>
      <c r="I37" t="e">
        <f>+A17:I3A1:I37</f>
        <v>#NAME?</v>
      </c>
      <c r="K37" s="264"/>
      <c r="L37" s="264"/>
      <c r="M37" s="268" t="s">
        <v>35</v>
      </c>
      <c r="N37" s="12"/>
      <c r="O37" s="269" t="e">
        <f>O36*2.3</f>
        <v>#REF!</v>
      </c>
      <c r="P37" s="14" t="s">
        <v>154</v>
      </c>
      <c r="Q37" s="14"/>
      <c r="R37" s="40" t="e">
        <f>P28/R36</f>
        <v>#REF!</v>
      </c>
      <c r="T37" s="271" t="e">
        <f>T36/#REF!</f>
        <v>#REF!</v>
      </c>
      <c r="U37" s="230"/>
    </row>
    <row r="38" spans="2:21" ht="15" customHeight="1" x14ac:dyDescent="0.35">
      <c r="L38" s="264"/>
      <c r="M38" s="14"/>
      <c r="N38" s="12"/>
      <c r="O38" s="12" t="e">
        <f>O37/P26</f>
        <v>#REF!</v>
      </c>
      <c r="P38" s="45" t="s">
        <v>27</v>
      </c>
      <c r="Q38" s="14"/>
      <c r="R38" s="14"/>
      <c r="T38" s="243"/>
      <c r="U38" s="230"/>
    </row>
    <row r="39" spans="2:21" ht="17.399999999999999" x14ac:dyDescent="0.35">
      <c r="L39" s="264"/>
      <c r="M39" s="13"/>
      <c r="N39" s="14"/>
      <c r="O39" s="17" t="e">
        <f>O37/O36</f>
        <v>#REF!</v>
      </c>
      <c r="P39" s="15"/>
      <c r="T39" s="243"/>
      <c r="U39" s="230"/>
    </row>
    <row r="40" spans="2:21" ht="17.399999999999999" x14ac:dyDescent="0.35">
      <c r="L40" s="12"/>
      <c r="M40" s="230"/>
      <c r="N40" s="230"/>
      <c r="O40" s="230"/>
      <c r="P40" s="230"/>
      <c r="Q40" s="230"/>
      <c r="R40" s="230"/>
      <c r="S40" s="230"/>
      <c r="T40" s="243"/>
      <c r="U40" s="230"/>
    </row>
    <row r="42" spans="2:21" x14ac:dyDescent="0.3">
      <c r="N42" s="54"/>
      <c r="O42" s="54"/>
    </row>
    <row r="43" spans="2:21" x14ac:dyDescent="0.3">
      <c r="R43" s="18"/>
      <c r="S43" s="18"/>
    </row>
    <row r="44" spans="2:21" x14ac:dyDescent="0.3">
      <c r="R44" s="18"/>
      <c r="S44" s="18"/>
    </row>
    <row r="45" spans="2:21" x14ac:dyDescent="0.3">
      <c r="R45" s="18"/>
      <c r="S45" s="18"/>
    </row>
    <row r="46" spans="2:21" x14ac:dyDescent="0.3">
      <c r="R46" s="18"/>
      <c r="S46" s="18"/>
    </row>
    <row r="47" spans="2:21" x14ac:dyDescent="0.3">
      <c r="R47" s="18"/>
      <c r="S47" s="18"/>
    </row>
    <row r="48" spans="2:21" x14ac:dyDescent="0.3">
      <c r="R48" s="18"/>
      <c r="S48" s="18"/>
    </row>
    <row r="49" spans="14:19" x14ac:dyDescent="0.3">
      <c r="R49" s="18"/>
      <c r="S49" s="18"/>
    </row>
    <row r="50" spans="14:19" x14ac:dyDescent="0.3">
      <c r="R50" s="18"/>
      <c r="S50" s="18"/>
    </row>
    <row r="51" spans="14:19" x14ac:dyDescent="0.3">
      <c r="R51" s="18"/>
      <c r="S51" s="18"/>
    </row>
    <row r="54" spans="14:19" x14ac:dyDescent="0.3">
      <c r="N54" s="43"/>
    </row>
    <row r="55" spans="14:19" x14ac:dyDescent="0.3">
      <c r="N55" s="43"/>
    </row>
    <row r="56" spans="14:19" x14ac:dyDescent="0.3">
      <c r="N56" s="6"/>
    </row>
    <row r="57" spans="14:19" x14ac:dyDescent="0.3">
      <c r="N57" s="6"/>
    </row>
  </sheetData>
  <mergeCells count="2">
    <mergeCell ref="F16:H16"/>
    <mergeCell ref="B19:H19"/>
  </mergeCells>
  <phoneticPr fontId="31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45364</v>
      </c>
    </row>
    <row r="6" spans="2:31" ht="16.2" thickBot="1" x14ac:dyDescent="0.35">
      <c r="B6" s="140" t="s">
        <v>2</v>
      </c>
      <c r="C6" s="139" t="str">
        <f>'2229'!C10</f>
        <v>RESIDENTES DE INTENSIVOS Y URGENCIAS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>
        <f>'2229'!C12</f>
        <v>0</v>
      </c>
      <c r="D7" s="138"/>
      <c r="E7" s="138"/>
      <c r="F7" s="138"/>
      <c r="H7" s="326" t="s">
        <v>100</v>
      </c>
      <c r="I7" s="327"/>
      <c r="J7" s="327"/>
      <c r="K7" s="328"/>
      <c r="N7" s="75"/>
      <c r="O7" s="325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10667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5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5708.5416332125578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95000</v>
      </c>
      <c r="E11" s="132">
        <f>D11*0.19</f>
        <v>18050</v>
      </c>
      <c r="F11" s="131">
        <f>E11+D11</f>
        <v>113050</v>
      </c>
      <c r="H11" s="191">
        <v>3</v>
      </c>
      <c r="I11" s="174">
        <v>500</v>
      </c>
      <c r="J11" s="148" t="s">
        <v>25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111698.54163321256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78334.090787439607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93698.541633212561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16665.909212560393</v>
      </c>
      <c r="E13" s="221">
        <f>(D11/D12)-1</f>
        <v>0.21275423056589138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84698.541633212561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45698.541633212561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129251.24979927535</v>
      </c>
      <c r="F15" s="216">
        <f>E15-D12</f>
        <v>50917.159011835742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45698.541633212561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85698.541633212561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'2229'!N31</f>
        <v>45000</v>
      </c>
      <c r="E18" s="123">
        <f>D18*0.19</f>
        <v>8550</v>
      </c>
      <c r="F18" s="120">
        <f>SUM(D18:E18)</f>
        <v>53550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'2229'!N30</f>
        <v>3500</v>
      </c>
      <c r="E19" s="123">
        <f>D19*0.19</f>
        <v>665</v>
      </c>
      <c r="F19" s="120">
        <f>SUM(D19:E19)</f>
        <v>4165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23</v>
      </c>
      <c r="D20" s="122">
        <f>'2229'!N29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48500</v>
      </c>
      <c r="E21" s="116">
        <f>SUM(E18:E20)</f>
        <v>9215</v>
      </c>
      <c r="F21" s="115">
        <f>SUM(F18:F20)</f>
        <v>57715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28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25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8835</v>
      </c>
    </row>
    <row r="41" spans="2:16" ht="15" thickBot="1" x14ac:dyDescent="0.35">
      <c r="H41" s="329" t="s">
        <v>62</v>
      </c>
      <c r="I41" s="330"/>
      <c r="J41" s="330"/>
      <c r="K41" s="330"/>
      <c r="L41" s="330"/>
      <c r="M41" s="331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95000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48500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16665.909212560393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16665.909212560393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2024-03-13T16:01:20Z</cp:lastPrinted>
  <dcterms:created xsi:type="dcterms:W3CDTF">2013-03-18T13:35:42Z</dcterms:created>
  <dcterms:modified xsi:type="dcterms:W3CDTF">2024-03-13T17:11:36Z</dcterms:modified>
</cp:coreProperties>
</file>