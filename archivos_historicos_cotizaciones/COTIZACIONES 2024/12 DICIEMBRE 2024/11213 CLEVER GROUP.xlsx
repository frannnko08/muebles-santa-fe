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36023F47-6D1B-4995-96F8-73024822F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B21" i="1"/>
  <c r="L20" i="1" l="1"/>
  <c r="N20" i="1" l="1"/>
  <c r="M20" i="1" l="1"/>
  <c r="S20" i="1" l="1"/>
  <c r="S23" i="1" s="1"/>
  <c r="T20" i="1"/>
  <c r="T23" i="1" s="1"/>
  <c r="M24" i="1"/>
  <c r="O20" i="1"/>
  <c r="P20" i="1" s="1"/>
  <c r="P23" i="1" s="1"/>
  <c r="S25" i="1" l="1"/>
  <c r="P24" i="1"/>
  <c r="N19" i="1" l="1"/>
  <c r="L19" i="1"/>
  <c r="O30" i="1" l="1"/>
  <c r="R34" i="1"/>
  <c r="O31" i="1" l="1"/>
  <c r="O2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W20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1" i="3" l="1"/>
  <c r="L36" i="3"/>
  <c r="D36" i="3" s="1"/>
  <c r="D38" i="3"/>
  <c r="M45" i="3" s="1"/>
  <c r="F33" i="3"/>
  <c r="M44" i="3" s="1"/>
  <c r="D33" i="3"/>
  <c r="D19" i="3" l="1"/>
  <c r="D18" i="3" l="1"/>
  <c r="E18" i="3" s="1"/>
  <c r="E19" i="3"/>
  <c r="F19" i="3" s="1"/>
  <c r="O33" i="1"/>
  <c r="O32" i="1"/>
  <c r="F18" i="3" l="1"/>
  <c r="P25" i="1" l="1"/>
  <c r="P26" i="1" l="1"/>
  <c r="M28" i="1" s="1"/>
  <c r="O28" i="1" l="1"/>
  <c r="R35" i="1"/>
  <c r="O34" i="1" l="1"/>
  <c r="O35" i="1" s="1"/>
  <c r="D20" i="3"/>
  <c r="E20" i="3" s="1"/>
  <c r="E21" i="3" s="1"/>
  <c r="O37" i="1" l="1"/>
  <c r="D21" i="3"/>
  <c r="M43" i="3" s="1"/>
  <c r="D12" i="3" s="1"/>
  <c r="F20" i="3"/>
  <c r="F21" i="3" s="1"/>
  <c r="O36" i="1" l="1"/>
  <c r="Q19" i="1" s="1"/>
  <c r="E15" i="3"/>
  <c r="Q20" i="1" l="1"/>
  <c r="F15" i="3"/>
  <c r="R20" i="1" l="1"/>
  <c r="I20" i="1" l="1"/>
  <c r="I23" i="1" s="1"/>
  <c r="I24" i="1" l="1"/>
  <c r="I25" i="1" s="1"/>
  <c r="D11" i="3" l="1"/>
  <c r="E13" i="3" l="1"/>
  <c r="M42" i="3"/>
  <c r="M46" i="3" s="1"/>
  <c r="M49" i="3" s="1"/>
  <c r="X9" i="3"/>
  <c r="E11" i="3"/>
  <c r="D13" i="3"/>
  <c r="F11" i="3" l="1"/>
  <c r="D40" i="3"/>
  <c r="X12" i="3"/>
  <c r="X16" i="3"/>
  <c r="X15" i="3"/>
  <c r="X13" i="3"/>
  <c r="X11" i="3"/>
  <c r="X14" i="3"/>
</calcChain>
</file>

<file path=xl/sharedStrings.xml><?xml version="1.0" encoding="utf-8"?>
<sst xmlns="http://schemas.openxmlformats.org/spreadsheetml/2006/main" count="211" uniqueCount="161">
  <si>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</si>
  <si>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</si>
  <si>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</si>
  <si>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</si>
  <si>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</si>
  <si>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</si>
  <si>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</si>
  <si>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</si>
  <si>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</si>
  <si>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</si>
  <si>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</si>
  <si>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</si>
  <si>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</si>
  <si>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</si>
  <si>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</si>
  <si>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</si>
  <si>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</si>
  <si>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</si>
  <si>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</si>
  <si>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</si>
  <si>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</si>
  <si>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</si>
  <si>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</si>
  <si>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</si>
  <si>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</si>
  <si>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</si>
  <si>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</si>
  <si>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</si>
  <si>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</si>
  <si>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</si>
  <si>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</si>
  <si>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</si>
  <si>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</si>
  <si>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</si>
  <si>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</si>
  <si>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</si>
  <si>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</si>
  <si>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</si>
  <si>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</si>
  <si>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</si>
  <si>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</si>
  <si>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</si>
  <si>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</si>
  <si>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</si>
  <si>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</si>
  <si>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</si>
  <si>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</si>
  <si>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</si>
  <si>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</si>
  <si>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</si>
  <si>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</si>
  <si>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</si>
  <si>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</si>
  <si>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</si>
  <si>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</si>
  <si>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</si>
  <si>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</si>
  <si>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</si>
  <si>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</si>
  <si>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</si>
  <si>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</si>
  <si>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</si>
  <si>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</si>
  <si>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</si>
  <si>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</si>
  <si>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</si>
  <si>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</si>
  <si>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</si>
  <si>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</si>
  <si>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</si>
  <si>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</si>
  <si>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</si>
  <si>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</si>
  <si>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</si>
  <si>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</si>
  <si>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</si>
  <si>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</si>
  <si>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</si>
  <si>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</si>
  <si>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</si>
  <si>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</si>
  <si>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</si>
  <si>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</si>
  <si>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</si>
  <si>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</si>
  <si>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</si>
  <si>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</si>
  <si>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</si>
  <si>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</si>
  <si>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</si>
  <si>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</si>
  <si>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</si>
  <si>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</si>
  <si>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</si>
  <si>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</si>
  <si>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</si>
  <si>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</si>
  <si>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</si>
  <si>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</si>
  <si>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</si>
  <si>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</si>
  <si>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</si>
  <si>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</si>
  <si>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</si>
  <si>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</si>
  <si>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</si>
  <si>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</si>
  <si>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</si>
  <si>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</si>
  <si>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</si>
  <si>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</si>
  <si>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</si>
  <si>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</si>
  <si>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</si>
  <si>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</si>
  <si>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</si>
  <si>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</si>
  <si>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</si>
  <si>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</si>
  <si>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</si>
  <si>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</si>
  <si>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</si>
  <si>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</si>
  <si>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</si>
  <si>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</si>
  <si>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</si>
  <si>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</si>
  <si>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</si>
  <si>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 xml:space="preserve">D E T A L L E </t>
  </si>
  <si>
    <t>m/l</t>
  </si>
  <si>
    <t>FORMA DE PAGO:</t>
  </si>
  <si>
    <t>20% PERDIDA</t>
  </si>
  <si>
    <t>ALTO</t>
  </si>
  <si>
    <t>MT</t>
  </si>
  <si>
    <t>ENCHAPE</t>
  </si>
  <si>
    <t>CORTADA A LA MEDIDA</t>
  </si>
  <si>
    <t>MT/L</t>
  </si>
  <si>
    <t>VENTAS POR MENOR DE MUEBLES</t>
  </si>
  <si>
    <t>CONTADO</t>
  </si>
  <si>
    <t>DURACION COTIZACION: 5 DIAS</t>
  </si>
  <si>
    <t>CORREO:</t>
  </si>
  <si>
    <t>CONTACTO</t>
  </si>
  <si>
    <t>FACTOR 2,3 PARA 90°</t>
  </si>
  <si>
    <t>LAMINA 122X244</t>
  </si>
  <si>
    <t>MUEBLES SANTA FE SPA</t>
  </si>
  <si>
    <t>RUT: 77.054.606-0</t>
  </si>
  <si>
    <r>
      <t xml:space="preserve">CUENTA VISTA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355-7138907-8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</si>
  <si>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</si>
  <si>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IMPORTADORA Y EXPORTADORA CLEVER LTDA</t>
  </si>
  <si>
    <t>77.327.630-7</t>
  </si>
  <si>
    <t>DOUGLAS GUAJARDO</t>
  </si>
  <si>
    <t>+ 569 4207 3701</t>
  </si>
  <si>
    <t>RANCAGUA</t>
  </si>
  <si>
    <t>SI</t>
  </si>
  <si>
    <t>LAMINAS</t>
  </si>
  <si>
    <t>PEDIDO:</t>
  </si>
  <si>
    <t>OBRA:</t>
  </si>
  <si>
    <t>N° 11213</t>
  </si>
  <si>
    <t>15 DIAS HABILES</t>
  </si>
  <si>
    <t>X DEFINIR</t>
  </si>
  <si>
    <t>SLATE 22099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</si>
</sst>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28" xfId="0" applyFont="1" applyBorder="1" applyAlignment="1">
      <alignment horizontal="center"/>
    </xf>
    <xf numFmtId="42" fontId="11" fillId="0" borderId="27" xfId="8" applyFont="1" applyFill="1" applyBorder="1"/>
    <xf numFmtId="3" fontId="11" fillId="18" borderId="26" xfId="0" applyNumberFormat="1" applyFont="1" applyFill="1" applyBorder="1" applyAlignment="1">
      <alignment horizontal="center"/>
    </xf>
    <xf numFmtId="42" fontId="11" fillId="18" borderId="20" xfId="8" applyFont="1" applyFill="1" applyBorder="1"/>
    <xf numFmtId="0" fontId="11" fillId="0" borderId="31" xfId="0" applyFont="1" applyBorder="1" applyAlignment="1">
      <alignment horizontal="center"/>
    </xf>
    <xf numFmtId="42" fontId="11" fillId="0" borderId="29" xfId="8" applyFont="1" applyFill="1" applyBorder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1" fillId="20" borderId="3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42" fontId="22" fillId="0" borderId="0" xfId="0" applyNumberFormat="1" applyFont="1"/>
    <xf numFmtId="0" fontId="9" fillId="8" borderId="0" xfId="3" applyFill="1" applyBorder="1"/>
    <xf numFmtId="0" fontId="33" fillId="0" borderId="0" xfId="0" applyFont="1" applyAlignment="1">
      <alignment horizontal="center" vertical="center"/>
    </xf>
    <xf numFmtId="169" fontId="3" fillId="6" borderId="0" xfId="2" applyNumberFormat="1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5" fillId="0" borderId="0" xfId="3" quotePrefix="1" applyFont="1" applyFill="1" applyBorder="1"/>
    <xf numFmtId="0" fontId="0" fillId="17" borderId="37" xfId="3" applyFont="1" applyFill="1" applyBorder="1" applyAlignment="1">
      <alignment horizontal="left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36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1714500</xdr:colOff>
      <xdr:row>26</xdr:row>
      <xdr:rowOff>19050</xdr:rowOff>
    </xdr:from>
    <xdr:to>
      <xdr:col>9</xdr:col>
      <xdr:colOff>53265</xdr:colOff>
      <xdr:row>29</xdr:row>
      <xdr:rowOff>19051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72150" y="6257925"/>
          <a:ext cx="1891590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28</xdr:row>
      <xdr:rowOff>154305</xdr:rowOff>
    </xdr:from>
    <xdr:to>
      <xdr:col>8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6</xdr:col>
      <xdr:colOff>1562100</xdr:colOff>
      <xdr:row>29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48400"/>
          <a:ext cx="5229225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34290</xdr:colOff>
      <xdr:row>22</xdr:row>
      <xdr:rowOff>0</xdr:rowOff>
    </xdr:from>
    <xdr:to>
      <xdr:col>6</xdr:col>
      <xdr:colOff>1388745</xdr:colOff>
      <xdr:row>25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340" y="11049000"/>
          <a:ext cx="5793105" cy="6762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</a:t>
          </a:r>
          <a:r>
            <a:rPr lang="es-CL" sz="1200" b="1" baseline="0"/>
            <a:t> SE ENTREGAN CORTADAS A LA MEDIDA Y ENCHAPADAS SEGUN INSTRUCCIONES, SE ENCHAPA EL REGRUESO INTERIOR CON LA MISMA LAMINA.</a:t>
          </a:r>
          <a:endParaRPr lang="es-CL" sz="1200" b="1"/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1523758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63"/>
  <sheetViews>
    <sheetView tabSelected="1" topLeftCell="H1" zoomScale="130" zoomScaleNormal="130" workbookViewId="0">
      <selection activeCell="N29" sqref="N29"/>
    </sheetView>
  </sheetViews>
  <sheetFormatPr baseColWidth="10" defaultRowHeight="14.4" x14ac:dyDescent="0.3"/>
  <cols>
    <col min="1" max="1" width="6" customWidth="1"/>
    <col min="2" max="2" width="11.5546875" customWidth="1"/>
    <col min="3" max="3" width="23.109375" customWidth="1"/>
    <col min="4" max="4" width="10.6640625" customWidth="1"/>
    <col min="5" max="6" width="10.5546875" customWidth="1"/>
    <col min="7" max="7" width="27" customWidth="1"/>
    <col min="8" max="8" width="14" customWidth="1"/>
    <col min="9" max="10" width="13.44140625" customWidth="1"/>
    <col min="12" max="12" width="9.5546875" style="18" customWidth="1"/>
    <col min="13" max="13" width="8.33203125" customWidth="1"/>
    <col min="14" max="14" width="7.441406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2" t="s">
        <v>144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145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125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6" t="s">
        <v>127</v>
      </c>
      <c r="C8" s="307"/>
      <c r="D8" s="325" t="s">
        <v>157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43" t="s">
        <v>2</v>
      </c>
      <c r="C10" s="280" t="s">
        <v>148</v>
      </c>
      <c r="D10" s="244"/>
      <c r="E10" s="244"/>
      <c r="F10" s="244"/>
      <c r="G10" s="245" t="s">
        <v>0</v>
      </c>
      <c r="H10" s="278">
        <v>45642</v>
      </c>
      <c r="I10" s="246"/>
      <c r="K10" s="1"/>
      <c r="R10" s="2"/>
      <c r="S10" s="3"/>
      <c r="T10" s="3"/>
      <c r="U10" s="4"/>
      <c r="V10" s="2"/>
      <c r="W10" s="3"/>
    </row>
    <row r="11" spans="2:24" ht="15.6" x14ac:dyDescent="0.3">
      <c r="B11" s="294" t="s">
        <v>12</v>
      </c>
      <c r="C11" s="138" t="s">
        <v>149</v>
      </c>
      <c r="G11" t="s">
        <v>124</v>
      </c>
      <c r="H11" s="295" t="s">
        <v>158</v>
      </c>
      <c r="I11" s="296"/>
      <c r="Q11" s="19"/>
      <c r="R11" s="25" t="s">
        <v>19</v>
      </c>
      <c r="S11" s="19"/>
    </row>
    <row r="12" spans="2:24" x14ac:dyDescent="0.3">
      <c r="B12" s="247" t="s">
        <v>141</v>
      </c>
      <c r="C12" s="312" t="s">
        <v>150</v>
      </c>
      <c r="D12" s="248"/>
      <c r="E12" s="248"/>
      <c r="F12" s="248"/>
      <c r="G12" s="248" t="s">
        <v>156</v>
      </c>
      <c r="H12" s="279"/>
      <c r="I12" s="249"/>
      <c r="Q12" s="19"/>
      <c r="R12" s="25"/>
      <c r="S12" s="19"/>
    </row>
    <row r="13" spans="2:24" x14ac:dyDescent="0.3">
      <c r="B13" s="294" t="s">
        <v>140</v>
      </c>
      <c r="G13" s="29" t="s">
        <v>135</v>
      </c>
      <c r="H13" s="297" t="s">
        <v>153</v>
      </c>
      <c r="I13" s="296"/>
      <c r="K13" s="29"/>
      <c r="Q13" s="20"/>
      <c r="R13" s="26" t="s">
        <v>18</v>
      </c>
      <c r="S13" s="20"/>
    </row>
    <row r="14" spans="2:24" ht="15.6" x14ac:dyDescent="0.3">
      <c r="B14" s="247" t="s">
        <v>4</v>
      </c>
      <c r="C14" s="317" t="s">
        <v>151</v>
      </c>
      <c r="D14" s="301"/>
      <c r="E14" s="248"/>
      <c r="F14" s="248"/>
      <c r="G14" s="248" t="s">
        <v>155</v>
      </c>
      <c r="H14" s="302"/>
      <c r="I14" s="249"/>
    </row>
    <row r="15" spans="2:24" x14ac:dyDescent="0.3">
      <c r="B15" s="298" t="s">
        <v>3</v>
      </c>
      <c r="C15" s="248"/>
      <c r="G15" s="299" t="s">
        <v>130</v>
      </c>
      <c r="H15" s="300" t="s">
        <v>138</v>
      </c>
      <c r="I15" s="296"/>
    </row>
    <row r="16" spans="2:24" ht="15" thickBot="1" x14ac:dyDescent="0.35">
      <c r="B16" s="303" t="s">
        <v>13</v>
      </c>
      <c r="C16" s="318" t="s">
        <v>152</v>
      </c>
      <c r="D16" s="304"/>
      <c r="E16" s="305"/>
      <c r="F16" s="305"/>
      <c r="G16" s="326" t="s">
        <v>139</v>
      </c>
      <c r="H16" s="326"/>
      <c r="I16" s="327"/>
      <c r="J16" s="264"/>
      <c r="T16" s="6"/>
      <c r="U16" s="6"/>
    </row>
    <row r="17" spans="2:25" ht="15.75" customHeight="1" thickBot="1" x14ac:dyDescent="0.35">
      <c r="K17" s="5"/>
      <c r="V17" s="9"/>
      <c r="X17" s="6"/>
      <c r="Y17" s="6"/>
    </row>
    <row r="18" spans="2:25" ht="13.5" customHeight="1" thickBot="1" x14ac:dyDescent="0.35">
      <c r="B18" s="328" t="s">
        <v>128</v>
      </c>
      <c r="C18" s="329"/>
      <c r="D18" s="329"/>
      <c r="E18" s="329"/>
      <c r="F18" s="329"/>
      <c r="G18" s="329"/>
      <c r="H18" s="329"/>
      <c r="I18" s="330"/>
      <c r="J18" s="265"/>
      <c r="K18" s="5"/>
      <c r="L18" s="251"/>
      <c r="M18" s="14">
        <v>0.05</v>
      </c>
      <c r="N18" s="14"/>
      <c r="O18" s="14"/>
      <c r="P18" s="252" t="s">
        <v>6</v>
      </c>
      <c r="Q18" s="36" t="s">
        <v>21</v>
      </c>
      <c r="R18" s="37" t="s">
        <v>134</v>
      </c>
      <c r="S18" s="10" t="s">
        <v>136</v>
      </c>
      <c r="U18" s="9"/>
      <c r="V18" s="9"/>
      <c r="X18" s="6"/>
      <c r="Y18" s="6"/>
    </row>
    <row r="19" spans="2:25" ht="18" thickBot="1" x14ac:dyDescent="0.35">
      <c r="B19" s="315" t="s">
        <v>7</v>
      </c>
      <c r="C19" s="308" t="s">
        <v>1</v>
      </c>
      <c r="D19" s="308" t="s">
        <v>10</v>
      </c>
      <c r="E19" s="308" t="s">
        <v>11</v>
      </c>
      <c r="F19" s="308" t="s">
        <v>134</v>
      </c>
      <c r="G19" s="308" t="s">
        <v>8</v>
      </c>
      <c r="H19" s="308" t="s">
        <v>5</v>
      </c>
      <c r="I19" s="316" t="s">
        <v>6</v>
      </c>
      <c r="J19" s="266"/>
      <c r="K19" s="47"/>
      <c r="L19" s="269" t="str">
        <f>B19</f>
        <v>UNIDAD</v>
      </c>
      <c r="M19" s="268" t="s">
        <v>132</v>
      </c>
      <c r="N19" s="39" t="str">
        <f t="shared" ref="N19" si="0">E19</f>
        <v>ANCHO</v>
      </c>
      <c r="O19" s="262" t="s">
        <v>133</v>
      </c>
      <c r="P19" s="260" t="s">
        <v>17</v>
      </c>
      <c r="Q19" s="253">
        <f>O36</f>
        <v>41370.201405152227</v>
      </c>
      <c r="R19" s="259">
        <v>5000</v>
      </c>
      <c r="S19" s="38"/>
      <c r="T19" s="14" t="s">
        <v>129</v>
      </c>
      <c r="U19" s="9"/>
      <c r="X19" s="4"/>
    </row>
    <row r="20" spans="2:25" ht="17.399999999999999" x14ac:dyDescent="0.3">
      <c r="B20" s="323">
        <v>70</v>
      </c>
      <c r="C20" s="324" t="s">
        <v>36</v>
      </c>
      <c r="D20" s="321">
        <v>3</v>
      </c>
      <c r="E20" s="321">
        <v>0.5</v>
      </c>
      <c r="F20" s="321" t="s">
        <v>159</v>
      </c>
      <c r="G20" s="322" t="s">
        <v>160</v>
      </c>
      <c r="H20" s="319">
        <v>67273</v>
      </c>
      <c r="I20" s="320">
        <f>H20*B20</f>
        <v>4709110</v>
      </c>
      <c r="J20" s="266"/>
      <c r="K20" s="47" t="s">
        <v>154</v>
      </c>
      <c r="L20" s="47">
        <f>B20</f>
        <v>70</v>
      </c>
      <c r="M20" s="39">
        <f t="shared" ref="M20" si="1">D20+M$18</f>
        <v>3.05</v>
      </c>
      <c r="N20" s="39">
        <f>E20</f>
        <v>0.5</v>
      </c>
      <c r="O20" s="262">
        <f t="shared" ref="O20" si="2">M20*N20</f>
        <v>1.5249999999999999</v>
      </c>
      <c r="P20" s="260">
        <f t="shared" ref="P20" si="3">O20*L20</f>
        <v>106.75</v>
      </c>
      <c r="Q20" s="253">
        <f t="shared" ref="Q20" si="4">Q$19*O20</f>
        <v>63089.557142857142</v>
      </c>
      <c r="R20" s="259">
        <f t="shared" ref="R20" si="5">Q20+R$19</f>
        <v>68089.557142857142</v>
      </c>
      <c r="S20" s="314">
        <f>L20*M20</f>
        <v>213.5</v>
      </c>
      <c r="T20" s="27">
        <f>M20*L20</f>
        <v>213.5</v>
      </c>
      <c r="U20" s="9"/>
      <c r="X20" s="4"/>
    </row>
    <row r="21" spans="2:25" ht="17.399999999999999" x14ac:dyDescent="0.3">
      <c r="B21" s="292">
        <f>SUM(B20:B20)</f>
        <v>70</v>
      </c>
      <c r="C21" s="292"/>
      <c r="D21" s="293"/>
      <c r="E21" s="293"/>
      <c r="F21" s="293"/>
      <c r="G21" s="313"/>
      <c r="H21" s="309"/>
      <c r="I21" s="310"/>
      <c r="J21" s="266"/>
      <c r="K21" s="47"/>
      <c r="L21" s="47"/>
      <c r="M21" s="39"/>
      <c r="N21" s="39"/>
      <c r="O21" s="262"/>
      <c r="P21" s="260"/>
      <c r="Q21" s="253"/>
      <c r="R21" s="259"/>
      <c r="S21" s="314"/>
      <c r="T21" s="14"/>
      <c r="U21" s="9"/>
      <c r="X21" s="4"/>
    </row>
    <row r="22" spans="2:25" ht="18" thickBot="1" x14ac:dyDescent="0.35">
      <c r="B22" s="292"/>
      <c r="C22" s="292"/>
      <c r="D22" s="293"/>
      <c r="E22" s="293"/>
      <c r="F22" s="293"/>
      <c r="G22" s="292"/>
      <c r="H22" s="309"/>
      <c r="I22" s="310"/>
      <c r="J22" s="266"/>
      <c r="K22" s="47"/>
      <c r="L22" s="47"/>
      <c r="M22" s="39"/>
      <c r="N22" s="39"/>
      <c r="O22" s="262"/>
      <c r="P22" s="260"/>
      <c r="Q22" s="253"/>
      <c r="R22" s="259"/>
      <c r="S22" s="38"/>
      <c r="T22" s="14"/>
      <c r="U22" s="9"/>
      <c r="X22" s="4"/>
    </row>
    <row r="23" spans="2:25" ht="17.399999999999999" x14ac:dyDescent="0.3">
      <c r="B23" s="281"/>
      <c r="C23" s="289"/>
      <c r="D23" s="290"/>
      <c r="E23" s="290"/>
      <c r="F23" s="290"/>
      <c r="G23" s="291"/>
      <c r="H23" s="282" t="s">
        <v>29</v>
      </c>
      <c r="I23" s="283">
        <f>SUM(I20:I22)</f>
        <v>4709110</v>
      </c>
      <c r="J23" s="266"/>
      <c r="K23" s="47"/>
      <c r="L23" s="47"/>
      <c r="M23" s="39"/>
      <c r="N23" s="12"/>
      <c r="O23" s="12"/>
      <c r="P23" s="254">
        <f>SUM(P20:P20)</f>
        <v>106.75</v>
      </c>
      <c r="Q23" s="14"/>
      <c r="R23" s="12"/>
      <c r="S23" s="239">
        <f>SUM(S20:S22)</f>
        <v>213.5</v>
      </c>
      <c r="T23" s="27">
        <f>SUM(T20:T22)</f>
        <v>213.5</v>
      </c>
      <c r="U23" s="9"/>
      <c r="X23" s="4"/>
    </row>
    <row r="24" spans="2:25" ht="17.399999999999999" x14ac:dyDescent="0.3">
      <c r="B24" s="277"/>
      <c r="C24" s="288"/>
      <c r="D24" s="273"/>
      <c r="E24" s="273"/>
      <c r="F24" s="273"/>
      <c r="G24" s="274"/>
      <c r="H24" s="284" t="s">
        <v>30</v>
      </c>
      <c r="I24" s="285">
        <f>I23*19%</f>
        <v>894730.9</v>
      </c>
      <c r="J24" s="266"/>
      <c r="K24" s="47"/>
      <c r="L24" s="47"/>
      <c r="M24" s="39">
        <f>SUM(M20:M23)</f>
        <v>3.05</v>
      </c>
      <c r="N24" s="12"/>
      <c r="O24" s="12"/>
      <c r="P24" s="254">
        <f>P23</f>
        <v>106.75</v>
      </c>
      <c r="Q24" s="14"/>
      <c r="R24" s="12"/>
      <c r="S24" s="239"/>
      <c r="T24" s="14"/>
      <c r="U24" s="9"/>
      <c r="X24" s="4"/>
    </row>
    <row r="25" spans="2:25" ht="18" thickBot="1" x14ac:dyDescent="0.35">
      <c r="B25" s="277"/>
      <c r="C25" s="272"/>
      <c r="D25" s="273"/>
      <c r="E25" s="273"/>
      <c r="F25" s="273"/>
      <c r="G25" s="274"/>
      <c r="H25" s="286" t="s">
        <v>6</v>
      </c>
      <c r="I25" s="287">
        <f>I23+I24</f>
        <v>5603840.9000000004</v>
      </c>
      <c r="J25" s="266"/>
      <c r="K25" s="47"/>
      <c r="L25" s="47"/>
      <c r="M25" s="14"/>
      <c r="N25" s="12"/>
      <c r="O25" s="12"/>
      <c r="P25" s="39">
        <f>P24*20%</f>
        <v>21.35</v>
      </c>
      <c r="Q25" s="39" t="s">
        <v>131</v>
      </c>
      <c r="R25" s="42"/>
      <c r="S25" s="240">
        <f>S23+S24</f>
        <v>213.5</v>
      </c>
      <c r="T25" s="14"/>
      <c r="U25" s="9"/>
      <c r="X25" s="4"/>
    </row>
    <row r="26" spans="2:25" ht="17.399999999999999" x14ac:dyDescent="0.3">
      <c r="B26" s="272"/>
      <c r="C26" s="272"/>
      <c r="D26" s="273"/>
      <c r="E26" s="273"/>
      <c r="F26" s="273"/>
      <c r="G26" s="274"/>
      <c r="H26" s="275"/>
      <c r="I26" s="276"/>
      <c r="J26" s="266"/>
      <c r="K26" s="47"/>
      <c r="L26" s="47"/>
      <c r="M26" s="14"/>
      <c r="N26" s="12"/>
      <c r="O26" s="12"/>
      <c r="P26" s="46">
        <f>P24+P25</f>
        <v>128.1</v>
      </c>
      <c r="Q26" s="14"/>
      <c r="R26" s="14"/>
      <c r="S26" s="238">
        <v>40</v>
      </c>
      <c r="T26" s="14"/>
      <c r="U26" s="9"/>
      <c r="X26" s="4"/>
    </row>
    <row r="27" spans="2:25" ht="17.399999999999999" x14ac:dyDescent="0.35">
      <c r="B27" s="270"/>
      <c r="C27" s="230"/>
      <c r="D27" s="230"/>
      <c r="E27" s="233"/>
      <c r="F27" s="233"/>
      <c r="G27" s="234"/>
      <c r="H27" s="230"/>
      <c r="I27" s="276"/>
      <c r="J27" s="266"/>
      <c r="K27" s="47"/>
      <c r="L27" s="47"/>
      <c r="M27" s="14"/>
      <c r="N27" s="14"/>
      <c r="O27" s="14"/>
      <c r="P27" s="14"/>
      <c r="Q27" s="14"/>
      <c r="R27" s="14"/>
      <c r="S27" s="238"/>
      <c r="T27" s="14"/>
      <c r="U27" s="9"/>
      <c r="X27" s="4"/>
    </row>
    <row r="28" spans="2:25" ht="17.399999999999999" x14ac:dyDescent="0.35">
      <c r="B28" s="235"/>
      <c r="C28" s="236"/>
      <c r="D28" s="237"/>
      <c r="E28" s="235"/>
      <c r="F28" s="235"/>
      <c r="G28" s="230"/>
      <c r="H28" s="230"/>
      <c r="J28" s="266"/>
      <c r="K28" s="47"/>
      <c r="L28" s="47"/>
      <c r="M28" s="39">
        <f>P26*1</f>
        <v>128.1</v>
      </c>
      <c r="N28" s="12">
        <v>2500</v>
      </c>
      <c r="O28" s="12">
        <f t="shared" ref="O28:O33" si="6">M28*N28</f>
        <v>320250</v>
      </c>
      <c r="P28" s="14" t="s">
        <v>22</v>
      </c>
      <c r="Q28" s="14" t="s">
        <v>23</v>
      </c>
      <c r="R28" s="14"/>
      <c r="S28" s="241"/>
      <c r="T28" s="14"/>
      <c r="U28" s="9"/>
      <c r="X28" s="4"/>
    </row>
    <row r="29" spans="2:25" ht="17.399999999999999" x14ac:dyDescent="0.35">
      <c r="B29" s="230"/>
      <c r="C29" s="230"/>
      <c r="D29" s="230"/>
      <c r="E29" s="230"/>
      <c r="F29" s="230"/>
      <c r="G29" s="230"/>
      <c r="H29" s="230"/>
      <c r="J29" s="266"/>
      <c r="K29" s="47"/>
      <c r="L29" s="47"/>
      <c r="M29" s="250">
        <v>70</v>
      </c>
      <c r="N29" s="12">
        <v>9000</v>
      </c>
      <c r="O29" s="12">
        <f t="shared" si="6"/>
        <v>630000</v>
      </c>
      <c r="P29" s="39" t="s">
        <v>32</v>
      </c>
      <c r="Q29" s="42"/>
      <c r="R29" s="14"/>
      <c r="S29" s="240"/>
      <c r="T29" s="14"/>
      <c r="U29" s="9"/>
      <c r="X29" s="4"/>
    </row>
    <row r="30" spans="2:25" s="230" customFormat="1" ht="17.399999999999999" x14ac:dyDescent="0.35">
      <c r="J30" s="263"/>
      <c r="K30" s="232"/>
      <c r="L30" s="251"/>
      <c r="M30" s="14"/>
      <c r="N30" s="12">
        <v>43689</v>
      </c>
      <c r="O30" s="12">
        <f t="shared" si="6"/>
        <v>0</v>
      </c>
      <c r="P30" s="39" t="s">
        <v>31</v>
      </c>
      <c r="Q30" s="42"/>
      <c r="S30" s="240"/>
      <c r="T30" s="257"/>
      <c r="W30" s="231"/>
    </row>
    <row r="31" spans="2:25" s="230" customFormat="1" ht="17.399999999999999" x14ac:dyDescent="0.35">
      <c r="B31" s="24" t="s">
        <v>146</v>
      </c>
      <c r="J31" s="263"/>
      <c r="K31" s="232"/>
      <c r="L31" s="251"/>
      <c r="M31" s="14">
        <v>35</v>
      </c>
      <c r="N31" s="14">
        <v>27147</v>
      </c>
      <c r="O31" s="12">
        <f t="shared" si="6"/>
        <v>950145</v>
      </c>
      <c r="P31" s="14" t="s">
        <v>143</v>
      </c>
      <c r="Q31" s="17"/>
      <c r="S31" s="238"/>
      <c r="T31" s="257"/>
      <c r="W31" s="231"/>
    </row>
    <row r="32" spans="2:25" s="230" customFormat="1" ht="17.399999999999999" x14ac:dyDescent="0.35">
      <c r="B32" s="24" t="s">
        <v>147</v>
      </c>
      <c r="C32"/>
      <c r="D32"/>
      <c r="E32"/>
      <c r="F32"/>
      <c r="G32"/>
      <c r="J32" s="263"/>
      <c r="L32" s="251"/>
      <c r="M32" s="250"/>
      <c r="N32" s="12">
        <v>600</v>
      </c>
      <c r="O32" s="12">
        <f t="shared" si="6"/>
        <v>0</v>
      </c>
      <c r="P32" s="14" t="s">
        <v>33</v>
      </c>
      <c r="Q32" s="14"/>
      <c r="R32" s="230">
        <v>1.22</v>
      </c>
      <c r="S32" s="238"/>
      <c r="T32" s="238"/>
    </row>
    <row r="33" spans="2:24" s="230" customFormat="1" ht="17.399999999999999" x14ac:dyDescent="0.35">
      <c r="B33" s="29" t="s">
        <v>126</v>
      </c>
      <c r="C33"/>
      <c r="D33"/>
      <c r="E33"/>
      <c r="F33"/>
      <c r="G33" s="229" t="s">
        <v>16</v>
      </c>
      <c r="J33" s="311"/>
      <c r="K33" s="230">
        <v>49480</v>
      </c>
      <c r="L33" s="251"/>
      <c r="M33" s="267">
        <v>214</v>
      </c>
      <c r="N33" s="12">
        <v>500</v>
      </c>
      <c r="O33" s="12">
        <f t="shared" si="6"/>
        <v>107000</v>
      </c>
      <c r="P33" s="14" t="s">
        <v>24</v>
      </c>
      <c r="Q33" s="14"/>
      <c r="R33">
        <v>2.44</v>
      </c>
      <c r="S33"/>
      <c r="T33" s="238"/>
      <c r="X33" s="231"/>
    </row>
    <row r="34" spans="2:24" s="230" customFormat="1" ht="17.399999999999999" x14ac:dyDescent="0.35">
      <c r="K34" s="230">
        <f>K33/1.19</f>
        <v>41579.831932773108</v>
      </c>
      <c r="L34" s="251"/>
      <c r="M34" s="14"/>
      <c r="N34" s="12"/>
      <c r="O34" s="12">
        <f>SUM(O28:O33)</f>
        <v>2007395</v>
      </c>
      <c r="P34" s="39" t="s">
        <v>25</v>
      </c>
      <c r="Q34" s="14"/>
      <c r="R34">
        <f>R32*R33</f>
        <v>2.9767999999999999</v>
      </c>
      <c r="S34"/>
      <c r="T34" s="238"/>
      <c r="X34" s="231"/>
    </row>
    <row r="35" spans="2:24" s="230" customFormat="1" ht="17.399999999999999" x14ac:dyDescent="0.35">
      <c r="L35" s="251"/>
      <c r="M35" s="255" t="s">
        <v>34</v>
      </c>
      <c r="N35" s="12"/>
      <c r="O35" s="256">
        <f>O34*2.2</f>
        <v>4416269</v>
      </c>
      <c r="P35" s="14" t="s">
        <v>142</v>
      </c>
      <c r="Q35" s="14"/>
      <c r="R35" s="40">
        <f>P26/R34</f>
        <v>43.032786885245905</v>
      </c>
      <c r="S35"/>
      <c r="T35" s="258"/>
    </row>
    <row r="36" spans="2:24" s="230" customFormat="1" ht="17.399999999999999" x14ac:dyDescent="0.35">
      <c r="H36"/>
      <c r="I36" s="261"/>
      <c r="J36" s="261"/>
      <c r="L36" s="251"/>
      <c r="M36" s="14"/>
      <c r="N36" s="12"/>
      <c r="O36" s="12">
        <f>O35/P24</f>
        <v>41370.201405152227</v>
      </c>
      <c r="P36" s="45" t="s">
        <v>26</v>
      </c>
      <c r="Q36" s="14"/>
      <c r="R36" s="14"/>
      <c r="S36"/>
      <c r="T36" s="238"/>
    </row>
    <row r="37" spans="2:24" s="230" customFormat="1" ht="17.399999999999999" x14ac:dyDescent="0.35">
      <c r="H37"/>
      <c r="L37" s="251"/>
      <c r="M37" s="13"/>
      <c r="N37" s="14"/>
      <c r="O37" s="17">
        <f>O35/O34</f>
        <v>2.2000000000000002</v>
      </c>
      <c r="P37" s="15"/>
      <c r="Q37"/>
      <c r="R37"/>
      <c r="S37"/>
      <c r="T37" s="238"/>
    </row>
    <row r="38" spans="2:24" s="230" customFormat="1" ht="17.399999999999999" x14ac:dyDescent="0.35">
      <c r="H38" s="23"/>
      <c r="L38" s="12"/>
      <c r="T38" s="238"/>
    </row>
    <row r="39" spans="2:24" s="230" customFormat="1" ht="17.399999999999999" x14ac:dyDescent="0.35">
      <c r="B39"/>
      <c r="C39" s="228"/>
      <c r="D39" s="22"/>
      <c r="E39" s="22"/>
      <c r="F39" s="22"/>
      <c r="G39" s="21"/>
      <c r="H39" s="23"/>
      <c r="L39" s="12"/>
      <c r="T39" s="238"/>
    </row>
    <row r="40" spans="2:24" ht="14.4" customHeight="1" x14ac:dyDescent="0.3">
      <c r="L40" s="12"/>
    </row>
    <row r="41" spans="2:24" x14ac:dyDescent="0.3">
      <c r="L41" s="251"/>
    </row>
    <row r="42" spans="2:24" x14ac:dyDescent="0.3">
      <c r="L42" s="251"/>
      <c r="T42" s="271"/>
    </row>
    <row r="43" spans="2:24" x14ac:dyDescent="0.3">
      <c r="L43" s="251"/>
    </row>
    <row r="44" spans="2:24" ht="15" customHeight="1" x14ac:dyDescent="0.3"/>
    <row r="48" spans="2:24" x14ac:dyDescent="0.3">
      <c r="O48" s="54"/>
      <c r="P48" s="54"/>
    </row>
    <row r="49" spans="15:20" x14ac:dyDescent="0.3">
      <c r="S49" s="18"/>
      <c r="T49" s="18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60" spans="15:20" x14ac:dyDescent="0.3">
      <c r="O60" s="43"/>
    </row>
    <row r="61" spans="15:20" x14ac:dyDescent="0.3">
      <c r="O61" s="43"/>
    </row>
    <row r="62" spans="15:20" x14ac:dyDescent="0.3">
      <c r="O62" s="6"/>
    </row>
    <row r="63" spans="15:20" x14ac:dyDescent="0.3">
      <c r="O63" s="6"/>
    </row>
  </sheetData>
  <mergeCells count="2">
    <mergeCell ref="G16:I16"/>
    <mergeCell ref="B18:I18"/>
  </mergeCells>
  <phoneticPr fontId="34" type="noConversion"/>
  <hyperlinks>
    <hyperlink ref="G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9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45642</v>
      </c>
    </row>
    <row r="6" spans="2:31" ht="16.2" thickBot="1" x14ac:dyDescent="0.35">
      <c r="B6" s="140" t="s">
        <v>2</v>
      </c>
      <c r="C6" s="139" t="str">
        <f>'2229'!C10</f>
        <v>IMPORTADORA Y EXPORTADORA CLEVER LTDA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99</v>
      </c>
      <c r="I7" s="333"/>
      <c r="J7" s="333"/>
      <c r="K7" s="334"/>
      <c r="N7" s="75"/>
      <c r="O7" s="33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11213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-515328.54170012078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'2229'!I23</f>
        <v>4709110</v>
      </c>
      <c r="E11" s="132">
        <f>D11*0.19</f>
        <v>894730.9</v>
      </c>
      <c r="F11" s="131">
        <f>E11+D11</f>
        <v>5603840.9000000004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-409338.54170012078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980084.09078743961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-427338.54170012078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3729025.9092125604</v>
      </c>
      <c r="E13" s="221">
        <f>(D11/D12)-1</f>
        <v>3.8048020004247887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-436338.54170012078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-475338.54170012078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1617138.7497992753</v>
      </c>
      <c r="F15" s="216">
        <f>E15-D12</f>
        <v>637054.6590118357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-475338.54170012078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-435338.54170012078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'2229'!O30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'2229'!O29</f>
        <v>630000</v>
      </c>
      <c r="E19" s="123">
        <f>D19*0.19</f>
        <v>119700</v>
      </c>
      <c r="F19" s="120">
        <f>SUM(D19:E19)</f>
        <v>749700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'2229'!O28</f>
        <v>320250</v>
      </c>
      <c r="E20" s="121">
        <f>D20*0.19</f>
        <v>60847.5</v>
      </c>
      <c r="F20" s="120">
        <f>SUM(D20:E20)</f>
        <v>381097.5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950250</v>
      </c>
      <c r="E21" s="116">
        <f>SUM(E18:E20)</f>
        <v>180547.5</v>
      </c>
      <c r="F21" s="115">
        <f>SUM(F18:F20)</f>
        <v>1130797.5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714183.4</v>
      </c>
    </row>
    <row r="41" spans="2:16" ht="15" thickBot="1" x14ac:dyDescent="0.35">
      <c r="H41" s="335" t="s">
        <v>61</v>
      </c>
      <c r="I41" s="336"/>
      <c r="J41" s="336"/>
      <c r="K41" s="336"/>
      <c r="L41" s="336"/>
      <c r="M41" s="33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4709110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950250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3729025.9092125604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3729025.9092125604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2022-06-07T20:25:20Z</cp:lastPrinted>
  <dcterms:created xsi:type="dcterms:W3CDTF">2013-03-18T13:35:42Z</dcterms:created>
  <dcterms:modified xsi:type="dcterms:W3CDTF">2024-12-18T18:02:06Z</dcterms:modified>
</cp:coreProperties>
</file>