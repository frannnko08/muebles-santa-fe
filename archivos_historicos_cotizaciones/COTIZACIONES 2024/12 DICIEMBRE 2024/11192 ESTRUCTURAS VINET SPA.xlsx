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63394C71-77B1-41E5-B6ED-37861E519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M23" i="1"/>
  <c r="N23" i="1"/>
  <c r="M24" i="1"/>
  <c r="S24" i="1" s="1"/>
  <c r="N24" i="1"/>
  <c r="M22" i="1"/>
  <c r="N22" i="1"/>
  <c r="K35" i="1"/>
  <c r="K37" i="1"/>
  <c r="N21" i="1"/>
  <c r="O24" i="1" l="1"/>
  <c r="S23" i="1"/>
  <c r="P24" i="1"/>
  <c r="O23" i="1"/>
  <c r="P23" i="1" s="1"/>
  <c r="S22" i="1"/>
  <c r="K38" i="1"/>
  <c r="O22" i="1"/>
  <c r="P22" i="1" s="1"/>
  <c r="K39" i="1"/>
  <c r="K40" i="1" s="1"/>
  <c r="M21" i="1"/>
  <c r="M29" i="1" s="1"/>
  <c r="T21" i="1" l="1"/>
  <c r="T28" i="1" s="1"/>
  <c r="S21" i="1"/>
  <c r="S30" i="1" s="1"/>
  <c r="O21" i="1"/>
  <c r="P21" i="1" s="1"/>
  <c r="P29" i="1" s="1"/>
  <c r="K43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3" i="1" l="1"/>
  <c r="Q24" i="1"/>
  <c r="Q22" i="1"/>
  <c r="O43" i="1"/>
  <c r="E15" i="3"/>
  <c r="R24" i="1" l="1"/>
  <c r="H24" i="1"/>
  <c r="R23" i="1"/>
  <c r="H23" i="1"/>
  <c r="R22" i="1"/>
  <c r="H22" i="1"/>
  <c r="Q21" i="1"/>
  <c r="F15" i="3"/>
  <c r="R21" i="1" l="1"/>
  <c r="H21" i="1" l="1"/>
  <c r="H28" i="1" s="1"/>
  <c r="H29" i="1" l="1"/>
  <c r="H30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<sst xmlns="http://schemas.openxmlformats.org/spreadsheetml/2006/main" count="236" uniqueCount="176">
  <si>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</si>
  <si>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</si>
  <si>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</si>
  <si>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</si>
  <si>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</si>
  <si>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</si>
  <si>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</si>
  <si>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</si>
  <si>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</si>
  <si>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</si>
  <si>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</si>
  <si>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</si>
  <si>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</si>
  <si>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</si>
  <si>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</si>
  <si>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</si>
  <si>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</si>
  <si>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</si>
  <si>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</si>
  <si>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</si>
  <si>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</si>
  <si>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</si>
  <si>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</si>
  <si>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</si>
  <si>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</si>
  <si>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</si>
  <si>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</si>
  <si>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</si>
  <si>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</si>
  <si>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</si>
  <si>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</si>
  <si>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</si>
  <si>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</si>
  <si>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</si>
  <si>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</si>
  <si>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</si>
  <si>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</si>
  <si>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</si>
  <si>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</si>
  <si>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</si>
  <si>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</si>
  <si>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</si>
  <si>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</si>
  <si>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</si>
  <si>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</si>
  <si>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</si>
  <si>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</si>
  <si>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</si>
  <si>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</si>
  <si>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</si>
  <si>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</si>
  <si>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</si>
  <si>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</si>
  <si>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</si>
  <si>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</si>
  <si>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</si>
  <si>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</si>
  <si>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</si>
  <si>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</si>
  <si>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</si>
  <si>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</si>
  <si>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</si>
  <si>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</si>
  <si>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</si>
  <si>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</si>
  <si>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</si>
  <si>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</si>
  <si>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</si>
  <si>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</si>
  <si>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</si>
  <si>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</si>
  <si>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</si>
  <si>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</si>
  <si>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</si>
  <si>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</si>
  <si>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</si>
  <si>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</si>
  <si>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</si>
  <si>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</si>
  <si>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</si>
  <si>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</si>
  <si>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</si>
  <si>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</si>
  <si>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</si>
  <si>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</si>
  <si>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</si>
  <si>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</si>
  <si>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</si>
  <si>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</si>
  <si>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</si>
  <si>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</si>
  <si>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</si>
  <si>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</si>
  <si>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</si>
  <si>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</si>
  <si>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</si>
  <si>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</si>
  <si>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</si>
  <si>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</si>
  <si>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</si>
  <si>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</si>
  <si>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</si>
  <si>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</si>
  <si>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</si>
  <si>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</si>
  <si>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</si>
  <si>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</si>
  <si>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</si>
  <si>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</si>
  <si>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</si>
  <si>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</si>
  <si>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</si>
  <si>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</si>
  <si>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</si>
  <si>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</si>
  <si>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</si>
  <si>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</si>
  <si>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</si>
  <si>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</si>
  <si>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</si>
  <si>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</si>
  <si>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</si>
  <si>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</si>
  <si>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</si>
  <si>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</si>
  <si>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</si>
  <si>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</si>
  <si>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</si>
  <si>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</si>
  <si>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</si>
  <si>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</si>
  <si>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</si>
  <si>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</si>
  <si>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</si>
  <si>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</si>
  <si>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</si>
  <si>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</si>
  <si>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</si>
  <si>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</si>
  <si>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</si>
  <si>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</si>
  <si>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</si>
  <si>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</si>
  <si>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</si>
  <si>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</si>
  <si>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</si>
  <si>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</si>
  <si>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</si>
  <si>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</si>
  <si>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</si>
  <si>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</si>
  <si>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</si>
  <si>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</si>
  <si>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</si>
  <si>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</si>
  <si>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</si>
  <si>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</si>
  <si>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</si>
  <si>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</si>
  <si>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</si>
  <si>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</si>
  <si>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</si>
  <si>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</si>
  <si>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</si>
  <si>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</si>
  <si>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</si>
  <si>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</si>
  <si>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CRISTIAN FIGUEROA</t>
  </si>
  <si>
    <t>+569 7715 0000</t>
  </si>
  <si>
    <t>ESTRUCTURAS VINET</t>
  </si>
  <si>
    <t>E/R 2 CARAS MDF 36MM</t>
  </si>
  <si>
    <t>ESSENSA PP-7976 TX</t>
  </si>
  <si>
    <t>E/R 1 CARA 15MM</t>
  </si>
  <si>
    <t>N° 11192</t>
  </si>
  <si>
    <t>2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</si>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</sst>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PIEZAS SE ENTREGAN CON SOBRE MEDIDA EN SUS LARGOS Y ANCHO 2CMS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A15" sqref="A1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45995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2" t="s">
        <v>165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155943.2426704345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170</v>
      </c>
      <c r="D21" s="331">
        <v>1.47</v>
      </c>
      <c r="E21" s="331">
        <v>0.55000000000000004</v>
      </c>
      <c r="F21" s="330" t="s">
        <v>171</v>
      </c>
      <c r="G21" s="344">
        <v>132443</v>
      </c>
      <c r="H21" s="344">
        <f>G21*B21</f>
        <v>132443</v>
      </c>
      <c r="I21" s="320"/>
      <c r="J21" s="265"/>
      <c r="K21" s="47"/>
      <c r="L21" s="47">
        <v>1</v>
      </c>
      <c r="M21" s="39">
        <f>D21+M$19</f>
        <v>1.49</v>
      </c>
      <c r="N21" s="39">
        <f>E21+$N$19</f>
        <v>0.57000000000000006</v>
      </c>
      <c r="O21" s="261">
        <f t="shared" ref="O21" si="1">M21*N21</f>
        <v>0.84930000000000005</v>
      </c>
      <c r="P21" s="259">
        <f t="shared" ref="P21" si="2">O21*L21</f>
        <v>0.84930000000000005</v>
      </c>
      <c r="Q21" s="252">
        <f t="shared" ref="Q21" si="3">Q$20*O21</f>
        <v>132442.59600000002</v>
      </c>
      <c r="R21" s="319">
        <f t="shared" ref="R21" si="4">Q21+R$20</f>
        <v>135442.59600000002</v>
      </c>
      <c r="S21" s="297">
        <f>L21*M21*2</f>
        <v>2.98</v>
      </c>
      <c r="T21" s="46">
        <f>N21*2*L21*2</f>
        <v>2.2800000000000002</v>
      </c>
      <c r="U21" s="9"/>
      <c r="X21" s="4"/>
    </row>
    <row r="22" spans="2:25" ht="17.399999999999999" x14ac:dyDescent="0.3">
      <c r="B22" s="330">
        <v>1</v>
      </c>
      <c r="C22" s="330" t="s">
        <v>172</v>
      </c>
      <c r="D22" s="331">
        <v>1.75</v>
      </c>
      <c r="E22" s="331">
        <v>1.1499999999999999</v>
      </c>
      <c r="F22" s="330" t="s">
        <v>171</v>
      </c>
      <c r="G22" s="344">
        <v>152182</v>
      </c>
      <c r="H22" s="344">
        <f t="shared" ref="H22:H24" si="5">G22*B22</f>
        <v>152182</v>
      </c>
      <c r="I22" s="320"/>
      <c r="J22" s="265"/>
      <c r="K22" s="47"/>
      <c r="L22" s="47"/>
      <c r="M22" s="39">
        <f t="shared" ref="M22" si="6">D22+M$19</f>
        <v>1.77</v>
      </c>
      <c r="N22" s="39">
        <f t="shared" ref="N22" si="7">E22+$N$19</f>
        <v>1.17</v>
      </c>
      <c r="O22" s="261">
        <f t="shared" ref="O22" si="8">M22*N22</f>
        <v>2.0709</v>
      </c>
      <c r="P22" s="259">
        <f t="shared" ref="P22" si="9">O22*L22</f>
        <v>0</v>
      </c>
      <c r="Q22" s="252">
        <f t="shared" ref="Q22" si="10">Q$20*O22</f>
        <v>322942.86124620278</v>
      </c>
      <c r="R22" s="319">
        <f t="shared" ref="R22" si="11">Q22+R$20</f>
        <v>325942.86124620278</v>
      </c>
      <c r="S22" s="297">
        <f t="shared" ref="S22" si="12">L22*M22*2</f>
        <v>0</v>
      </c>
      <c r="T22" s="46"/>
      <c r="U22" s="9"/>
      <c r="X22" s="4"/>
    </row>
    <row r="23" spans="2:25" ht="17.399999999999999" x14ac:dyDescent="0.3">
      <c r="B23" s="330">
        <v>2</v>
      </c>
      <c r="C23" s="330" t="s">
        <v>172</v>
      </c>
      <c r="D23" s="331">
        <v>1.4</v>
      </c>
      <c r="E23" s="331">
        <v>0.75</v>
      </c>
      <c r="F23" s="330" t="s">
        <v>171</v>
      </c>
      <c r="G23" s="344">
        <v>80508</v>
      </c>
      <c r="H23" s="344">
        <f t="shared" si="5"/>
        <v>161016</v>
      </c>
      <c r="I23" s="320"/>
      <c r="J23" s="265"/>
      <c r="K23" s="47"/>
      <c r="L23" s="47"/>
      <c r="M23" s="39">
        <f t="shared" ref="M23:M24" si="13">D23+M$19</f>
        <v>1.42</v>
      </c>
      <c r="N23" s="39">
        <f t="shared" ref="N23:N24" si="14">E23+$N$19</f>
        <v>0.77</v>
      </c>
      <c r="O23" s="261">
        <f t="shared" ref="O23:O24" si="15">M23*N23</f>
        <v>1.0933999999999999</v>
      </c>
      <c r="P23" s="259">
        <f t="shared" ref="P23:P24" si="16">O23*L23</f>
        <v>0</v>
      </c>
      <c r="Q23" s="252">
        <f t="shared" ref="Q23:Q24" si="17">Q$20*O23</f>
        <v>170508.34153585308</v>
      </c>
      <c r="R23" s="319">
        <f t="shared" ref="R23:R24" si="18">Q23+R$20</f>
        <v>173508.34153585308</v>
      </c>
      <c r="S23" s="297">
        <f t="shared" ref="S23:S24" si="19">L23*M23*2</f>
        <v>0</v>
      </c>
      <c r="T23" s="46"/>
      <c r="U23" s="9"/>
      <c r="X23" s="4"/>
    </row>
    <row r="24" spans="2:25" ht="17.399999999999999" x14ac:dyDescent="0.3">
      <c r="B24" s="330">
        <v>1</v>
      </c>
      <c r="C24" s="330" t="s">
        <v>172</v>
      </c>
      <c r="D24" s="331">
        <v>1.55</v>
      </c>
      <c r="E24" s="331">
        <v>0.75</v>
      </c>
      <c r="F24" s="330" t="s">
        <v>171</v>
      </c>
      <c r="G24" s="344">
        <v>89013</v>
      </c>
      <c r="H24" s="344">
        <f t="shared" si="5"/>
        <v>89013</v>
      </c>
      <c r="I24" s="320"/>
      <c r="J24" s="265"/>
      <c r="K24" s="47"/>
      <c r="L24" s="47"/>
      <c r="M24" s="39">
        <f t="shared" si="13"/>
        <v>1.57</v>
      </c>
      <c r="N24" s="39">
        <f t="shared" si="14"/>
        <v>0.77</v>
      </c>
      <c r="O24" s="261">
        <f t="shared" si="15"/>
        <v>1.2089000000000001</v>
      </c>
      <c r="P24" s="259">
        <f t="shared" si="16"/>
        <v>0</v>
      </c>
      <c r="Q24" s="252">
        <f t="shared" si="17"/>
        <v>188519.78606428829</v>
      </c>
      <c r="R24" s="319">
        <f t="shared" si="18"/>
        <v>191519.78606428829</v>
      </c>
      <c r="S24" s="297">
        <f t="shared" si="19"/>
        <v>0</v>
      </c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534654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2.2800000000000002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101584.26</v>
      </c>
      <c r="I29" s="322"/>
      <c r="J29" s="265"/>
      <c r="K29" s="47"/>
      <c r="L29" s="47"/>
      <c r="M29" s="39">
        <f>SUM(M21:M28)</f>
        <v>6.25</v>
      </c>
      <c r="N29" s="12"/>
      <c r="O29" s="12"/>
      <c r="P29" s="253">
        <f>SUM(P21:P25)</f>
        <v>0.84930000000000005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636238.26</v>
      </c>
      <c r="I30" s="322"/>
      <c r="J30" s="265"/>
      <c r="K30" s="47"/>
      <c r="L30" s="47"/>
      <c r="M30" s="39"/>
      <c r="N30" s="12"/>
      <c r="O30" s="12"/>
      <c r="P30" s="253">
        <f>P29</f>
        <v>0.84930000000000005</v>
      </c>
      <c r="Q30" s="14"/>
      <c r="R30" s="12"/>
      <c r="S30" s="239">
        <f>SUM(S21:S29)</f>
        <v>2.98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0.16986000000000001</v>
      </c>
      <c r="Q31" s="39" t="s">
        <v>130</v>
      </c>
      <c r="R31" s="42"/>
      <c r="S31" s="240">
        <f>S30+T28</f>
        <v>5.26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1.0191600000000001</v>
      </c>
      <c r="Q32" s="14"/>
      <c r="R32" s="14"/>
      <c r="S32" s="238">
        <f>S31*20%</f>
        <v>1.052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6.3119999999999994</v>
      </c>
      <c r="T33" s="14"/>
      <c r="U33" s="302" t="s">
        <v>21</v>
      </c>
      <c r="V33" s="299" t="s">
        <v>152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3.05748</v>
      </c>
      <c r="N34" s="12">
        <v>3500</v>
      </c>
      <c r="O34" s="12">
        <f t="shared" ref="O34:O39" si="20">M34*N34</f>
        <v>10701.18</v>
      </c>
      <c r="P34" s="14" t="s">
        <v>21</v>
      </c>
      <c r="Q34" s="14"/>
      <c r="R34" s="14"/>
      <c r="S34" s="241"/>
      <c r="T34" s="14"/>
      <c r="U34" s="302" t="s">
        <v>153</v>
      </c>
      <c r="V34" s="299">
        <v>3625</v>
      </c>
      <c r="W34" s="59" t="s">
        <v>154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>
        <f>23500*1.19</f>
        <v>27965</v>
      </c>
      <c r="L35" s="47"/>
      <c r="M35" s="249">
        <v>0.5</v>
      </c>
      <c r="N35" s="12">
        <v>23000</v>
      </c>
      <c r="O35" s="12">
        <f t="shared" si="20"/>
        <v>11500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155</v>
      </c>
      <c r="X35" s="304"/>
    </row>
    <row r="36" spans="1:24" s="230" customFormat="1" ht="17.399999999999999" x14ac:dyDescent="0.35">
      <c r="B36" s="24" t="s">
        <v>151</v>
      </c>
      <c r="J36" s="262"/>
      <c r="K36" s="232"/>
      <c r="L36" s="250"/>
      <c r="M36" s="14"/>
      <c r="N36" s="250">
        <v>61840</v>
      </c>
      <c r="O36" s="12">
        <f t="shared" si="20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156</v>
      </c>
      <c r="X36" s="59"/>
    </row>
    <row r="37" spans="1:24" s="230" customFormat="1" ht="17.399999999999999" x14ac:dyDescent="0.35">
      <c r="B37" s="24" t="s">
        <v>144</v>
      </c>
      <c r="C37"/>
      <c r="D37"/>
      <c r="E37"/>
      <c r="F37"/>
      <c r="J37" s="262"/>
      <c r="K37" s="232">
        <f>N37*1.19</f>
        <v>45220</v>
      </c>
      <c r="L37" s="250"/>
      <c r="M37" s="14">
        <v>1</v>
      </c>
      <c r="N37" s="250">
        <v>38000</v>
      </c>
      <c r="O37" s="12">
        <f t="shared" si="20"/>
        <v>38000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157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>
        <f>SUM(K35:K37)</f>
        <v>73185</v>
      </c>
      <c r="L38" s="250"/>
      <c r="M38" s="249"/>
      <c r="N38" s="250">
        <v>900</v>
      </c>
      <c r="O38" s="12">
        <f t="shared" si="20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>
        <f>K38/1.19</f>
        <v>61500</v>
      </c>
      <c r="L39" s="250"/>
      <c r="M39" s="266"/>
      <c r="N39" s="12">
        <v>1500</v>
      </c>
      <c r="O39" s="12">
        <f t="shared" si="20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>
        <f>K38-K39</f>
        <v>11685</v>
      </c>
      <c r="L40" s="250"/>
      <c r="M40" s="14"/>
      <c r="N40" s="12"/>
      <c r="O40" s="12">
        <f>SUM(O34:O39)</f>
        <v>60201.18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132442.59600000002</v>
      </c>
      <c r="P41" s="14" t="s">
        <v>140</v>
      </c>
      <c r="Q41" s="14"/>
      <c r="R41" s="40">
        <f>P32/R40</f>
        <v>0.27479508196721314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91700</v>
      </c>
      <c r="L42" s="250"/>
      <c r="M42" s="14"/>
      <c r="N42" s="12"/>
      <c r="O42" s="12">
        <f>O41/P30</f>
        <v>155943.2426704345</v>
      </c>
      <c r="P42" s="45" t="s">
        <v>24</v>
      </c>
      <c r="Q42" s="14"/>
      <c r="R42" s="14"/>
      <c r="S42"/>
      <c r="T42" s="238"/>
      <c r="U42" s="59" t="s">
        <v>158</v>
      </c>
      <c r="V42" s="299">
        <v>43650</v>
      </c>
    </row>
    <row r="43" spans="1:24" s="230" customFormat="1" ht="17.399999999999999" x14ac:dyDescent="0.35">
      <c r="G43"/>
      <c r="K43" s="230">
        <f>K42/1.19</f>
        <v>77058.823529411762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160</v>
      </c>
      <c r="V43" s="300" t="s">
        <v>159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161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156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148</v>
      </c>
    </row>
    <row r="78" spans="3:15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45995</v>
      </c>
    </row>
    <row r="6" spans="2:31" ht="16.2" thickBot="1" x14ac:dyDescent="0.35">
      <c r="B6" s="140" t="s">
        <v>2</v>
      </c>
      <c r="C6" s="139" t="str">
        <f>'2229'!C10</f>
        <v>ESTRUCTURAS VINET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-74799.300533454109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534654</v>
      </c>
      <c r="E11" s="132">
        <f>D11*0.19</f>
        <v>101584.26</v>
      </c>
      <c r="F11" s="131">
        <f>E11+D11</f>
        <v>636238.26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31190.699466545891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52035.270787439615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13190.699466545891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482618.7292125604</v>
      </c>
      <c r="E13" s="221">
        <f>(D11/D12)-1</f>
        <v>9.2748384299569349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4190.6994665458915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-34809.300533454109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85858.196799275363</v>
      </c>
      <c r="F15" s="216">
        <f>E15-D12</f>
        <v>33822.926011835749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-34809.300533454109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5190.6994665458915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11500</v>
      </c>
      <c r="E19" s="123">
        <f>D19*0.19</f>
        <v>2185</v>
      </c>
      <c r="F19" s="120">
        <f>SUM(D19:E19)</f>
        <v>13685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10701.18</v>
      </c>
      <c r="E20" s="121">
        <f>D20*0.19</f>
        <v>2033.2242000000001</v>
      </c>
      <c r="F20" s="120">
        <f>SUM(D20:E20)</f>
        <v>12734.404200000001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22201.18</v>
      </c>
      <c r="E21" s="116">
        <f>SUM(E18:E20)</f>
        <v>4218.2242000000006</v>
      </c>
      <c r="F21" s="115">
        <f>SUM(F18:F20)</f>
        <v>26419.404200000001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97366.035799999998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534654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22201.18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482618.7292125604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482618.7292125604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2024-11-19T14:26:01Z</cp:lastPrinted>
  <dcterms:created xsi:type="dcterms:W3CDTF">2013-03-18T13:35:42Z</dcterms:created>
  <dcterms:modified xsi:type="dcterms:W3CDTF">2024-12-04T18:12:00Z</dcterms:modified>
</cp:coreProperties>
</file>