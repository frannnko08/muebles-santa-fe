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7AA48274-F2BE-49A2-892D-92FA0EA613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L21" i="1"/>
  <c r="N21" i="1"/>
  <c r="T22" i="1" l="1"/>
  <c r="S22" i="1"/>
  <c r="O22" i="1"/>
  <c r="P22" i="1" s="1"/>
  <c r="M21" i="1"/>
  <c r="M26" i="1" l="1"/>
  <c r="S21" i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H22" i="1" s="1"/>
  <c r="O40" i="1"/>
  <c r="E15" i="3"/>
  <c r="Q21" i="1" l="1"/>
  <c r="F15" i="3"/>
  <c r="R21" i="1" l="1"/>
  <c r="H21" i="1" l="1"/>
  <c r="H25" i="1" l="1"/>
  <c r="H26" i="1" s="1"/>
  <c r="D11" i="3" l="1"/>
  <c r="X9" i="3" s="1"/>
  <c r="X15" i="3" s="1"/>
  <c r="H27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<sst xmlns="http://schemas.openxmlformats.org/spreadsheetml/2006/main" count="231" uniqueCount="174">
  <si>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</si>
  <si>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</si>
  <si>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</si>
  <si>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</si>
  <si>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</si>
  <si>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</si>
  <si>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</si>
  <si>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</si>
  <si>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</si>
  <si>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</si>
  <si>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</si>
  <si>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</si>
  <si>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</si>
  <si>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</si>
  <si>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</si>
  <si>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</si>
  <si>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</si>
  <si>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</si>
  <si>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</si>
  <si>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</si>
  <si>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</si>
  <si>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</si>
  <si>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</si>
  <si>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</si>
  <si>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</si>
  <si>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</si>
  <si>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</si>
  <si>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</si>
  <si>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</si>
  <si>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</si>
  <si>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</si>
  <si>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</si>
  <si>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</si>
  <si>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</si>
  <si>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</si>
  <si>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</si>
  <si>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</si>
  <si>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</si>
  <si>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</si>
  <si>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</si>
  <si>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</si>
  <si>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</si>
  <si>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</si>
  <si>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</si>
  <si>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</si>
  <si>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</si>
  <si>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</si>
  <si>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</si>
  <si>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</si>
  <si>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</si>
  <si>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</si>
  <si>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</si>
  <si>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</si>
  <si>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</si>
  <si>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</si>
  <si>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</si>
  <si>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</si>
  <si>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</si>
  <si>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</si>
  <si>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</si>
  <si>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</si>
  <si>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</si>
  <si>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</si>
  <si>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</si>
  <si>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</si>
  <si>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</si>
  <si>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</si>
  <si>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</si>
  <si>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</si>
  <si>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</si>
  <si>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</si>
  <si>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</si>
  <si>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</si>
  <si>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</si>
  <si>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</si>
  <si>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</si>
  <si>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</si>
  <si>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</si>
  <si>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</si>
  <si>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</si>
  <si>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</si>
  <si>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</si>
  <si>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</si>
  <si>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</si>
  <si>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</si>
  <si>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</si>
  <si>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</si>
  <si>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</si>
  <si>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</si>
  <si>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</si>
  <si>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</si>
  <si>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</si>
  <si>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</si>
  <si>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</si>
  <si>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</si>
  <si>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</si>
  <si>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</si>
  <si>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</si>
  <si>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</si>
  <si>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</si>
  <si>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</si>
  <si>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</si>
  <si>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</si>
  <si>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</si>
  <si>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</si>
  <si>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</si>
  <si>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</si>
  <si>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</si>
  <si>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</si>
  <si>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</si>
  <si>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</si>
  <si>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</si>
  <si>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</si>
  <si>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</si>
  <si>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</si>
  <si>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</si>
  <si>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</si>
  <si>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</si>
  <si>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</si>
  <si>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</si>
  <si>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</si>
  <si>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</si>
  <si>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</si>
  <si>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</si>
  <si>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</si>
  <si>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</si>
  <si>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</si>
  <si>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</si>
  <si>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</si>
  <si>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</si>
  <si>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</si>
  <si>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</si>
  <si>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</si>
  <si>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</si>
  <si>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</si>
  <si>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</si>
  <si>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</si>
  <si>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</si>
  <si>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</si>
  <si>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</si>
  <si>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</si>
  <si>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</si>
  <si>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</si>
  <si>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</si>
  <si>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</si>
  <si>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</si>
  <si>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</si>
  <si>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</si>
  <si>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</si>
  <si>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</si>
  <si>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</si>
  <si>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</si>
  <si>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</si>
  <si>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</si>
  <si>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</si>
  <si>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</si>
  <si>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</si>
  <si>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</si>
  <si>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</si>
  <si>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</si>
  <si>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</si>
  <si>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</si>
  <si>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</si>
  <si>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</si>
  <si>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</si>
  <si>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</si>
  <si>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</si>
  <si>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</si>
  <si>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N° 11217</t>
  </si>
  <si>
    <t>CESAR ITURRA</t>
  </si>
  <si>
    <t>+569 6265 7976</t>
  </si>
  <si>
    <t>CUB C/R FRENTE 90° R8</t>
  </si>
  <si>
    <t>CUB MESA 90° 2 LADOS R8</t>
  </si>
  <si>
    <t>GRAFITO 2174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</si>
</sst>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CON SOBRE MEDIDA EN EL LARGO.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45643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89791.971326164887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1">
        <v>2.7</v>
      </c>
      <c r="E21" s="331">
        <v>0.55000000000000004</v>
      </c>
      <c r="F21" s="330" t="s">
        <v>173</v>
      </c>
      <c r="G21" s="332">
        <v>137292</v>
      </c>
      <c r="H21" s="332">
        <f>G21*B21</f>
        <v>137292</v>
      </c>
      <c r="I21" s="320"/>
      <c r="J21" s="265"/>
      <c r="K21" s="47"/>
      <c r="L21" s="47">
        <f>B21</f>
        <v>1</v>
      </c>
      <c r="M21" s="39">
        <f>D21+M$19</f>
        <v>2.7800000000000002</v>
      </c>
      <c r="N21" s="39">
        <f>E21+$N$19</f>
        <v>0.55000000000000004</v>
      </c>
      <c r="O21" s="261">
        <f t="shared" ref="O21" si="1">M21*N21</f>
        <v>1.5290000000000004</v>
      </c>
      <c r="P21" s="259">
        <f t="shared" ref="P21" si="2">O21*L21</f>
        <v>1.5290000000000004</v>
      </c>
      <c r="Q21" s="252">
        <f t="shared" ref="Q21" si="3">Q$20*O21</f>
        <v>137291.92415770615</v>
      </c>
      <c r="R21" s="319">
        <f t="shared" ref="R21" si="4">Q21+R$20</f>
        <v>140291.92415770615</v>
      </c>
      <c r="S21" s="297">
        <f>M21*L21</f>
        <v>2.7800000000000002</v>
      </c>
      <c r="T21" s="46">
        <f>N21*2*L21*2</f>
        <v>2.2000000000000002</v>
      </c>
      <c r="U21" s="9"/>
      <c r="X21" s="4"/>
    </row>
    <row r="22" spans="1:25" ht="17.399999999999999" x14ac:dyDescent="0.3">
      <c r="B22" s="330">
        <v>1</v>
      </c>
      <c r="C22" s="330" t="s">
        <v>172</v>
      </c>
      <c r="D22" s="331">
        <v>3</v>
      </c>
      <c r="E22" s="331">
        <v>0.5</v>
      </c>
      <c r="F22" s="330" t="s">
        <v>173</v>
      </c>
      <c r="G22" s="332">
        <v>138280</v>
      </c>
      <c r="H22" s="332">
        <f>G22*B22</f>
        <v>138280</v>
      </c>
      <c r="I22" s="320"/>
      <c r="J22" s="265"/>
      <c r="K22" s="47"/>
      <c r="L22" s="47">
        <f>B22</f>
        <v>1</v>
      </c>
      <c r="M22" s="39">
        <f>D22+M$19</f>
        <v>3.08</v>
      </c>
      <c r="N22" s="39">
        <f>E22+$N$19</f>
        <v>0.5</v>
      </c>
      <c r="O22" s="261">
        <f t="shared" ref="O22" si="5">M22*N22</f>
        <v>1.54</v>
      </c>
      <c r="P22" s="259">
        <f t="shared" ref="P22" si="6">O22*L22</f>
        <v>1.54</v>
      </c>
      <c r="Q22" s="252">
        <f t="shared" ref="Q22" si="7">Q$20*O22</f>
        <v>138279.63584229394</v>
      </c>
      <c r="R22" s="319">
        <f t="shared" ref="R22" si="8">Q22+R$20</f>
        <v>141279.63584229394</v>
      </c>
      <c r="S22" s="297">
        <f>M22*L22</f>
        <v>3.08</v>
      </c>
      <c r="T22" s="46">
        <f t="shared" ref="T22" si="9">N22*2*L22*2</f>
        <v>2</v>
      </c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275572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4.2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52358.68</v>
      </c>
      <c r="I26" s="322"/>
      <c r="J26" s="265"/>
      <c r="K26" s="47"/>
      <c r="L26" s="47"/>
      <c r="M26" s="39">
        <f>SUM(M21:M25)</f>
        <v>5.86</v>
      </c>
      <c r="N26" s="12"/>
      <c r="O26" s="12"/>
      <c r="P26" s="253">
        <f>SUM(P21:P24)</f>
        <v>3.0690000000000004</v>
      </c>
      <c r="Q26" s="14"/>
      <c r="R26" s="12"/>
      <c r="S26" s="239">
        <f>SUM(S21:S25)</f>
        <v>5.86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327930.68</v>
      </c>
      <c r="I27" s="322"/>
      <c r="J27" s="265"/>
      <c r="K27" s="47"/>
      <c r="L27" s="47"/>
      <c r="M27" s="39"/>
      <c r="N27" s="12"/>
      <c r="O27" s="12"/>
      <c r="P27" s="253">
        <f>P26</f>
        <v>3.0690000000000004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0.61380000000000012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3.6828000000000003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3.6828000000000003</v>
      </c>
      <c r="N31" s="12">
        <v>3500</v>
      </c>
      <c r="O31" s="12">
        <f t="shared" ref="O31:O36" si="10">M31*N31</f>
        <v>12889.800000000001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25000</v>
      </c>
      <c r="O32" s="12">
        <f t="shared" si="10"/>
        <v>25000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61840</v>
      </c>
      <c r="O33" s="12">
        <f t="shared" si="10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2</v>
      </c>
      <c r="N34" s="250">
        <v>41600</v>
      </c>
      <c r="O34" s="12">
        <f t="shared" si="10"/>
        <v>83200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0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2.78</v>
      </c>
      <c r="N36" s="12">
        <v>1500</v>
      </c>
      <c r="O36" s="12">
        <f t="shared" si="10"/>
        <v>4170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125259.8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275571.56000000006</v>
      </c>
      <c r="P38" s="14" t="s">
        <v>140</v>
      </c>
      <c r="Q38" s="14"/>
      <c r="R38" s="40">
        <f>P29/R37</f>
        <v>0.99298964624676456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49480</v>
      </c>
      <c r="L39" s="250"/>
      <c r="M39" s="14"/>
      <c r="N39" s="12"/>
      <c r="O39" s="12">
        <f>O38/P27</f>
        <v>89791.971326164887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41579.831932773108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45643</v>
      </c>
    </row>
    <row r="6" spans="2:31" ht="16.2" thickBot="1" x14ac:dyDescent="0.35">
      <c r="B6" s="140" t="s">
        <v>2</v>
      </c>
      <c r="C6" s="139" t="str">
        <f>'2229'!C10</f>
        <v>CESAR ITURRA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11217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-27304.596700120772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275572</v>
      </c>
      <c r="E11" s="132">
        <f>D11*0.19</f>
        <v>52358.68</v>
      </c>
      <c r="F11" s="131">
        <f>E11+D11</f>
        <v>327930.68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78685.403299879225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67723.890787439625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60685.403299879225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207848.10921256038</v>
      </c>
      <c r="E13" s="221">
        <f>(D11/D12)-1</f>
        <v>3.0690515089411967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51685.403299879225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12685.403299879228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111744.41979927538</v>
      </c>
      <c r="F15" s="216">
        <f>E15-D12</f>
        <v>44020.529011835752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12685.403299879228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52685.403299879225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12889.800000000001</v>
      </c>
      <c r="E20" s="121">
        <f>D20*0.19</f>
        <v>2449.0620000000004</v>
      </c>
      <c r="F20" s="120">
        <f>SUM(D20:E20)</f>
        <v>15338.862000000001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37889.800000000003</v>
      </c>
      <c r="E21" s="116">
        <f>SUM(E18:E20)</f>
        <v>7199.0619999999999</v>
      </c>
      <c r="F21" s="115">
        <f>SUM(F18:F20)</f>
        <v>45088.862000000001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45159.618000000002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275572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37889.800000000003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207848.10921256038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207848.10921256038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2024-12-17T21:36:21Z</dcterms:modified>
</cp:coreProperties>
</file>