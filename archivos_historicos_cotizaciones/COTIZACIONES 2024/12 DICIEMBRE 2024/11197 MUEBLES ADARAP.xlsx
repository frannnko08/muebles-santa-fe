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4\"/>
    </mc:Choice>
  </mc:AlternateContent>
  <xr:revisionPtr revIDLastSave="0" documentId="13_ncr:1_{92B3D4A6-9379-4736-867A-97265F615B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6" i="1" l="1"/>
  <c r="N22" i="1"/>
  <c r="M22" i="1"/>
  <c r="S22" i="1" s="1"/>
  <c r="L22" i="1"/>
  <c r="N21" i="1"/>
  <c r="O22" i="1" l="1"/>
  <c r="P22" i="1"/>
  <c r="M21" i="1"/>
  <c r="M26" i="1" s="1"/>
  <c r="L21" i="1"/>
  <c r="T21" i="1" l="1"/>
  <c r="T25" i="1" s="1"/>
  <c r="S21" i="1"/>
  <c r="S27" i="1" s="1"/>
  <c r="O21" i="1"/>
  <c r="P21" i="1" s="1"/>
  <c r="K40" i="1"/>
  <c r="S28" i="1" l="1"/>
  <c r="S29" i="1" s="1"/>
  <c r="S30" i="1" s="1"/>
  <c r="V33" i="1"/>
  <c r="V34" i="1" s="1"/>
  <c r="O32" i="1" l="1"/>
  <c r="P27" i="1" l="1"/>
  <c r="P28" i="1" s="1"/>
  <c r="P29" i="1" s="1"/>
  <c r="M31" i="1" s="1"/>
  <c r="N20" i="1"/>
  <c r="L20" i="1"/>
  <c r="O33" i="1" l="1"/>
  <c r="R37" i="1"/>
  <c r="R38" i="1" s="1"/>
  <c r="O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R22" i="1" s="1"/>
  <c r="G22" i="1" s="1"/>
  <c r="H22" i="1" s="1"/>
  <c r="D21" i="3"/>
  <c r="M43" i="3" s="1"/>
  <c r="D12" i="3" s="1"/>
  <c r="F20" i="3"/>
  <c r="F21" i="3" s="1"/>
  <c r="O40" i="1" l="1"/>
  <c r="E15" i="3"/>
  <c r="Q21" i="1" l="1"/>
  <c r="F15" i="3"/>
  <c r="R21" i="1" l="1"/>
  <c r="G21" i="1" l="1"/>
  <c r="H21" i="1" s="1"/>
  <c r="H25" i="1" s="1"/>
  <c r="H26" i="1" l="1"/>
  <c r="H27" i="1" s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<sst xmlns="http://schemas.openxmlformats.org/spreadsheetml/2006/main" count="233" uniqueCount="176">
  <si>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</si>
  <si>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</si>
  <si>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</si>
  <si>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</si>
  <si>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</si>
  <si>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</si>
  <si>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</si>
  <si>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</si>
  <si>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</si>
  <si>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</si>
  <si>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</si>
  <si>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</si>
  <si>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</si>
  <si>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</si>
  <si>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</si>
  <si>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</si>
  <si>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</si>
  <si>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</si>
  <si>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</si>
  <si>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</si>
  <si>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</si>
  <si>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</si>
  <si>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</si>
  <si>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</si>
  <si>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</si>
  <si>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</si>
  <si>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</si>
  <si>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</si>
  <si>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</si>
  <si>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</si>
  <si>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</si>
  <si>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</si>
  <si>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</si>
  <si>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</si>
  <si>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</si>
  <si>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</si>
  <si>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</si>
  <si>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</si>
  <si>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</si>
  <si>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</si>
  <si>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</si>
  <si>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</si>
  <si>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</si>
  <si>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</si>
  <si>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</si>
  <si>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</si>
  <si>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</si>
  <si>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</si>
  <si>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</si>
  <si>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</si>
  <si>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</si>
  <si>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</si>
  <si>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</si>
  <si>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</si>
  <si>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</si>
  <si>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</si>
  <si>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</si>
  <si>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</si>
  <si>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</si>
  <si>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</si>
  <si>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</si>
  <si>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</si>
  <si>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</si>
  <si>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</si>
  <si>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</si>
  <si>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</si>
  <si>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</si>
  <si>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</si>
  <si>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</si>
  <si>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</si>
  <si>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</si>
  <si>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</si>
  <si>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</si>
  <si>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</si>
  <si>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</si>
  <si>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</si>
  <si>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</si>
  <si>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</si>
  <si>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</si>
  <si>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</si>
  <si>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</si>
  <si>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</si>
  <si>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</si>
  <si>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</si>
  <si>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</si>
  <si>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</si>
  <si>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</si>
  <si>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</si>
  <si>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</si>
  <si>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</si>
  <si>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</si>
  <si>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</si>
  <si>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</si>
  <si>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</si>
  <si>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</si>
  <si>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</si>
  <si>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</si>
  <si>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</si>
  <si>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</si>
  <si>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</si>
  <si>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</si>
  <si>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</si>
  <si>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</si>
  <si>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</si>
  <si>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</si>
  <si>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</si>
  <si>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</si>
  <si>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</si>
  <si>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</si>
  <si>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</si>
  <si>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</si>
  <si>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</si>
  <si>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</si>
  <si>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</si>
  <si>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</si>
  <si>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</si>
  <si>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</si>
  <si>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</si>
  <si>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</si>
  <si>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</si>
  <si>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</si>
  <si>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</si>
  <si>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</si>
  <si>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</si>
  <si>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</si>
  <si>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</si>
  <si>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</si>
  <si>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</si>
  <si>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</si>
  <si>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</si>
  <si>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</si>
  <si>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</si>
  <si>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</si>
  <si>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</si>
  <si>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</si>
  <si>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</si>
  <si>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</si>
  <si>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</si>
  <si>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</si>
  <si>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</si>
  <si>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</si>
  <si>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</si>
  <si>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</si>
  <si>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</si>
  <si>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</si>
  <si>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</si>
  <si>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</si>
  <si>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</si>
  <si>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</si>
  <si>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</si>
  <si>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</si>
  <si>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</si>
  <si>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</si>
  <si>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</si>
  <si>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</si>
  <si>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</si>
  <si>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</si>
  <si>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</si>
  <si>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</si>
  <si>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</si>
  <si>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</si>
  <si>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</si>
  <si>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</si>
  <si>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</si>
  <si>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</si>
  <si>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</si>
  <si>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</si>
  <si>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5 DIAS HABILES</t>
  </si>
  <si>
    <t>N° 11197</t>
  </si>
  <si>
    <t>MUEBLES ADARAP</t>
  </si>
  <si>
    <t>77.154.719-2</t>
  </si>
  <si>
    <t>+569 7936 8390</t>
  </si>
  <si>
    <t>CUB C/R 180°</t>
  </si>
  <si>
    <t>CUB MESA 180° 3 LADOS</t>
  </si>
  <si>
    <t>BLANCO OPACO</t>
  </si>
  <si>
    <t>EDUARDO PARADA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</si>
</sst>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3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zoomScale="93" zoomScaleNormal="93" workbookViewId="0">
      <selection activeCell="I23" sqref="I23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19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45632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 t="s">
        <v>170</v>
      </c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175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171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5" t="s">
        <v>165</v>
      </c>
      <c r="G17" s="335"/>
      <c r="H17" s="336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8" thickBot="1" x14ac:dyDescent="0.35">
      <c r="B20" s="332" t="s">
        <v>7</v>
      </c>
      <c r="C20" s="333" t="s">
        <v>1</v>
      </c>
      <c r="D20" s="333" t="s">
        <v>10</v>
      </c>
      <c r="E20" s="333" t="s">
        <v>11</v>
      </c>
      <c r="F20" s="333" t="s">
        <v>8</v>
      </c>
      <c r="G20" s="333" t="s">
        <v>5</v>
      </c>
      <c r="H20" s="334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62731.669920603941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27">
        <v>1</v>
      </c>
      <c r="C21" s="328" t="s">
        <v>172</v>
      </c>
      <c r="D21" s="329">
        <v>2.4020000000000001</v>
      </c>
      <c r="E21" s="329">
        <v>0.6</v>
      </c>
      <c r="F21" s="328" t="s">
        <v>174</v>
      </c>
      <c r="G21" s="330">
        <f>R21</f>
        <v>96420.002845763389</v>
      </c>
      <c r="H21" s="331">
        <f>G21*B21</f>
        <v>96420.002845763389</v>
      </c>
      <c r="I21" s="321"/>
      <c r="J21" s="265"/>
      <c r="K21" s="47"/>
      <c r="L21" s="47">
        <f>B21</f>
        <v>1</v>
      </c>
      <c r="M21" s="39">
        <f>D21+M$19</f>
        <v>2.4820000000000002</v>
      </c>
      <c r="N21" s="39">
        <f>E21+$N19</f>
        <v>0.6</v>
      </c>
      <c r="O21" s="261">
        <f t="shared" ref="O21" si="1">M21*N21</f>
        <v>1.4892000000000001</v>
      </c>
      <c r="P21" s="259">
        <f t="shared" ref="P21" si="2">O21*L21</f>
        <v>1.4892000000000001</v>
      </c>
      <c r="Q21" s="252">
        <f t="shared" ref="Q21" si="3">Q$20*O21</f>
        <v>93420.002845763389</v>
      </c>
      <c r="R21" s="320">
        <f t="shared" ref="R21" si="4">Q21+R$20</f>
        <v>96420.002845763389</v>
      </c>
      <c r="S21" s="297">
        <f>L21*M21*2</f>
        <v>4.9640000000000004</v>
      </c>
      <c r="T21" s="46">
        <f>N21*2*L21*2</f>
        <v>2.4</v>
      </c>
      <c r="U21" s="9"/>
      <c r="X21" s="4"/>
    </row>
    <row r="22" spans="1:25" ht="17.399999999999999" x14ac:dyDescent="0.3">
      <c r="B22" s="327">
        <v>1</v>
      </c>
      <c r="C22" s="328" t="s">
        <v>173</v>
      </c>
      <c r="D22" s="329">
        <v>1.9</v>
      </c>
      <c r="E22" s="329">
        <v>0.8</v>
      </c>
      <c r="F22" s="328" t="s">
        <v>174</v>
      </c>
      <c r="G22" s="330">
        <f>R22</f>
        <v>102366.96515423665</v>
      </c>
      <c r="H22" s="331">
        <f>G22*B22</f>
        <v>102366.96515423665</v>
      </c>
      <c r="I22" s="321"/>
      <c r="J22" s="265"/>
      <c r="K22" s="47"/>
      <c r="L22" s="47">
        <f>B22</f>
        <v>1</v>
      </c>
      <c r="M22" s="39">
        <f>D22+M$19</f>
        <v>1.98</v>
      </c>
      <c r="N22" s="39">
        <f>E22</f>
        <v>0.8</v>
      </c>
      <c r="O22" s="261">
        <f t="shared" ref="O22" si="5">M22*N22</f>
        <v>1.5840000000000001</v>
      </c>
      <c r="P22" s="259">
        <f t="shared" ref="P22" si="6">O22*L22</f>
        <v>1.5840000000000001</v>
      </c>
      <c r="Q22" s="252">
        <f t="shared" ref="Q22" si="7">Q$20*O22</f>
        <v>99366.965154236648</v>
      </c>
      <c r="R22" s="320">
        <f t="shared" ref="R22" si="8">Q22+R$20</f>
        <v>102366.96515423665</v>
      </c>
      <c r="S22" s="297">
        <f>L22*M22*2</f>
        <v>3.96</v>
      </c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1"/>
      <c r="H23" s="321"/>
      <c r="I23" s="321"/>
      <c r="J23" s="265"/>
      <c r="K23" s="47"/>
      <c r="L23" s="47"/>
      <c r="M23" s="39"/>
      <c r="N23" s="39"/>
      <c r="O23" s="261"/>
      <c r="P23" s="259"/>
      <c r="Q23" s="252"/>
      <c r="R23" s="320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2"/>
      <c r="I24" s="324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5" t="s">
        <v>28</v>
      </c>
      <c r="H25" s="326">
        <f>SUM(H21:H24)</f>
        <v>198786.96800000005</v>
      </c>
      <c r="I25" s="323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2.4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37769.523920000007</v>
      </c>
      <c r="I26" s="323"/>
      <c r="J26" s="265"/>
      <c r="K26" s="47"/>
      <c r="L26" s="47"/>
      <c r="M26" s="39">
        <f>SUM(M21:M25)</f>
        <v>4.4619999999999997</v>
      </c>
      <c r="N26" s="12"/>
      <c r="O26" s="12"/>
      <c r="P26" s="253">
        <f>SUM(P21:P22)</f>
        <v>3.0731999999999999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236556.49192000006</v>
      </c>
      <c r="I27" s="323"/>
      <c r="J27" s="265"/>
      <c r="K27" s="47"/>
      <c r="L27" s="47"/>
      <c r="M27" s="39"/>
      <c r="N27" s="12"/>
      <c r="O27" s="12"/>
      <c r="P27" s="253">
        <f>P26</f>
        <v>3.0731999999999999</v>
      </c>
      <c r="Q27" s="14"/>
      <c r="R27" s="12"/>
      <c r="S27" s="239">
        <f>SUM(S21:S26)</f>
        <v>8.9239999999999995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0.61464000000000008</v>
      </c>
      <c r="Q28" s="39" t="s">
        <v>130</v>
      </c>
      <c r="R28" s="42"/>
      <c r="S28" s="240">
        <f>S27+T25</f>
        <v>11.324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3.68784</v>
      </c>
      <c r="Q29" s="14"/>
      <c r="R29" s="14"/>
      <c r="S29" s="238">
        <f>S28*20%</f>
        <v>2.2648000000000001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13.588799999999999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3.68784</v>
      </c>
      <c r="N31" s="12">
        <v>3500</v>
      </c>
      <c r="O31" s="12">
        <f t="shared" ref="O31:O36" si="9">M31*N31</f>
        <v>12907.44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1</v>
      </c>
      <c r="N32" s="12">
        <v>25000</v>
      </c>
      <c r="O32" s="12">
        <f t="shared" si="9"/>
        <v>25000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61840</v>
      </c>
      <c r="O33" s="12">
        <f t="shared" si="9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/>
      <c r="L34" s="250"/>
      <c r="M34" s="14">
        <v>2</v>
      </c>
      <c r="N34" s="250">
        <v>23000</v>
      </c>
      <c r="O34" s="12">
        <f t="shared" si="9"/>
        <v>46000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L35" s="250"/>
      <c r="M35" s="249"/>
      <c r="N35" s="250">
        <v>900</v>
      </c>
      <c r="O35" s="12">
        <f t="shared" si="9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L36" s="250"/>
      <c r="M36" s="266">
        <v>2.4820000000000002</v>
      </c>
      <c r="N36" s="12">
        <v>1500</v>
      </c>
      <c r="O36" s="12">
        <f t="shared" si="9"/>
        <v>3723.0000000000005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L37" s="250"/>
      <c r="M37" s="14"/>
      <c r="N37" s="12"/>
      <c r="O37" s="12">
        <f>SUM(O31:O36)</f>
        <v>87630.44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O37*2.2</f>
        <v>192786.96800000002</v>
      </c>
      <c r="P38" s="14" t="s">
        <v>140</v>
      </c>
      <c r="Q38" s="14"/>
      <c r="R38" s="40">
        <f>P29/R37</f>
        <v>0.99434857635893004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67392</v>
      </c>
      <c r="L39" s="250"/>
      <c r="M39" s="14"/>
      <c r="N39" s="12"/>
      <c r="O39" s="12">
        <f>O38/P27</f>
        <v>62731.669920603941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K40" s="230">
        <f>K39/1.19</f>
        <v>56631.932773109249</v>
      </c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45632</v>
      </c>
    </row>
    <row r="6" spans="2:31" ht="16.2" thickBot="1" x14ac:dyDescent="0.35">
      <c r="B6" s="140" t="s">
        <v>2</v>
      </c>
      <c r="C6" s="139" t="str">
        <f>'2229'!C10</f>
        <v>MUEBLES ADARAP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98</v>
      </c>
      <c r="I7" s="342"/>
      <c r="J7" s="342"/>
      <c r="K7" s="343"/>
      <c r="N7" s="75"/>
      <c r="O7" s="3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11197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-14502.240366787451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198786.96800000005</v>
      </c>
      <c r="E11" s="132">
        <f>D11*0.19</f>
        <v>37769.523920000007</v>
      </c>
      <c r="F11" s="131">
        <f>E11+D11</f>
        <v>236556.49192000006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91487.759633212554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67741.530787439609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73487.759633212554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131045.43721256044</v>
      </c>
      <c r="E13" s="221">
        <f>(D11/D12)-1</f>
        <v>1.9344918204425698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64487.759633212547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25487.759633212547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111773.52579927535</v>
      </c>
      <c r="F15" s="216">
        <f>E15-D12</f>
        <v>44031.995011835737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25487.759633212547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65487.759633212547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12907.44</v>
      </c>
      <c r="E20" s="121">
        <f>D20*0.19</f>
        <v>2452.4136000000003</v>
      </c>
      <c r="F20" s="120">
        <f>SUM(D20:E20)</f>
        <v>15359.8536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37907.440000000002</v>
      </c>
      <c r="E21" s="116">
        <f>SUM(E18:E20)</f>
        <v>7202.4135999999999</v>
      </c>
      <c r="F21" s="115">
        <f>SUM(F18:F20)</f>
        <v>45109.853600000002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30567.110320000007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198786.96800000005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37907.440000000002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131045.43721256044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131045.43721256044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2024-11-11T15:20:18Z</cp:lastPrinted>
  <dcterms:created xsi:type="dcterms:W3CDTF">2013-03-18T13:35:42Z</dcterms:created>
  <dcterms:modified xsi:type="dcterms:W3CDTF">2024-12-06T11:54:22Z</dcterms:modified>
</cp:coreProperties>
</file>