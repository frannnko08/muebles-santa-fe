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405F8193-047B-405A-8F7B-651EE4CD0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H21" i="1" l="1"/>
  <c r="H24" i="1" l="1"/>
  <c r="H25" i="1" s="1"/>
  <c r="D11" i="3" l="1"/>
  <c r="X9" i="3" s="1"/>
  <c r="X15" i="3" s="1"/>
  <c r="H26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<sst xmlns="http://schemas.openxmlformats.org/spreadsheetml/2006/main" count="229" uniqueCount="173">
  <si>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</si>
  <si>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</si>
  <si>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</si>
  <si>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</si>
  <si>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</si>
  <si>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</si>
  <si>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</si>
  <si>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</si>
  <si>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</si>
  <si>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</si>
  <si>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</si>
  <si>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</si>
  <si>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</si>
  <si>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</si>
  <si>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</si>
  <si>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</si>
  <si>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</si>
  <si>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</si>
  <si>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</si>
  <si>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</si>
  <si>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</si>
  <si>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</si>
  <si>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</si>
  <si>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</si>
  <si>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</si>
  <si>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</si>
  <si>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</si>
  <si>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</si>
  <si>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</si>
  <si>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</si>
  <si>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</si>
  <si>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</si>
  <si>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</si>
  <si>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</si>
  <si>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</si>
  <si>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</si>
  <si>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</si>
  <si>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</si>
  <si>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</si>
  <si>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</si>
  <si>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</si>
  <si>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</si>
  <si>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</si>
  <si>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</si>
  <si>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</si>
  <si>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</si>
  <si>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</si>
  <si>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</si>
  <si>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</si>
  <si>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</si>
  <si>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</si>
  <si>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</si>
  <si>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</si>
  <si>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</si>
  <si>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</si>
  <si>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</si>
  <si>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</si>
  <si>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</si>
  <si>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</si>
  <si>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</si>
  <si>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</si>
  <si>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</si>
  <si>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</si>
  <si>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</si>
  <si>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</si>
  <si>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</si>
  <si>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</si>
  <si>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</si>
  <si>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</si>
  <si>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</si>
  <si>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</si>
  <si>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</si>
  <si>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</si>
  <si>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</si>
  <si>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</si>
  <si>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</si>
  <si>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</si>
  <si>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</si>
  <si>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</si>
  <si>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</si>
  <si>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</si>
  <si>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</si>
  <si>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</si>
  <si>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</si>
  <si>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</si>
  <si>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</si>
  <si>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</si>
  <si>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</si>
  <si>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</si>
  <si>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</si>
  <si>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</si>
  <si>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</si>
  <si>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</si>
  <si>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</si>
  <si>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</si>
  <si>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</si>
  <si>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</si>
  <si>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</si>
  <si>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</si>
  <si>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</si>
  <si>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</si>
  <si>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</si>
  <si>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</si>
  <si>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</si>
  <si>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</si>
  <si>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</si>
  <si>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</si>
  <si>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</si>
  <si>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</si>
  <si>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</si>
  <si>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</si>
  <si>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</si>
  <si>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</si>
  <si>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</si>
  <si>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</si>
  <si>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</si>
  <si>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</si>
  <si>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</si>
  <si>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</si>
  <si>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</si>
  <si>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</si>
  <si>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</si>
  <si>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</si>
  <si>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</si>
  <si>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</si>
  <si>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</si>
  <si>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</si>
  <si>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</si>
  <si>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</si>
  <si>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</si>
  <si>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</si>
  <si>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</si>
  <si>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</si>
  <si>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</si>
  <si>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</si>
  <si>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</si>
  <si>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</si>
  <si>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</si>
  <si>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</si>
  <si>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</si>
  <si>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</si>
  <si>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</si>
  <si>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</si>
  <si>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</si>
  <si>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</si>
  <si>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</si>
  <si>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</si>
  <si>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</si>
  <si>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</si>
  <si>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</si>
  <si>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</si>
  <si>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</si>
  <si>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</si>
  <si>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</si>
  <si>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</si>
  <si>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</si>
  <si>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</si>
  <si>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</si>
  <si>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</si>
  <si>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</si>
  <si>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</si>
  <si>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</si>
  <si>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</si>
  <si>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</si>
  <si>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</si>
  <si>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</si>
  <si>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</si>
  <si>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11214</t>
  </si>
  <si>
    <t>PAOLA BRAVO</t>
  </si>
  <si>
    <t>+569 9235 3872</t>
  </si>
  <si>
    <t>5 DIAS HABILES</t>
  </si>
  <si>
    <t>CUB S/R FRENTE 90° R8</t>
  </si>
  <si>
    <t xml:space="preserve">BLANCO OPACO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</si>
</sst>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32" sqref="G3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45643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52848.888888888905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2.92</v>
      </c>
      <c r="E21" s="331">
        <v>0.6</v>
      </c>
      <c r="F21" s="330" t="s">
        <v>172</v>
      </c>
      <c r="G21" s="332">
        <f>R21</f>
        <v>98128.000000000015</v>
      </c>
      <c r="H21" s="332">
        <f>G21*B21</f>
        <v>98128.000000000015</v>
      </c>
      <c r="I21" s="320"/>
      <c r="J21" s="265"/>
      <c r="K21" s="47"/>
      <c r="L21" s="47">
        <f>B21</f>
        <v>1</v>
      </c>
      <c r="M21" s="39">
        <f>D21+M$19</f>
        <v>3</v>
      </c>
      <c r="N21" s="39">
        <f>E21+$N$19</f>
        <v>0.6</v>
      </c>
      <c r="O21" s="261">
        <f t="shared" ref="O21" si="1">M21*N21</f>
        <v>1.7999999999999998</v>
      </c>
      <c r="P21" s="259">
        <f t="shared" ref="P21" si="2">O21*L21</f>
        <v>1.7999999999999998</v>
      </c>
      <c r="Q21" s="252">
        <f t="shared" ref="Q21" si="3">Q$20*O21</f>
        <v>95128.000000000015</v>
      </c>
      <c r="R21" s="319">
        <f t="shared" ref="R21" si="4">Q21+R$20</f>
        <v>98128.000000000015</v>
      </c>
      <c r="S21" s="297">
        <f>M21*L21</f>
        <v>3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98128.000000000015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18644.320000000003</v>
      </c>
      <c r="I25" s="322"/>
      <c r="J25" s="265"/>
      <c r="K25" s="47"/>
      <c r="L25" s="47"/>
      <c r="M25" s="39">
        <f>SUM(M21:M24)</f>
        <v>3</v>
      </c>
      <c r="N25" s="12"/>
      <c r="O25" s="12"/>
      <c r="P25" s="253">
        <f>SUM(P21:P23)</f>
        <v>1.7999999999999998</v>
      </c>
      <c r="Q25" s="14"/>
      <c r="R25" s="12"/>
      <c r="S25" s="239">
        <f>SUM(S21:S24)</f>
        <v>3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116772.32000000002</v>
      </c>
      <c r="I26" s="322"/>
      <c r="J26" s="265"/>
      <c r="K26" s="47"/>
      <c r="L26" s="47"/>
      <c r="M26" s="39"/>
      <c r="N26" s="12"/>
      <c r="O26" s="12"/>
      <c r="P26" s="253">
        <f>P25</f>
        <v>1.7999999999999998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2.1599999999999997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2.1599999999999997</v>
      </c>
      <c r="N30" s="12">
        <v>1500</v>
      </c>
      <c r="O30" s="12">
        <f t="shared" ref="O30:O35" si="5">M30*N30</f>
        <v>3239.9999999999995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25000</v>
      </c>
      <c r="O31" s="12">
        <f t="shared" si="5"/>
        <v>15000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25000</v>
      </c>
      <c r="O33" s="12">
        <f t="shared" si="5"/>
        <v>25000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43240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95128.000000000015</v>
      </c>
      <c r="P37" s="14" t="s">
        <v>140</v>
      </c>
      <c r="Q37" s="14"/>
      <c r="R37" s="40">
        <f>P28/R36</f>
        <v>0.5823986194995685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52848.888888888905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45643</v>
      </c>
    </row>
    <row r="6" spans="2:31" ht="16.2" thickBot="1" x14ac:dyDescent="0.35">
      <c r="B6" s="140" t="s">
        <v>2</v>
      </c>
      <c r="C6" s="139" t="str">
        <f>'2229'!C10</f>
        <v>PAOLA BRAVO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-3134.2917001207752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98128.000000000015</v>
      </c>
      <c r="E11" s="132">
        <f>D11*0.19</f>
        <v>18644.320000000003</v>
      </c>
      <c r="F11" s="131">
        <f>E11+D11</f>
        <v>116772.32000000002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102855.70829987922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48074.090787439614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84855.708299879218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50053.9092125604</v>
      </c>
      <c r="E13" s="221">
        <f>(D11/D12)-1</f>
        <v>1.0411826493791549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75855.708299879218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36855.708299879225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79322.249799275363</v>
      </c>
      <c r="F15" s="216">
        <f>E15-D12</f>
        <v>31248.159011835749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36855.708299879225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76855.708299879218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3239.9999999999995</v>
      </c>
      <c r="E20" s="121">
        <f>D20*0.19</f>
        <v>615.59999999999991</v>
      </c>
      <c r="F20" s="120">
        <f>SUM(D20:E20)</f>
        <v>3855.5999999999995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18240</v>
      </c>
      <c r="E21" s="116">
        <f>SUM(E18:E20)</f>
        <v>3465.6</v>
      </c>
      <c r="F21" s="115">
        <f>SUM(F18:F20)</f>
        <v>21705.599999999999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15178.720000000003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98128.000000000015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18240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50053.9092125604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50053.9092125604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2024-12-17T20:17:42Z</dcterms:modified>
</cp:coreProperties>
</file>