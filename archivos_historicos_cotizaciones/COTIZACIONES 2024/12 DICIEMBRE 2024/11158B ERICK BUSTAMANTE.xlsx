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4\"/>
    </mc:Choice>
  </mc:AlternateContent>
  <xr:revisionPtr revIDLastSave="0" documentId="8_{E7C133DF-6CEC-4F72-B065-D4EFD2D1A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P27" i="1" s="1"/>
  <c r="P28" i="1" s="1"/>
  <c r="M30" i="1" s="1"/>
  <c r="N20" i="1"/>
  <c r="L20" i="1"/>
  <c r="O32" i="1" l="1"/>
  <c r="R36" i="1"/>
  <c r="R37" i="1" s="1"/>
  <c r="O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l="1"/>
  <c r="H21" i="1" s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<sst xmlns="http://schemas.openxmlformats.org/spreadsheetml/2006/main" count="229" uniqueCount="173">
  <si>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</si>
  <si>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</si>
  <si>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</si>
  <si>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</si>
  <si>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</si>
  <si>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</si>
  <si>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</si>
  <si>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</si>
  <si>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</si>
  <si>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</si>
  <si>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</si>
  <si>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</si>
  <si>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</si>
  <si>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</si>
  <si>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</si>
  <si>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</si>
  <si>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</si>
  <si>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</si>
  <si>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</si>
  <si>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</si>
  <si>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</si>
  <si>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</si>
  <si>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</si>
  <si>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</si>
  <si>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</si>
  <si>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</si>
  <si>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</si>
  <si>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</si>
  <si>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</si>
  <si>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</si>
  <si>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</si>
  <si>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</si>
  <si>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</si>
  <si>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</si>
  <si>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</si>
  <si>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</si>
  <si>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</si>
  <si>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</si>
  <si>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</si>
  <si>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</si>
  <si>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</si>
  <si>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</si>
  <si>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</si>
  <si>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</si>
  <si>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</si>
  <si>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</si>
  <si>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</si>
  <si>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</si>
  <si>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</si>
  <si>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</si>
  <si>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</si>
  <si>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</si>
  <si>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</si>
  <si>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</si>
  <si>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</si>
  <si>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</si>
  <si>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</si>
  <si>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</si>
  <si>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</si>
  <si>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</si>
  <si>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</si>
  <si>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</si>
  <si>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</si>
  <si>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</si>
  <si>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</si>
  <si>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</si>
  <si>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</si>
  <si>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</si>
  <si>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</si>
  <si>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</si>
  <si>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</si>
  <si>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</si>
  <si>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</si>
  <si>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</si>
  <si>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</si>
  <si>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</si>
  <si>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</si>
  <si>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</si>
  <si>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</si>
  <si>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</si>
  <si>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</si>
  <si>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</si>
  <si>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</si>
  <si>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</si>
  <si>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</si>
  <si>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</si>
  <si>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</si>
  <si>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</si>
  <si>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</si>
  <si>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</si>
  <si>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</si>
  <si>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</si>
  <si>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</si>
  <si>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</si>
  <si>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</si>
  <si>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</si>
  <si>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</si>
  <si>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</si>
  <si>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</si>
  <si>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</si>
  <si>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</si>
  <si>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</si>
  <si>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</si>
  <si>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</si>
  <si>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</si>
  <si>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</si>
  <si>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</si>
  <si>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</si>
  <si>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</si>
  <si>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</si>
  <si>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</si>
  <si>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</si>
  <si>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</si>
  <si>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</si>
  <si>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</si>
  <si>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</si>
  <si>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</si>
  <si>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</si>
  <si>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</si>
  <si>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</si>
  <si>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</si>
  <si>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</si>
  <si>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</si>
  <si>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</si>
  <si>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</si>
  <si>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</si>
  <si>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</si>
  <si>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</si>
  <si>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</si>
  <si>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</si>
  <si>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</si>
  <si>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</si>
  <si>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</si>
  <si>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</si>
  <si>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</si>
  <si>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</si>
  <si>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</si>
  <si>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</si>
  <si>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</si>
  <si>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</si>
  <si>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</si>
  <si>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</si>
  <si>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</si>
  <si>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</si>
  <si>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</si>
  <si>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</si>
  <si>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</si>
  <si>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</si>
  <si>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</si>
  <si>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</si>
  <si>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</si>
  <si>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</si>
  <si>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</si>
  <si>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</si>
  <si>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</si>
  <si>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</si>
  <si>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</si>
  <si>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</si>
  <si>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</si>
  <si>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</si>
  <si>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</si>
  <si>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</si>
  <si>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</si>
  <si>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</si>
  <si>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</si>
  <si>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</si>
  <si>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</si>
  <si>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ERICK BUSTAMANTE</t>
  </si>
  <si>
    <t>+569 4595 9710</t>
  </si>
  <si>
    <t>PUERTA R6</t>
  </si>
  <si>
    <t>5 DIAS HABILES</t>
  </si>
  <si>
    <t>ITALIAN OAK PP 7848 MT</t>
  </si>
  <si>
    <t>N° 11158B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</si>
</sst>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6" fillId="20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CORTADAS A LA MEDIDA Y ENCHAPADAS.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PERFORACIONES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C4" sqref="C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46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45607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31" t="s">
        <v>7</v>
      </c>
      <c r="C20" s="332" t="s">
        <v>1</v>
      </c>
      <c r="D20" s="332" t="s">
        <v>10</v>
      </c>
      <c r="E20" s="332" t="s">
        <v>11</v>
      </c>
      <c r="F20" s="332" t="s">
        <v>8</v>
      </c>
      <c r="G20" s="332" t="s">
        <v>5</v>
      </c>
      <c r="H20" s="333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92152.912912912929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6">
        <v>6</v>
      </c>
      <c r="C21" s="327" t="s">
        <v>169</v>
      </c>
      <c r="D21" s="328">
        <v>0.73</v>
      </c>
      <c r="E21" s="328">
        <v>0.35</v>
      </c>
      <c r="F21" s="327" t="s">
        <v>171</v>
      </c>
      <c r="G21" s="329">
        <f>R21</f>
        <v>30572.433333333334</v>
      </c>
      <c r="H21" s="330">
        <f>G21*B21</f>
        <v>183434.6</v>
      </c>
      <c r="I21" s="320"/>
      <c r="J21" s="265"/>
      <c r="K21" s="47"/>
      <c r="L21" s="47">
        <f>B21</f>
        <v>6</v>
      </c>
      <c r="M21" s="39">
        <f>D21+M$19</f>
        <v>0.75</v>
      </c>
      <c r="N21" s="39">
        <f>E21+$N19</f>
        <v>0.37</v>
      </c>
      <c r="O21" s="261">
        <f t="shared" ref="O21" si="1">M21*N21</f>
        <v>0.27749999999999997</v>
      </c>
      <c r="P21" s="259">
        <f t="shared" ref="P21" si="2">O21*L21</f>
        <v>1.6649999999999998</v>
      </c>
      <c r="Q21" s="252">
        <f t="shared" ref="Q21" si="3">Q$20*O21</f>
        <v>25572.433333333334</v>
      </c>
      <c r="R21" s="319">
        <f t="shared" ref="R21" si="4">Q21+R$20</f>
        <v>30572.433333333334</v>
      </c>
      <c r="S21" s="297">
        <f>L21*M21*2</f>
        <v>9</v>
      </c>
      <c r="T21" s="46">
        <f>N21*2*L21*2</f>
        <v>8.879999999999999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183434.6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8.879999999999999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34852.574000000001</v>
      </c>
      <c r="I25" s="322"/>
      <c r="J25" s="265"/>
      <c r="K25" s="47"/>
      <c r="L25" s="47"/>
      <c r="M25" s="39">
        <f>SUM(M21:M24)</f>
        <v>0.75</v>
      </c>
      <c r="N25" s="12"/>
      <c r="O25" s="12"/>
      <c r="P25" s="253">
        <f>SUM(P21:P21)</f>
        <v>1.6649999999999998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218287.174</v>
      </c>
      <c r="I26" s="322"/>
      <c r="J26" s="265"/>
      <c r="K26" s="47"/>
      <c r="L26" s="47"/>
      <c r="M26" s="39"/>
      <c r="N26" s="12"/>
      <c r="O26" s="12"/>
      <c r="P26" s="253">
        <f>P25</f>
        <v>1.6649999999999998</v>
      </c>
      <c r="Q26" s="14"/>
      <c r="R26" s="12"/>
      <c r="S26" s="239">
        <f>SUM(S21:S25)</f>
        <v>9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0.33299999999999996</v>
      </c>
      <c r="Q27" s="39" t="s">
        <v>130</v>
      </c>
      <c r="R27" s="42"/>
      <c r="S27" s="240">
        <f>S26+T24</f>
        <v>17.88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1.9979999999999998</v>
      </c>
      <c r="Q28" s="14"/>
      <c r="R28" s="14"/>
      <c r="S28" s="238">
        <f>S27*20%</f>
        <v>3.5760000000000001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21.456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1.9979999999999998</v>
      </c>
      <c r="N30" s="12">
        <v>3500</v>
      </c>
      <c r="O30" s="12">
        <f t="shared" ref="O30:O35" si="5">M30*N30</f>
        <v>6992.9999999999991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45000</v>
      </c>
      <c r="O31" s="12">
        <f t="shared" si="5"/>
        <v>27000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35750</v>
      </c>
      <c r="O33" s="12">
        <f t="shared" si="5"/>
        <v>35750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69743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153434.6</v>
      </c>
      <c r="P37" s="14" t="s">
        <v>140</v>
      </c>
      <c r="Q37" s="14"/>
      <c r="R37" s="40">
        <f>P28/R36</f>
        <v>0.53871872303710089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67392</v>
      </c>
      <c r="L38" s="250"/>
      <c r="M38" s="14"/>
      <c r="N38" s="12"/>
      <c r="O38" s="12">
        <f>O37/P26</f>
        <v>92152.912912912929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56631.932773109249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45607</v>
      </c>
    </row>
    <row r="6" spans="2:31" ht="16.2" thickBot="1" x14ac:dyDescent="0.35">
      <c r="B6" s="140" t="s">
        <v>2</v>
      </c>
      <c r="C6" s="139" t="str">
        <f>'2229'!C10</f>
        <v>ERICK BUSTAMANTE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11158B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-13019.983366787441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183434.6</v>
      </c>
      <c r="E11" s="132">
        <f>D11*0.19</f>
        <v>34852.574000000001</v>
      </c>
      <c r="F11" s="131">
        <f>E11+D11</f>
        <v>218287.174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92970.016633212566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63827.090787439614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74970.016633212566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119607.5092125604</v>
      </c>
      <c r="E13" s="221">
        <f>(D11/D12)-1</f>
        <v>1.8739301405869133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65970.016633212566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26970.016633212559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105314.69979927536</v>
      </c>
      <c r="F15" s="216">
        <f>E15-D12</f>
        <v>41487.609011835746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26970.016633212559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66970.016633212566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27000</v>
      </c>
      <c r="E19" s="123">
        <f>D19*0.19</f>
        <v>5130</v>
      </c>
      <c r="F19" s="120">
        <f>SUM(D19:E19)</f>
        <v>32130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6992.9999999999991</v>
      </c>
      <c r="E20" s="121">
        <f>D20*0.19</f>
        <v>1328.6699999999998</v>
      </c>
      <c r="F20" s="120">
        <f>SUM(D20:E20)</f>
        <v>8321.6699999999983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33993</v>
      </c>
      <c r="E21" s="116">
        <f>SUM(E18:E20)</f>
        <v>6458.67</v>
      </c>
      <c r="F21" s="115">
        <f>SUM(F18:F20)</f>
        <v>40451.67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28393.904000000002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183434.6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33993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119607.5092125604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119607.5092125604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2024-11-11T17:28:31Z</cp:lastPrinted>
  <dcterms:created xsi:type="dcterms:W3CDTF">2013-03-18T13:35:42Z</dcterms:created>
  <dcterms:modified xsi:type="dcterms:W3CDTF">2024-11-11T17:28:48Z</dcterms:modified>
</cp:coreProperties>
</file>