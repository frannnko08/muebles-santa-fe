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702B8B0C-22AD-4119-8551-1156BF0F52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1" l="1"/>
  <c r="K21" i="1"/>
  <c r="W39" i="1"/>
  <c r="W35" i="1"/>
  <c r="V32" i="1"/>
  <c r="X22" i="1"/>
  <c r="K10" i="1" l="1"/>
  <c r="J38" i="1" l="1"/>
  <c r="L21" i="1" l="1"/>
  <c r="L24" i="1" s="1"/>
  <c r="M21" i="1"/>
  <c r="N21" i="1" l="1"/>
  <c r="O21" i="1" s="1"/>
  <c r="R21" i="1"/>
  <c r="U21" i="1" s="1"/>
  <c r="N31" i="1"/>
  <c r="O23" i="1" l="1"/>
  <c r="S43" i="1"/>
  <c r="O24" i="1" l="1"/>
  <c r="O25" i="1" s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6" i="1" l="1"/>
  <c r="N30" i="1" l="1"/>
  <c r="S44" i="1"/>
  <c r="N36" i="1" l="1"/>
  <c r="N37" i="1" s="1"/>
  <c r="N38" i="1" s="1"/>
  <c r="D20" i="3"/>
  <c r="E20" i="3" s="1"/>
  <c r="E21" i="3" s="1"/>
  <c r="N39" i="1" l="1"/>
  <c r="D21" i="3"/>
  <c r="M43" i="3" s="1"/>
  <c r="D12" i="3" s="1"/>
  <c r="F20" i="3"/>
  <c r="F21" i="3" s="1"/>
  <c r="E15" i="3" l="1"/>
  <c r="P20" i="1" l="1"/>
  <c r="F15" i="3"/>
  <c r="P21" i="1" l="1"/>
  <c r="R26" i="1"/>
  <c r="T20" i="1" l="1"/>
  <c r="Q21" i="1"/>
  <c r="G21" i="1" s="1"/>
  <c r="H21" i="1" l="1"/>
  <c r="H23" i="1" s="1"/>
  <c r="H24" i="1" l="1"/>
  <c r="H25" i="1" s="1"/>
  <c r="D11" i="3"/>
  <c r="M42" i="3" s="1"/>
  <c r="M46" i="3" s="1"/>
  <c r="M49" i="3" s="1"/>
  <c r="E13" i="3" l="1"/>
  <c r="D13" i="3"/>
  <c r="E11" i="3"/>
  <c r="X9" i="3"/>
  <c r="D40" i="3" l="1"/>
  <c r="F11" i="3"/>
  <c r="X12" i="3"/>
  <c r="X13" i="3"/>
  <c r="X11" i="3"/>
  <c r="X15" i="3"/>
  <c r="X14" i="3"/>
  <c r="X16" i="3"/>
</calcChain>
</file>

<file path=xl/sharedStrings.xml><?xml version="1.0" encoding="utf-8"?>
<sst xmlns="http://schemas.openxmlformats.org/spreadsheetml/2006/main" count="222" uniqueCount="167">
  <si>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</si>
  <si>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</si>
  <si>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</si>
  <si>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</si>
  <si>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</si>
  <si>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</si>
  <si>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</si>
  <si>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</si>
  <si>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</si>
  <si>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</si>
  <si>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</si>
  <si>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</si>
  <si>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</si>
  <si>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</si>
  <si>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</si>
  <si>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</si>
  <si>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</si>
  <si>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</si>
  <si>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</si>
  <si>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</si>
  <si>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</si>
  <si>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</si>
  <si>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</si>
  <si>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</si>
  <si>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</si>
  <si>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</si>
  <si>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</si>
  <si>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</si>
  <si>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</si>
  <si>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</si>
  <si>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</si>
  <si>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</si>
  <si>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</si>
  <si>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</si>
  <si>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</si>
  <si>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</si>
  <si>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</si>
  <si>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</si>
  <si>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</si>
  <si>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</si>
  <si>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</si>
  <si>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</si>
  <si>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</si>
  <si>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</si>
  <si>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</si>
  <si>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</si>
  <si>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</si>
  <si>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</si>
  <si>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</si>
  <si>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</si>
  <si>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</si>
  <si>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</si>
  <si>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</si>
  <si>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</si>
  <si>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</si>
  <si>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</si>
  <si>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</si>
  <si>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</si>
  <si>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</si>
  <si>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</si>
  <si>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</si>
  <si>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</si>
  <si>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</si>
  <si>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</si>
  <si>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</si>
  <si>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</si>
  <si>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</si>
  <si>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</si>
  <si>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</si>
  <si>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</si>
  <si>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</si>
  <si>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</si>
  <si>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</si>
  <si>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</si>
  <si>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</si>
  <si>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</si>
  <si>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</si>
  <si>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</si>
  <si>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</si>
  <si>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</si>
  <si>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</si>
  <si>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</si>
  <si>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</si>
  <si>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</si>
  <si>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</si>
  <si>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</si>
  <si>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</si>
  <si>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</si>
  <si>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</si>
  <si>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</si>
  <si>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</si>
  <si>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</si>
  <si>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</si>
  <si>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</si>
  <si>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</si>
  <si>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</si>
  <si>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</si>
  <si>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</si>
  <si>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</si>
  <si>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</si>
  <si>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</si>
  <si>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</si>
  <si>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</si>
  <si>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</si>
  <si>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</si>
  <si>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</si>
  <si>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</si>
  <si>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</si>
  <si>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</si>
  <si>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</si>
  <si>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</si>
  <si>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</si>
  <si>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</si>
  <si>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</si>
  <si>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</si>
  <si>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</si>
  <si>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</si>
  <si>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</si>
  <si>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</si>
  <si>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</si>
  <si>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</si>
  <si>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</si>
  <si>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</si>
  <si>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</si>
  <si>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</si>
  <si>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</si>
  <si>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</si>
  <si>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</si>
  <si>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</si>
  <si>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</si>
  <si>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</si>
  <si>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</si>
  <si>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</si>
  <si>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</si>
  <si>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</si>
  <si>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</si>
  <si>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</si>
  <si>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</si>
  <si>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</si>
  <si>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</si>
  <si>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</si>
  <si>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</si>
  <si>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</si>
  <si>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</si>
  <si>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</si>
  <si>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</si>
  <si>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</si>
  <si>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</si>
  <si>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</si>
  <si>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</si>
  <si>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</si>
  <si>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</si>
  <si>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</si>
  <si>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</si>
  <si>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</si>
  <si>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ABONO 50%, SALDO C/E</t>
  </si>
  <si>
    <t>MTL</t>
  </si>
  <si>
    <t>MDF30MM</t>
  </si>
  <si>
    <t>SANTIAGO</t>
  </si>
  <si>
    <t>MDF18MM</t>
  </si>
  <si>
    <t>LUIS LOPEZ</t>
  </si>
  <si>
    <t>L DISEÑO</t>
  </si>
  <si>
    <t>76.380.599-9</t>
  </si>
  <si>
    <t>+569 85961015</t>
  </si>
  <si>
    <t>CUB C/R FRENTE 90°</t>
  </si>
  <si>
    <t>ALUMINIUN BRUSH 2030</t>
  </si>
  <si>
    <t>N° 11148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</si>
</sst>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166" fontId="3" fillId="7" borderId="0" xfId="0" applyNumberFormat="1" applyFont="1" applyFill="1"/>
    <xf numFmtId="41" fontId="0" fillId="0" borderId="0" xfId="4" applyFont="1"/>
    <xf numFmtId="0" fontId="35" fillId="0" borderId="0" xfId="0" applyFont="1"/>
    <xf numFmtId="0" fontId="36" fillId="0" borderId="0" xfId="0" applyFont="1"/>
    <xf numFmtId="167" fontId="0" fillId="21" borderId="0" xfId="0" applyNumberFormat="1" applyFill="1"/>
    <xf numFmtId="42" fontId="33" fillId="0" borderId="0" xfId="8" applyFont="1" applyFill="1" applyBorder="1"/>
    <xf numFmtId="0" fontId="11" fillId="0" borderId="28" xfId="0" applyFont="1" applyBorder="1" applyAlignment="1">
      <alignment horizontal="center"/>
    </xf>
    <xf numFmtId="42" fontId="1" fillId="0" borderId="27" xfId="0" applyNumberFormat="1" applyFont="1" applyBorder="1"/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6" fillId="0" borderId="0" xfId="0" quotePrefix="1" applyFont="1" applyAlignment="1">
      <alignment horizontal="left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99FF33"/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2682</xdr:colOff>
      <xdr:row>27</xdr:row>
      <xdr:rowOff>13024</xdr:rowOff>
    </xdr:from>
    <xdr:to>
      <xdr:col>7</xdr:col>
      <xdr:colOff>1049694</xdr:colOff>
      <xdr:row>30</xdr:row>
      <xdr:rowOff>13025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708213" y="5906861"/>
          <a:ext cx="2003399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1866123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903362"/>
          <a:ext cx="7027312" cy="662668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7776</xdr:colOff>
      <xdr:row>22</xdr:row>
      <xdr:rowOff>1</xdr:rowOff>
    </xdr:from>
    <xdr:to>
      <xdr:col>5</xdr:col>
      <xdr:colOff>1849560</xdr:colOff>
      <xdr:row>25</xdr:row>
      <xdr:rowOff>17339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9878" y="4789715"/>
          <a:ext cx="6981396" cy="68603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CON</a:t>
          </a:r>
          <a:r>
            <a:rPr lang="es-CL" sz="1200" b="1" baseline="0"/>
            <a:t> SOBRE MEDIDA EN EL LARGO</a:t>
          </a:r>
          <a:endParaRPr lang="es-CL" sz="1200" b="1"/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1"/>
  <sheetViews>
    <sheetView tabSelected="1" topLeftCell="A5" zoomScale="98" zoomScaleNormal="98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2.77734375" customWidth="1"/>
    <col min="4" max="4" width="11.109375" customWidth="1"/>
    <col min="5" max="5" width="10.5546875" customWidth="1"/>
    <col min="6" max="6" width="31.441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0" t="s">
        <v>166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161</v>
      </c>
      <c r="D10" s="243"/>
      <c r="E10" s="243"/>
      <c r="F10" s="244" t="s">
        <v>0</v>
      </c>
      <c r="G10" s="276">
        <v>45601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5.6" x14ac:dyDescent="0.3">
      <c r="B11" s="287" t="s">
        <v>12</v>
      </c>
      <c r="C11" s="138" t="s">
        <v>162</v>
      </c>
      <c r="F11" t="s">
        <v>125</v>
      </c>
      <c r="G11" s="288">
        <v>52177</v>
      </c>
      <c r="H11" s="289"/>
      <c r="P11" s="19"/>
      <c r="Q11" s="25" t="s">
        <v>19</v>
      </c>
      <c r="R11" s="19"/>
    </row>
    <row r="12" spans="2:23" x14ac:dyDescent="0.3">
      <c r="B12" s="246" t="s">
        <v>147</v>
      </c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ht="15.6" x14ac:dyDescent="0.3">
      <c r="B13" s="246" t="s">
        <v>148</v>
      </c>
      <c r="C13" s="313" t="s">
        <v>160</v>
      </c>
      <c r="D13" s="247"/>
      <c r="E13" s="247"/>
      <c r="F13" s="247"/>
      <c r="G13" s="277"/>
      <c r="H13" s="248"/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7" t="s">
        <v>163</v>
      </c>
      <c r="D15" s="294"/>
      <c r="E15" s="247"/>
      <c r="F15" s="247" t="s">
        <v>136</v>
      </c>
      <c r="G15" s="295" t="s">
        <v>137</v>
      </c>
      <c r="H15" s="248"/>
    </row>
    <row r="16" spans="2:23" ht="15.6" x14ac:dyDescent="0.3">
      <c r="B16" s="291" t="s">
        <v>3</v>
      </c>
      <c r="C16" s="314"/>
      <c r="F16" s="292" t="s">
        <v>131</v>
      </c>
      <c r="G16" s="293" t="s">
        <v>155</v>
      </c>
      <c r="H16" s="289"/>
    </row>
    <row r="17" spans="1:24" ht="15" thickBot="1" x14ac:dyDescent="0.35">
      <c r="B17" s="296" t="s">
        <v>13</v>
      </c>
      <c r="C17" s="297" t="s">
        <v>158</v>
      </c>
      <c r="D17" s="298"/>
      <c r="E17" s="299"/>
      <c r="F17" s="328" t="s">
        <v>154</v>
      </c>
      <c r="G17" s="328"/>
      <c r="H17" s="329"/>
      <c r="I17" s="263"/>
      <c r="S17" s="6"/>
      <c r="T17" s="6"/>
    </row>
    <row r="18" spans="1:24" ht="15.75" customHeight="1" thickBot="1" x14ac:dyDescent="0.35">
      <c r="I18" s="47"/>
      <c r="J18" s="5"/>
      <c r="U18" s="9" t="s">
        <v>130</v>
      </c>
      <c r="W18" s="6"/>
      <c r="X18" s="6"/>
    </row>
    <row r="19" spans="1:24" ht="13.5" customHeight="1" thickBot="1" x14ac:dyDescent="0.35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>
        <v>15000</v>
      </c>
      <c r="W19" s="6"/>
      <c r="X19" s="6"/>
    </row>
    <row r="20" spans="1:24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166995.79423403056</v>
      </c>
      <c r="Q20" s="258">
        <v>2000</v>
      </c>
      <c r="R20" s="38"/>
      <c r="S20" s="14" t="s">
        <v>130</v>
      </c>
      <c r="T20" s="9">
        <f>P21/3</f>
        <v>98471.853333333333</v>
      </c>
      <c r="W20" s="44">
        <v>2.44</v>
      </c>
      <c r="X20">
        <v>1.52</v>
      </c>
    </row>
    <row r="21" spans="1:24" ht="17.399999999999999" x14ac:dyDescent="0.3">
      <c r="B21" s="322">
        <v>1</v>
      </c>
      <c r="C21" s="323" t="s">
        <v>164</v>
      </c>
      <c r="D21" s="324">
        <v>3</v>
      </c>
      <c r="E21" s="324">
        <v>0.57999999999999996</v>
      </c>
      <c r="F21" s="323" t="s">
        <v>165</v>
      </c>
      <c r="G21" s="325">
        <f>Q21</f>
        <v>297415.56</v>
      </c>
      <c r="H21" s="326">
        <f>G21*B21</f>
        <v>297415.56</v>
      </c>
      <c r="I21" s="265">
        <v>329316</v>
      </c>
      <c r="J21" s="47"/>
      <c r="K21" s="315">
        <f>B21</f>
        <v>1</v>
      </c>
      <c r="L21" s="311">
        <f t="shared" ref="L21:M21" si="0">D21+L$19</f>
        <v>3.05</v>
      </c>
      <c r="M21" s="311">
        <f t="shared" si="0"/>
        <v>0.57999999999999996</v>
      </c>
      <c r="N21" s="261">
        <f>L21*M21</f>
        <v>1.7689999999999997</v>
      </c>
      <c r="O21" s="259">
        <f>N21*K21</f>
        <v>1.7689999999999997</v>
      </c>
      <c r="P21" s="252">
        <f>P$20*N21</f>
        <v>295415.56</v>
      </c>
      <c r="Q21" s="258">
        <f>P21+Q$20</f>
        <v>297415.56</v>
      </c>
      <c r="R21" s="307">
        <f>K21*L21</f>
        <v>3.05</v>
      </c>
      <c r="S21" s="14"/>
      <c r="T21" s="9"/>
      <c r="U21" s="312">
        <f>R21*U19</f>
        <v>45750</v>
      </c>
      <c r="W21" s="4"/>
      <c r="X21">
        <v>19.8</v>
      </c>
    </row>
    <row r="22" spans="1:24" ht="18" thickBot="1" x14ac:dyDescent="0.35">
      <c r="B22" s="285"/>
      <c r="C22" s="285"/>
      <c r="D22" s="286"/>
      <c r="E22" s="286"/>
      <c r="F22" s="285"/>
      <c r="G22" s="52"/>
      <c r="H22" s="316"/>
      <c r="I22" s="265"/>
      <c r="J22" s="47"/>
      <c r="K22" s="47"/>
      <c r="L22" s="39"/>
      <c r="M22" s="39"/>
      <c r="N22" s="261"/>
      <c r="O22" s="259"/>
      <c r="P22" s="252"/>
      <c r="Q22" s="258"/>
      <c r="R22" s="307"/>
      <c r="S22" s="14"/>
      <c r="T22" s="9"/>
      <c r="W22" s="4"/>
      <c r="X22">
        <f>SUM(X21:X21)</f>
        <v>19.8</v>
      </c>
    </row>
    <row r="23" spans="1:24" ht="18" x14ac:dyDescent="0.35">
      <c r="B23" s="285"/>
      <c r="C23" s="285"/>
      <c r="D23" s="286"/>
      <c r="E23" s="286"/>
      <c r="F23" s="285"/>
      <c r="G23" s="317" t="s">
        <v>30</v>
      </c>
      <c r="H23" s="318">
        <f>SUM(H21:H22)</f>
        <v>297415.56</v>
      </c>
      <c r="I23" s="232"/>
      <c r="J23" s="47"/>
      <c r="K23" s="47"/>
      <c r="L23" s="39"/>
      <c r="M23" s="39"/>
      <c r="N23" s="261"/>
      <c r="O23" s="253">
        <f>SUM(O21:O21)</f>
        <v>1.7689999999999997</v>
      </c>
      <c r="P23" s="252"/>
      <c r="Q23" s="258"/>
      <c r="R23" s="307"/>
      <c r="S23" s="14"/>
      <c r="T23" s="9"/>
      <c r="W23" s="4"/>
    </row>
    <row r="24" spans="1:24" ht="17.399999999999999" x14ac:dyDescent="0.3">
      <c r="B24" s="279"/>
      <c r="C24" s="282"/>
      <c r="D24" s="283"/>
      <c r="E24" s="283"/>
      <c r="F24" s="284"/>
      <c r="G24" s="306" t="s">
        <v>53</v>
      </c>
      <c r="H24" s="303">
        <f>H23*19%</f>
        <v>56508.956400000003</v>
      </c>
      <c r="I24" s="265"/>
      <c r="J24" s="47">
        <v>8698974</v>
      </c>
      <c r="K24" s="47"/>
      <c r="L24" s="39">
        <f>SUM(L21:L23)</f>
        <v>3.05</v>
      </c>
      <c r="M24" s="39"/>
      <c r="N24" s="261"/>
      <c r="O24" s="253">
        <f>O23</f>
        <v>1.7689999999999997</v>
      </c>
      <c r="P24" s="252"/>
      <c r="Q24" s="258"/>
      <c r="R24" s="307"/>
      <c r="S24" s="14"/>
      <c r="T24" s="9"/>
      <c r="W24" s="4"/>
    </row>
    <row r="25" spans="1:24" ht="18" thickBot="1" x14ac:dyDescent="0.35">
      <c r="B25" s="275"/>
      <c r="C25" s="281"/>
      <c r="D25" s="272"/>
      <c r="E25" s="272"/>
      <c r="F25" s="273"/>
      <c r="G25" s="280" t="s">
        <v>6</v>
      </c>
      <c r="H25" s="304">
        <f>H23+H24</f>
        <v>353924.51640000002</v>
      </c>
      <c r="I25" s="265"/>
      <c r="J25" s="47"/>
      <c r="K25" s="47"/>
      <c r="L25" s="39"/>
      <c r="M25" s="12"/>
      <c r="N25" s="12"/>
      <c r="O25" s="39">
        <f>O24*20%</f>
        <v>0.35379999999999995</v>
      </c>
      <c r="P25" s="14"/>
      <c r="Q25" s="12"/>
      <c r="R25" s="238"/>
      <c r="S25" s="14"/>
      <c r="T25" s="9"/>
      <c r="W25" s="4"/>
    </row>
    <row r="26" spans="1:24" ht="17.399999999999999" x14ac:dyDescent="0.3">
      <c r="I26" s="265"/>
      <c r="J26" s="47"/>
      <c r="K26" s="47"/>
      <c r="L26" s="39"/>
      <c r="M26" s="12"/>
      <c r="N26" s="12"/>
      <c r="O26" s="46">
        <f>O24+O25</f>
        <v>2.1227999999999998</v>
      </c>
      <c r="P26" s="14"/>
      <c r="Q26" s="12"/>
      <c r="R26" s="238">
        <f>SUM(R21:R25)</f>
        <v>3.05</v>
      </c>
      <c r="S26" s="14"/>
      <c r="T26" s="9"/>
      <c r="W26" s="4"/>
    </row>
    <row r="27" spans="1:24" ht="17.399999999999999" x14ac:dyDescent="0.3">
      <c r="B27" s="275"/>
      <c r="C27" s="271"/>
      <c r="D27" s="272"/>
      <c r="E27" s="272"/>
      <c r="F27" s="273"/>
      <c r="H27" s="47"/>
      <c r="I27" s="265"/>
      <c r="J27" s="47"/>
      <c r="K27" s="47"/>
      <c r="L27" s="39"/>
      <c r="M27" s="12"/>
      <c r="N27" s="12"/>
      <c r="P27" s="39" t="s">
        <v>132</v>
      </c>
      <c r="Q27" s="42"/>
      <c r="R27" s="239"/>
      <c r="S27" s="14"/>
      <c r="T27" s="9"/>
      <c r="W27" s="4"/>
    </row>
    <row r="28" spans="1:24" ht="17.399999999999999" x14ac:dyDescent="0.35">
      <c r="B28" s="269"/>
      <c r="C28" s="230"/>
      <c r="D28" s="230"/>
      <c r="E28" s="232"/>
      <c r="F28" s="233"/>
      <c r="G28" s="230"/>
      <c r="H28" s="274"/>
      <c r="I28" s="265"/>
      <c r="J28" s="309"/>
      <c r="K28" s="47"/>
      <c r="L28" s="14"/>
      <c r="M28" s="12"/>
      <c r="N28" s="12"/>
      <c r="P28" s="14"/>
      <c r="Q28" s="14"/>
      <c r="R28" s="237">
        <v>40</v>
      </c>
      <c r="S28" s="14"/>
      <c r="T28" s="9"/>
      <c r="W28" s="4"/>
    </row>
    <row r="29" spans="1:24" ht="17.399999999999999" x14ac:dyDescent="0.35">
      <c r="B29" s="234"/>
      <c r="C29" s="235"/>
      <c r="D29" s="236"/>
      <c r="E29" s="234"/>
      <c r="F29" s="230"/>
      <c r="G29" s="230"/>
      <c r="I29" s="265"/>
      <c r="J29" s="309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1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39">
        <f>O26</f>
        <v>2.1227999999999998</v>
      </c>
      <c r="M30" s="12">
        <v>3500</v>
      </c>
      <c r="N30" s="12">
        <f t="shared" ref="N30:N35" si="1">L30*M30</f>
        <v>7429.7999999999993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1:24" ht="17.399999999999999" x14ac:dyDescent="0.35">
      <c r="A31" s="230"/>
      <c r="B31" s="230"/>
      <c r="C31" s="230"/>
      <c r="D31" s="230"/>
      <c r="E31" s="230"/>
      <c r="F31" s="230"/>
      <c r="G31" s="230"/>
      <c r="H31" s="230"/>
      <c r="I31" s="265"/>
      <c r="J31" s="47"/>
      <c r="K31" s="47"/>
      <c r="L31" s="249">
        <v>0.5</v>
      </c>
      <c r="M31" s="12">
        <v>25000</v>
      </c>
      <c r="N31" s="12">
        <f t="shared" si="1"/>
        <v>12500</v>
      </c>
      <c r="O31" s="39" t="s">
        <v>159</v>
      </c>
      <c r="P31" s="42"/>
      <c r="Q31" s="14"/>
      <c r="R31" s="239"/>
      <c r="S31" s="14"/>
      <c r="T31" s="9"/>
      <c r="V31">
        <v>1520</v>
      </c>
      <c r="W31" s="9" t="s">
        <v>156</v>
      </c>
    </row>
    <row r="32" spans="1:24" s="230" customFormat="1" ht="17.399999999999999" x14ac:dyDescent="0.35">
      <c r="B32" s="24" t="s">
        <v>153</v>
      </c>
      <c r="I32" s="262"/>
      <c r="J32" s="47"/>
      <c r="K32" s="250"/>
      <c r="L32" s="14"/>
      <c r="M32" s="250">
        <v>55000</v>
      </c>
      <c r="N32" s="12">
        <f t="shared" si="1"/>
        <v>0</v>
      </c>
      <c r="O32" s="39" t="s">
        <v>32</v>
      </c>
      <c r="P32" s="42"/>
      <c r="R32" s="239"/>
      <c r="S32" s="256"/>
      <c r="V32" s="231">
        <f>V31/33</f>
        <v>46.060606060606062</v>
      </c>
      <c r="W32" s="230">
        <v>112.24</v>
      </c>
    </row>
    <row r="33" spans="2:23" s="230" customFormat="1" ht="17.399999999999999" x14ac:dyDescent="0.35">
      <c r="B33" s="24" t="s">
        <v>146</v>
      </c>
      <c r="C33"/>
      <c r="D33"/>
      <c r="E33"/>
      <c r="F33"/>
      <c r="I33" s="262"/>
      <c r="J33" s="308"/>
      <c r="K33" s="250"/>
      <c r="L33" s="14">
        <v>1</v>
      </c>
      <c r="M33" s="250">
        <v>103500</v>
      </c>
      <c r="N33" s="12">
        <f t="shared" si="1"/>
        <v>103500</v>
      </c>
      <c r="O33" s="14" t="s">
        <v>143</v>
      </c>
      <c r="P33" s="17"/>
      <c r="R33" s="237"/>
      <c r="S33" s="256"/>
      <c r="V33" s="231"/>
      <c r="W33" s="230">
        <v>112.24</v>
      </c>
    </row>
    <row r="34" spans="2:23" s="230" customFormat="1" ht="17.399999999999999" x14ac:dyDescent="0.35">
      <c r="B34" s="29" t="s">
        <v>127</v>
      </c>
      <c r="C34"/>
      <c r="D34"/>
      <c r="E34"/>
      <c r="F34" s="229" t="s">
        <v>16</v>
      </c>
      <c r="I34" s="262"/>
      <c r="J34" s="308"/>
      <c r="K34" s="250"/>
      <c r="L34" s="249"/>
      <c r="M34" s="250">
        <v>800</v>
      </c>
      <c r="N34" s="12">
        <f t="shared" si="1"/>
        <v>0</v>
      </c>
      <c r="O34" s="14" t="s">
        <v>34</v>
      </c>
      <c r="P34" s="14"/>
      <c r="Q34" s="230">
        <v>1.52</v>
      </c>
      <c r="R34" s="237"/>
      <c r="S34" s="237"/>
      <c r="W34" s="230">
        <v>112.24</v>
      </c>
    </row>
    <row r="35" spans="2:23" s="230" customFormat="1" ht="17.399999999999999" x14ac:dyDescent="0.35">
      <c r="I35" s="302"/>
      <c r="J35" s="47"/>
      <c r="K35" s="250"/>
      <c r="L35" s="266">
        <v>3.1</v>
      </c>
      <c r="M35" s="12">
        <v>3500</v>
      </c>
      <c r="N35" s="12">
        <f t="shared" si="1"/>
        <v>10850</v>
      </c>
      <c r="O35" s="14" t="s">
        <v>24</v>
      </c>
      <c r="P35" s="14"/>
      <c r="Q35">
        <v>2.44</v>
      </c>
      <c r="R35"/>
      <c r="S35" s="237">
        <v>1500</v>
      </c>
      <c r="W35" s="231">
        <f>SUM(W32:W34)</f>
        <v>336.71999999999997</v>
      </c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134279.79999999999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48040</v>
      </c>
      <c r="K37" s="250"/>
      <c r="L37" s="254" t="s">
        <v>35</v>
      </c>
      <c r="M37" s="12"/>
      <c r="N37" s="255">
        <f>N36*2.2</f>
        <v>295415.56</v>
      </c>
      <c r="O37" s="14" t="s">
        <v>142</v>
      </c>
      <c r="P37" s="14"/>
      <c r="Q37" s="46">
        <f>O24/Q36</f>
        <v>0.47697368421052622</v>
      </c>
      <c r="R37"/>
      <c r="S37" s="257" t="e">
        <f>S36/#REF!</f>
        <v>#REF!</v>
      </c>
      <c r="V37" s="230" t="s">
        <v>157</v>
      </c>
      <c r="W37" s="230">
        <v>4</v>
      </c>
    </row>
    <row r="38" spans="2:23" s="230" customFormat="1" ht="17.399999999999999" x14ac:dyDescent="0.35">
      <c r="G38"/>
      <c r="H38" s="260"/>
      <c r="I38" s="260"/>
      <c r="J38" s="47">
        <f>J37/1.19</f>
        <v>40369.747899159665</v>
      </c>
      <c r="K38" s="250"/>
      <c r="L38" s="14"/>
      <c r="M38" s="12"/>
      <c r="N38" s="12">
        <f>N37/O24</f>
        <v>166995.79423403056</v>
      </c>
      <c r="O38" s="45" t="s">
        <v>26</v>
      </c>
      <c r="P38" s="14"/>
      <c r="Q38" s="14"/>
      <c r="R38"/>
      <c r="S38" s="237"/>
      <c r="V38" s="230">
        <v>48000</v>
      </c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7"/>
      <c r="W39" s="230">
        <f>V38*W37</f>
        <v>192000</v>
      </c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O26/S43</f>
        <v>0.46399999999999991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45601</v>
      </c>
    </row>
    <row r="6" spans="2:31" ht="16.2" thickBot="1" x14ac:dyDescent="0.35">
      <c r="B6" s="140" t="s">
        <v>2</v>
      </c>
      <c r="C6" s="139" t="str">
        <f>'2229'!C10</f>
        <v>L DISEÑO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11148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13685.069966545891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'2229'!H22</f>
        <v>0</v>
      </c>
      <c r="E11" s="132">
        <f>D11*0.19</f>
        <v>0</v>
      </c>
      <c r="F11" s="131">
        <f>E11+D11</f>
        <v>0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119675.0699665459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49763.89078743961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101675.0699665459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-49763.89078743961</v>
      </c>
      <c r="E13" s="221">
        <f>(D11/D12)-1</f>
        <v>-1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92675.069966545896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53675.069966545889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82110.419799275347</v>
      </c>
      <c r="F15" s="216">
        <f>E15-D12</f>
        <v>32346.529011835737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53675.069966545889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93675.069966545896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7429.7999999999993</v>
      </c>
      <c r="E20" s="121">
        <f>D20*0.19</f>
        <v>1411.6619999999998</v>
      </c>
      <c r="F20" s="120">
        <f>SUM(D20:E20)</f>
        <v>8841.4619999999995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19929.8</v>
      </c>
      <c r="E21" s="116">
        <f>SUM(E18:E20)</f>
        <v>3786.6619999999998</v>
      </c>
      <c r="F21" s="115">
        <f>SUM(F18:F20)</f>
        <v>23716.462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-3786.6619999999998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19929.8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-49763.89078743961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-49763.89078743961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2024-10-29T20:35:19Z</cp:lastPrinted>
  <dcterms:created xsi:type="dcterms:W3CDTF">2013-03-18T13:35:42Z</dcterms:created>
  <dcterms:modified xsi:type="dcterms:W3CDTF">2024-11-05T13:09:23Z</dcterms:modified>
</cp:coreProperties>
</file>