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1 NOVIEMBRE 2024\"/>
    </mc:Choice>
  </mc:AlternateContent>
  <xr:revisionPtr revIDLastSave="0" documentId="13_ncr:1_{377EE0F9-40F6-48F3-9C21-E1AE64D8F8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1" l="1"/>
  <c r="M21" i="1" l="1"/>
  <c r="M25" i="1" s="1"/>
  <c r="L21" i="1"/>
  <c r="T21" i="1" l="1"/>
  <c r="T24" i="1" s="1"/>
  <c r="S21" i="1"/>
  <c r="S26" i="1" s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P27" i="1" s="1"/>
  <c r="P28" i="1" s="1"/>
  <c r="M30" i="1" s="1"/>
  <c r="N20" i="1"/>
  <c r="L20" i="1"/>
  <c r="O32" i="1" l="1"/>
  <c r="R36" i="1"/>
  <c r="R37" i="1" s="1"/>
  <c r="O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G21" i="1" l="1"/>
  <c r="H21" i="1" s="1"/>
  <c r="H24" i="1" s="1"/>
  <c r="H25" i="1" l="1"/>
  <c r="H26" i="1" s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<sst xmlns="http://schemas.openxmlformats.org/spreadsheetml/2006/main" count="229" uniqueCount="173">
  <si>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</si>
  <si>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</si>
  <si>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</si>
  <si>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</si>
  <si>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</si>
  <si>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</si>
  <si>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</si>
  <si>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</si>
  <si>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</si>
  <si>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</si>
  <si>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</si>
  <si>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</si>
  <si>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</si>
  <si>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</si>
  <si>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</si>
  <si>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</si>
  <si>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</si>
  <si>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</si>
  <si>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</si>
  <si>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</si>
  <si>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</si>
  <si>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</si>
  <si>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</si>
  <si>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</si>
  <si>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</si>
  <si>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</si>
  <si>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</si>
  <si>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</si>
  <si>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</si>
  <si>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</si>
  <si>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</si>
  <si>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</si>
  <si>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</si>
  <si>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</si>
  <si>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</si>
  <si>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</si>
  <si>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</si>
  <si>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</si>
  <si>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</si>
  <si>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</si>
  <si>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</si>
  <si>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</si>
  <si>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</si>
  <si>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</si>
  <si>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</si>
  <si>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</si>
  <si>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</si>
  <si>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</si>
  <si>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</si>
  <si>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</si>
  <si>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</si>
  <si>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</si>
  <si>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</si>
  <si>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</si>
  <si>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</si>
  <si>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</si>
  <si>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</si>
  <si>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</si>
  <si>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</si>
  <si>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</si>
  <si>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</si>
  <si>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</si>
  <si>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</si>
  <si>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</si>
  <si>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</si>
  <si>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</si>
  <si>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</si>
  <si>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</si>
  <si>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</si>
  <si>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</si>
  <si>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</si>
  <si>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</si>
  <si>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</si>
  <si>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</si>
  <si>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</si>
  <si>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</si>
  <si>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</si>
  <si>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</si>
  <si>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</si>
  <si>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</si>
  <si>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</si>
  <si>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</si>
  <si>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</si>
  <si>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</si>
  <si>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</si>
  <si>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</si>
  <si>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</si>
  <si>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</si>
  <si>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</si>
  <si>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</si>
  <si>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</si>
  <si>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</si>
  <si>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</si>
  <si>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</si>
  <si>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</si>
  <si>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</si>
  <si>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</si>
  <si>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</si>
  <si>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</si>
  <si>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</si>
  <si>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</si>
  <si>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</si>
  <si>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</si>
  <si>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</si>
  <si>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</si>
  <si>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</si>
  <si>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</si>
  <si>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</si>
  <si>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</si>
  <si>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</si>
  <si>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</si>
  <si>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</si>
  <si>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</si>
  <si>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</si>
  <si>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</si>
  <si>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</si>
  <si>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</si>
  <si>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</si>
  <si>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</si>
  <si>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</si>
  <si>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</si>
  <si>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</si>
  <si>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</si>
  <si>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</si>
  <si>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</si>
  <si>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</si>
  <si>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</si>
  <si>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</si>
  <si>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</si>
  <si>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</si>
  <si>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</si>
  <si>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</si>
  <si>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</si>
  <si>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</si>
  <si>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</si>
  <si>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</si>
  <si>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</si>
  <si>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</si>
  <si>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</si>
  <si>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</si>
  <si>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</si>
  <si>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</si>
  <si>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</si>
  <si>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</si>
  <si>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</si>
  <si>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</si>
  <si>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</si>
  <si>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</si>
  <si>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</si>
  <si>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</si>
  <si>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</si>
  <si>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</si>
  <si>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</si>
  <si>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</si>
  <si>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</si>
  <si>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</si>
  <si>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</si>
  <si>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</si>
  <si>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</si>
  <si>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</si>
  <si>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</si>
  <si>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</si>
  <si>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</si>
  <si>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</si>
  <si>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</si>
  <si>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</si>
  <si>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</si>
  <si>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ERICK BUSTAMANTE</t>
  </si>
  <si>
    <t>+569 4595 9710</t>
  </si>
  <si>
    <t>PUERTA R6</t>
  </si>
  <si>
    <t>HAYA 1750 MT</t>
  </si>
  <si>
    <t>N° 11158</t>
  </si>
  <si>
    <t>5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</si>
</sst>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3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PUERTAS</a:t>
          </a:r>
          <a:r>
            <a:rPr lang="es-CL" sz="1200" b="1" baseline="0"/>
            <a:t> CORTADAS A LA MEDIDA Y ENCHAPADAS.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INCLUYE PERFORACIONES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G12" sqref="G12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19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45607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168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5" t="s">
        <v>165</v>
      </c>
      <c r="G17" s="335"/>
      <c r="H17" s="336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8" thickBot="1" x14ac:dyDescent="0.35">
      <c r="B20" s="332" t="s">
        <v>7</v>
      </c>
      <c r="C20" s="333" t="s">
        <v>1</v>
      </c>
      <c r="D20" s="333" t="s">
        <v>10</v>
      </c>
      <c r="E20" s="333" t="s">
        <v>11</v>
      </c>
      <c r="F20" s="333" t="s">
        <v>8</v>
      </c>
      <c r="G20" s="333" t="s">
        <v>5</v>
      </c>
      <c r="H20" s="334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88255.015015015029</v>
      </c>
      <c r="R20" s="258">
        <v>5000</v>
      </c>
      <c r="S20" s="38"/>
      <c r="T20" s="14" t="s">
        <v>128</v>
      </c>
      <c r="U20" s="9"/>
      <c r="X20" s="4"/>
    </row>
    <row r="21" spans="1:25" ht="17.399999999999999" x14ac:dyDescent="0.3">
      <c r="B21" s="327">
        <v>6</v>
      </c>
      <c r="C21" s="328" t="s">
        <v>169</v>
      </c>
      <c r="D21" s="329">
        <v>0.73</v>
      </c>
      <c r="E21" s="329">
        <v>0.35</v>
      </c>
      <c r="F21" s="328" t="s">
        <v>170</v>
      </c>
      <c r="G21" s="330">
        <f>R21</f>
        <v>29490.766666666666</v>
      </c>
      <c r="H21" s="331">
        <f>G21*B21</f>
        <v>176944.6</v>
      </c>
      <c r="I21" s="321"/>
      <c r="J21" s="265"/>
      <c r="K21" s="47"/>
      <c r="L21" s="47">
        <f>B21</f>
        <v>6</v>
      </c>
      <c r="M21" s="39">
        <f>D21+M$19</f>
        <v>0.75</v>
      </c>
      <c r="N21" s="39">
        <f>E21+$N19</f>
        <v>0.37</v>
      </c>
      <c r="O21" s="261">
        <f t="shared" ref="O21" si="1">M21*N21</f>
        <v>0.27749999999999997</v>
      </c>
      <c r="P21" s="259">
        <f t="shared" ref="P21" si="2">O21*L21</f>
        <v>1.6649999999999998</v>
      </c>
      <c r="Q21" s="252">
        <f t="shared" ref="Q21" si="3">Q$20*O21</f>
        <v>24490.766666666666</v>
      </c>
      <c r="R21" s="320">
        <f t="shared" ref="R21" si="4">Q21+R$20</f>
        <v>29490.766666666666</v>
      </c>
      <c r="S21" s="297">
        <f>L21*M21*2</f>
        <v>9</v>
      </c>
      <c r="T21" s="46">
        <f>N21*2*L21*2</f>
        <v>8.879999999999999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1"/>
      <c r="H22" s="321"/>
      <c r="I22" s="321"/>
      <c r="J22" s="265"/>
      <c r="K22" s="47"/>
      <c r="L22" s="47"/>
      <c r="M22" s="39"/>
      <c r="N22" s="39"/>
      <c r="O22" s="261"/>
      <c r="P22" s="259"/>
      <c r="Q22" s="252"/>
      <c r="R22" s="320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2"/>
      <c r="I23" s="324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5" t="s">
        <v>28</v>
      </c>
      <c r="H24" s="326">
        <f>SUM(H21:H23)</f>
        <v>176944.6</v>
      </c>
      <c r="I24" s="323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8.879999999999999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33619.474000000002</v>
      </c>
      <c r="I25" s="323"/>
      <c r="J25" s="265"/>
      <c r="K25" s="47"/>
      <c r="L25" s="47"/>
      <c r="M25" s="39">
        <f>SUM(M21:M24)</f>
        <v>0.75</v>
      </c>
      <c r="N25" s="12"/>
      <c r="O25" s="12"/>
      <c r="P25" s="253">
        <f>SUM(P21:P21)</f>
        <v>1.6649999999999998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210564.07400000002</v>
      </c>
      <c r="I26" s="323"/>
      <c r="J26" s="265"/>
      <c r="K26" s="47"/>
      <c r="L26" s="47"/>
      <c r="M26" s="39"/>
      <c r="N26" s="12"/>
      <c r="O26" s="12"/>
      <c r="P26" s="253">
        <f>P25</f>
        <v>1.6649999999999998</v>
      </c>
      <c r="Q26" s="14"/>
      <c r="R26" s="12"/>
      <c r="S26" s="239">
        <f>SUM(S21:S25)</f>
        <v>9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0.33299999999999996</v>
      </c>
      <c r="Q27" s="39" t="s">
        <v>130</v>
      </c>
      <c r="R27" s="42"/>
      <c r="S27" s="240">
        <f>S26+T24</f>
        <v>17.88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1.9979999999999998</v>
      </c>
      <c r="Q28" s="14"/>
      <c r="R28" s="14"/>
      <c r="S28" s="238">
        <f>S27*20%</f>
        <v>3.5760000000000001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21.456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1.9979999999999998</v>
      </c>
      <c r="N30" s="12">
        <v>3500</v>
      </c>
      <c r="O30" s="12">
        <f t="shared" ref="O30:O35" si="5">M30*N30</f>
        <v>6992.9999999999991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0.6</v>
      </c>
      <c r="N31" s="12">
        <v>45000</v>
      </c>
      <c r="O31" s="12">
        <f t="shared" si="5"/>
        <v>27000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61840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1</v>
      </c>
      <c r="N33" s="250">
        <v>32800</v>
      </c>
      <c r="O33" s="12">
        <f t="shared" si="5"/>
        <v>32800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L35" s="250"/>
      <c r="M35" s="266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L36" s="250"/>
      <c r="M36" s="14"/>
      <c r="N36" s="12"/>
      <c r="O36" s="12">
        <f>SUM(O30:O35)</f>
        <v>66793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146944.6</v>
      </c>
      <c r="P37" s="14" t="s">
        <v>140</v>
      </c>
      <c r="Q37" s="14"/>
      <c r="R37" s="40">
        <f>P28/R36</f>
        <v>0.53871872303710089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67392</v>
      </c>
      <c r="L38" s="250"/>
      <c r="M38" s="14"/>
      <c r="N38" s="12"/>
      <c r="O38" s="12">
        <f>O37/P26</f>
        <v>88255.015015015029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56631.932773109249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45607</v>
      </c>
    </row>
    <row r="6" spans="2:31" ht="16.2" thickBot="1" x14ac:dyDescent="0.35">
      <c r="B6" s="140" t="s">
        <v>2</v>
      </c>
      <c r="C6" s="139" t="str">
        <f>'2229'!C10</f>
        <v>ERICK BUSTAMANTE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98</v>
      </c>
      <c r="I7" s="342"/>
      <c r="J7" s="342"/>
      <c r="K7" s="343"/>
      <c r="N7" s="75"/>
      <c r="O7" s="3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11158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-11938.316700120775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176944.6</v>
      </c>
      <c r="E11" s="132">
        <f>D11*0.19</f>
        <v>33619.474000000002</v>
      </c>
      <c r="F11" s="131">
        <f>E11+D11</f>
        <v>210564.07400000002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94051.683299879223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63827.090787439614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76051.683299879223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113117.5092125604</v>
      </c>
      <c r="E13" s="221">
        <f>(D11/D12)-1</f>
        <v>1.772249178476117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67051.683299879223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28051.683299879223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105314.69979927536</v>
      </c>
      <c r="F15" s="216">
        <f>E15-D12</f>
        <v>41487.609011835746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28051.683299879223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68051.683299879223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27000</v>
      </c>
      <c r="E19" s="123">
        <f>D19*0.19</f>
        <v>5130</v>
      </c>
      <c r="F19" s="120">
        <f>SUM(D19:E19)</f>
        <v>32130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6992.9999999999991</v>
      </c>
      <c r="E20" s="121">
        <f>D20*0.19</f>
        <v>1328.6699999999998</v>
      </c>
      <c r="F20" s="120">
        <f>SUM(D20:E20)</f>
        <v>8321.6699999999983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33993</v>
      </c>
      <c r="E21" s="116">
        <f>SUM(E18:E20)</f>
        <v>6458.67</v>
      </c>
      <c r="F21" s="115">
        <f>SUM(F18:F20)</f>
        <v>40451.67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27160.804000000004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176944.6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33993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113117.5092125604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113117.5092125604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2024-11-11T15:20:18Z</cp:lastPrinted>
  <dcterms:created xsi:type="dcterms:W3CDTF">2013-03-18T13:35:42Z</dcterms:created>
  <dcterms:modified xsi:type="dcterms:W3CDTF">2024-11-11T15:22:20Z</dcterms:modified>
</cp:coreProperties>
</file>