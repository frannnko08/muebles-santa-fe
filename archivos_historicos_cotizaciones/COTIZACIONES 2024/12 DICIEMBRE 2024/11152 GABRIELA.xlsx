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9A259D43-FFE9-4D1D-8725-E8D4A53AF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L24" i="1"/>
  <c r="M24" i="1"/>
  <c r="N24" i="1"/>
  <c r="O24" i="1"/>
  <c r="P24" i="1" s="1"/>
  <c r="S22" i="1"/>
  <c r="S21" i="1"/>
  <c r="M28" i="1"/>
  <c r="M23" i="1"/>
  <c r="N23" i="1"/>
  <c r="O23" i="1"/>
  <c r="P23" i="1" s="1"/>
  <c r="H22" i="1"/>
  <c r="H23" i="1"/>
  <c r="H24" i="1"/>
  <c r="L22" i="1"/>
  <c r="M22" i="1"/>
  <c r="N22" i="1"/>
  <c r="O22" i="1" l="1"/>
  <c r="P22" i="1" s="1"/>
  <c r="M21" i="1"/>
  <c r="L21" i="1"/>
  <c r="N21" i="1"/>
  <c r="O21" i="1" l="1"/>
  <c r="P21" i="1" s="1"/>
  <c r="K42" i="1"/>
  <c r="T21" i="1" l="1"/>
  <c r="T27" i="1" s="1"/>
  <c r="T28" i="1" s="1"/>
  <c r="T29" i="1" s="1"/>
  <c r="S29" i="1"/>
  <c r="V35" i="1"/>
  <c r="V36" i="1" s="1"/>
  <c r="O34" i="1" l="1"/>
  <c r="P29" i="1" l="1"/>
  <c r="P30" i="1" s="1"/>
  <c r="P31" i="1" s="1"/>
  <c r="N20" i="1"/>
  <c r="L20" i="1"/>
  <c r="M33" i="1" l="1"/>
  <c r="O35" i="1"/>
  <c r="R39" i="1"/>
  <c r="R40" i="1" s="1"/>
  <c r="O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Q24" i="1" s="1"/>
  <c r="R24" i="1" s="1"/>
  <c r="D21" i="3"/>
  <c r="M43" i="3" s="1"/>
  <c r="D12" i="3" s="1"/>
  <c r="F20" i="3"/>
  <c r="F21" i="3" s="1"/>
  <c r="Q22" i="1" l="1"/>
  <c r="R22" i="1" s="1"/>
  <c r="Q23" i="1"/>
  <c r="R23" i="1" s="1"/>
  <c r="O42" i="1"/>
  <c r="E15" i="3"/>
  <c r="Q21" i="1" l="1"/>
  <c r="F15" i="3"/>
  <c r="R21" i="1" l="1"/>
  <c r="H21" i="1"/>
  <c r="H27" i="1" s="1"/>
  <c r="H28" i="1" s="1"/>
  <c r="H29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<sst xmlns="http://schemas.openxmlformats.org/spreadsheetml/2006/main" count="235" uniqueCount="174">
  <si>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</si>
  <si>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</si>
  <si>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</si>
  <si>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</si>
  <si>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</si>
  <si>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</si>
  <si>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</si>
  <si>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</si>
  <si>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</si>
  <si>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</si>
  <si>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</si>
  <si>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</si>
  <si>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</si>
  <si>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</si>
  <si>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</si>
  <si>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</si>
  <si>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</si>
  <si>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</si>
  <si>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</si>
  <si>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</si>
  <si>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</si>
  <si>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</si>
  <si>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</si>
  <si>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</si>
  <si>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</si>
  <si>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</si>
  <si>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</si>
  <si>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</si>
  <si>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</si>
  <si>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</si>
  <si>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</si>
  <si>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</si>
  <si>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</si>
  <si>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</si>
  <si>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</si>
  <si>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</si>
  <si>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</si>
  <si>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</si>
  <si>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</si>
  <si>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</si>
  <si>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</si>
  <si>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</si>
  <si>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</si>
  <si>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</si>
  <si>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</si>
  <si>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</si>
  <si>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</si>
  <si>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</si>
  <si>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</si>
  <si>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</si>
  <si>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</si>
  <si>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</si>
  <si>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</si>
  <si>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</si>
  <si>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</si>
  <si>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</si>
  <si>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</si>
  <si>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</si>
  <si>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</si>
  <si>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</si>
  <si>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</si>
  <si>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</si>
  <si>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</si>
  <si>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</si>
  <si>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</si>
  <si>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</si>
  <si>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</si>
  <si>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</si>
  <si>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</si>
  <si>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</si>
  <si>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</si>
  <si>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</si>
  <si>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</si>
  <si>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</si>
  <si>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</si>
  <si>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</si>
  <si>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</si>
  <si>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</si>
  <si>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</si>
  <si>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</si>
  <si>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</si>
  <si>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</si>
  <si>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</si>
  <si>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</si>
  <si>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</si>
  <si>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</si>
  <si>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</si>
  <si>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</si>
  <si>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</si>
  <si>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</si>
  <si>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</si>
  <si>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</si>
  <si>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</si>
  <si>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</si>
  <si>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</si>
  <si>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</si>
  <si>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</si>
  <si>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</si>
  <si>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</si>
  <si>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</si>
  <si>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</si>
  <si>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</si>
  <si>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</si>
  <si>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</si>
  <si>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</si>
  <si>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</si>
  <si>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</si>
  <si>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</si>
  <si>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</si>
  <si>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</si>
  <si>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</si>
  <si>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</si>
  <si>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</si>
  <si>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</si>
  <si>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</si>
  <si>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</si>
  <si>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</si>
  <si>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</si>
  <si>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</si>
  <si>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</si>
  <si>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</si>
  <si>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</si>
  <si>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</si>
  <si>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</si>
  <si>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</si>
  <si>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</si>
  <si>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</si>
  <si>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</si>
  <si>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</si>
  <si>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</si>
  <si>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</si>
  <si>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</si>
  <si>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</si>
  <si>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</si>
  <si>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</si>
  <si>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</si>
  <si>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</si>
  <si>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</si>
  <si>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</si>
  <si>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</si>
  <si>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</si>
  <si>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</si>
  <si>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</si>
  <si>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</si>
  <si>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</si>
  <si>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</si>
  <si>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</si>
  <si>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</si>
  <si>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</si>
  <si>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</si>
  <si>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</si>
  <si>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</si>
  <si>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</si>
  <si>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</si>
  <si>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</si>
  <si>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</si>
  <si>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</si>
  <si>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</si>
  <si>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</si>
  <si>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</si>
  <si>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</si>
  <si>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</si>
  <si>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</si>
  <si>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</si>
  <si>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SANTIAGO</t>
  </si>
  <si>
    <t>FONO +569 2032 3382</t>
  </si>
  <si>
    <t>5 DIAS HABILES</t>
  </si>
  <si>
    <t>DURACION COTIZACION: 5 DIAS                           FRANCO DONOSO</t>
  </si>
  <si>
    <t>DIEGO BILLANINI</t>
  </si>
  <si>
    <t>+569 34490554</t>
  </si>
  <si>
    <t>N° 11151</t>
  </si>
  <si>
    <t>INDUSTRIAL CONCRETE 3127 MT</t>
  </si>
  <si>
    <t>CUB C/R R2</t>
  </si>
  <si>
    <t>CUB MESA R2 2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</si>
</sst>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8</xdr:col>
      <xdr:colOff>8193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CORTADAS A LA MEDIDA Y SUS CANTOS ENCHAPADOS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4"/>
  <sheetViews>
    <sheetView tabSelected="1" topLeftCell="A17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165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168</v>
      </c>
      <c r="D10" s="243"/>
      <c r="E10" s="243"/>
      <c r="F10" s="244" t="s">
        <v>0</v>
      </c>
      <c r="G10" s="277">
        <v>45602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166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169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164</v>
      </c>
      <c r="D17" s="314"/>
      <c r="E17" s="119"/>
      <c r="F17" s="336" t="s">
        <v>167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127395.8870967742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172</v>
      </c>
      <c r="D21" s="330">
        <v>0.95</v>
      </c>
      <c r="E21" s="330">
        <v>0.65</v>
      </c>
      <c r="F21" s="329" t="s">
        <v>171</v>
      </c>
      <c r="G21" s="331">
        <v>95127</v>
      </c>
      <c r="H21" s="332">
        <f>G21*B21</f>
        <v>95127</v>
      </c>
      <c r="I21" s="322"/>
      <c r="J21" s="265"/>
      <c r="K21" s="47"/>
      <c r="L21" s="47">
        <f>B21</f>
        <v>1</v>
      </c>
      <c r="M21" s="39">
        <f>D21+M$19</f>
        <v>1</v>
      </c>
      <c r="N21" s="39">
        <f>E21</f>
        <v>0.65</v>
      </c>
      <c r="O21" s="261">
        <f t="shared" ref="O21" si="1">M21*N21</f>
        <v>0.65</v>
      </c>
      <c r="P21" s="259">
        <f t="shared" ref="P21" si="2">O21*L21</f>
        <v>0.65</v>
      </c>
      <c r="Q21" s="252">
        <f t="shared" ref="Q21" si="3">Q$20*O21</f>
        <v>82807.326612903227</v>
      </c>
      <c r="R21" s="321">
        <f t="shared" ref="R21" si="4">Q21+R$20</f>
        <v>85807.326612903227</v>
      </c>
      <c r="S21" s="298">
        <f>L21*M21</f>
        <v>1</v>
      </c>
      <c r="T21" s="46">
        <f>N21*2*L21</f>
        <v>1.3</v>
      </c>
      <c r="U21" s="9"/>
      <c r="X21" s="4"/>
    </row>
    <row r="22" spans="2:25" ht="17.399999999999999" x14ac:dyDescent="0.3">
      <c r="B22" s="328">
        <v>1</v>
      </c>
      <c r="C22" s="329" t="s">
        <v>172</v>
      </c>
      <c r="D22" s="330">
        <v>1.45</v>
      </c>
      <c r="E22" s="330">
        <v>0.65</v>
      </c>
      <c r="F22" s="329" t="s">
        <v>171</v>
      </c>
      <c r="G22" s="331">
        <v>136735</v>
      </c>
      <c r="H22" s="332">
        <f t="shared" ref="H22:H24" si="5">G22*B22</f>
        <v>136735</v>
      </c>
      <c r="I22" s="322"/>
      <c r="J22" s="265"/>
      <c r="K22" s="47"/>
      <c r="L22" s="47">
        <f>B22</f>
        <v>1</v>
      </c>
      <c r="M22" s="39">
        <f>D22+M$19</f>
        <v>1.5</v>
      </c>
      <c r="N22" s="39">
        <f>E22</f>
        <v>0.65</v>
      </c>
      <c r="O22" s="261">
        <f t="shared" ref="O22" si="6">M22*N22</f>
        <v>0.97500000000000009</v>
      </c>
      <c r="P22" s="259">
        <f t="shared" ref="P22" si="7">O22*L22</f>
        <v>0.97500000000000009</v>
      </c>
      <c r="Q22" s="252">
        <f t="shared" ref="Q22" si="8">Q$20*O22</f>
        <v>124210.98991935485</v>
      </c>
      <c r="R22" s="321">
        <f t="shared" ref="R22" si="9">Q22+R$20</f>
        <v>127210.98991935485</v>
      </c>
      <c r="S22" s="298">
        <f>L22*M22</f>
        <v>1.5</v>
      </c>
      <c r="T22" s="46"/>
      <c r="U22" s="9"/>
      <c r="X22" s="4"/>
    </row>
    <row r="23" spans="2:25" ht="17.399999999999999" x14ac:dyDescent="0.3">
      <c r="B23" s="328">
        <v>1</v>
      </c>
      <c r="C23" s="329" t="s">
        <v>173</v>
      </c>
      <c r="D23" s="330">
        <v>0.9</v>
      </c>
      <c r="E23" s="330">
        <v>0.7</v>
      </c>
      <c r="F23" s="329" t="s">
        <v>171</v>
      </c>
      <c r="G23" s="331">
        <v>94214</v>
      </c>
      <c r="H23" s="332">
        <f t="shared" si="5"/>
        <v>94214</v>
      </c>
      <c r="I23" s="322"/>
      <c r="J23" s="265"/>
      <c r="K23" s="47"/>
      <c r="L23" s="47"/>
      <c r="M23" s="39">
        <f>D23+M$19</f>
        <v>0.95000000000000007</v>
      </c>
      <c r="N23" s="39">
        <f>E23</f>
        <v>0.7</v>
      </c>
      <c r="O23" s="261">
        <f t="shared" ref="O23" si="10">M23*N23</f>
        <v>0.66500000000000004</v>
      </c>
      <c r="P23" s="259">
        <f t="shared" ref="P23" si="11">O23*L23</f>
        <v>0</v>
      </c>
      <c r="Q23" s="252">
        <f t="shared" ref="Q23" si="12">Q$20*O23</f>
        <v>84718.264919354842</v>
      </c>
      <c r="R23" s="321">
        <f t="shared" ref="R23" si="13">Q23+R$20</f>
        <v>87718.264919354842</v>
      </c>
      <c r="S23" s="298"/>
      <c r="T23" s="46"/>
      <c r="U23" s="9"/>
      <c r="X23" s="4"/>
    </row>
    <row r="24" spans="2:25" ht="17.399999999999999" x14ac:dyDescent="0.3">
      <c r="B24" s="328">
        <v>1</v>
      </c>
      <c r="C24" s="329" t="s">
        <v>173</v>
      </c>
      <c r="D24" s="330">
        <v>0.9</v>
      </c>
      <c r="E24" s="330">
        <v>0.9</v>
      </c>
      <c r="F24" s="329" t="s">
        <v>171</v>
      </c>
      <c r="G24" s="331">
        <v>111923</v>
      </c>
      <c r="H24" s="332">
        <f t="shared" si="5"/>
        <v>111923</v>
      </c>
      <c r="I24" s="322"/>
      <c r="J24" s="265"/>
      <c r="K24" s="47"/>
      <c r="L24" s="47">
        <f>B24</f>
        <v>1</v>
      </c>
      <c r="M24" s="39">
        <f>D24+M$19</f>
        <v>0.95000000000000007</v>
      </c>
      <c r="N24" s="39">
        <f>E24</f>
        <v>0.9</v>
      </c>
      <c r="O24" s="261">
        <f t="shared" ref="O24" si="14">M24*N24</f>
        <v>0.85500000000000009</v>
      </c>
      <c r="P24" s="259">
        <f t="shared" ref="P24" si="15">O24*L24</f>
        <v>0.85500000000000009</v>
      </c>
      <c r="Q24" s="252">
        <f t="shared" ref="Q24" si="16">Q$20*O24</f>
        <v>108923.48346774196</v>
      </c>
      <c r="R24" s="321">
        <f t="shared" ref="R24" si="17">Q24+R$20</f>
        <v>111923.48346774196</v>
      </c>
      <c r="S24" s="298"/>
      <c r="T24" s="46"/>
      <c r="U24" s="9"/>
      <c r="X24" s="4"/>
    </row>
    <row r="25" spans="2:25" ht="17.399999999999999" x14ac:dyDescent="0.3">
      <c r="B25" s="348"/>
      <c r="C25" s="348"/>
      <c r="D25" s="349"/>
      <c r="E25" s="349"/>
      <c r="F25" s="348"/>
      <c r="G25" s="322"/>
      <c r="H25" s="322"/>
      <c r="I25" s="322"/>
      <c r="J25" s="265"/>
      <c r="K25" s="47"/>
      <c r="L25" s="47"/>
      <c r="M25" s="39"/>
      <c r="N25" s="39"/>
      <c r="O25" s="261"/>
      <c r="P25" s="259"/>
      <c r="Q25" s="252"/>
      <c r="R25" s="321"/>
      <c r="S25" s="298"/>
      <c r="T25" s="46"/>
      <c r="U25" s="9"/>
      <c r="X25" s="4"/>
    </row>
    <row r="26" spans="2:25" ht="18" thickBot="1" x14ac:dyDescent="0.35">
      <c r="B26" s="286"/>
      <c r="C26" s="286"/>
      <c r="D26" s="287"/>
      <c r="E26" s="287"/>
      <c r="F26" s="286"/>
      <c r="G26" s="265"/>
      <c r="H26" s="323"/>
      <c r="I26" s="325"/>
      <c r="J26" s="233"/>
      <c r="K26" s="47"/>
      <c r="L26" s="47"/>
      <c r="M26" s="39"/>
      <c r="N26" s="39"/>
      <c r="O26" s="261"/>
      <c r="P26" s="259"/>
      <c r="Q26" s="252"/>
      <c r="R26" s="258"/>
      <c r="S26" s="298"/>
      <c r="T26" s="14"/>
      <c r="U26" s="9"/>
      <c r="X26" s="4"/>
    </row>
    <row r="27" spans="2:25" ht="17.399999999999999" x14ac:dyDescent="0.3">
      <c r="B27" s="286"/>
      <c r="C27" s="286"/>
      <c r="D27" s="287"/>
      <c r="E27" s="287"/>
      <c r="F27" s="286"/>
      <c r="G27" s="326" t="s">
        <v>28</v>
      </c>
      <c r="H27" s="327">
        <f>SUM(H21:H26)</f>
        <v>437999</v>
      </c>
      <c r="I27" s="324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8"/>
      <c r="T27" s="46">
        <f>SUM(T21:T26)</f>
        <v>1.3</v>
      </c>
      <c r="U27" s="9"/>
      <c r="X27" s="4"/>
    </row>
    <row r="28" spans="2:25" ht="17.399999999999999" x14ac:dyDescent="0.3">
      <c r="B28" s="280"/>
      <c r="C28" s="283"/>
      <c r="D28" s="284"/>
      <c r="E28" s="284"/>
      <c r="F28" s="285"/>
      <c r="G28" s="297" t="s">
        <v>51</v>
      </c>
      <c r="H28" s="295">
        <f>H27*19%</f>
        <v>83219.81</v>
      </c>
      <c r="I28" s="324"/>
      <c r="J28" s="265"/>
      <c r="K28" s="47"/>
      <c r="L28" s="47"/>
      <c r="M28" s="39">
        <f>SUM(M21:M27)</f>
        <v>4.4000000000000004</v>
      </c>
      <c r="N28" s="12"/>
      <c r="O28" s="12"/>
      <c r="P28" s="253">
        <f>SUM(P21:P24)</f>
        <v>2.48</v>
      </c>
      <c r="Q28" s="14"/>
      <c r="R28" s="12"/>
      <c r="S28" s="239"/>
      <c r="T28" s="46">
        <f>T27*20%</f>
        <v>0.26</v>
      </c>
      <c r="U28" s="9"/>
      <c r="X28" s="4"/>
    </row>
    <row r="29" spans="2:25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521218.81</v>
      </c>
      <c r="I29" s="324"/>
      <c r="J29" s="265"/>
      <c r="K29" s="47"/>
      <c r="L29" s="47"/>
      <c r="M29" s="39"/>
      <c r="N29" s="12"/>
      <c r="O29" s="12"/>
      <c r="P29" s="253">
        <f>P28</f>
        <v>2.48</v>
      </c>
      <c r="Q29" s="14"/>
      <c r="R29" s="12"/>
      <c r="S29" s="239">
        <f>SUM(S21:S28)</f>
        <v>2.5</v>
      </c>
      <c r="T29" s="46">
        <f>T27+T28</f>
        <v>1.56</v>
      </c>
      <c r="U29" s="9"/>
      <c r="X29" s="4"/>
    </row>
    <row r="30" spans="2:25" ht="17.399999999999999" x14ac:dyDescent="0.3">
      <c r="B30" s="276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0.496</v>
      </c>
      <c r="Q30" s="39" t="s">
        <v>130</v>
      </c>
      <c r="R30" s="42"/>
      <c r="S30" s="240"/>
      <c r="T30" s="14"/>
      <c r="U30" s="9"/>
      <c r="X30" s="4"/>
    </row>
    <row r="31" spans="2:25" ht="17.399999999999999" x14ac:dyDescent="0.3">
      <c r="B31" s="271"/>
      <c r="C31" s="271"/>
      <c r="D31" s="272"/>
      <c r="E31" s="272"/>
      <c r="F31" s="273"/>
      <c r="G31" s="274"/>
      <c r="H31" s="275"/>
      <c r="I31" s="275"/>
      <c r="J31" s="265"/>
      <c r="K31" s="47"/>
      <c r="L31" s="47"/>
      <c r="M31" s="14"/>
      <c r="N31" s="12"/>
      <c r="O31" s="12"/>
      <c r="P31" s="46">
        <f>P29+P30</f>
        <v>2.976</v>
      </c>
      <c r="Q31" s="14"/>
      <c r="R31" s="14"/>
      <c r="S31" s="238">
        <v>40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5"/>
      <c r="I32" s="275"/>
      <c r="J32" s="265"/>
      <c r="K32" s="47"/>
      <c r="L32" s="47"/>
      <c r="M32" s="14"/>
      <c r="N32" s="14"/>
      <c r="O32" s="14"/>
      <c r="P32" s="14"/>
      <c r="Q32" s="14"/>
      <c r="R32" s="14"/>
      <c r="S32" s="238"/>
      <c r="T32" s="14"/>
      <c r="U32" s="303" t="s">
        <v>21</v>
      </c>
      <c r="V32" s="300" t="s">
        <v>152</v>
      </c>
      <c r="W32" s="304">
        <v>44971</v>
      </c>
      <c r="X32" s="305"/>
    </row>
    <row r="33" spans="2:24" ht="17.399999999999999" x14ac:dyDescent="0.35">
      <c r="B33" s="235"/>
      <c r="C33" s="236"/>
      <c r="D33" s="237"/>
      <c r="E33" s="235"/>
      <c r="F33" s="230"/>
      <c r="G33" s="230"/>
      <c r="J33" s="265"/>
      <c r="K33" s="47"/>
      <c r="L33" s="47"/>
      <c r="M33" s="39">
        <f>P31</f>
        <v>2.976</v>
      </c>
      <c r="N33" s="12">
        <v>3500</v>
      </c>
      <c r="O33" s="12">
        <f t="shared" ref="O33:O38" si="18">M33*N33</f>
        <v>10416</v>
      </c>
      <c r="P33" s="14" t="s">
        <v>21</v>
      </c>
      <c r="Q33" s="14"/>
      <c r="R33" s="14"/>
      <c r="S33" s="241"/>
      <c r="T33" s="14"/>
      <c r="U33" s="303" t="s">
        <v>153</v>
      </c>
      <c r="V33" s="300">
        <v>3625</v>
      </c>
      <c r="W33" s="59" t="s">
        <v>154</v>
      </c>
      <c r="X33" s="305"/>
    </row>
    <row r="34" spans="2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249">
        <v>1</v>
      </c>
      <c r="N34" s="12">
        <v>25000</v>
      </c>
      <c r="O34" s="12">
        <f t="shared" si="18"/>
        <v>25000</v>
      </c>
      <c r="P34" s="39" t="s">
        <v>31</v>
      </c>
      <c r="Q34" s="42"/>
      <c r="R34" s="14"/>
      <c r="S34" s="240"/>
      <c r="T34" s="14"/>
      <c r="U34" s="303"/>
      <c r="V34" s="59">
        <v>906.25</v>
      </c>
      <c r="W34" s="59" t="s">
        <v>155</v>
      </c>
      <c r="X34" s="305"/>
    </row>
    <row r="35" spans="2:24" s="230" customFormat="1" ht="17.399999999999999" x14ac:dyDescent="0.35">
      <c r="J35" s="262"/>
      <c r="K35" s="232"/>
      <c r="L35" s="250"/>
      <c r="M35" s="14"/>
      <c r="N35" s="250">
        <v>61840</v>
      </c>
      <c r="O35" s="12">
        <f t="shared" si="18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5" t="s">
        <v>156</v>
      </c>
      <c r="X35" s="59"/>
    </row>
    <row r="36" spans="2:24" s="230" customFormat="1" ht="17.399999999999999" x14ac:dyDescent="0.35">
      <c r="B36" s="24" t="s">
        <v>151</v>
      </c>
      <c r="J36" s="262"/>
      <c r="K36" s="232"/>
      <c r="L36" s="250"/>
      <c r="M36" s="14">
        <v>2</v>
      </c>
      <c r="N36" s="250">
        <v>49100</v>
      </c>
      <c r="O36" s="12">
        <f t="shared" si="18"/>
        <v>98200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5" t="s">
        <v>157</v>
      </c>
      <c r="X36" s="59"/>
    </row>
    <row r="37" spans="2:24" s="230" customFormat="1" ht="17.399999999999999" x14ac:dyDescent="0.35">
      <c r="B37" s="24" t="s">
        <v>144</v>
      </c>
      <c r="C37"/>
      <c r="D37"/>
      <c r="E37"/>
      <c r="F37"/>
      <c r="J37" s="262"/>
      <c r="L37" s="250"/>
      <c r="M37" s="249"/>
      <c r="N37" s="250">
        <v>300</v>
      </c>
      <c r="O37" s="12">
        <f t="shared" si="18"/>
        <v>0</v>
      </c>
      <c r="P37" s="14" t="s">
        <v>32</v>
      </c>
      <c r="Q37" s="14"/>
      <c r="R37" s="230">
        <v>1.52</v>
      </c>
      <c r="S37" s="238"/>
      <c r="T37" s="238"/>
    </row>
    <row r="38" spans="2:24" s="230" customFormat="1" ht="17.399999999999999" x14ac:dyDescent="0.35">
      <c r="B38" s="29" t="s">
        <v>125</v>
      </c>
      <c r="C38"/>
      <c r="D38"/>
      <c r="E38"/>
      <c r="F38" s="229" t="s">
        <v>15</v>
      </c>
      <c r="J38" s="294"/>
      <c r="L38" s="250"/>
      <c r="M38" s="266">
        <v>2.5</v>
      </c>
      <c r="N38" s="12">
        <v>1500</v>
      </c>
      <c r="O38" s="12">
        <f t="shared" si="18"/>
        <v>3750</v>
      </c>
      <c r="P38" s="14" t="s">
        <v>22</v>
      </c>
      <c r="Q38" s="14"/>
      <c r="R38">
        <v>2.44</v>
      </c>
      <c r="S38"/>
      <c r="T38" s="238"/>
      <c r="X38" s="231"/>
    </row>
    <row r="39" spans="2:24" s="230" customFormat="1" ht="17.399999999999999" x14ac:dyDescent="0.35">
      <c r="L39" s="250"/>
      <c r="M39" s="14"/>
      <c r="N39" s="12"/>
      <c r="O39" s="12">
        <f>SUM(O33:O38)</f>
        <v>137366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2:24" s="230" customFormat="1" ht="17.399999999999999" x14ac:dyDescent="0.35">
      <c r="L40" s="250"/>
      <c r="M40" s="254" t="s">
        <v>33</v>
      </c>
      <c r="N40" s="12"/>
      <c r="O40" s="255">
        <f>O39*2.3</f>
        <v>315941.8</v>
      </c>
      <c r="P40" s="14" t="s">
        <v>140</v>
      </c>
      <c r="Q40" s="14"/>
      <c r="R40" s="40">
        <f>P31/R39</f>
        <v>0.80241587575496109</v>
      </c>
      <c r="S40"/>
      <c r="T40" s="257"/>
    </row>
    <row r="41" spans="2:24" s="230" customFormat="1" ht="17.399999999999999" x14ac:dyDescent="0.35">
      <c r="G41"/>
      <c r="H41" s="260"/>
      <c r="I41" s="260"/>
      <c r="J41" s="260"/>
      <c r="K41" s="230">
        <v>58420</v>
      </c>
      <c r="L41" s="250"/>
      <c r="M41" s="14"/>
      <c r="N41" s="12"/>
      <c r="O41" s="12">
        <f>O40/P29</f>
        <v>127395.8870967742</v>
      </c>
      <c r="P41" s="45" t="s">
        <v>24</v>
      </c>
      <c r="Q41" s="14"/>
      <c r="R41" s="14"/>
      <c r="S41"/>
      <c r="T41" s="238"/>
      <c r="U41" s="59" t="s">
        <v>158</v>
      </c>
      <c r="V41" s="300">
        <v>43650</v>
      </c>
    </row>
    <row r="42" spans="2:24" s="230" customFormat="1" ht="17.399999999999999" x14ac:dyDescent="0.35">
      <c r="G42"/>
      <c r="K42" s="230">
        <f>K41/1.19</f>
        <v>49092.436974789918</v>
      </c>
      <c r="L42" s="250"/>
      <c r="M42" s="13"/>
      <c r="N42" s="14"/>
      <c r="O42" s="17">
        <f>O40/O39</f>
        <v>2.2999999999999998</v>
      </c>
      <c r="P42" s="15"/>
      <c r="Q42"/>
      <c r="R42"/>
      <c r="S42"/>
      <c r="T42" s="238"/>
      <c r="U42" s="59" t="s">
        <v>160</v>
      </c>
      <c r="V42" s="301" t="s">
        <v>159</v>
      </c>
      <c r="W42" s="59">
        <v>2.4</v>
      </c>
    </row>
    <row r="43" spans="2:24" s="230" customFormat="1" ht="17.399999999999999" x14ac:dyDescent="0.35">
      <c r="G43" s="23"/>
      <c r="L43" s="12"/>
      <c r="T43" s="238"/>
      <c r="U43" s="59" t="s">
        <v>161</v>
      </c>
      <c r="V43" s="302">
        <v>395.37</v>
      </c>
    </row>
    <row r="44" spans="2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2:24" ht="14.4" customHeight="1" x14ac:dyDescent="0.3">
      <c r="L45" s="12"/>
      <c r="U45" s="59"/>
      <c r="V45" s="59"/>
    </row>
    <row r="46" spans="2:24" x14ac:dyDescent="0.3">
      <c r="L46" s="250"/>
    </row>
    <row r="47" spans="2:24" x14ac:dyDescent="0.3">
      <c r="L47" s="250"/>
      <c r="T47" s="270"/>
    </row>
    <row r="48" spans="2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45602</v>
      </c>
    </row>
    <row r="6" spans="2:31" ht="16.2" thickBot="1" x14ac:dyDescent="0.35">
      <c r="B6" s="140" t="s">
        <v>2</v>
      </c>
      <c r="C6" s="139" t="str">
        <f>'2229'!C10</f>
        <v>DIEGO BILLANINI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11151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-55056.058366787445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437999</v>
      </c>
      <c r="E11" s="132">
        <f>D11*0.19</f>
        <v>83219.81</v>
      </c>
      <c r="F11" s="131">
        <f>E11+D11</f>
        <v>521218.81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50933.941633212555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65250.090787439614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32933.941633212555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372748.90921256039</v>
      </c>
      <c r="E13" s="221">
        <f>(D11/D12)-1</f>
        <v>5.712619012697421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23933.941633212555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-15066.058366787445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107662.64979927536</v>
      </c>
      <c r="F15" s="216">
        <f>E15-D12</f>
        <v>42412.559011835743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-15066.058366787445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24933.941633212555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10416</v>
      </c>
      <c r="E20" s="121">
        <f>D20*0.19</f>
        <v>1979.04</v>
      </c>
      <c r="F20" s="120">
        <f>SUM(D20:E20)</f>
        <v>12395.04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35416</v>
      </c>
      <c r="E21" s="116">
        <f>SUM(E18:E20)</f>
        <v>6729.04</v>
      </c>
      <c r="F21" s="115">
        <f>SUM(F18:F20)</f>
        <v>42145.04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76490.77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437999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35416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372748.90921256039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372748.90921256039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2024-10-22T15:23:29Z</cp:lastPrinted>
  <dcterms:created xsi:type="dcterms:W3CDTF">2013-03-18T13:35:42Z</dcterms:created>
  <dcterms:modified xsi:type="dcterms:W3CDTF">2024-11-07T11:56:52Z</dcterms:modified>
</cp:coreProperties>
</file>