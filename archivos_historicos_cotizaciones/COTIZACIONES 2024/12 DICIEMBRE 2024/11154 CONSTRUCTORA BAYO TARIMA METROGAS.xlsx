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B84039E2-A982-4CBA-977E-5D56BBB75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9" i="1" l="1"/>
  <c r="L21" i="1" l="1"/>
  <c r="L25" i="1" s="1"/>
  <c r="L36" i="1" s="1"/>
  <c r="M21" i="1"/>
  <c r="N21" i="1" l="1"/>
  <c r="O21" i="1" s="1"/>
  <c r="O26" i="1" s="1"/>
  <c r="O27" i="1" s="1"/>
  <c r="O28" i="1" s="1"/>
  <c r="O29" i="1" s="1"/>
  <c r="R21" i="1"/>
  <c r="N32" i="1"/>
  <c r="S44" i="1" l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R27" i="1"/>
  <c r="H25" i="1" l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<sst xmlns="http://schemas.openxmlformats.org/spreadsheetml/2006/main" count="225" uniqueCount="173">
  <si>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</si>
  <si>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</si>
  <si>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</si>
  <si>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</si>
  <si>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</si>
  <si>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</si>
  <si>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</si>
  <si>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</si>
  <si>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</si>
  <si>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</si>
  <si>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</si>
  <si>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</si>
  <si>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</si>
  <si>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</si>
  <si>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</si>
  <si>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</si>
  <si>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</si>
  <si>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</si>
  <si>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</si>
  <si>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</si>
  <si>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</si>
  <si>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</si>
  <si>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</si>
  <si>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</si>
  <si>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</si>
  <si>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</si>
  <si>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</si>
  <si>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</si>
  <si>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</si>
  <si>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</si>
  <si>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</si>
  <si>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</si>
  <si>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</si>
  <si>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</si>
  <si>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</si>
  <si>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</si>
  <si>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</si>
  <si>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</si>
  <si>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</si>
  <si>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</si>
  <si>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</si>
  <si>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</si>
  <si>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</si>
  <si>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</si>
  <si>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</si>
  <si>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</si>
  <si>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</si>
  <si>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</si>
  <si>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</si>
  <si>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</si>
  <si>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</si>
  <si>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</si>
  <si>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</si>
  <si>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</si>
  <si>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</si>
  <si>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</si>
  <si>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</si>
  <si>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</si>
  <si>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</si>
  <si>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</si>
  <si>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</si>
  <si>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</si>
  <si>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</si>
  <si>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</si>
  <si>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</si>
  <si>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</si>
  <si>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</si>
  <si>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</si>
  <si>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</si>
  <si>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</si>
  <si>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</si>
  <si>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</si>
  <si>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</si>
  <si>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</si>
  <si>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</si>
  <si>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</si>
  <si>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</si>
  <si>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</si>
  <si>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</si>
  <si>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</si>
  <si>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</si>
  <si>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</si>
  <si>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</si>
  <si>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</si>
  <si>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</si>
  <si>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</si>
  <si>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</si>
  <si>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</si>
  <si>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</si>
  <si>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</si>
  <si>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</si>
  <si>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</si>
  <si>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</si>
  <si>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</si>
  <si>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</si>
  <si>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</si>
  <si>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</si>
  <si>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</si>
  <si>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</si>
  <si>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</si>
  <si>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</si>
  <si>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</si>
  <si>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</si>
  <si>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</si>
  <si>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</si>
  <si>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</si>
  <si>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</si>
  <si>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</si>
  <si>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</si>
  <si>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</si>
  <si>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</si>
  <si>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</si>
  <si>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</si>
  <si>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</si>
  <si>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</si>
  <si>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</si>
  <si>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</si>
  <si>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</si>
  <si>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</si>
  <si>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</si>
  <si>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</si>
  <si>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</si>
  <si>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</si>
  <si>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</si>
  <si>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</si>
  <si>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</si>
  <si>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</si>
  <si>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</si>
  <si>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</si>
  <si>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</si>
  <si>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</si>
  <si>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</si>
  <si>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</si>
  <si>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</si>
  <si>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</si>
  <si>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</si>
  <si>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</si>
  <si>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</si>
  <si>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</si>
  <si>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</si>
  <si>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</si>
  <si>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</si>
  <si>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</si>
  <si>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</si>
  <si>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</si>
  <si>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</si>
  <si>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</si>
  <si>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</si>
  <si>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</si>
  <si>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</si>
  <si>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</si>
  <si>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</si>
  <si>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</si>
  <si>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</si>
  <si>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</si>
  <si>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</si>
  <si>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</si>
  <si>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DURACION COTIZACION: 5 DIAS                   FRANCO DONOSO</t>
  </si>
  <si>
    <t>ESTRUCTURA</t>
  </si>
  <si>
    <t>OBSERVACIONES</t>
  </si>
  <si>
    <t>SEGÚN EETT</t>
  </si>
  <si>
    <t>96.574.230-1</t>
  </si>
  <si>
    <t>CONSTRUCTORA E INMOBILIARIA CERRO BAYO S.A.</t>
  </si>
  <si>
    <t>A CONVENIR</t>
  </si>
  <si>
    <t>METROGAS</t>
  </si>
  <si>
    <t>CODIGO</t>
  </si>
  <si>
    <t>NO INCLUYE COJINES</t>
  </si>
  <si>
    <t>OBRA ADJUDICADA:</t>
  </si>
  <si>
    <r>
      <t>Celular: (+569) 9559 0055</t>
    </r>
    <r>
      <rPr>
        <sz val="10"/>
        <color rgb="FF222222"/>
        <rFont val="Arial"/>
        <family val="2"/>
      </rPr>
      <t> </t>
    </r>
  </si>
  <si>
    <t>UGNACIO INOSTROZA</t>
  </si>
  <si>
    <t xml:space="preserve">MUEBLE TARIMA </t>
  </si>
  <si>
    <t>ME27</t>
  </si>
  <si>
    <t>N° 11154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</si>
</sst>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0"/>
      <color rgb="FF000080"/>
      <name val="Arial"/>
      <family val="2"/>
    </font>
    <font>
      <sz val="10"/>
      <color rgb="FF22222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67" fontId="31" fillId="0" borderId="0" xfId="0" applyNumberFormat="1" applyFont="1"/>
    <xf numFmtId="167" fontId="0" fillId="0" borderId="0" xfId="0" applyNumberFormat="1" applyAlignment="1">
      <alignment horizontal="center"/>
    </xf>
    <xf numFmtId="0" fontId="33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1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  <xf numFmtId="0" fontId="37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223973</xdr:rowOff>
    </xdr:from>
    <xdr:to>
      <xdr:col>5</xdr:col>
      <xdr:colOff>1749490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4" zoomScale="98" zoomScaleNormal="98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5.109375" customWidth="1"/>
    <col min="5" max="5" width="20.33203125" customWidth="1"/>
    <col min="6" max="6" width="31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0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7" t="s">
        <v>128</v>
      </c>
      <c r="C8" s="298"/>
      <c r="D8" s="298"/>
      <c r="E8" s="318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1" t="s">
        <v>2</v>
      </c>
      <c r="C10" s="277" t="s">
        <v>162</v>
      </c>
      <c r="D10" s="277"/>
      <c r="E10" s="242"/>
      <c r="F10" s="243" t="s">
        <v>0</v>
      </c>
      <c r="G10" s="275">
        <v>45600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4" t="s">
        <v>161</v>
      </c>
      <c r="D11" s="304"/>
      <c r="F11" t="s">
        <v>125</v>
      </c>
      <c r="G11" s="287" t="s">
        <v>163</v>
      </c>
      <c r="H11" s="288"/>
      <c r="P11" s="19"/>
      <c r="Q11" s="25" t="s">
        <v>19</v>
      </c>
      <c r="R11" s="19"/>
    </row>
    <row r="12" spans="2:23" ht="16.8" x14ac:dyDescent="0.4">
      <c r="B12" s="245" t="s">
        <v>147</v>
      </c>
      <c r="C12" s="304"/>
      <c r="D12" s="304"/>
      <c r="E12" s="246"/>
      <c r="F12" s="246" t="s">
        <v>129</v>
      </c>
      <c r="G12" s="276" t="s">
        <v>137</v>
      </c>
      <c r="H12" s="247"/>
      <c r="P12" s="19"/>
      <c r="Q12" s="25"/>
      <c r="R12" s="19"/>
    </row>
    <row r="13" spans="2:23" x14ac:dyDescent="0.3">
      <c r="B13" s="245" t="s">
        <v>148</v>
      </c>
      <c r="C13" t="s">
        <v>169</v>
      </c>
      <c r="E13" s="246"/>
      <c r="F13" s="246" t="s">
        <v>167</v>
      </c>
      <c r="G13" s="276" t="s">
        <v>164</v>
      </c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6" t="s">
        <v>141</v>
      </c>
      <c r="C14" s="300"/>
      <c r="D14" s="300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x14ac:dyDescent="0.3">
      <c r="B15" s="245" t="s">
        <v>4</v>
      </c>
      <c r="C15" s="324" t="s">
        <v>168</v>
      </c>
      <c r="D15" s="307"/>
      <c r="E15" s="246"/>
      <c r="F15" s="246" t="s">
        <v>136</v>
      </c>
      <c r="G15" s="293" t="s">
        <v>137</v>
      </c>
      <c r="H15" s="247"/>
      <c r="K15" s="18">
        <f>H25/L13</f>
        <v>108363.76591873865</v>
      </c>
    </row>
    <row r="16" spans="2:23" ht="16.8" x14ac:dyDescent="0.4">
      <c r="B16" s="290" t="s">
        <v>3</v>
      </c>
      <c r="C16" s="304"/>
      <c r="D16" s="304"/>
      <c r="F16" s="291" t="s">
        <v>131</v>
      </c>
      <c r="G16" s="292" t="s">
        <v>155</v>
      </c>
      <c r="H16" s="288"/>
    </row>
    <row r="17" spans="1:24" ht="15" thickBot="1" x14ac:dyDescent="0.35">
      <c r="B17" s="294" t="s">
        <v>13</v>
      </c>
      <c r="C17" s="295" t="s">
        <v>156</v>
      </c>
      <c r="D17" s="295"/>
      <c r="E17" s="296"/>
      <c r="F17" s="325" t="s">
        <v>157</v>
      </c>
      <c r="G17" s="325"/>
      <c r="H17" s="326"/>
      <c r="I17" s="262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x14ac:dyDescent="0.3">
      <c r="B19" s="327" t="s">
        <v>149</v>
      </c>
      <c r="C19" s="328"/>
      <c r="D19" s="328"/>
      <c r="E19" s="328"/>
      <c r="F19" s="328"/>
      <c r="G19" s="328"/>
      <c r="H19" s="329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0" t="s">
        <v>7</v>
      </c>
      <c r="C20" s="311" t="s">
        <v>1</v>
      </c>
      <c r="D20" s="311" t="s">
        <v>165</v>
      </c>
      <c r="E20" s="311" t="s">
        <v>158</v>
      </c>
      <c r="F20" s="311" t="s">
        <v>159</v>
      </c>
      <c r="G20" s="311" t="s">
        <v>5</v>
      </c>
      <c r="H20" s="312" t="s">
        <v>6</v>
      </c>
      <c r="I20" s="264"/>
      <c r="J20" s="47"/>
      <c r="K20" s="267" t="e">
        <f>#REF!</f>
        <v>#REF!</v>
      </c>
      <c r="L20" s="266" t="s">
        <v>133</v>
      </c>
      <c r="M20" s="39" t="e">
        <f>#REF!</f>
        <v>#REF!</v>
      </c>
      <c r="N20" s="260" t="s">
        <v>134</v>
      </c>
      <c r="O20" s="258" t="s">
        <v>17</v>
      </c>
      <c r="P20" s="251" t="e">
        <f>N39</f>
        <v>#REF!</v>
      </c>
      <c r="Q20" s="257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3">
        <v>1</v>
      </c>
      <c r="C21" s="314" t="s">
        <v>170</v>
      </c>
      <c r="D21" s="314" t="s">
        <v>171</v>
      </c>
      <c r="E21" s="314" t="s">
        <v>160</v>
      </c>
      <c r="F21" s="315" t="s">
        <v>166</v>
      </c>
      <c r="G21" s="316">
        <v>3573837</v>
      </c>
      <c r="H21" s="317">
        <f t="shared" ref="H21" si="0">G21*B21</f>
        <v>3573837</v>
      </c>
      <c r="I21" s="264"/>
      <c r="J21" s="47"/>
      <c r="K21" s="308" t="str">
        <f>B20</f>
        <v>UNIDAD</v>
      </c>
      <c r="L21" s="309" t="e">
        <f>#REF!+L$19</f>
        <v>#REF!</v>
      </c>
      <c r="M21" s="309" t="e">
        <f>E20+M$19</f>
        <v>#VALUE!</v>
      </c>
      <c r="N21" s="260" t="e">
        <f>L21*M21</f>
        <v>#REF!</v>
      </c>
      <c r="O21" s="258" t="e">
        <f>N21*K21</f>
        <v>#REF!</v>
      </c>
      <c r="P21" s="251" t="e">
        <f>P$20*N21</f>
        <v>#REF!</v>
      </c>
      <c r="Q21" s="257" t="e">
        <f>P21+Q$20</f>
        <v>#REF!</v>
      </c>
      <c r="R21" s="302" t="e">
        <f>K21*L21</f>
        <v>#VALUE!</v>
      </c>
      <c r="S21" s="14"/>
      <c r="T21" s="9"/>
      <c r="W21" s="4"/>
    </row>
    <row r="22" spans="1:24" ht="17.399999999999999" x14ac:dyDescent="0.3">
      <c r="B22" s="284"/>
      <c r="C22" s="284"/>
      <c r="D22" s="284"/>
      <c r="E22" s="284"/>
      <c r="F22" s="319"/>
      <c r="G22" s="320"/>
      <c r="H22" s="320"/>
      <c r="I22" s="264"/>
      <c r="J22" s="47"/>
      <c r="K22" s="308"/>
      <c r="L22" s="309"/>
      <c r="M22" s="309"/>
      <c r="N22" s="260"/>
      <c r="O22" s="258"/>
      <c r="P22" s="251"/>
      <c r="Q22" s="257"/>
      <c r="R22" s="302"/>
      <c r="S22" s="14"/>
      <c r="T22" s="9"/>
      <c r="W22" s="4"/>
    </row>
    <row r="23" spans="1:24" ht="17.399999999999999" x14ac:dyDescent="0.3">
      <c r="I23" s="264"/>
      <c r="J23" s="47"/>
      <c r="K23" s="308"/>
      <c r="L23" s="309"/>
      <c r="M23" s="309"/>
      <c r="N23" s="260"/>
      <c r="O23" s="258"/>
      <c r="P23" s="251"/>
      <c r="Q23" s="257"/>
      <c r="R23" s="302"/>
      <c r="S23" s="14"/>
      <c r="T23" s="9"/>
      <c r="W23" s="4"/>
    </row>
    <row r="24" spans="1:24" ht="18" thickBot="1" x14ac:dyDescent="0.35">
      <c r="B24" s="284"/>
      <c r="C24" s="284"/>
      <c r="D24" s="284"/>
      <c r="E24" s="285"/>
      <c r="F24" s="284"/>
      <c r="G24" s="264"/>
      <c r="H24" s="232"/>
      <c r="I24" s="232"/>
      <c r="J24" s="47"/>
      <c r="K24" s="47"/>
      <c r="L24" s="39"/>
      <c r="M24" s="39"/>
      <c r="N24" s="260"/>
      <c r="O24" s="258"/>
      <c r="P24" s="251"/>
      <c r="Q24" s="257"/>
      <c r="R24" s="302"/>
      <c r="S24" s="14"/>
      <c r="T24" s="9"/>
      <c r="W24" s="4"/>
    </row>
    <row r="25" spans="1:24" ht="17.399999999999999" x14ac:dyDescent="0.3">
      <c r="B25" s="284"/>
      <c r="C25" s="284"/>
      <c r="D25" s="284"/>
      <c r="E25" s="285"/>
      <c r="F25" s="284"/>
      <c r="G25" s="303" t="s">
        <v>30</v>
      </c>
      <c r="H25" s="321">
        <f>SUM(H20:H24)</f>
        <v>3573837</v>
      </c>
      <c r="I25" s="264"/>
      <c r="J25" s="47"/>
      <c r="K25" s="47"/>
      <c r="L25" s="39" t="e">
        <f>SUM(L21:L24)</f>
        <v>#REF!</v>
      </c>
      <c r="M25" s="39"/>
      <c r="N25" s="260"/>
      <c r="O25" s="258"/>
      <c r="P25" s="251"/>
      <c r="Q25" s="257"/>
      <c r="R25" s="302"/>
      <c r="S25" s="14"/>
      <c r="T25" s="9"/>
      <c r="W25" s="4"/>
    </row>
    <row r="26" spans="1:24" ht="17.399999999999999" x14ac:dyDescent="0.3">
      <c r="B26" s="278"/>
      <c r="C26" s="281"/>
      <c r="D26" s="281"/>
      <c r="E26" s="282"/>
      <c r="F26" s="283"/>
      <c r="G26" s="301" t="s">
        <v>53</v>
      </c>
      <c r="H26" s="322">
        <f>H25*0.19</f>
        <v>679029.03</v>
      </c>
      <c r="I26" s="264"/>
      <c r="J26" s="47"/>
      <c r="K26" s="47"/>
      <c r="L26" s="39"/>
      <c r="M26" s="12"/>
      <c r="N26" s="12"/>
      <c r="O26" s="252" t="e">
        <f>SUM(O21:O21)</f>
        <v>#REF!</v>
      </c>
      <c r="P26" s="14"/>
      <c r="Q26" s="12"/>
      <c r="R26" s="237"/>
      <c r="S26" s="14"/>
      <c r="T26" s="9"/>
      <c r="W26" s="4"/>
    </row>
    <row r="27" spans="1:24" ht="18" thickBot="1" x14ac:dyDescent="0.35">
      <c r="B27" s="274"/>
      <c r="C27" s="280"/>
      <c r="D27" s="280"/>
      <c r="E27" s="271"/>
      <c r="F27" s="272"/>
      <c r="G27" s="279" t="s">
        <v>6</v>
      </c>
      <c r="H27" s="323">
        <f>H25+H26</f>
        <v>4252866.03</v>
      </c>
      <c r="I27" s="264"/>
      <c r="J27" s="47"/>
      <c r="K27" s="47"/>
      <c r="L27" s="39"/>
      <c r="M27" s="12"/>
      <c r="N27" s="12"/>
      <c r="O27" s="252" t="e">
        <f>O26</f>
        <v>#REF!</v>
      </c>
      <c r="P27" s="14"/>
      <c r="Q27" s="12"/>
      <c r="R27" s="237" t="e">
        <f>SUM(R21:R26)</f>
        <v>#VALUE!</v>
      </c>
      <c r="S27" s="14"/>
      <c r="T27" s="9"/>
      <c r="W27" s="4"/>
    </row>
    <row r="28" spans="1:24" ht="17.399999999999999" x14ac:dyDescent="0.3">
      <c r="B28" s="274"/>
      <c r="C28" s="270"/>
      <c r="D28" s="270"/>
      <c r="E28" s="271"/>
      <c r="F28" s="272"/>
      <c r="I28" s="264"/>
      <c r="J28" s="47"/>
      <c r="K28" s="47"/>
      <c r="L28" s="14"/>
      <c r="M28" s="12"/>
      <c r="N28" s="12"/>
      <c r="O28" s="39" t="e">
        <f>O27*0.2</f>
        <v>#REF!</v>
      </c>
      <c r="P28" s="39" t="s">
        <v>132</v>
      </c>
      <c r="Q28" s="42"/>
      <c r="R28" s="238"/>
      <c r="S28" s="14"/>
      <c r="T28" s="9"/>
      <c r="W28" s="4"/>
    </row>
    <row r="29" spans="1:24" ht="17.399999999999999" x14ac:dyDescent="0.35">
      <c r="B29" s="268"/>
      <c r="C29" s="230"/>
      <c r="D29" s="230"/>
      <c r="E29" s="232"/>
      <c r="F29" s="233"/>
      <c r="G29" s="230"/>
      <c r="H29" s="273"/>
      <c r="I29" s="264"/>
      <c r="J29" s="306"/>
      <c r="K29" s="47"/>
      <c r="L29" s="14"/>
      <c r="M29" s="12"/>
      <c r="N29" s="12"/>
      <c r="O29" s="46" t="e">
        <f>O27+O28</f>
        <v>#REF!</v>
      </c>
      <c r="P29" s="14"/>
      <c r="Q29" s="14"/>
      <c r="R29" s="236">
        <v>40</v>
      </c>
      <c r="S29" s="14"/>
      <c r="T29" s="9"/>
      <c r="W29" s="4"/>
    </row>
    <row r="30" spans="1:24" ht="17.399999999999999" x14ac:dyDescent="0.35">
      <c r="B30" s="234"/>
      <c r="C30" s="235"/>
      <c r="D30" s="235"/>
      <c r="E30" s="234"/>
      <c r="F30" s="230"/>
      <c r="G30" s="230"/>
      <c r="J30" s="306"/>
      <c r="K30" s="47"/>
      <c r="L30" s="14"/>
      <c r="M30" s="14"/>
      <c r="N30" s="14"/>
      <c r="O30" s="14"/>
      <c r="P30" s="14"/>
      <c r="Q30" s="14"/>
      <c r="R30" s="236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4"/>
      <c r="J31" s="47"/>
      <c r="K31" s="47"/>
      <c r="L31" s="39" t="e">
        <f>O29</f>
        <v>#REF!</v>
      </c>
      <c r="M31" s="12">
        <v>3500</v>
      </c>
      <c r="N31" s="12" t="e">
        <f t="shared" ref="N31:N36" si="1">L31*M31</f>
        <v>#REF!</v>
      </c>
      <c r="O31" s="14" t="s">
        <v>22</v>
      </c>
      <c r="P31" s="14" t="s">
        <v>23</v>
      </c>
      <c r="Q31" s="14"/>
      <c r="R31" s="239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4"/>
      <c r="J32" s="47"/>
      <c r="K32" s="47"/>
      <c r="L32" s="248">
        <v>0.22</v>
      </c>
      <c r="M32" s="12">
        <v>25000</v>
      </c>
      <c r="N32" s="12">
        <f t="shared" si="1"/>
        <v>5500</v>
      </c>
      <c r="O32" s="39" t="s">
        <v>154</v>
      </c>
      <c r="P32" s="42"/>
      <c r="Q32" s="14"/>
      <c r="R32" s="238"/>
      <c r="S32" s="14"/>
      <c r="T32" s="9"/>
      <c r="W32" s="4"/>
    </row>
    <row r="33" spans="2:23" s="230" customFormat="1" ht="17.399999999999999" x14ac:dyDescent="0.35">
      <c r="B33" s="24" t="s">
        <v>153</v>
      </c>
      <c r="I33" s="261"/>
      <c r="J33" s="47"/>
      <c r="K33" s="249"/>
      <c r="L33" s="14"/>
      <c r="M33" s="249">
        <v>150000</v>
      </c>
      <c r="N33" s="12">
        <f t="shared" si="1"/>
        <v>0</v>
      </c>
      <c r="O33" s="39" t="s">
        <v>32</v>
      </c>
      <c r="P33" s="42"/>
      <c r="R33" s="238"/>
      <c r="S33" s="255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1"/>
      <c r="J34" s="305"/>
      <c r="K34" s="249"/>
      <c r="L34" s="14">
        <v>1</v>
      </c>
      <c r="M34" s="249">
        <v>22000</v>
      </c>
      <c r="N34" s="12">
        <f t="shared" si="1"/>
        <v>22000</v>
      </c>
      <c r="O34" s="14" t="s">
        <v>143</v>
      </c>
      <c r="P34" s="17"/>
      <c r="R34" s="236"/>
      <c r="S34" s="255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1"/>
      <c r="J35" s="305"/>
      <c r="K35" s="249"/>
      <c r="L35" s="248">
        <v>1</v>
      </c>
      <c r="M35" s="249">
        <v>800</v>
      </c>
      <c r="N35" s="12">
        <f t="shared" si="1"/>
        <v>800</v>
      </c>
      <c r="O35" s="14" t="s">
        <v>34</v>
      </c>
      <c r="P35" s="14"/>
      <c r="Q35" s="230">
        <v>1.83</v>
      </c>
      <c r="R35" s="236"/>
      <c r="S35" s="236"/>
    </row>
    <row r="36" spans="2:23" s="230" customFormat="1" ht="17.399999999999999" x14ac:dyDescent="0.35">
      <c r="I36" s="299"/>
      <c r="J36" s="47"/>
      <c r="K36" s="249"/>
      <c r="L36" s="265" t="e">
        <f>L25</f>
        <v>#REF!</v>
      </c>
      <c r="M36" s="12">
        <v>1500</v>
      </c>
      <c r="N36" s="12" t="e">
        <f t="shared" si="1"/>
        <v>#REF!</v>
      </c>
      <c r="O36" s="14" t="s">
        <v>24</v>
      </c>
      <c r="P36" s="14"/>
      <c r="Q36">
        <v>3.66</v>
      </c>
      <c r="R36"/>
      <c r="S36" s="236">
        <v>1500</v>
      </c>
      <c r="W36" s="231"/>
    </row>
    <row r="37" spans="2:23" s="230" customFormat="1" ht="17.399999999999999" x14ac:dyDescent="0.35">
      <c r="I37" s="264"/>
      <c r="J37" s="47"/>
      <c r="K37" s="249"/>
      <c r="L37" s="14"/>
      <c r="M37" s="12"/>
      <c r="N37" s="12" t="e">
        <f>SUM(N31:N36)</f>
        <v>#REF!</v>
      </c>
      <c r="O37" s="39" t="s">
        <v>25</v>
      </c>
      <c r="P37" s="14"/>
      <c r="Q37">
        <f>Q35*Q36</f>
        <v>6.6978000000000009</v>
      </c>
      <c r="R37"/>
      <c r="S37" s="236">
        <f>R29*S36</f>
        <v>60000</v>
      </c>
      <c r="W37" s="231"/>
    </row>
    <row r="38" spans="2:23" s="230" customFormat="1" ht="17.399999999999999" x14ac:dyDescent="0.35">
      <c r="J38" s="47">
        <v>68410</v>
      </c>
      <c r="K38" s="249"/>
      <c r="L38" s="253" t="s">
        <v>35</v>
      </c>
      <c r="M38" s="12"/>
      <c r="N38" s="254" t="e">
        <f>N37*2.2</f>
        <v>#REF!</v>
      </c>
      <c r="O38" s="14" t="s">
        <v>142</v>
      </c>
      <c r="P38" s="14"/>
      <c r="Q38" s="46" t="e">
        <f>O29/Q37</f>
        <v>#REF!</v>
      </c>
      <c r="R38"/>
      <c r="S38" s="256" t="e">
        <f>S37/#REF!</f>
        <v>#REF!</v>
      </c>
    </row>
    <row r="39" spans="2:23" s="230" customFormat="1" ht="17.399999999999999" x14ac:dyDescent="0.35">
      <c r="G39"/>
      <c r="H39" s="259"/>
      <c r="I39" s="259"/>
      <c r="J39" s="47">
        <f>J38/1.19</f>
        <v>57487.394957983197</v>
      </c>
      <c r="K39" s="249"/>
      <c r="L39" s="14"/>
      <c r="M39" s="12"/>
      <c r="N39" s="12" t="e">
        <f>N38/O27</f>
        <v>#REF!</v>
      </c>
      <c r="O39" s="45" t="s">
        <v>26</v>
      </c>
      <c r="P39" s="14"/>
      <c r="Q39" s="14"/>
      <c r="R39"/>
      <c r="S39" s="236"/>
    </row>
    <row r="40" spans="2:23" s="230" customFormat="1" ht="17.399999999999999" x14ac:dyDescent="0.35">
      <c r="G40"/>
      <c r="J40" s="47"/>
      <c r="K40" s="249"/>
      <c r="L40" s="13"/>
      <c r="M40" s="14"/>
      <c r="N40" s="17" t="e">
        <f>N38/N37</f>
        <v>#REF!</v>
      </c>
      <c r="O40" s="15"/>
      <c r="P40"/>
      <c r="Q40"/>
      <c r="R40"/>
      <c r="S40" s="236"/>
    </row>
    <row r="41" spans="2:23" s="230" customFormat="1" ht="17.399999999999999" x14ac:dyDescent="0.35">
      <c r="G41" s="23"/>
      <c r="J41" s="47"/>
      <c r="K41" s="12"/>
      <c r="S41" s="236"/>
    </row>
    <row r="42" spans="2:23" s="230" customFormat="1" ht="17.399999999999999" x14ac:dyDescent="0.35">
      <c r="B42"/>
      <c r="C42" s="228"/>
      <c r="D42" s="228"/>
      <c r="E42" s="22"/>
      <c r="F42" s="21"/>
      <c r="G42" s="23"/>
      <c r="J42" s="47"/>
      <c r="K42" s="12"/>
      <c r="S42" s="236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49"/>
      <c r="S44">
        <f>S42*S43</f>
        <v>4.5750000000000002</v>
      </c>
    </row>
    <row r="45" spans="2:23" x14ac:dyDescent="0.3">
      <c r="K45" s="249"/>
      <c r="S45" s="269" t="e">
        <f>O29/S44</f>
        <v>#REF!</v>
      </c>
    </row>
    <row r="46" spans="2:23" x14ac:dyDescent="0.3">
      <c r="K46" s="249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45600</v>
      </c>
    </row>
    <row r="6" spans="2:31" ht="16.2" thickBot="1" x14ac:dyDescent="0.35">
      <c r="B6" s="140" t="s">
        <v>2</v>
      </c>
      <c r="C6" s="139" t="str">
        <f>'2229'!C10</f>
        <v>CONSTRUCTORA E INMOBILIARIA CERRO BAYO S.A.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e">
        <f>'2229'!#REF!</f>
        <v>#REF!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3573837</v>
      </c>
      <c r="E11" s="132">
        <f>D11*0.19</f>
        <v>679029.03</v>
      </c>
      <c r="F11" s="131">
        <f>E11+D11</f>
        <v>4252866.03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 t="e">
        <f>SUM(M43:M45)</f>
        <v>#REF!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 t="e">
        <f>(100%+D15)*D12</f>
        <v>#REF!</v>
      </c>
      <c r="F15" s="216" t="e">
        <f>E15-D12</f>
        <v>#REF!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5500</v>
      </c>
      <c r="E19" s="123">
        <f>D19*0.19</f>
        <v>1045</v>
      </c>
      <c r="F19" s="120">
        <f>SUM(D19:E19)</f>
        <v>6545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 t="e">
        <f>'2229'!N31</f>
        <v>#REF!</v>
      </c>
      <c r="E20" s="121" t="e">
        <f>D20*0.19</f>
        <v>#REF!</v>
      </c>
      <c r="F20" s="120" t="e">
        <f>SUM(D20:E20)</f>
        <v>#REF!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 t="e">
        <f>SUM(D18:D20)</f>
        <v>#REF!</v>
      </c>
      <c r="E21" s="116" t="e">
        <f>SUM(E18:E20)</f>
        <v>#REF!</v>
      </c>
      <c r="F21" s="115" t="e">
        <f>SUM(F18:F20)</f>
        <v>#REF!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#REF!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3573837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 t="e">
        <f>D21</f>
        <v>#REF!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#REF!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#REF!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2024-04-01T14:43:24Z</cp:lastPrinted>
  <dcterms:created xsi:type="dcterms:W3CDTF">2013-03-18T13:35:42Z</dcterms:created>
  <dcterms:modified xsi:type="dcterms:W3CDTF">2024-11-07T20:32:46Z</dcterms:modified>
</cp:coreProperties>
</file>