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DDF54218-11C9-4660-8B87-A50D7BB74E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/>
  <c r="P23" i="1" s="1"/>
  <c r="H23" i="1"/>
  <c r="L22" i="1"/>
  <c r="M22" i="1"/>
  <c r="N22" i="1"/>
  <c r="H22" i="1"/>
  <c r="N21" i="1"/>
  <c r="O22" i="1" l="1"/>
  <c r="P22" i="1"/>
  <c r="M21" i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3" i="1"/>
  <c r="R23" i="1" s="1"/>
  <c r="Q21" i="1"/>
  <c r="O40" i="1"/>
  <c r="E15" i="3"/>
  <c r="F15" i="3" l="1"/>
  <c r="R21" i="1" l="1"/>
  <c r="H21" i="1" l="1"/>
  <c r="H25" i="1" s="1"/>
  <c r="H26" i="1" s="1"/>
  <c r="H27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<sst xmlns="http://schemas.openxmlformats.org/spreadsheetml/2006/main" count="234" uniqueCount="173">
  <si>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</si>
  <si>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</si>
  <si>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</si>
  <si>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</si>
  <si>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</si>
  <si>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</si>
  <si>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</si>
  <si>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</si>
  <si>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</si>
  <si>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</si>
  <si>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</si>
  <si>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</si>
  <si>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</si>
  <si>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</si>
  <si>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</si>
  <si>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</si>
  <si>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</si>
  <si>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</si>
  <si>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</si>
  <si>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</si>
  <si>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</si>
  <si>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</si>
  <si>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</si>
  <si>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</si>
  <si>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</si>
  <si>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</si>
  <si>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</si>
  <si>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</si>
  <si>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</si>
  <si>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</si>
  <si>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</si>
  <si>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</si>
  <si>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</si>
  <si>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</si>
  <si>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</si>
  <si>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</si>
  <si>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</si>
  <si>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</si>
  <si>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</si>
  <si>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</si>
  <si>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</si>
  <si>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</si>
  <si>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</si>
  <si>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</si>
  <si>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</si>
  <si>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</si>
  <si>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</si>
  <si>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</si>
  <si>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</si>
  <si>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</si>
  <si>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</si>
  <si>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</si>
  <si>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</si>
  <si>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</si>
  <si>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</si>
  <si>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</si>
  <si>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</si>
  <si>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</si>
  <si>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</si>
  <si>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</si>
  <si>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</si>
  <si>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</si>
  <si>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</si>
  <si>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</si>
  <si>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</si>
  <si>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</si>
  <si>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</si>
  <si>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</si>
  <si>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</si>
  <si>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</si>
  <si>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</si>
  <si>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</si>
  <si>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</si>
  <si>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</si>
  <si>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</si>
  <si>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</si>
  <si>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</si>
  <si>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</si>
  <si>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</si>
  <si>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</si>
  <si>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</si>
  <si>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</si>
  <si>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</si>
  <si>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</si>
  <si>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</si>
  <si>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</si>
  <si>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</si>
  <si>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</si>
  <si>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</si>
  <si>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</si>
  <si>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</si>
  <si>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</si>
  <si>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</si>
  <si>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</si>
  <si>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</si>
  <si>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</si>
  <si>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</si>
  <si>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</si>
  <si>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</si>
  <si>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</si>
  <si>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</si>
  <si>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</si>
  <si>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</si>
  <si>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</si>
  <si>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</si>
  <si>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</si>
  <si>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</si>
  <si>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</si>
  <si>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</si>
  <si>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</si>
  <si>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</si>
  <si>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</si>
  <si>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</si>
  <si>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</si>
  <si>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</si>
  <si>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</si>
  <si>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</si>
  <si>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</si>
  <si>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</si>
  <si>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</si>
  <si>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</si>
  <si>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</si>
  <si>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</si>
  <si>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</si>
  <si>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</si>
  <si>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</si>
  <si>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</si>
  <si>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</si>
  <si>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</si>
  <si>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</si>
  <si>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</si>
  <si>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</si>
  <si>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</si>
  <si>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</si>
  <si>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</si>
  <si>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</si>
  <si>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</si>
  <si>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</si>
  <si>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</si>
  <si>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</si>
  <si>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</si>
  <si>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</si>
  <si>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</si>
  <si>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</si>
  <si>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</si>
  <si>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</si>
  <si>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</si>
  <si>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</si>
  <si>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</si>
  <si>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</si>
  <si>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</si>
  <si>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</si>
  <si>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</si>
  <si>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</si>
  <si>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</si>
  <si>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</si>
  <si>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</si>
  <si>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</si>
  <si>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</si>
  <si>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</si>
  <si>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</si>
  <si>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</si>
  <si>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</si>
  <si>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</si>
  <si>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</si>
  <si>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</si>
  <si>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</si>
  <si>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</si>
  <si>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CUB SIN RESPALDO FRENTE 90° R8</t>
  </si>
  <si>
    <t>ITALIAN WALNUT 1513 PR</t>
  </si>
  <si>
    <t>BELEN GONZALEZ</t>
  </si>
  <si>
    <t>569 5520 4507</t>
  </si>
  <si>
    <t>N° 11195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</si>
</sst>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</a:t>
          </a:r>
          <a:r>
            <a:rPr lang="es-CL" sz="1200" b="1" baseline="0"/>
            <a:t> EL LARGO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45630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96645.292882402413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2">
        <v>1</v>
      </c>
      <c r="C21" s="332" t="s">
        <v>168</v>
      </c>
      <c r="D21" s="333">
        <v>1.292</v>
      </c>
      <c r="E21" s="333">
        <v>0.52300000000000002</v>
      </c>
      <c r="F21" s="332" t="s">
        <v>169</v>
      </c>
      <c r="G21" s="334">
        <v>69348</v>
      </c>
      <c r="H21" s="334">
        <f>G21*B21</f>
        <v>69348</v>
      </c>
      <c r="I21" s="320"/>
      <c r="J21" s="265"/>
      <c r="K21" s="47"/>
      <c r="L21" s="330">
        <f>B21</f>
        <v>1</v>
      </c>
      <c r="M21" s="331">
        <f>D21+M$19</f>
        <v>1.3720000000000001</v>
      </c>
      <c r="N21" s="331">
        <f>E21+$N$19</f>
        <v>0.52300000000000002</v>
      </c>
      <c r="O21" s="261">
        <f t="shared" ref="O21" si="1">M21*N21</f>
        <v>0.71755600000000008</v>
      </c>
      <c r="P21" s="259">
        <f t="shared" ref="P21" si="2">O21*L21</f>
        <v>0.71755600000000008</v>
      </c>
      <c r="Q21" s="252">
        <f t="shared" ref="Q21" si="3">Q$20*O21</f>
        <v>69348.409779525158</v>
      </c>
      <c r="R21" s="319">
        <f t="shared" ref="R21" si="4">Q21+R$20</f>
        <v>72348.409779525158</v>
      </c>
      <c r="S21" s="297">
        <f>L21*M21*2</f>
        <v>2.7440000000000002</v>
      </c>
      <c r="T21" s="46">
        <f>N21*2*L21*2</f>
        <v>2.0920000000000001</v>
      </c>
      <c r="U21" s="9"/>
      <c r="X21" s="4"/>
    </row>
    <row r="22" spans="1:25" ht="17.399999999999999" x14ac:dyDescent="0.3">
      <c r="B22" s="332">
        <v>1</v>
      </c>
      <c r="C22" s="332" t="s">
        <v>168</v>
      </c>
      <c r="D22" s="333">
        <v>1.54</v>
      </c>
      <c r="E22" s="333">
        <v>0.64</v>
      </c>
      <c r="F22" s="332" t="s">
        <v>169</v>
      </c>
      <c r="G22" s="334">
        <v>100202</v>
      </c>
      <c r="H22" s="334">
        <f>G22*B22</f>
        <v>100202</v>
      </c>
      <c r="I22" s="320"/>
      <c r="J22" s="265"/>
      <c r="K22" s="47"/>
      <c r="L22" s="330">
        <f>B22</f>
        <v>1</v>
      </c>
      <c r="M22" s="331">
        <f>D22+M$19</f>
        <v>1.62</v>
      </c>
      <c r="N22" s="331">
        <f>E22+$N$19</f>
        <v>0.64</v>
      </c>
      <c r="O22" s="261">
        <f t="shared" ref="O22" si="5">M22*N22</f>
        <v>1.0368000000000002</v>
      </c>
      <c r="P22" s="259">
        <f t="shared" ref="P22" si="6">O22*L22</f>
        <v>1.0368000000000002</v>
      </c>
      <c r="Q22" s="252">
        <f t="shared" ref="Q22" si="7">Q$20*O22</f>
        <v>100201.83966047484</v>
      </c>
      <c r="R22" s="319">
        <f t="shared" ref="R22" si="8">Q22+R$20</f>
        <v>103201.83966047484</v>
      </c>
      <c r="S22" s="297"/>
      <c r="T22" s="46"/>
      <c r="U22" s="9"/>
      <c r="X22" s="4"/>
    </row>
    <row r="23" spans="1:25" ht="17.399999999999999" x14ac:dyDescent="0.3">
      <c r="B23" s="332">
        <v>1</v>
      </c>
      <c r="C23" s="332" t="s">
        <v>168</v>
      </c>
      <c r="D23" s="333">
        <v>1.03</v>
      </c>
      <c r="E23" s="333">
        <v>0.35499999999999998</v>
      </c>
      <c r="F23" s="332" t="s">
        <v>169</v>
      </c>
      <c r="G23" s="334">
        <v>38083</v>
      </c>
      <c r="H23" s="334">
        <f>G23*B23</f>
        <v>38083</v>
      </c>
      <c r="I23" s="320"/>
      <c r="J23" s="265"/>
      <c r="K23" s="47"/>
      <c r="L23" s="330">
        <f>B23</f>
        <v>1</v>
      </c>
      <c r="M23" s="331">
        <f>D23+M$19</f>
        <v>1.1100000000000001</v>
      </c>
      <c r="N23" s="331">
        <f>E23+$N$19</f>
        <v>0.35499999999999998</v>
      </c>
      <c r="O23" s="261">
        <f t="shared" ref="O23" si="9">M23*N23</f>
        <v>0.39405000000000001</v>
      </c>
      <c r="P23" s="259">
        <f t="shared" ref="P23" si="10">O23*L23</f>
        <v>0.39405000000000001</v>
      </c>
      <c r="Q23" s="252">
        <f t="shared" ref="Q23" si="11">Q$20*O23</f>
        <v>38083.077660310671</v>
      </c>
      <c r="R23" s="319">
        <f t="shared" ref="R23" si="12">Q23+R$20</f>
        <v>41083.077660310671</v>
      </c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 t="s">
        <v>147</v>
      </c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207633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2.0920000000000001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39450.270000000004</v>
      </c>
      <c r="I26" s="322"/>
      <c r="J26" s="265"/>
      <c r="K26" s="47"/>
      <c r="L26" s="47"/>
      <c r="M26" s="39">
        <f>SUM(M21:M22)</f>
        <v>2.992</v>
      </c>
      <c r="N26" s="12"/>
      <c r="O26" s="12"/>
      <c r="P26" s="253">
        <f>SUM(P21:P22)</f>
        <v>1.7543560000000002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247083.27000000002</v>
      </c>
      <c r="I27" s="322"/>
      <c r="J27" s="265"/>
      <c r="K27" s="47"/>
      <c r="L27" s="47"/>
      <c r="M27" s="39"/>
      <c r="N27" s="12"/>
      <c r="O27" s="12"/>
      <c r="P27" s="253">
        <f>P26</f>
        <v>1.7543560000000002</v>
      </c>
      <c r="Q27" s="14"/>
      <c r="R27" s="12"/>
      <c r="S27" s="239">
        <f>SUM(S21:S26)</f>
        <v>2.7440000000000002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0.35087120000000005</v>
      </c>
      <c r="Q28" s="39" t="s">
        <v>130</v>
      </c>
      <c r="R28" s="42"/>
      <c r="S28" s="240">
        <f>S27+T25</f>
        <v>4.8360000000000003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2.1052272000000003</v>
      </c>
      <c r="Q29" s="14"/>
      <c r="R29" s="14"/>
      <c r="S29" s="238">
        <f>S28*20%</f>
        <v>0.96720000000000006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5.8032000000000004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2.1052272000000003</v>
      </c>
      <c r="N31" s="12">
        <v>3500</v>
      </c>
      <c r="O31" s="12">
        <f t="shared" ref="O31:O36" si="13">M31*N31</f>
        <v>7368.2952000000014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0.7</v>
      </c>
      <c r="N32" s="12">
        <v>25000</v>
      </c>
      <c r="O32" s="12">
        <f t="shared" si="13"/>
        <v>17500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54630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52200</v>
      </c>
      <c r="O34" s="12">
        <f t="shared" si="13"/>
        <v>52200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77068.295199999993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169550.24943999999</v>
      </c>
      <c r="P38" s="14" t="s">
        <v>140</v>
      </c>
      <c r="Q38" s="14"/>
      <c r="R38" s="40">
        <f>P29/R37</f>
        <v>0.56763028472821409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70390</v>
      </c>
      <c r="L39" s="250"/>
      <c r="M39" s="14"/>
      <c r="N39" s="12"/>
      <c r="O39" s="12">
        <f>O38/P27</f>
        <v>96645.292882402413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59151.26050420168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45630</v>
      </c>
    </row>
    <row r="6" spans="2:31" ht="16.2" thickBot="1" x14ac:dyDescent="0.35">
      <c r="B6" s="140" t="s">
        <v>2</v>
      </c>
      <c r="C6" s="139" t="str">
        <f>'2229'!C10</f>
        <v>BELEN GONZALEZ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-19562.343853454106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207633</v>
      </c>
      <c r="E11" s="132">
        <f>D11*0.19</f>
        <v>39450.270000000004</v>
      </c>
      <c r="F11" s="131">
        <f>E11+D11</f>
        <v>247083.27000000002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86427.656146545894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54702.385987439615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68427.656146545894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152930.6140125604</v>
      </c>
      <c r="E13" s="221">
        <f>(D11/D12)-1</f>
        <v>2.7956845254917266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59427.656146545894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20427.656146545894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90258.936879275367</v>
      </c>
      <c r="F15" s="216">
        <f>E15-D12</f>
        <v>35556.550891835752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20427.656146545894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60427.656146545894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7368.2952000000014</v>
      </c>
      <c r="E20" s="121">
        <f>D20*0.19</f>
        <v>1399.9760880000003</v>
      </c>
      <c r="F20" s="120">
        <f>SUM(D20:E20)</f>
        <v>8768.2712880000017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24868.2952</v>
      </c>
      <c r="E21" s="116">
        <f>SUM(E18:E20)</f>
        <v>4724.9760880000003</v>
      </c>
      <c r="F21" s="115">
        <f>SUM(F18:F20)</f>
        <v>29593.271288000004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34725.293912000001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207633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24868.2952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152930.6140125604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152930.6140125604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2024-12-05T12:22:41Z</cp:lastPrinted>
  <dcterms:created xsi:type="dcterms:W3CDTF">2013-03-18T13:35:42Z</dcterms:created>
  <dcterms:modified xsi:type="dcterms:W3CDTF">2024-12-05T20:54:43Z</dcterms:modified>
</cp:coreProperties>
</file>