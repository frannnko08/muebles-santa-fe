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00FA1D6A-7EDB-47E5-B903-F4836C239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S22" i="1" s="1"/>
  <c r="M22" i="1"/>
  <c r="N22" i="1"/>
  <c r="O22" i="1"/>
  <c r="H22" i="1"/>
  <c r="K32" i="1"/>
  <c r="K34" i="1"/>
  <c r="N21" i="1"/>
  <c r="P22" i="1" l="1"/>
  <c r="K35" i="1"/>
  <c r="K36" i="1" s="1"/>
  <c r="K37" i="1" s="1"/>
  <c r="M21" i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<sst xmlns="http://schemas.openxmlformats.org/spreadsheetml/2006/main" count="231" uniqueCount="174">
  <si>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</si>
  <si>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</si>
  <si>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</si>
  <si>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</si>
  <si>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</si>
  <si>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</si>
  <si>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</si>
  <si>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</si>
  <si>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</si>
  <si>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</si>
  <si>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</si>
  <si>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</si>
  <si>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</si>
  <si>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</si>
  <si>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</si>
  <si>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</si>
  <si>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</si>
  <si>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</si>
  <si>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</si>
  <si>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</si>
  <si>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</si>
  <si>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</si>
  <si>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</si>
  <si>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</si>
  <si>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</si>
  <si>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</si>
  <si>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</si>
  <si>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</si>
  <si>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</si>
  <si>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</si>
  <si>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</si>
  <si>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</si>
  <si>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</si>
  <si>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</si>
  <si>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</si>
  <si>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</si>
  <si>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</si>
  <si>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</si>
  <si>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</si>
  <si>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</si>
  <si>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</si>
  <si>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</si>
  <si>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</si>
  <si>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</si>
  <si>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</si>
  <si>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</si>
  <si>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</si>
  <si>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</si>
  <si>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</si>
  <si>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</si>
  <si>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</si>
  <si>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</si>
  <si>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</si>
  <si>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</si>
  <si>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</si>
  <si>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</si>
  <si>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</si>
  <si>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</si>
  <si>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</si>
  <si>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</si>
  <si>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</si>
  <si>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</si>
  <si>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</si>
  <si>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</si>
  <si>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</si>
  <si>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</si>
  <si>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</si>
  <si>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</si>
  <si>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</si>
  <si>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</si>
  <si>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</si>
  <si>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</si>
  <si>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</si>
  <si>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</si>
  <si>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</si>
  <si>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</si>
  <si>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</si>
  <si>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</si>
  <si>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</si>
  <si>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</si>
  <si>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</si>
  <si>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</si>
  <si>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</si>
  <si>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</si>
  <si>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</si>
  <si>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</si>
  <si>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</si>
  <si>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</si>
  <si>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</si>
  <si>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</si>
  <si>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</si>
  <si>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</si>
  <si>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</si>
  <si>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</si>
  <si>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</si>
  <si>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</si>
  <si>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</si>
  <si>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</si>
  <si>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</si>
  <si>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</si>
  <si>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</si>
  <si>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</si>
  <si>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</si>
  <si>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</si>
  <si>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</si>
  <si>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</si>
  <si>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</si>
  <si>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</si>
  <si>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</si>
  <si>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</si>
  <si>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</si>
  <si>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</si>
  <si>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</si>
  <si>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</si>
  <si>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</si>
  <si>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</si>
  <si>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</si>
  <si>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</si>
  <si>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</si>
  <si>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</si>
  <si>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</si>
  <si>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</si>
  <si>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</si>
  <si>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</si>
  <si>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</si>
  <si>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</si>
  <si>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</si>
  <si>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</si>
  <si>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</si>
  <si>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</si>
  <si>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</si>
  <si>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</si>
  <si>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</si>
  <si>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</si>
  <si>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</si>
  <si>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</si>
  <si>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</si>
  <si>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</si>
  <si>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</si>
  <si>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</si>
  <si>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</si>
  <si>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</si>
  <si>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</si>
  <si>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</si>
  <si>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</si>
  <si>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</si>
  <si>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</si>
  <si>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</si>
  <si>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</si>
  <si>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</si>
  <si>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</si>
  <si>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</si>
  <si>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</si>
  <si>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</si>
  <si>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</si>
  <si>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</si>
  <si>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</si>
  <si>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</si>
  <si>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</si>
  <si>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</si>
  <si>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</si>
  <si>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</si>
  <si>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</si>
  <si>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</si>
  <si>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</si>
  <si>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</si>
  <si>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</si>
  <si>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</si>
  <si>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11179</t>
  </si>
  <si>
    <t>HECTOR OLEA</t>
  </si>
  <si>
    <t>+569 7789 7360</t>
  </si>
  <si>
    <t>CUB C/R 90° R8</t>
  </si>
  <si>
    <t>QUARZITE 3044 PT</t>
  </si>
  <si>
    <t>CUBE MESA 90° R8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</si>
</sst>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4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45621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76233.055555555547</v>
      </c>
      <c r="R20" s="258">
        <v>3000</v>
      </c>
      <c r="S20" s="38"/>
      <c r="T20" s="14" t="s">
        <v>128</v>
      </c>
      <c r="U20" s="9"/>
      <c r="X20" s="4"/>
    </row>
    <row r="21" spans="1:25" ht="18" thickBot="1" x14ac:dyDescent="0.35">
      <c r="B21" s="329">
        <v>1</v>
      </c>
      <c r="C21" s="330" t="s">
        <v>171</v>
      </c>
      <c r="D21" s="331">
        <v>1.7</v>
      </c>
      <c r="E21" s="331">
        <v>0.6</v>
      </c>
      <c r="F21" s="330" t="s">
        <v>172</v>
      </c>
      <c r="G21" s="332">
        <v>155461</v>
      </c>
      <c r="H21" s="333">
        <f>G21*B21</f>
        <v>155461</v>
      </c>
      <c r="I21" s="320"/>
      <c r="J21" s="265"/>
      <c r="K21" s="47"/>
      <c r="L21" s="47">
        <f>B21</f>
        <v>1</v>
      </c>
      <c r="M21" s="39">
        <f>D21+M$19</f>
        <v>1.78</v>
      </c>
      <c r="N21" s="39">
        <f>E21+$N$19</f>
        <v>0.6</v>
      </c>
      <c r="O21" s="261">
        <f t="shared" ref="O21" si="1">M21*N21</f>
        <v>1.0680000000000001</v>
      </c>
      <c r="P21" s="259">
        <f t="shared" ref="P21" si="2">O21*L21</f>
        <v>1.0680000000000001</v>
      </c>
      <c r="Q21" s="252">
        <f t="shared" ref="Q21" si="3">Q$20*O21</f>
        <v>81416.903333333335</v>
      </c>
      <c r="R21" s="319">
        <f t="shared" ref="R21" si="4">Q21+R$20</f>
        <v>84416.903333333335</v>
      </c>
      <c r="S21" s="297">
        <f>L21*M21*2</f>
        <v>3.56</v>
      </c>
      <c r="T21" s="46">
        <f>N21*2*L21*2</f>
        <v>2.4</v>
      </c>
      <c r="U21" s="9"/>
      <c r="X21" s="4"/>
    </row>
    <row r="22" spans="1:25" ht="17.399999999999999" x14ac:dyDescent="0.3">
      <c r="B22" s="329">
        <v>1</v>
      </c>
      <c r="C22" s="330" t="s">
        <v>173</v>
      </c>
      <c r="D22" s="331">
        <v>1.5</v>
      </c>
      <c r="E22" s="331">
        <v>0.6</v>
      </c>
      <c r="F22" s="330" t="s">
        <v>172</v>
      </c>
      <c r="G22" s="332">
        <v>108685</v>
      </c>
      <c r="H22" s="333">
        <f>G22*B22</f>
        <v>108685</v>
      </c>
      <c r="I22" s="320"/>
      <c r="J22" s="265"/>
      <c r="K22" s="47"/>
      <c r="L22" s="47">
        <f>B22</f>
        <v>1</v>
      </c>
      <c r="M22" s="39">
        <f>D22+M$19</f>
        <v>1.58</v>
      </c>
      <c r="N22" s="39">
        <f>E22+$N$19</f>
        <v>0.6</v>
      </c>
      <c r="O22" s="261">
        <f t="shared" ref="O22" si="5">M22*N22</f>
        <v>0.94799999999999995</v>
      </c>
      <c r="P22" s="259">
        <f t="shared" ref="P22" si="6">O22*L22</f>
        <v>0.94799999999999995</v>
      </c>
      <c r="Q22" s="252">
        <f t="shared" ref="Q22" si="7">Q$20*O22</f>
        <v>72268.936666666661</v>
      </c>
      <c r="R22" s="319">
        <f t="shared" ref="R22" si="8">Q22+R$20</f>
        <v>75268.936666666661</v>
      </c>
      <c r="S22" s="297">
        <f>L22*M22*2</f>
        <v>3.16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264146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SUM(M21:M25)</f>
        <v>3.3600000000000003</v>
      </c>
      <c r="N26" s="12"/>
      <c r="O26" s="12"/>
      <c r="P26" s="253">
        <f>SUM(P21:P22)</f>
        <v>2.016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264146</v>
      </c>
      <c r="I27" s="322"/>
      <c r="J27" s="265"/>
      <c r="K27" s="47"/>
      <c r="L27" s="47"/>
      <c r="M27" s="39"/>
      <c r="N27" s="12"/>
      <c r="O27" s="12"/>
      <c r="P27" s="253">
        <f>P26</f>
        <v>2.016</v>
      </c>
      <c r="Q27" s="14"/>
      <c r="R27" s="12"/>
      <c r="S27" s="239">
        <f>SUM(S21:S26)</f>
        <v>6.7200000000000006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0.4032</v>
      </c>
      <c r="Q28" s="39" t="s">
        <v>130</v>
      </c>
      <c r="R28" s="42"/>
      <c r="S28" s="240">
        <f>S27+T25</f>
        <v>9.120000000000001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2.4192</v>
      </c>
      <c r="Q29" s="14"/>
      <c r="R29" s="14"/>
      <c r="S29" s="238">
        <f>S28*20%</f>
        <v>1.8240000000000003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10.944000000000001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2.4192</v>
      </c>
      <c r="N31" s="12">
        <v>3500</v>
      </c>
      <c r="O31" s="12">
        <f t="shared" ref="O31:O36" si="9">M31*N31</f>
        <v>8467.2000000000007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0.4</v>
      </c>
      <c r="N32" s="12">
        <v>45000</v>
      </c>
      <c r="O32" s="12">
        <f t="shared" si="9"/>
        <v>18000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71000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47600</v>
      </c>
      <c r="L34" s="250"/>
      <c r="M34" s="14">
        <v>1</v>
      </c>
      <c r="N34" s="250">
        <v>40000</v>
      </c>
      <c r="O34" s="12">
        <f t="shared" si="9"/>
        <v>40000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75565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63500</v>
      </c>
      <c r="L36" s="250"/>
      <c r="M36" s="266">
        <v>2.2599999999999998</v>
      </c>
      <c r="N36" s="12">
        <v>1500</v>
      </c>
      <c r="O36" s="12">
        <f t="shared" si="9"/>
        <v>3389.9999999999995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12065</v>
      </c>
      <c r="L37" s="250"/>
      <c r="M37" s="14"/>
      <c r="N37" s="12"/>
      <c r="O37" s="12">
        <f>SUM(O31:O36)</f>
        <v>69857.2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153685.84</v>
      </c>
      <c r="P38" s="14" t="s">
        <v>140</v>
      </c>
      <c r="Q38" s="14"/>
      <c r="R38" s="40">
        <f>P29/R37</f>
        <v>0.65228645383951678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91700</v>
      </c>
      <c r="L39" s="250"/>
      <c r="M39" s="14"/>
      <c r="N39" s="12"/>
      <c r="O39" s="12">
        <f>O38/P27</f>
        <v>76233.055555555547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77058.823529411762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45621</v>
      </c>
    </row>
    <row r="6" spans="2:31" ht="16.2" thickBot="1" x14ac:dyDescent="0.35">
      <c r="B6" s="140" t="s">
        <v>2</v>
      </c>
      <c r="C6" s="139" t="str">
        <f>'2229'!C10</f>
        <v>HECTOR OLEA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-28541.47836678744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264146</v>
      </c>
      <c r="E11" s="132">
        <f>D11*0.19</f>
        <v>50187.74</v>
      </c>
      <c r="F11" s="131">
        <f>E11+D11</f>
        <v>314333.74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77448.521633212556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56301.290787439619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59448.521633212556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207844.70921256038</v>
      </c>
      <c r="E13" s="221">
        <f>(D11/D12)-1</f>
        <v>3.6916508716871004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50448.521633212556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11448.52163321256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92897.129799275368</v>
      </c>
      <c r="F15" s="216">
        <f>E15-D12</f>
        <v>36595.839011835749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11448.52163321256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51448.521633212556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8467.2000000000007</v>
      </c>
      <c r="E20" s="121">
        <f>D20*0.19</f>
        <v>1608.7680000000003</v>
      </c>
      <c r="F20" s="120">
        <f>SUM(D20:E20)</f>
        <v>10075.968000000001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26467.200000000001</v>
      </c>
      <c r="E21" s="116">
        <f>SUM(E18:E20)</f>
        <v>5028.768</v>
      </c>
      <c r="F21" s="115">
        <f>SUM(F18:F20)</f>
        <v>31495.968000000001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45158.971999999994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264146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26467.200000000001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207844.70921256038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207844.70921256038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2024-11-25T14:19:05Z</cp:lastPrinted>
  <dcterms:created xsi:type="dcterms:W3CDTF">2013-03-18T13:35:42Z</dcterms:created>
  <dcterms:modified xsi:type="dcterms:W3CDTF">2024-11-25T14:26:43Z</dcterms:modified>
</cp:coreProperties>
</file>