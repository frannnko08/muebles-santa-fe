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1 NOVIEMBRE 2024\"/>
    </mc:Choice>
  </mc:AlternateContent>
  <xr:revisionPtr revIDLastSave="0" documentId="13_ncr:1_{9906ED41-E12A-48B5-AE48-FAA0066619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1" l="1"/>
  <c r="H24" i="1"/>
  <c r="L24" i="1"/>
  <c r="M24" i="1"/>
  <c r="N24" i="1"/>
  <c r="O24" i="1"/>
  <c r="P24" i="1" s="1"/>
  <c r="H23" i="1"/>
  <c r="M23" i="1"/>
  <c r="N23" i="1"/>
  <c r="M22" i="1"/>
  <c r="N22" i="1"/>
  <c r="H22" i="1"/>
  <c r="K34" i="1"/>
  <c r="K36" i="1"/>
  <c r="N21" i="1"/>
  <c r="O22" i="1" l="1"/>
  <c r="S23" i="1"/>
  <c r="O23" i="1"/>
  <c r="P23" i="1" s="1"/>
  <c r="P22" i="1"/>
  <c r="S22" i="1"/>
  <c r="K37" i="1"/>
  <c r="K38" i="1" s="1"/>
  <c r="K39" i="1" s="1"/>
  <c r="M21" i="1"/>
  <c r="M28" i="1" s="1"/>
  <c r="T21" i="1" l="1"/>
  <c r="T27" i="1" s="1"/>
  <c r="S21" i="1"/>
  <c r="S29" i="1" s="1"/>
  <c r="O21" i="1"/>
  <c r="P21" i="1" s="1"/>
  <c r="P28" i="1" s="1"/>
  <c r="K42" i="1"/>
  <c r="S30" i="1" l="1"/>
  <c r="S31" i="1" s="1"/>
  <c r="S32" i="1" s="1"/>
  <c r="V35" i="1"/>
  <c r="V36" i="1" s="1"/>
  <c r="O34" i="1" l="1"/>
  <c r="P29" i="1" l="1"/>
  <c r="N20" i="1"/>
  <c r="L20" i="1"/>
  <c r="P30" i="1" l="1"/>
  <c r="P31" i="1" s="1"/>
  <c r="M33" i="1" s="1"/>
  <c r="O35" i="1"/>
  <c r="R39" i="1"/>
  <c r="R40" i="1" l="1"/>
  <c r="O36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8" i="1"/>
  <c r="O37" i="1"/>
  <c r="F18" i="3" l="1"/>
  <c r="O33" i="1" l="1"/>
  <c r="O39" i="1" s="1"/>
  <c r="O40" i="1" s="1"/>
  <c r="D20" i="3" l="1"/>
  <c r="E20" i="3" s="1"/>
  <c r="E21" i="3" s="1"/>
  <c r="O41" i="1" l="1"/>
  <c r="Q20" i="1" s="1"/>
  <c r="Q24" i="1" s="1"/>
  <c r="R24" i="1" s="1"/>
  <c r="D21" i="3"/>
  <c r="M43" i="3" s="1"/>
  <c r="D12" i="3" s="1"/>
  <c r="F20" i="3"/>
  <c r="F21" i="3" s="1"/>
  <c r="Q22" i="1" l="1"/>
  <c r="R22" i="1" s="1"/>
  <c r="Q23" i="1"/>
  <c r="R23" i="1" s="1"/>
  <c r="O42" i="1"/>
  <c r="E15" i="3"/>
  <c r="Q21" i="1" l="1"/>
  <c r="F15" i="3"/>
  <c r="R21" i="1" l="1"/>
  <c r="H21" i="1" l="1"/>
  <c r="H28" i="1" l="1"/>
  <c r="H29" i="1" s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<sst xmlns="http://schemas.openxmlformats.org/spreadsheetml/2006/main" count="236" uniqueCount="176">
  <si>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</si>
  <si>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</si>
  <si>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</si>
  <si>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</si>
  <si>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</si>
  <si>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</si>
  <si>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</si>
  <si>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</si>
  <si>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</si>
  <si>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</si>
  <si>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</si>
  <si>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</si>
  <si>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</si>
  <si>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</si>
  <si>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</si>
  <si>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</si>
  <si>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</si>
  <si>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</si>
  <si>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</si>
  <si>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</si>
  <si>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</si>
  <si>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</si>
  <si>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</si>
  <si>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</si>
  <si>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</si>
  <si>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</si>
  <si>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</si>
  <si>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</si>
  <si>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</si>
  <si>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</si>
  <si>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</si>
  <si>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</si>
  <si>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</si>
  <si>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</si>
  <si>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</si>
  <si>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</si>
  <si>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</si>
  <si>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</si>
  <si>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</si>
  <si>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</si>
  <si>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</si>
  <si>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</si>
  <si>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</si>
  <si>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</si>
  <si>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</si>
  <si>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</si>
  <si>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</si>
  <si>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</si>
  <si>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</si>
  <si>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</si>
  <si>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</si>
  <si>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</si>
  <si>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</si>
  <si>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</si>
  <si>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</si>
  <si>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</si>
  <si>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</si>
  <si>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</si>
  <si>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</si>
  <si>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</si>
  <si>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</si>
  <si>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</si>
  <si>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</si>
  <si>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</si>
  <si>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</si>
  <si>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</si>
  <si>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</si>
  <si>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</si>
  <si>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</si>
  <si>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</si>
  <si>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</si>
  <si>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</si>
  <si>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</si>
  <si>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</si>
  <si>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</si>
  <si>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</si>
  <si>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</si>
  <si>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</si>
  <si>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</si>
  <si>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</si>
  <si>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</si>
  <si>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</si>
  <si>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</si>
  <si>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</si>
  <si>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</si>
  <si>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</si>
  <si>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</si>
  <si>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</si>
  <si>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</si>
  <si>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</si>
  <si>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</si>
  <si>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</si>
  <si>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</si>
  <si>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</si>
  <si>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</si>
  <si>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</si>
  <si>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</si>
  <si>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</si>
  <si>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</si>
  <si>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</si>
  <si>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</si>
  <si>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</si>
  <si>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</si>
  <si>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</si>
  <si>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</si>
  <si>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</si>
  <si>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</si>
  <si>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</si>
  <si>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</si>
  <si>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</si>
  <si>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</si>
  <si>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</si>
  <si>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</si>
  <si>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</si>
  <si>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</si>
  <si>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</si>
  <si>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</si>
  <si>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</si>
  <si>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</si>
  <si>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</si>
  <si>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</si>
  <si>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</si>
  <si>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</si>
  <si>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</si>
  <si>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</si>
  <si>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</si>
  <si>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</si>
  <si>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</si>
  <si>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</si>
  <si>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</si>
  <si>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</si>
  <si>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</si>
  <si>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</si>
  <si>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</si>
  <si>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</si>
  <si>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</si>
  <si>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</si>
  <si>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</si>
  <si>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</si>
  <si>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</si>
  <si>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</si>
  <si>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</si>
  <si>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</si>
  <si>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</si>
  <si>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</si>
  <si>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</si>
  <si>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</si>
  <si>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</si>
  <si>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</si>
  <si>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</si>
  <si>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</si>
  <si>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</si>
  <si>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</si>
  <si>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</si>
  <si>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</si>
  <si>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</si>
  <si>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</si>
  <si>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</si>
  <si>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</si>
  <si>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</si>
  <si>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</si>
  <si>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</si>
  <si>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</si>
  <si>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</si>
  <si>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</si>
  <si>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</si>
  <si>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</si>
  <si>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DELCARPIO</t>
  </si>
  <si>
    <t>CLAUDIA YAÑEZ</t>
  </si>
  <si>
    <t>+569 6677 4147</t>
  </si>
  <si>
    <t>7 DIAS HABILES</t>
  </si>
  <si>
    <t>ENCHAPE RECTO 1 CARA</t>
  </si>
  <si>
    <t>BLANCO OPACO</t>
  </si>
  <si>
    <t>CUB ESPECIAL SEGÚN DIBUJO</t>
  </si>
  <si>
    <t>CORNISA SEGÚN DIBUJO</t>
  </si>
  <si>
    <t>N° 11168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</si>
</sst>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30</xdr:row>
      <xdr:rowOff>8194</xdr:rowOff>
    </xdr:from>
    <xdr:to>
      <xdr:col>8</xdr:col>
      <xdr:colOff>8193</xdr:colOff>
      <xdr:row>33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1745226</xdr:colOff>
      <xdr:row>33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26</xdr:row>
      <xdr:rowOff>9525</xdr:rowOff>
    </xdr:from>
    <xdr:to>
      <xdr:col>5</xdr:col>
      <xdr:colOff>1728839</xdr:colOff>
      <xdr:row>29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PIEZAS SE ENTREGAN CON SOBRE MEDIDAS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MDF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4"/>
  <sheetViews>
    <sheetView tabSelected="1" topLeftCell="A3" zoomScale="93" zoomScaleNormal="93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42.55468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175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167</v>
      </c>
      <c r="D10" s="243"/>
      <c r="E10" s="243"/>
      <c r="F10" s="244" t="s">
        <v>0</v>
      </c>
      <c r="G10" s="276">
        <v>45611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170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146</v>
      </c>
      <c r="C13" t="s">
        <v>168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169</v>
      </c>
      <c r="D15" s="310"/>
      <c r="F15" t="s">
        <v>134</v>
      </c>
      <c r="G15" s="308" t="s">
        <v>135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163</v>
      </c>
      <c r="H16" s="248"/>
    </row>
    <row r="17" spans="2:25" ht="15" thickBot="1" x14ac:dyDescent="0.35">
      <c r="B17" s="311" t="s">
        <v>13</v>
      </c>
      <c r="C17" s="312" t="s">
        <v>166</v>
      </c>
      <c r="D17" s="313"/>
      <c r="E17" s="119"/>
      <c r="F17" s="330" t="s">
        <v>165</v>
      </c>
      <c r="G17" s="330"/>
      <c r="H17" s="331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2" t="s">
        <v>95</v>
      </c>
      <c r="C19" s="333"/>
      <c r="D19" s="333"/>
      <c r="E19" s="333"/>
      <c r="F19" s="333"/>
      <c r="G19" s="333"/>
      <c r="H19" s="334"/>
      <c r="I19" s="264"/>
      <c r="J19" s="264"/>
      <c r="K19" s="5"/>
      <c r="L19" s="250"/>
      <c r="M19" s="14">
        <v>0.05</v>
      </c>
      <c r="N19" s="14">
        <v>0.1</v>
      </c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2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O41</f>
        <v>182961.36865342167</v>
      </c>
      <c r="R20" s="258">
        <v>3000</v>
      </c>
      <c r="S20" s="38"/>
      <c r="T20" s="14" t="s">
        <v>128</v>
      </c>
      <c r="U20" s="9"/>
      <c r="X20" s="4"/>
    </row>
    <row r="21" spans="2:25" ht="17.399999999999999" x14ac:dyDescent="0.3">
      <c r="B21" s="342">
        <v>2</v>
      </c>
      <c r="C21" s="342" t="s">
        <v>171</v>
      </c>
      <c r="D21" s="343">
        <v>0.88</v>
      </c>
      <c r="E21" s="343">
        <v>0.56000000000000005</v>
      </c>
      <c r="F21" s="342" t="s">
        <v>172</v>
      </c>
      <c r="G21" s="344">
        <v>31782</v>
      </c>
      <c r="H21" s="344">
        <f>G21*B21</f>
        <v>63564</v>
      </c>
      <c r="I21" s="320"/>
      <c r="J21" s="265"/>
      <c r="K21" s="47"/>
      <c r="L21" s="47"/>
      <c r="M21" s="39">
        <f>D21+M$19</f>
        <v>0.93</v>
      </c>
      <c r="N21" s="39">
        <f>E21+$N$19</f>
        <v>0.66</v>
      </c>
      <c r="O21" s="261">
        <f t="shared" ref="O21" si="1">M21*N21</f>
        <v>0.61380000000000001</v>
      </c>
      <c r="P21" s="259">
        <f t="shared" ref="P21" si="2">O21*L21</f>
        <v>0</v>
      </c>
      <c r="Q21" s="252">
        <f t="shared" ref="Q21" si="3">Q$20*O21</f>
        <v>112301.68807947022</v>
      </c>
      <c r="R21" s="319">
        <f t="shared" ref="R21" si="4">Q21+R$20</f>
        <v>115301.68807947022</v>
      </c>
      <c r="S21" s="297">
        <f>L21*M21*2</f>
        <v>0</v>
      </c>
      <c r="T21" s="46">
        <f>N21*2*L21*2</f>
        <v>0</v>
      </c>
      <c r="U21" s="9"/>
      <c r="X21" s="4"/>
    </row>
    <row r="22" spans="2:25" ht="17.399999999999999" x14ac:dyDescent="0.3">
      <c r="B22" s="342">
        <v>2</v>
      </c>
      <c r="C22" s="342" t="s">
        <v>171</v>
      </c>
      <c r="D22" s="343">
        <v>0.81</v>
      </c>
      <c r="E22" s="343">
        <v>0.47</v>
      </c>
      <c r="F22" s="342" t="s">
        <v>172</v>
      </c>
      <c r="G22" s="344">
        <v>25424</v>
      </c>
      <c r="H22" s="344">
        <f>G22*B22</f>
        <v>50848</v>
      </c>
      <c r="I22" s="320"/>
      <c r="J22" s="265"/>
      <c r="K22" s="47"/>
      <c r="L22" s="47"/>
      <c r="M22" s="39">
        <f>D22+M$19</f>
        <v>0.8600000000000001</v>
      </c>
      <c r="N22" s="39">
        <f>E22+$N$19</f>
        <v>0.56999999999999995</v>
      </c>
      <c r="O22" s="261">
        <f t="shared" ref="O22" si="5">M22*N22</f>
        <v>0.49020000000000002</v>
      </c>
      <c r="P22" s="259">
        <f t="shared" ref="P22" si="6">O22*L22</f>
        <v>0</v>
      </c>
      <c r="Q22" s="252">
        <f t="shared" ref="Q22" si="7">Q$20*O22</f>
        <v>89687.662913907305</v>
      </c>
      <c r="R22" s="319">
        <f t="shared" ref="R22" si="8">Q22+R$20</f>
        <v>92687.662913907305</v>
      </c>
      <c r="S22" s="297">
        <f>L22*M22*2</f>
        <v>0</v>
      </c>
      <c r="T22" s="46"/>
      <c r="U22" s="9"/>
      <c r="X22" s="4"/>
    </row>
    <row r="23" spans="2:25" ht="17.399999999999999" x14ac:dyDescent="0.3">
      <c r="B23" s="342">
        <v>4</v>
      </c>
      <c r="C23" s="342" t="s">
        <v>173</v>
      </c>
      <c r="D23" s="343">
        <v>0.88500000000000001</v>
      </c>
      <c r="E23" s="343">
        <v>0.48</v>
      </c>
      <c r="F23" s="342" t="s">
        <v>172</v>
      </c>
      <c r="G23" s="344">
        <v>44944</v>
      </c>
      <c r="H23" s="344">
        <f>G23*B23</f>
        <v>179776</v>
      </c>
      <c r="I23" s="320"/>
      <c r="J23" s="265"/>
      <c r="K23" s="47"/>
      <c r="L23" s="47"/>
      <c r="M23" s="39">
        <f>D23+M$19</f>
        <v>0.93500000000000005</v>
      </c>
      <c r="N23" s="39">
        <f>E23+$N$19</f>
        <v>0.57999999999999996</v>
      </c>
      <c r="O23" s="261">
        <f t="shared" ref="O23" si="9">M23*N23</f>
        <v>0.5423</v>
      </c>
      <c r="P23" s="259">
        <f t="shared" ref="P23" si="10">O23*L23</f>
        <v>0</v>
      </c>
      <c r="Q23" s="252">
        <f t="shared" ref="Q23" si="11">Q$20*O23</f>
        <v>99219.950220750572</v>
      </c>
      <c r="R23" s="319">
        <f t="shared" ref="R23" si="12">Q23+R$20</f>
        <v>102219.95022075057</v>
      </c>
      <c r="S23" s="297">
        <f>L23*M23*2</f>
        <v>0</v>
      </c>
      <c r="T23" s="46"/>
      <c r="U23" s="9"/>
      <c r="X23" s="4"/>
    </row>
    <row r="24" spans="2:25" ht="17.399999999999999" x14ac:dyDescent="0.3">
      <c r="B24" s="342">
        <v>2</v>
      </c>
      <c r="C24" s="342" t="s">
        <v>174</v>
      </c>
      <c r="D24" s="343">
        <v>0.43</v>
      </c>
      <c r="E24" s="343">
        <v>5.0999999999999997E-2</v>
      </c>
      <c r="F24" s="342" t="s">
        <v>172</v>
      </c>
      <c r="G24" s="344">
        <v>20261</v>
      </c>
      <c r="H24" s="344">
        <f>G24*B24</f>
        <v>40522</v>
      </c>
      <c r="I24" s="320"/>
      <c r="J24" s="265"/>
      <c r="K24" s="47"/>
      <c r="L24" s="47">
        <f>B24</f>
        <v>2</v>
      </c>
      <c r="M24" s="39">
        <f>D24+M$19</f>
        <v>0.48</v>
      </c>
      <c r="N24" s="39">
        <f>E24+$N$19</f>
        <v>0.151</v>
      </c>
      <c r="O24" s="261">
        <f t="shared" ref="O24" si="13">M24*N24</f>
        <v>7.2479999999999989E-2</v>
      </c>
      <c r="P24" s="259">
        <f t="shared" ref="P24" si="14">O24*L24</f>
        <v>0.14495999999999998</v>
      </c>
      <c r="Q24" s="252">
        <f t="shared" ref="Q24" si="15">Q$20*O24</f>
        <v>13261.04</v>
      </c>
      <c r="R24" s="319">
        <f t="shared" ref="R24" si="16">Q24+R$20</f>
        <v>16261.04</v>
      </c>
      <c r="S24" s="297"/>
      <c r="T24" s="46"/>
      <c r="U24" s="9"/>
      <c r="X24" s="4"/>
    </row>
    <row r="25" spans="2:25" ht="17.399999999999999" x14ac:dyDescent="0.3">
      <c r="B25" s="285"/>
      <c r="C25" s="285"/>
      <c r="D25" s="286"/>
      <c r="E25" s="286"/>
      <c r="F25" s="285"/>
      <c r="G25" s="320"/>
      <c r="H25" s="320"/>
      <c r="I25" s="320"/>
      <c r="J25" s="265"/>
      <c r="K25" s="47"/>
      <c r="L25" s="47"/>
      <c r="M25" s="39"/>
      <c r="N25" s="39"/>
      <c r="O25" s="261"/>
      <c r="P25" s="259"/>
      <c r="Q25" s="252"/>
      <c r="R25" s="319"/>
      <c r="S25" s="297"/>
      <c r="T25" s="46"/>
      <c r="U25" s="9"/>
      <c r="X25" s="4"/>
    </row>
    <row r="26" spans="2:25" ht="18" thickBot="1" x14ac:dyDescent="0.35">
      <c r="B26" s="285"/>
      <c r="C26" s="285"/>
      <c r="D26" s="286"/>
      <c r="E26" s="286"/>
      <c r="F26" s="285"/>
      <c r="G26" s="265"/>
      <c r="H26" s="321"/>
      <c r="I26" s="323"/>
      <c r="J26" s="233"/>
      <c r="K26" s="47"/>
      <c r="L26" s="47"/>
      <c r="M26" s="39"/>
      <c r="N26" s="39"/>
      <c r="O26" s="261"/>
      <c r="P26" s="259"/>
      <c r="Q26" s="252"/>
      <c r="R26" s="258"/>
      <c r="S26" s="297"/>
      <c r="T26" s="14"/>
      <c r="U26" s="9"/>
      <c r="X26" s="4"/>
    </row>
    <row r="27" spans="2:25" ht="17.399999999999999" x14ac:dyDescent="0.3">
      <c r="B27" s="285"/>
      <c r="C27" s="285"/>
      <c r="D27" s="286"/>
      <c r="E27" s="286"/>
      <c r="F27" s="285"/>
      <c r="G27" s="324" t="s">
        <v>28</v>
      </c>
      <c r="H27" s="325">
        <f>SUM(H21:H26)</f>
        <v>334710</v>
      </c>
      <c r="I27" s="322"/>
      <c r="J27" s="265"/>
      <c r="K27" s="47">
        <v>2600000</v>
      </c>
      <c r="L27" s="47"/>
      <c r="M27" s="39"/>
      <c r="N27" s="39"/>
      <c r="O27" s="261"/>
      <c r="P27" s="259"/>
      <c r="Q27" s="252"/>
      <c r="R27" s="258"/>
      <c r="S27" s="297"/>
      <c r="T27" s="46">
        <f>SUM(T21:T26)</f>
        <v>0</v>
      </c>
      <c r="U27" s="9"/>
      <c r="X27" s="4"/>
    </row>
    <row r="28" spans="2:25" ht="17.399999999999999" x14ac:dyDescent="0.3">
      <c r="B28" s="279"/>
      <c r="C28" s="282"/>
      <c r="D28" s="283"/>
      <c r="E28" s="283"/>
      <c r="F28" s="284"/>
      <c r="G28" s="296" t="s">
        <v>51</v>
      </c>
      <c r="H28" s="294">
        <f>H27*19%</f>
        <v>63594.9</v>
      </c>
      <c r="I28" s="322"/>
      <c r="J28" s="265"/>
      <c r="K28" s="47"/>
      <c r="L28" s="47"/>
      <c r="M28" s="39">
        <f>SUM(M21:M27)</f>
        <v>3.2050000000000001</v>
      </c>
      <c r="N28" s="12"/>
      <c r="O28" s="12"/>
      <c r="P28" s="253">
        <f>SUM(P21:P26)</f>
        <v>0.14495999999999998</v>
      </c>
      <c r="Q28" s="14"/>
      <c r="R28" s="12"/>
      <c r="S28" s="239"/>
      <c r="T28" s="46"/>
      <c r="U28" s="9"/>
      <c r="X28" s="4"/>
    </row>
    <row r="29" spans="2:25" ht="18" thickBot="1" x14ac:dyDescent="0.35">
      <c r="B29" s="275"/>
      <c r="C29" s="281"/>
      <c r="D29" s="272"/>
      <c r="E29" s="272"/>
      <c r="F29" s="273"/>
      <c r="G29" s="280" t="s">
        <v>6</v>
      </c>
      <c r="H29" s="295">
        <f>H27+H28</f>
        <v>398304.9</v>
      </c>
      <c r="I29" s="322"/>
      <c r="J29" s="265"/>
      <c r="K29" s="47"/>
      <c r="L29" s="47"/>
      <c r="M29" s="39"/>
      <c r="N29" s="12"/>
      <c r="O29" s="12"/>
      <c r="P29" s="253">
        <f>P28</f>
        <v>0.14495999999999998</v>
      </c>
      <c r="Q29" s="14"/>
      <c r="R29" s="12"/>
      <c r="S29" s="239">
        <f>SUM(S21:S28)</f>
        <v>0</v>
      </c>
      <c r="T29" s="46"/>
      <c r="U29" s="9"/>
      <c r="X29" s="4"/>
    </row>
    <row r="30" spans="2:25" ht="17.399999999999999" x14ac:dyDescent="0.3">
      <c r="B30" s="275"/>
      <c r="C30" s="271"/>
      <c r="D30" s="272"/>
      <c r="E30" s="272"/>
      <c r="F30" s="273"/>
      <c r="J30" s="265"/>
      <c r="K30" s="47"/>
      <c r="L30" s="47"/>
      <c r="M30" s="14"/>
      <c r="N30" s="12"/>
      <c r="O30" s="12"/>
      <c r="P30" s="39">
        <f>P29*20%</f>
        <v>2.8991999999999997E-2</v>
      </c>
      <c r="Q30" s="39" t="s">
        <v>130</v>
      </c>
      <c r="R30" s="42"/>
      <c r="S30" s="240">
        <f>S29+T27</f>
        <v>0</v>
      </c>
      <c r="T30" s="14"/>
      <c r="U30" s="9"/>
      <c r="X30" s="4"/>
    </row>
    <row r="31" spans="2:25" ht="17.399999999999999" x14ac:dyDescent="0.35">
      <c r="B31" s="269"/>
      <c r="C31" s="230"/>
      <c r="D31" s="230"/>
      <c r="E31" s="233"/>
      <c r="F31" s="234"/>
      <c r="G31" s="230"/>
      <c r="H31" s="274"/>
      <c r="I31" s="274"/>
      <c r="J31" s="265"/>
      <c r="K31" s="47"/>
      <c r="L31" s="47"/>
      <c r="M31" s="14"/>
      <c r="N31" s="12"/>
      <c r="O31" s="12"/>
      <c r="P31" s="46">
        <f>P29+P30</f>
        <v>0.17395199999999997</v>
      </c>
      <c r="Q31" s="14"/>
      <c r="R31" s="14"/>
      <c r="S31" s="238">
        <f>S30*20%</f>
        <v>0</v>
      </c>
      <c r="T31" s="14"/>
      <c r="U31" s="9"/>
      <c r="X31" s="4"/>
    </row>
    <row r="32" spans="2:25" ht="17.399999999999999" x14ac:dyDescent="0.35">
      <c r="B32" s="235"/>
      <c r="C32" s="236"/>
      <c r="D32" s="237"/>
      <c r="E32" s="235"/>
      <c r="F32" s="230"/>
      <c r="G32" s="230"/>
      <c r="I32" s="274"/>
      <c r="J32" s="265"/>
      <c r="K32" s="47"/>
      <c r="L32" s="47"/>
      <c r="M32" s="14"/>
      <c r="N32" s="14"/>
      <c r="O32" s="14"/>
      <c r="P32" s="14"/>
      <c r="Q32" s="14"/>
      <c r="R32" s="14"/>
      <c r="S32" s="240">
        <f>S30+S31</f>
        <v>0</v>
      </c>
      <c r="T32" s="14"/>
      <c r="U32" s="302" t="s">
        <v>21</v>
      </c>
      <c r="V32" s="299" t="s">
        <v>152</v>
      </c>
      <c r="W32" s="303">
        <v>44971</v>
      </c>
      <c r="X32" s="304"/>
    </row>
    <row r="33" spans="1:24" ht="17.399999999999999" x14ac:dyDescent="0.35">
      <c r="B33" s="230"/>
      <c r="C33" s="230"/>
      <c r="D33" s="230"/>
      <c r="E33" s="230"/>
      <c r="F33" s="230"/>
      <c r="G33" s="230"/>
      <c r="J33" s="265"/>
      <c r="K33" s="47"/>
      <c r="L33" s="47"/>
      <c r="M33" s="39">
        <f>P31</f>
        <v>0.17395199999999997</v>
      </c>
      <c r="N33" s="12">
        <v>3500</v>
      </c>
      <c r="O33" s="12">
        <f t="shared" ref="O33:O38" si="17">M33*N33</f>
        <v>608.83199999999988</v>
      </c>
      <c r="P33" s="14" t="s">
        <v>21</v>
      </c>
      <c r="Q33" s="14"/>
      <c r="R33" s="14"/>
      <c r="S33" s="241"/>
      <c r="T33" s="14"/>
      <c r="U33" s="302" t="s">
        <v>153</v>
      </c>
      <c r="V33" s="299">
        <v>3625</v>
      </c>
      <c r="W33" s="59" t="s">
        <v>154</v>
      </c>
      <c r="X33" s="304"/>
    </row>
    <row r="34" spans="1:24" ht="17.399999999999999" x14ac:dyDescent="0.35">
      <c r="A34" s="230"/>
      <c r="B34" s="230"/>
      <c r="C34" s="230"/>
      <c r="D34" s="230"/>
      <c r="E34" s="230"/>
      <c r="F34" s="230"/>
      <c r="G34" s="230"/>
      <c r="H34" s="230"/>
      <c r="J34" s="265"/>
      <c r="K34" s="47">
        <f>23500*1.19</f>
        <v>27965</v>
      </c>
      <c r="L34" s="47"/>
      <c r="M34" s="249">
        <v>0.1</v>
      </c>
      <c r="N34" s="12">
        <v>25000</v>
      </c>
      <c r="O34" s="12">
        <f t="shared" si="17"/>
        <v>2500</v>
      </c>
      <c r="P34" s="39" t="s">
        <v>31</v>
      </c>
      <c r="Q34" s="42"/>
      <c r="R34" s="14"/>
      <c r="S34" s="240"/>
      <c r="T34" s="14"/>
      <c r="U34" s="302"/>
      <c r="V34" s="59">
        <v>906.25</v>
      </c>
      <c r="W34" s="59" t="s">
        <v>155</v>
      </c>
      <c r="X34" s="304"/>
    </row>
    <row r="35" spans="1:24" s="230" customFormat="1" ht="17.399999999999999" x14ac:dyDescent="0.35">
      <c r="B35" s="24" t="s">
        <v>151</v>
      </c>
      <c r="J35" s="262"/>
      <c r="K35" s="232"/>
      <c r="L35" s="250"/>
      <c r="M35" s="14"/>
      <c r="N35" s="250">
        <v>61840</v>
      </c>
      <c r="O35" s="12">
        <f t="shared" si="17"/>
        <v>0</v>
      </c>
      <c r="P35" s="39" t="s">
        <v>30</v>
      </c>
      <c r="Q35" s="42"/>
      <c r="S35" s="240"/>
      <c r="T35" s="256"/>
      <c r="U35" s="59"/>
      <c r="V35" s="59">
        <f>V34*20%</f>
        <v>181.25</v>
      </c>
      <c r="W35" s="304" t="s">
        <v>156</v>
      </c>
      <c r="X35" s="59"/>
    </row>
    <row r="36" spans="1:24" s="230" customFormat="1" ht="17.399999999999999" x14ac:dyDescent="0.35">
      <c r="B36" s="24" t="s">
        <v>144</v>
      </c>
      <c r="C36"/>
      <c r="D36"/>
      <c r="E36"/>
      <c r="F36"/>
      <c r="J36" s="262"/>
      <c r="K36" s="232">
        <f>N36*1.19</f>
        <v>29750</v>
      </c>
      <c r="L36" s="250"/>
      <c r="M36" s="14">
        <v>0.3</v>
      </c>
      <c r="N36" s="250">
        <v>25000</v>
      </c>
      <c r="O36" s="12">
        <f t="shared" si="17"/>
        <v>7500</v>
      </c>
      <c r="P36" s="14" t="s">
        <v>141</v>
      </c>
      <c r="Q36" s="17"/>
      <c r="S36" s="238"/>
      <c r="T36" s="256"/>
      <c r="U36" s="59"/>
      <c r="V36" s="59">
        <f>V34+V35</f>
        <v>1087.5</v>
      </c>
      <c r="W36" s="304" t="s">
        <v>157</v>
      </c>
      <c r="X36" s="59"/>
    </row>
    <row r="37" spans="1:24" s="230" customFormat="1" ht="17.399999999999999" x14ac:dyDescent="0.35">
      <c r="B37" s="29" t="s">
        <v>125</v>
      </c>
      <c r="C37"/>
      <c r="D37"/>
      <c r="E37"/>
      <c r="F37" s="229" t="s">
        <v>15</v>
      </c>
      <c r="J37" s="262"/>
      <c r="K37" s="260">
        <f>SUM(K34:K36)</f>
        <v>57715</v>
      </c>
      <c r="L37" s="250"/>
      <c r="M37" s="249"/>
      <c r="N37" s="250">
        <v>900</v>
      </c>
      <c r="O37" s="12">
        <f t="shared" si="17"/>
        <v>0</v>
      </c>
      <c r="P37" s="14" t="s">
        <v>32</v>
      </c>
      <c r="Q37" s="14"/>
      <c r="R37" s="230">
        <v>1.52</v>
      </c>
      <c r="S37" s="238"/>
      <c r="T37" s="238"/>
    </row>
    <row r="38" spans="1:24" s="230" customFormat="1" ht="17.399999999999999" x14ac:dyDescent="0.35">
      <c r="J38" s="293"/>
      <c r="K38" s="260">
        <f>K37/1.19</f>
        <v>48500</v>
      </c>
      <c r="L38" s="250"/>
      <c r="M38" s="266"/>
      <c r="N38" s="12">
        <v>1500</v>
      </c>
      <c r="O38" s="12">
        <f t="shared" si="17"/>
        <v>0</v>
      </c>
      <c r="P38" s="14" t="s">
        <v>22</v>
      </c>
      <c r="Q38" s="14"/>
      <c r="R38">
        <v>2.44</v>
      </c>
      <c r="S38"/>
      <c r="T38" s="238"/>
      <c r="X38" s="231"/>
    </row>
    <row r="39" spans="1:24" s="230" customFormat="1" ht="17.399999999999999" x14ac:dyDescent="0.35">
      <c r="K39" s="260">
        <f>K37-K38</f>
        <v>9215</v>
      </c>
      <c r="L39" s="250"/>
      <c r="M39" s="14"/>
      <c r="N39" s="12"/>
      <c r="O39" s="12">
        <f>SUM(O33:O38)</f>
        <v>10608.832</v>
      </c>
      <c r="P39" s="39" t="s">
        <v>23</v>
      </c>
      <c r="Q39" s="14"/>
      <c r="R39">
        <f>R37*R38</f>
        <v>3.7088000000000001</v>
      </c>
      <c r="S39"/>
      <c r="T39" s="238"/>
      <c r="X39" s="231"/>
    </row>
    <row r="40" spans="1:24" s="230" customFormat="1" ht="17.399999999999999" x14ac:dyDescent="0.35">
      <c r="L40" s="250"/>
      <c r="M40" s="254" t="s">
        <v>33</v>
      </c>
      <c r="N40" s="12"/>
      <c r="O40" s="255">
        <f>O39*2.5</f>
        <v>26522.080000000002</v>
      </c>
      <c r="P40" s="14" t="s">
        <v>140</v>
      </c>
      <c r="Q40" s="14"/>
      <c r="R40" s="40">
        <f>P31/R39</f>
        <v>4.6902502157031914E-2</v>
      </c>
      <c r="S40"/>
      <c r="T40" s="257"/>
    </row>
    <row r="41" spans="1:24" s="230" customFormat="1" ht="17.399999999999999" x14ac:dyDescent="0.35">
      <c r="G41"/>
      <c r="H41" s="260"/>
      <c r="I41" s="260"/>
      <c r="J41" s="260"/>
      <c r="K41" s="230">
        <v>67392</v>
      </c>
      <c r="L41" s="250"/>
      <c r="M41" s="14"/>
      <c r="N41" s="12"/>
      <c r="O41" s="12">
        <f>O40/P29</f>
        <v>182961.36865342167</v>
      </c>
      <c r="P41" s="45" t="s">
        <v>24</v>
      </c>
      <c r="Q41" s="14"/>
      <c r="R41" s="14"/>
      <c r="S41"/>
      <c r="T41" s="238"/>
      <c r="U41" s="59" t="s">
        <v>158</v>
      </c>
      <c r="V41" s="299">
        <v>43650</v>
      </c>
    </row>
    <row r="42" spans="1:24" s="230" customFormat="1" ht="17.399999999999999" x14ac:dyDescent="0.35">
      <c r="G42"/>
      <c r="K42" s="230">
        <f>K41/1.19</f>
        <v>56631.932773109249</v>
      </c>
      <c r="L42" s="250"/>
      <c r="M42" s="13"/>
      <c r="N42" s="14"/>
      <c r="O42" s="17">
        <f>O40/O39</f>
        <v>2.5</v>
      </c>
      <c r="P42" s="15"/>
      <c r="Q42"/>
      <c r="R42"/>
      <c r="S42"/>
      <c r="T42" s="238"/>
      <c r="U42" s="59" t="s">
        <v>160</v>
      </c>
      <c r="V42" s="300" t="s">
        <v>159</v>
      </c>
      <c r="W42" s="59">
        <v>2.4</v>
      </c>
    </row>
    <row r="43" spans="1:24" s="230" customFormat="1" ht="17.399999999999999" x14ac:dyDescent="0.35">
      <c r="G43" s="23"/>
      <c r="L43" s="12"/>
      <c r="T43" s="238"/>
      <c r="U43" s="59" t="s">
        <v>161</v>
      </c>
      <c r="V43" s="301">
        <v>395.37</v>
      </c>
    </row>
    <row r="44" spans="1:24" s="230" customFormat="1" ht="17.399999999999999" x14ac:dyDescent="0.35">
      <c r="B44"/>
      <c r="C44" s="228"/>
      <c r="D44" s="22"/>
      <c r="E44" s="22"/>
      <c r="F44" s="21"/>
      <c r="G44" s="23"/>
      <c r="L44" s="12"/>
      <c r="T44" s="238"/>
      <c r="U44" s="59" t="s">
        <v>156</v>
      </c>
      <c r="V44" s="59">
        <v>474.45</v>
      </c>
    </row>
    <row r="45" spans="1:24" ht="14.4" customHeight="1" x14ac:dyDescent="0.3">
      <c r="L45" s="12"/>
      <c r="U45" s="59"/>
      <c r="V45" s="59"/>
    </row>
    <row r="46" spans="1:24" x14ac:dyDescent="0.3">
      <c r="L46" s="250"/>
    </row>
    <row r="47" spans="1:24" x14ac:dyDescent="0.3">
      <c r="L47" s="250"/>
      <c r="T47" s="270"/>
    </row>
    <row r="48" spans="1:24" x14ac:dyDescent="0.3">
      <c r="L48" s="250"/>
    </row>
    <row r="49" spans="15:20" ht="15" customHeight="1" x14ac:dyDescent="0.3"/>
    <row r="51" spans="15:20" x14ac:dyDescent="0.3">
      <c r="O51">
        <v>40935</v>
      </c>
      <c r="P51" t="s">
        <v>16</v>
      </c>
      <c r="Q51" t="s">
        <v>26</v>
      </c>
    </row>
    <row r="53" spans="15:20" x14ac:dyDescent="0.3">
      <c r="O53" s="54"/>
      <c r="P53" s="54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2" spans="15:20" x14ac:dyDescent="0.3">
      <c r="S62" s="18"/>
      <c r="T62" s="18"/>
    </row>
    <row r="65" spans="3:15" x14ac:dyDescent="0.3">
      <c r="O65" s="43"/>
    </row>
    <row r="66" spans="3:15" x14ac:dyDescent="0.3">
      <c r="O66" s="43"/>
    </row>
    <row r="67" spans="3:15" x14ac:dyDescent="0.3">
      <c r="O67" s="6"/>
    </row>
    <row r="68" spans="3:15" x14ac:dyDescent="0.3">
      <c r="O68" s="6"/>
    </row>
    <row r="76" spans="3:15" x14ac:dyDescent="0.3">
      <c r="C76" t="s">
        <v>148</v>
      </c>
    </row>
    <row r="77" spans="3:15" x14ac:dyDescent="0.3">
      <c r="C77" t="s">
        <v>147</v>
      </c>
    </row>
    <row r="80" spans="3:15" x14ac:dyDescent="0.3">
      <c r="C80" t="s">
        <v>147</v>
      </c>
    </row>
    <row r="157" spans="3:3" x14ac:dyDescent="0.3">
      <c r="C157" t="s">
        <v>147</v>
      </c>
    </row>
    <row r="158" spans="3:3" x14ac:dyDescent="0.3">
      <c r="C158" t="s">
        <v>149</v>
      </c>
    </row>
    <row r="159" spans="3:3" x14ac:dyDescent="0.3">
      <c r="C159" t="s">
        <v>150</v>
      </c>
    </row>
    <row r="584" spans="3:3" x14ac:dyDescent="0.3">
      <c r="C584" t="s">
        <v>147</v>
      </c>
    </row>
  </sheetData>
  <mergeCells count="2">
    <mergeCell ref="F17:H17"/>
    <mergeCell ref="B19:H19"/>
  </mergeCells>
  <phoneticPr fontId="34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45611</v>
      </c>
    </row>
    <row r="6" spans="2:31" ht="16.2" thickBot="1" x14ac:dyDescent="0.35">
      <c r="B6" s="140" t="s">
        <v>2</v>
      </c>
      <c r="C6" s="139" t="str">
        <f>'2229'!C10</f>
        <v>DELCARPIO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6" t="s">
        <v>98</v>
      </c>
      <c r="I7" s="337"/>
      <c r="J7" s="337"/>
      <c r="K7" s="338"/>
      <c r="N7" s="75"/>
      <c r="O7" s="335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11168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5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-46725.696233454102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'2229'!H27</f>
        <v>334710</v>
      </c>
      <c r="E11" s="132">
        <f>D11*0.19</f>
        <v>63594.9</v>
      </c>
      <c r="F11" s="131">
        <f>E11+D11</f>
        <v>398304.9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59264.303766545898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32942.922787439617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41264.303766545898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301767.0772125604</v>
      </c>
      <c r="E13" s="221">
        <f>(D11/D12)-1</f>
        <v>9.160300655763832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32264.303766545898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-6735.6962334541022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54355.822599275365</v>
      </c>
      <c r="F15" s="216">
        <f>E15-D12</f>
        <v>21412.899811835749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-6735.6962334541022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33264.303766545898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'2229'!O35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'2229'!O34</f>
        <v>2500</v>
      </c>
      <c r="E19" s="123">
        <f>D19*0.19</f>
        <v>475</v>
      </c>
      <c r="F19" s="120">
        <f>SUM(D19:E19)</f>
        <v>2975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'2229'!O33</f>
        <v>608.83199999999988</v>
      </c>
      <c r="E20" s="121">
        <f>D20*0.19</f>
        <v>115.67807999999998</v>
      </c>
      <c r="F20" s="120">
        <f>SUM(D20:E20)</f>
        <v>724.5100799999999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3108.8319999999999</v>
      </c>
      <c r="E21" s="116">
        <f>SUM(E18:E20)</f>
        <v>590.67808000000002</v>
      </c>
      <c r="F21" s="115">
        <f>SUM(F18:F20)</f>
        <v>3699.51008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63004.221920000004</v>
      </c>
    </row>
    <row r="41" spans="2:16" ht="15" thickBot="1" x14ac:dyDescent="0.35">
      <c r="H41" s="339" t="s">
        <v>60</v>
      </c>
      <c r="I41" s="340"/>
      <c r="J41" s="340"/>
      <c r="K41" s="340"/>
      <c r="L41" s="340"/>
      <c r="M41" s="341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334710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3108.8319999999999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301767.0772125604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301767.0772125604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2024-11-15T12:18:00Z</cp:lastPrinted>
  <dcterms:created xsi:type="dcterms:W3CDTF">2013-03-18T13:35:42Z</dcterms:created>
  <dcterms:modified xsi:type="dcterms:W3CDTF">2024-11-15T19:58:12Z</dcterms:modified>
</cp:coreProperties>
</file>