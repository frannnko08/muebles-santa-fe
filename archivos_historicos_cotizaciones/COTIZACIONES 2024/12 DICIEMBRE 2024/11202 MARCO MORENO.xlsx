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0328C65E-A025-4428-A5DF-65DF8F5C7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6" i="1"/>
  <c r="O41" i="1"/>
  <c r="M29" i="1"/>
  <c r="P29" i="1" l="1"/>
  <c r="L22" i="1"/>
  <c r="M22" i="1"/>
  <c r="N22" i="1"/>
  <c r="O22" i="1"/>
  <c r="P22" i="1" s="1"/>
  <c r="L23" i="1"/>
  <c r="M23" i="1"/>
  <c r="N23" i="1"/>
  <c r="O23" i="1"/>
  <c r="P23" i="1"/>
  <c r="L24" i="1"/>
  <c r="M24" i="1"/>
  <c r="O24" i="1" s="1"/>
  <c r="P24" i="1" s="1"/>
  <c r="N24" i="1"/>
  <c r="H22" i="1"/>
  <c r="H23" i="1"/>
  <c r="H24" i="1"/>
  <c r="H25" i="1"/>
  <c r="L21" i="1"/>
  <c r="K35" i="1"/>
  <c r="K37" i="1"/>
  <c r="N21" i="1"/>
  <c r="K38" i="1" l="1"/>
  <c r="K39" i="1" s="1"/>
  <c r="K40" i="1" s="1"/>
  <c r="M21" i="1"/>
  <c r="T21" i="1" l="1"/>
  <c r="T28" i="1" s="1"/>
  <c r="S21" i="1"/>
  <c r="S30" i="1" s="1"/>
  <c r="O21" i="1"/>
  <c r="P21" i="1" s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3" i="1"/>
  <c r="E15" i="3"/>
  <c r="Q21" i="1" l="1"/>
  <c r="F15" i="3"/>
  <c r="R21" i="1" l="1"/>
  <c r="H21" i="1" l="1"/>
  <c r="H28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<sst xmlns="http://schemas.openxmlformats.org/spreadsheetml/2006/main" count="237" uniqueCount="178">
  <si>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</si>
  <si>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</si>
  <si>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</si>
  <si>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</si>
  <si>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</si>
  <si>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</si>
  <si>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</si>
  <si>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</si>
  <si>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</si>
  <si>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</si>
  <si>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</si>
  <si>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</si>
  <si>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</si>
  <si>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</si>
  <si>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</si>
  <si>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</si>
  <si>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</si>
  <si>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</si>
  <si>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</si>
  <si>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</si>
  <si>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</si>
  <si>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</si>
  <si>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</si>
  <si>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</si>
  <si>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</si>
  <si>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</si>
  <si>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</si>
  <si>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</si>
  <si>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</si>
  <si>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</si>
  <si>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</si>
  <si>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</si>
  <si>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</si>
  <si>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</si>
  <si>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</si>
  <si>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</si>
  <si>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</si>
  <si>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</si>
  <si>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</si>
  <si>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</si>
  <si>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</si>
  <si>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</si>
  <si>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</si>
  <si>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</si>
  <si>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</si>
  <si>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</si>
  <si>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</si>
  <si>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</si>
  <si>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</si>
  <si>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</si>
  <si>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</si>
  <si>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</si>
  <si>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</si>
  <si>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</si>
  <si>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</si>
  <si>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</si>
  <si>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</si>
  <si>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</si>
  <si>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</si>
  <si>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</si>
  <si>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</si>
  <si>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</si>
  <si>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</si>
  <si>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</si>
  <si>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</si>
  <si>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</si>
  <si>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</si>
  <si>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</si>
  <si>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</si>
  <si>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</si>
  <si>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</si>
  <si>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</si>
  <si>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</si>
  <si>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</si>
  <si>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</si>
  <si>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</si>
  <si>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</si>
  <si>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</si>
  <si>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</si>
  <si>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</si>
  <si>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</si>
  <si>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</si>
  <si>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</si>
  <si>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</si>
  <si>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</si>
  <si>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</si>
  <si>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</si>
  <si>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</si>
  <si>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</si>
  <si>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</si>
  <si>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</si>
  <si>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</si>
  <si>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</si>
  <si>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</si>
  <si>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</si>
  <si>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</si>
  <si>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</si>
  <si>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</si>
  <si>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</si>
  <si>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</si>
  <si>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</si>
  <si>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</si>
  <si>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</si>
  <si>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</si>
  <si>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</si>
  <si>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</si>
  <si>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</si>
  <si>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</si>
  <si>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</si>
  <si>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</si>
  <si>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</si>
  <si>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</si>
  <si>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</si>
  <si>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</si>
  <si>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</si>
  <si>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</si>
  <si>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</si>
  <si>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</si>
  <si>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</si>
  <si>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</si>
  <si>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</si>
  <si>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</si>
  <si>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</si>
  <si>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</si>
  <si>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</si>
  <si>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</si>
  <si>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</si>
  <si>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</si>
  <si>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</si>
  <si>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</si>
  <si>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</si>
  <si>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</si>
  <si>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</si>
  <si>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</si>
  <si>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</si>
  <si>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</si>
  <si>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</si>
  <si>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</si>
  <si>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</si>
  <si>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</si>
  <si>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</si>
  <si>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</si>
  <si>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</si>
  <si>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</si>
  <si>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</si>
  <si>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</si>
  <si>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</si>
  <si>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</si>
  <si>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</si>
  <si>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</si>
  <si>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</si>
  <si>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</si>
  <si>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</si>
  <si>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</si>
  <si>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</si>
  <si>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</si>
  <si>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</si>
  <si>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</si>
  <si>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</si>
  <si>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</si>
  <si>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</si>
  <si>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</si>
  <si>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</si>
  <si>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</si>
  <si>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</si>
  <si>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</si>
  <si>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</si>
  <si>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CUB C/R FRENTE 90° R8</t>
  </si>
  <si>
    <t>N° 11202</t>
  </si>
  <si>
    <t>MARCO MORENO</t>
  </si>
  <si>
    <t>+569 7782 4695</t>
  </si>
  <si>
    <t>7 DIAS HABILES</t>
  </si>
  <si>
    <t>CUB C/R FRENTE 90° R8 CORTE 45° DERECHO</t>
  </si>
  <si>
    <t>CUB C/R FRENTE 90° R8 CORTE 45° 2 LADOS</t>
  </si>
  <si>
    <t>CUB C/R FRENTE 90° R8 CORTE 45° IZQ</t>
  </si>
  <si>
    <t>SERVICIO DE CORTE 45°</t>
  </si>
  <si>
    <t>ZOCALOS</t>
  </si>
  <si>
    <t>PUMIC GREY 21321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</si>
</sst>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7" zoomScale="93" zoomScaleNormal="93" workbookViewId="0">
      <selection activeCell="K21" sqref="K2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82656.836256743234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167</v>
      </c>
      <c r="D21" s="331">
        <v>2.0499999999999998</v>
      </c>
      <c r="E21" s="331">
        <v>0.48</v>
      </c>
      <c r="F21" s="330" t="s">
        <v>177</v>
      </c>
      <c r="G21" s="332">
        <v>105114</v>
      </c>
      <c r="H21" s="332">
        <f>G21*B21</f>
        <v>105114</v>
      </c>
      <c r="I21" s="320"/>
      <c r="J21" s="265"/>
      <c r="K21" s="47"/>
      <c r="L21" s="47">
        <f>B21</f>
        <v>1</v>
      </c>
      <c r="M21" s="39">
        <f>D21+M$19</f>
        <v>2.13</v>
      </c>
      <c r="N21" s="39">
        <f>E21+$N$19</f>
        <v>0.57999999999999996</v>
      </c>
      <c r="O21" s="261">
        <f t="shared" ref="O21" si="1">M21*N21</f>
        <v>1.2353999999999998</v>
      </c>
      <c r="P21" s="259">
        <f t="shared" ref="P21" si="2">O21*L21</f>
        <v>1.2353999999999998</v>
      </c>
      <c r="Q21" s="252">
        <f t="shared" ref="Q21" si="3">Q$20*O21</f>
        <v>102114.25551158057</v>
      </c>
      <c r="R21" s="319">
        <f t="shared" ref="R21" si="4">Q21+R$20</f>
        <v>105114.25551158057</v>
      </c>
      <c r="S21" s="297">
        <f>L21*M21*2</f>
        <v>4.26</v>
      </c>
      <c r="T21" s="46">
        <f>N21*2*L21*2</f>
        <v>2.3199999999999998</v>
      </c>
      <c r="U21" s="9"/>
      <c r="X21" s="4"/>
    </row>
    <row r="22" spans="2:25" ht="17.399999999999999" x14ac:dyDescent="0.3">
      <c r="B22" s="330">
        <v>1</v>
      </c>
      <c r="C22" s="330" t="s">
        <v>172</v>
      </c>
      <c r="D22" s="331">
        <v>2.0499999999999998</v>
      </c>
      <c r="E22" s="331">
        <v>0.6</v>
      </c>
      <c r="F22" s="330" t="s">
        <v>177</v>
      </c>
      <c r="G22" s="332">
        <v>126241</v>
      </c>
      <c r="H22" s="332">
        <f t="shared" ref="H22:H26" si="5">G22*B22</f>
        <v>126241</v>
      </c>
      <c r="I22" s="320"/>
      <c r="J22" s="265"/>
      <c r="K22" s="47"/>
      <c r="L22" s="47">
        <f t="shared" ref="L22:L24" si="6">B22</f>
        <v>1</v>
      </c>
      <c r="M22" s="39">
        <f t="shared" ref="M22:M24" si="7">D22+M$19</f>
        <v>2.13</v>
      </c>
      <c r="N22" s="39">
        <f t="shared" ref="N22:N24" si="8">E22+$N$19</f>
        <v>0.7</v>
      </c>
      <c r="O22" s="261">
        <f t="shared" ref="O22:O24" si="9">M22*N22</f>
        <v>1.4909999999999999</v>
      </c>
      <c r="P22" s="259">
        <f t="shared" ref="P22:P24" si="10">O22*L22</f>
        <v>1.4909999999999999</v>
      </c>
      <c r="Q22" s="252">
        <f t="shared" ref="Q22:Q24" si="11">Q$20*O22</f>
        <v>123241.34285880416</v>
      </c>
      <c r="R22" s="319">
        <f t="shared" ref="R22:R24" si="12">Q22+R$20</f>
        <v>126241.34285880416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1">
        <v>2.34</v>
      </c>
      <c r="E23" s="331">
        <v>0.6</v>
      </c>
      <c r="F23" s="330" t="s">
        <v>177</v>
      </c>
      <c r="G23" s="332">
        <v>143021</v>
      </c>
      <c r="H23" s="332">
        <f t="shared" si="5"/>
        <v>143021</v>
      </c>
      <c r="I23" s="320"/>
      <c r="J23" s="265"/>
      <c r="K23" s="47"/>
      <c r="L23" s="47">
        <f t="shared" si="6"/>
        <v>1</v>
      </c>
      <c r="M23" s="39">
        <f t="shared" si="7"/>
        <v>2.42</v>
      </c>
      <c r="N23" s="39">
        <f t="shared" si="8"/>
        <v>0.7</v>
      </c>
      <c r="O23" s="261">
        <f t="shared" si="9"/>
        <v>1.694</v>
      </c>
      <c r="P23" s="259">
        <f t="shared" si="10"/>
        <v>1.694</v>
      </c>
      <c r="Q23" s="252">
        <f t="shared" si="11"/>
        <v>140020.68061892304</v>
      </c>
      <c r="R23" s="319">
        <f t="shared" si="12"/>
        <v>143020.68061892304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1">
        <v>2.4500000000000002</v>
      </c>
      <c r="E24" s="331">
        <v>0.6</v>
      </c>
      <c r="F24" s="330" t="s">
        <v>177</v>
      </c>
      <c r="G24" s="332">
        <v>149385</v>
      </c>
      <c r="H24" s="332">
        <f t="shared" si="5"/>
        <v>149385</v>
      </c>
      <c r="I24" s="320"/>
      <c r="J24" s="265"/>
      <c r="K24" s="47"/>
      <c r="L24" s="47">
        <f t="shared" si="6"/>
        <v>1</v>
      </c>
      <c r="M24" s="39">
        <f t="shared" si="7"/>
        <v>2.5300000000000002</v>
      </c>
      <c r="N24" s="39">
        <f t="shared" si="8"/>
        <v>0.7</v>
      </c>
      <c r="O24" s="261">
        <f t="shared" si="9"/>
        <v>1.7710000000000001</v>
      </c>
      <c r="P24" s="259">
        <f t="shared" si="10"/>
        <v>1.7710000000000001</v>
      </c>
      <c r="Q24" s="252">
        <f t="shared" si="11"/>
        <v>146385.25701069226</v>
      </c>
      <c r="R24" s="319">
        <f t="shared" si="12"/>
        <v>149385.25701069226</v>
      </c>
      <c r="S24" s="297"/>
      <c r="T24" s="46"/>
      <c r="U24" s="9"/>
      <c r="X24" s="4"/>
    </row>
    <row r="25" spans="2:25" ht="17.399999999999999" x14ac:dyDescent="0.3">
      <c r="B25" s="330">
        <v>4</v>
      </c>
      <c r="C25" s="330" t="s">
        <v>175</v>
      </c>
      <c r="D25" s="331"/>
      <c r="E25" s="331"/>
      <c r="F25" s="330"/>
      <c r="G25" s="332">
        <v>10000</v>
      </c>
      <c r="H25" s="332">
        <f t="shared" si="5"/>
        <v>40000</v>
      </c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330">
        <v>5</v>
      </c>
      <c r="C26" s="330" t="s">
        <v>176</v>
      </c>
      <c r="D26" s="331">
        <v>3</v>
      </c>
      <c r="E26" s="331">
        <v>0.1</v>
      </c>
      <c r="F26" s="330"/>
      <c r="G26" s="332">
        <v>3500</v>
      </c>
      <c r="H26" s="332">
        <f t="shared" si="5"/>
        <v>17500</v>
      </c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581261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2.3199999999999998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110439.59</v>
      </c>
      <c r="I29" s="322"/>
      <c r="J29" s="265"/>
      <c r="K29" s="47"/>
      <c r="L29" s="47"/>
      <c r="M29" s="39">
        <f>SUM(M21:M28)</f>
        <v>9.2100000000000009</v>
      </c>
      <c r="N29" s="12"/>
      <c r="O29" s="12"/>
      <c r="P29" s="253">
        <f>SUM(P21:P27)</f>
        <v>6.1913999999999998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691700.59</v>
      </c>
      <c r="I30" s="322"/>
      <c r="J30" s="265"/>
      <c r="K30" s="47"/>
      <c r="L30" s="47"/>
      <c r="M30" s="39"/>
      <c r="N30" s="12"/>
      <c r="O30" s="12"/>
      <c r="P30" s="253">
        <f>P29</f>
        <v>6.1913999999999998</v>
      </c>
      <c r="Q30" s="14"/>
      <c r="R30" s="12"/>
      <c r="S30" s="239">
        <f>SUM(S21:S29)</f>
        <v>4.26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1.23828</v>
      </c>
      <c r="Q31" s="39" t="s">
        <v>130</v>
      </c>
      <c r="R31" s="42"/>
      <c r="S31" s="240">
        <f>S30+T28</f>
        <v>6.58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7.4296799999999994</v>
      </c>
      <c r="Q32" s="14"/>
      <c r="R32" s="14"/>
      <c r="S32" s="238">
        <f>S31*20%</f>
        <v>1.3160000000000001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7.8959999999999999</v>
      </c>
      <c r="T33" s="14"/>
      <c r="U33" s="302" t="s">
        <v>21</v>
      </c>
      <c r="V33" s="299" t="s">
        <v>152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7.4296799999999994</v>
      </c>
      <c r="N34" s="12">
        <v>3500</v>
      </c>
      <c r="O34" s="12">
        <f t="shared" ref="O34:O39" si="13">M34*N34</f>
        <v>26003.879999999997</v>
      </c>
      <c r="P34" s="14" t="s">
        <v>21</v>
      </c>
      <c r="Q34" s="14"/>
      <c r="R34" s="14"/>
      <c r="S34" s="241"/>
      <c r="T34" s="14"/>
      <c r="U34" s="302" t="s">
        <v>153</v>
      </c>
      <c r="V34" s="299">
        <v>3625</v>
      </c>
      <c r="W34" s="59" t="s">
        <v>154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>
        <f>23500*1.19</f>
        <v>27965</v>
      </c>
      <c r="L35" s="47"/>
      <c r="M35" s="249">
        <v>2</v>
      </c>
      <c r="N35" s="12">
        <v>25000</v>
      </c>
      <c r="O35" s="12">
        <f t="shared" si="13"/>
        <v>50000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155</v>
      </c>
      <c r="X35" s="304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61840</v>
      </c>
      <c r="O36" s="12">
        <f t="shared" si="13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>
        <f>N37*1.19</f>
        <v>42483</v>
      </c>
      <c r="L37" s="250"/>
      <c r="M37" s="14">
        <v>4</v>
      </c>
      <c r="N37" s="250">
        <v>35700</v>
      </c>
      <c r="O37" s="12">
        <f t="shared" si="13"/>
        <v>142800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>
        <f>SUM(K35:K37)</f>
        <v>70448</v>
      </c>
      <c r="L38" s="250"/>
      <c r="M38" s="249"/>
      <c r="N38" s="250">
        <v>900</v>
      </c>
      <c r="O38" s="12">
        <f t="shared" si="1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>
        <f>K38/1.19</f>
        <v>59200</v>
      </c>
      <c r="L39" s="250"/>
      <c r="M39" s="266">
        <v>9.2100000000000009</v>
      </c>
      <c r="N39" s="12">
        <v>1500</v>
      </c>
      <c r="O39" s="12">
        <f t="shared" si="13"/>
        <v>13815.000000000002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>
        <f>K38-K39</f>
        <v>11248</v>
      </c>
      <c r="L40" s="250"/>
      <c r="M40" s="14"/>
      <c r="N40" s="12"/>
      <c r="O40" s="12">
        <f>SUM(O34:O39)</f>
        <v>232618.88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511761.53600000008</v>
      </c>
      <c r="P41" s="14" t="s">
        <v>140</v>
      </c>
      <c r="Q41" s="14"/>
      <c r="R41" s="40">
        <f>P32/R40</f>
        <v>2.0032571182053491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40000</v>
      </c>
      <c r="L42" s="250"/>
      <c r="M42" s="14"/>
      <c r="N42" s="12"/>
      <c r="O42" s="12">
        <f>O41/P30</f>
        <v>82656.836256743234</v>
      </c>
      <c r="P42" s="45" t="s">
        <v>24</v>
      </c>
      <c r="Q42" s="14"/>
      <c r="R42" s="14"/>
      <c r="S42"/>
      <c r="T42" s="238"/>
      <c r="U42" s="59" t="s">
        <v>158</v>
      </c>
      <c r="V42" s="299">
        <v>43650</v>
      </c>
    </row>
    <row r="43" spans="1:24" s="230" customFormat="1" ht="17.399999999999999" x14ac:dyDescent="0.35">
      <c r="G43"/>
      <c r="K43" s="230">
        <f>K42/1.19</f>
        <v>33613.445378151264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300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-67771.391366787444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581261</v>
      </c>
      <c r="E11" s="132">
        <f>D11*0.19</f>
        <v>110439.59</v>
      </c>
      <c r="F11" s="131">
        <f>E11+D11</f>
        <v>691700.59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38218.608633212556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105837.97078743961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20218.608633212556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475423.02921256039</v>
      </c>
      <c r="E13" s="221">
        <f>(D11/D12)-1</f>
        <v>4.491989270725715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11218.608633212556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-27781.391366787444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174632.65179927534</v>
      </c>
      <c r="F15" s="216">
        <f>E15-D12</f>
        <v>68794.681011835724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-27781.391366787444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12218.608633212556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26003.879999999997</v>
      </c>
      <c r="E20" s="121">
        <f>D20*0.19</f>
        <v>4940.7371999999996</v>
      </c>
      <c r="F20" s="120">
        <f>SUM(D20:E20)</f>
        <v>30944.617199999997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76003.88</v>
      </c>
      <c r="E21" s="116">
        <f>SUM(E18:E20)</f>
        <v>14440.7372</v>
      </c>
      <c r="F21" s="115">
        <f>SUM(F18:F20)</f>
        <v>90444.617199999993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95998.852799999993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581261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76003.88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475423.02921256039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475423.02921256039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2024-12-10T15:38:56Z</dcterms:modified>
</cp:coreProperties>
</file>