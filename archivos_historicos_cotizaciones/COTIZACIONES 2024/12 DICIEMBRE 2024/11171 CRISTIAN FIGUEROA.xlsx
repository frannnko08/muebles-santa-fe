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E9C93674-8386-4AF0-92F4-F5370FC38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S22" i="1" s="1"/>
  <c r="N22" i="1"/>
  <c r="K31" i="1"/>
  <c r="K33" i="1"/>
  <c r="K34" i="1" s="1"/>
  <c r="N21" i="1"/>
  <c r="O22" i="1" l="1"/>
  <c r="P22" i="1" s="1"/>
  <c r="K35" i="1"/>
  <c r="K36" i="1" s="1"/>
  <c r="M21" i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O39" i="1"/>
  <c r="E15" i="3"/>
  <c r="R22" i="1" l="1"/>
  <c r="G22" i="1"/>
  <c r="H22" i="1" s="1"/>
  <c r="Q21" i="1"/>
  <c r="G21" i="1" s="1"/>
  <c r="F15" i="3"/>
  <c r="R21" i="1" l="1"/>
  <c r="H21" i="1" l="1"/>
  <c r="H24" i="1" s="1"/>
  <c r="H25" i="1" l="1"/>
  <c r="H26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<sst xmlns="http://schemas.openxmlformats.org/spreadsheetml/2006/main" count="236" uniqueCount="179">
  <si>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</si>
  <si>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</si>
  <si>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</si>
  <si>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</si>
  <si>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</si>
  <si>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</si>
  <si>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</si>
  <si>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</si>
  <si>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</si>
  <si>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</si>
  <si>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</si>
  <si>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</si>
  <si>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</si>
  <si>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</si>
  <si>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</si>
  <si>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</si>
  <si>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</si>
  <si>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</si>
  <si>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</si>
  <si>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</si>
  <si>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</si>
  <si>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</si>
  <si>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</si>
  <si>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</si>
  <si>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</si>
  <si>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</si>
  <si>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</si>
  <si>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</si>
  <si>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</si>
  <si>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</si>
  <si>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</si>
  <si>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</si>
  <si>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</si>
  <si>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</si>
  <si>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</si>
  <si>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</si>
  <si>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</si>
  <si>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</si>
  <si>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</si>
  <si>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</si>
  <si>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</si>
  <si>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</si>
  <si>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</si>
  <si>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</si>
  <si>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</si>
  <si>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</si>
  <si>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</si>
  <si>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</si>
  <si>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</si>
  <si>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</si>
  <si>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</si>
  <si>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</si>
  <si>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</si>
  <si>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</si>
  <si>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</si>
  <si>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</si>
  <si>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</si>
  <si>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</si>
  <si>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</si>
  <si>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</si>
  <si>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</si>
  <si>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</si>
  <si>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</si>
  <si>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</si>
  <si>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</si>
  <si>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</si>
  <si>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</si>
  <si>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</si>
  <si>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</si>
  <si>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</si>
  <si>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</si>
  <si>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</si>
  <si>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</si>
  <si>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</si>
  <si>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</si>
  <si>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</si>
  <si>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</si>
  <si>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</si>
  <si>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</si>
  <si>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</si>
  <si>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</si>
  <si>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</si>
  <si>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</si>
  <si>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</si>
  <si>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</si>
  <si>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</si>
  <si>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</si>
  <si>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</si>
  <si>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</si>
  <si>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</si>
  <si>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</si>
  <si>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</si>
  <si>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</si>
  <si>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</si>
  <si>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</si>
  <si>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</si>
  <si>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</si>
  <si>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</si>
  <si>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</si>
  <si>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</si>
  <si>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</si>
  <si>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</si>
  <si>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</si>
  <si>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</si>
  <si>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</si>
  <si>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</si>
  <si>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</si>
  <si>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</si>
  <si>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</si>
  <si>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</si>
  <si>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</si>
  <si>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</si>
  <si>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</si>
  <si>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</si>
  <si>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</si>
  <si>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</si>
  <si>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</si>
  <si>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</si>
  <si>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</si>
  <si>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</si>
  <si>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</si>
  <si>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</si>
  <si>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</si>
  <si>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</si>
  <si>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</si>
  <si>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</si>
  <si>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</si>
  <si>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</si>
  <si>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</si>
  <si>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</si>
  <si>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</si>
  <si>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</si>
  <si>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</si>
  <si>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</si>
  <si>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</si>
  <si>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</si>
  <si>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</si>
  <si>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</si>
  <si>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</si>
  <si>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</si>
  <si>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</si>
  <si>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</si>
  <si>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</si>
  <si>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</si>
  <si>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</si>
  <si>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</si>
  <si>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</si>
  <si>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</si>
  <si>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</si>
  <si>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</si>
  <si>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</si>
  <si>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</si>
  <si>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</si>
  <si>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</si>
  <si>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</si>
  <si>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</si>
  <si>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</si>
  <si>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</si>
  <si>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</si>
  <si>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</si>
  <si>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</si>
  <si>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</si>
  <si>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</si>
  <si>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</si>
  <si>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</si>
  <si>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</si>
  <si>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</si>
  <si>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</si>
  <si>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CUB MESA 2 LADOS</t>
  </si>
  <si>
    <t>CUB CON RESPALDO 90°</t>
  </si>
  <si>
    <t>CRISTIAN FIGUEROA</t>
  </si>
  <si>
    <t>N° 11171</t>
  </si>
  <si>
    <t>+569 7715 0000</t>
  </si>
  <si>
    <t>NEGRO BRILLANTE</t>
  </si>
  <si>
    <t>76576352-5</t>
  </si>
  <si>
    <t>COMERCIALIZACION DE PRODUCTOS DE CUIDADO PERSONAL Y BIENES MUEBLES</t>
  </si>
  <si>
    <t>PAGOPROVEEDORES@COSMETICAVAL.CL</t>
  </si>
  <si>
    <t>BALMACEDA 498 of 402, PUENTE ALTO</t>
  </si>
  <si>
    <t>SINERGIA TRADE CHILE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</si>
</sst>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606106"/>
          <a:ext cx="6849807" cy="82621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/>
            <a:t>MESA 2 LADOS ENCHAPADO CON REGRUESO</a:t>
          </a:r>
          <a:r>
            <a:rPr lang="es-CL" sz="1200" b="1" baseline="0"/>
            <a:t> EN 1 LADO DEL LARGO</a:t>
          </a:r>
        </a:p>
        <a:p>
          <a:pPr algn="l"/>
          <a:r>
            <a:rPr lang="es-CL" sz="1200" b="1" baseline="0"/>
            <a:t>FRENTE 2cm PARA ENCAJAR CON EL MUEBLE INTERIOR.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GOPROVEEDORES@COSMETICAVAL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45615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174</v>
      </c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175</v>
      </c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178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 t="s">
        <v>176</v>
      </c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 t="s">
        <v>177</v>
      </c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40" t="s">
        <v>165</v>
      </c>
      <c r="G17" s="340"/>
      <c r="H17" s="341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42" t="s">
        <v>95</v>
      </c>
      <c r="C19" s="343"/>
      <c r="D19" s="343"/>
      <c r="E19" s="343"/>
      <c r="F19" s="343"/>
      <c r="G19" s="343"/>
      <c r="H19" s="344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65155.058479532177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30" t="s">
        <v>168</v>
      </c>
      <c r="D21" s="331">
        <v>2.5</v>
      </c>
      <c r="E21" s="331">
        <v>0.6</v>
      </c>
      <c r="F21" s="330" t="s">
        <v>173</v>
      </c>
      <c r="G21" s="332">
        <f>Q21</f>
        <v>100860.03052631581</v>
      </c>
      <c r="H21" s="333">
        <f>G21*B21</f>
        <v>100860.03052631581</v>
      </c>
      <c r="I21" s="320"/>
      <c r="J21" s="265"/>
      <c r="K21" s="47"/>
      <c r="L21" s="47">
        <f>B21</f>
        <v>1</v>
      </c>
      <c r="M21" s="39">
        <f>D21+M$19</f>
        <v>2.58</v>
      </c>
      <c r="N21" s="39">
        <f>E21+$N$19</f>
        <v>0.6</v>
      </c>
      <c r="O21" s="261">
        <f t="shared" ref="O21" si="1">M21*N21</f>
        <v>1.548</v>
      </c>
      <c r="P21" s="259">
        <f t="shared" ref="P21" si="2">O21*L21</f>
        <v>1.548</v>
      </c>
      <c r="Q21" s="252">
        <f t="shared" ref="Q21" si="3">Q$20*O21</f>
        <v>100860.03052631581</v>
      </c>
      <c r="R21" s="319">
        <f t="shared" ref="R21" si="4">Q21+R$20</f>
        <v>103860.03052631581</v>
      </c>
      <c r="S21" s="297">
        <f>L21*M21*2</f>
        <v>5.16</v>
      </c>
      <c r="T21" s="46">
        <f>N21*2*L21*2</f>
        <v>2.4</v>
      </c>
      <c r="U21" s="9"/>
      <c r="X21" s="4"/>
    </row>
    <row r="22" spans="1:25" ht="18" thickBot="1" x14ac:dyDescent="0.35">
      <c r="B22" s="335">
        <v>1</v>
      </c>
      <c r="C22" s="336" t="s">
        <v>169</v>
      </c>
      <c r="D22" s="337">
        <v>1.9</v>
      </c>
      <c r="E22" s="337">
        <v>0.6</v>
      </c>
      <c r="F22" s="336" t="s">
        <v>173</v>
      </c>
      <c r="G22" s="338">
        <f>Q22</f>
        <v>77404.209473684226</v>
      </c>
      <c r="H22" s="339">
        <f t="shared" ref="H22" si="5">G22*B22</f>
        <v>77404.209473684226</v>
      </c>
      <c r="I22" s="323"/>
      <c r="J22" s="265"/>
      <c r="K22" s="47"/>
      <c r="L22" s="47">
        <f t="shared" ref="L22" si="6">B22</f>
        <v>1</v>
      </c>
      <c r="M22" s="39">
        <f t="shared" ref="M22" si="7">D22+M$19</f>
        <v>1.98</v>
      </c>
      <c r="N22" s="39">
        <f t="shared" ref="N22" si="8">E22+$N$19</f>
        <v>0.6</v>
      </c>
      <c r="O22" s="261">
        <f t="shared" ref="O22" si="9">M22*N22</f>
        <v>1.1879999999999999</v>
      </c>
      <c r="P22" s="259">
        <f t="shared" ref="P22" si="10">O22*L22</f>
        <v>1.1879999999999999</v>
      </c>
      <c r="Q22" s="252">
        <f t="shared" ref="Q22" si="11">Q$20*O22</f>
        <v>77404.209473684226</v>
      </c>
      <c r="R22" s="319">
        <f t="shared" ref="R22" si="12">Q22+R$20</f>
        <v>80404.209473684226</v>
      </c>
      <c r="S22" s="297">
        <f t="shared" ref="S22" si="13">L22*M22*2</f>
        <v>3.96</v>
      </c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178264.24000000005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33870.205600000008</v>
      </c>
      <c r="I25" s="322"/>
      <c r="J25" s="265"/>
      <c r="K25" s="47"/>
      <c r="L25" s="47"/>
      <c r="M25" s="39">
        <f>SUM(M21:M24)</f>
        <v>4.5600000000000005</v>
      </c>
      <c r="N25" s="12"/>
      <c r="O25" s="12"/>
      <c r="P25" s="253">
        <f>SUM(P21:P22)</f>
        <v>2.7359999999999998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212134.44560000006</v>
      </c>
      <c r="I26" s="322"/>
      <c r="J26" s="265"/>
      <c r="K26" s="47"/>
      <c r="L26" s="47"/>
      <c r="M26" s="39"/>
      <c r="N26" s="12"/>
      <c r="O26" s="12"/>
      <c r="P26" s="253">
        <f>P25</f>
        <v>2.7359999999999998</v>
      </c>
      <c r="Q26" s="14"/>
      <c r="R26" s="12"/>
      <c r="S26" s="239">
        <f>SUM(S21:S25)</f>
        <v>9.120000000000001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0.54720000000000002</v>
      </c>
      <c r="Q27" s="39" t="s">
        <v>130</v>
      </c>
      <c r="R27" s="42"/>
      <c r="S27" s="240">
        <f>S26+T24</f>
        <v>11.520000000000001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3.2831999999999999</v>
      </c>
      <c r="Q28" s="14"/>
      <c r="R28" s="14"/>
      <c r="S28" s="238">
        <f>S27*20%</f>
        <v>2.3040000000000003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13.824000000000002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3.2831999999999999</v>
      </c>
      <c r="N30" s="12">
        <v>3500</v>
      </c>
      <c r="O30" s="12">
        <f t="shared" ref="O30:O35" si="14">M30*N30</f>
        <v>11491.199999999999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0.9</v>
      </c>
      <c r="N31" s="12">
        <v>25000</v>
      </c>
      <c r="O31" s="12">
        <f t="shared" si="14"/>
        <v>22500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I32" s="293"/>
      <c r="J32" s="262"/>
      <c r="K32" s="232"/>
      <c r="L32" s="250"/>
      <c r="M32" s="14"/>
      <c r="N32" s="250">
        <v>61840</v>
      </c>
      <c r="O32" s="12">
        <f t="shared" si="14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I33" s="293"/>
      <c r="J33" s="262"/>
      <c r="K33" s="232">
        <f>N33*1.19</f>
        <v>27987.609999999997</v>
      </c>
      <c r="L33" s="250"/>
      <c r="M33" s="14">
        <v>2</v>
      </c>
      <c r="N33" s="250">
        <v>23519</v>
      </c>
      <c r="O33" s="12">
        <f t="shared" si="14"/>
        <v>47038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55952.61</v>
      </c>
      <c r="L34" s="250"/>
      <c r="M34" s="249"/>
      <c r="N34" s="250">
        <v>900</v>
      </c>
      <c r="O34" s="12">
        <f t="shared" si="14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47019</v>
      </c>
      <c r="L35" s="250"/>
      <c r="M35" s="266"/>
      <c r="N35" s="12">
        <v>1500</v>
      </c>
      <c r="O35" s="12">
        <f t="shared" si="14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8933.61</v>
      </c>
      <c r="L36" s="250"/>
      <c r="M36" s="14"/>
      <c r="N36" s="12"/>
      <c r="O36" s="12">
        <f>SUM(O30:O35)</f>
        <v>81029.2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178264.24000000002</v>
      </c>
      <c r="P37" s="14" t="s">
        <v>140</v>
      </c>
      <c r="Q37" s="14"/>
      <c r="R37" s="40">
        <f>P28/R36</f>
        <v>0.88524590163934425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91700</v>
      </c>
      <c r="L38" s="250"/>
      <c r="M38" s="14"/>
      <c r="N38" s="12"/>
      <c r="O38" s="12">
        <f>O37/P26</f>
        <v>65155.058479532177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77058.823529411762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  <hyperlink ref="C14" r:id="rId2" xr:uid="{81884B88-A128-4480-A792-56300E7C3FB4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45615</v>
      </c>
    </row>
    <row r="6" spans="2:31" ht="16.2" thickBot="1" x14ac:dyDescent="0.35">
      <c r="B6" s="140" t="s">
        <v>2</v>
      </c>
      <c r="C6" s="139" t="str">
        <f>'2229'!C10</f>
        <v>CRISTIAN FIGUEROA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6" t="s">
        <v>98</v>
      </c>
      <c r="I7" s="347"/>
      <c r="J7" s="347"/>
      <c r="K7" s="348"/>
      <c r="N7" s="75"/>
      <c r="O7" s="34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11171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-12158.751700120782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178264.24000000005</v>
      </c>
      <c r="E11" s="132">
        <f>D11*0.19</f>
        <v>33870.205600000008</v>
      </c>
      <c r="F11" s="131">
        <f>E11+D11</f>
        <v>212134.44560000006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93831.248299879226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63825.290787439611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75831.248299879226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114438.94921256043</v>
      </c>
      <c r="E13" s="221">
        <f>(D11/D12)-1</f>
        <v>1.7930031779045379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66831.248299879226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27831.248299879218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105311.72979927536</v>
      </c>
      <c r="F15" s="216">
        <f>E15-D12</f>
        <v>41486.439011835748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27831.248299879218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67831.248299879226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11491.199999999999</v>
      </c>
      <c r="E20" s="121">
        <f>D20*0.19</f>
        <v>2183.328</v>
      </c>
      <c r="F20" s="120">
        <f>SUM(D20:E20)</f>
        <v>13674.527999999998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33991.199999999997</v>
      </c>
      <c r="E21" s="116">
        <f>SUM(E18:E20)</f>
        <v>6458.3279999999995</v>
      </c>
      <c r="F21" s="115">
        <f>SUM(F18:F20)</f>
        <v>40449.527999999998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27411.877600000007</v>
      </c>
    </row>
    <row r="41" spans="2:16" ht="15" thickBot="1" x14ac:dyDescent="0.35">
      <c r="H41" s="349" t="s">
        <v>60</v>
      </c>
      <c r="I41" s="350"/>
      <c r="J41" s="350"/>
      <c r="K41" s="350"/>
      <c r="L41" s="350"/>
      <c r="M41" s="35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178264.24000000005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33991.199999999997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114438.94921256043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114438.94921256043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2024-11-19T14:26:01Z</cp:lastPrinted>
  <dcterms:created xsi:type="dcterms:W3CDTF">2013-03-18T13:35:42Z</dcterms:created>
  <dcterms:modified xsi:type="dcterms:W3CDTF">2024-11-21T18:34:10Z</dcterms:modified>
</cp:coreProperties>
</file>