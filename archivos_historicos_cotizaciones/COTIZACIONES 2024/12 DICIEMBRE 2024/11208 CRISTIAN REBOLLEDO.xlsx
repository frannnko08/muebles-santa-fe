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E0B9D424-6AFF-498D-B7DB-DEF4D4F05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L24" i="1"/>
  <c r="M24" i="1"/>
  <c r="N24" i="1"/>
  <c r="O24" i="1"/>
  <c r="P24" i="1" s="1"/>
  <c r="L23" i="1"/>
  <c r="M23" i="1"/>
  <c r="N23" i="1"/>
  <c r="H23" i="1"/>
  <c r="H24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M28" i="1" l="1"/>
  <c r="S21" i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2" i="1"/>
  <c r="E15" i="3"/>
  <c r="Q21" i="1" l="1"/>
  <c r="F15" i="3"/>
  <c r="R21" i="1" l="1"/>
  <c r="H21" i="1" l="1"/>
  <c r="H27" i="1" l="1"/>
  <c r="H28" i="1" s="1"/>
  <c r="D11" i="3" l="1"/>
  <c r="X9" i="3" s="1"/>
  <c r="X15" i="3" s="1"/>
  <c r="H29" i="1"/>
  <c r="D13" i="3"/>
  <c r="E13" i="3"/>
  <c r="X16" i="3"/>
  <c r="E11" i="3"/>
  <c r="D40" i="3" s="1"/>
  <c r="X13" i="3"/>
  <c r="X12" i="3"/>
  <c r="M42" i="3"/>
  <c r="M46" i="3" s="1"/>
  <c r="M49" i="3" s="1"/>
  <c r="X14" i="3" l="1"/>
  <c r="X11" i="3"/>
  <c r="F11" i="3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<sst xmlns="http://schemas.openxmlformats.org/spreadsheetml/2006/main" count="235" uniqueCount="174">
  <si>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</si>
  <si>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</si>
  <si>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</si>
  <si>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</si>
  <si>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</si>
  <si>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</si>
  <si>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</si>
  <si>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</si>
  <si>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</si>
  <si>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</si>
  <si>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</si>
  <si>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</si>
  <si>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</si>
  <si>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</si>
  <si>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</si>
  <si>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</si>
  <si>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</si>
  <si>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</si>
  <si>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</si>
  <si>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</si>
  <si>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</si>
  <si>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</si>
  <si>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</si>
  <si>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</si>
  <si>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</si>
  <si>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</si>
  <si>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</si>
  <si>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</si>
  <si>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</si>
  <si>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</si>
  <si>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</si>
  <si>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</si>
  <si>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</si>
  <si>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</si>
  <si>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</si>
  <si>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</si>
  <si>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</si>
  <si>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</si>
  <si>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</si>
  <si>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</si>
  <si>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</si>
  <si>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</si>
  <si>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</si>
  <si>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</si>
  <si>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</si>
  <si>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</si>
  <si>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</si>
  <si>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</si>
  <si>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</si>
  <si>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</si>
  <si>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</si>
  <si>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</si>
  <si>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</si>
  <si>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</si>
  <si>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</si>
  <si>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</si>
  <si>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</si>
  <si>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</si>
  <si>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</si>
  <si>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</si>
  <si>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</si>
  <si>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</si>
  <si>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</si>
  <si>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</si>
  <si>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</si>
  <si>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</si>
  <si>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</si>
  <si>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</si>
  <si>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</si>
  <si>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</si>
  <si>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</si>
  <si>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</si>
  <si>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</si>
  <si>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</si>
  <si>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</si>
  <si>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</si>
  <si>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</si>
  <si>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</si>
  <si>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</si>
  <si>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</si>
  <si>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</si>
  <si>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</si>
  <si>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</si>
  <si>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</si>
  <si>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</si>
  <si>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</si>
  <si>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</si>
  <si>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</si>
  <si>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</si>
  <si>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</si>
  <si>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</si>
  <si>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</si>
  <si>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</si>
  <si>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</si>
  <si>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</si>
  <si>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</si>
  <si>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</si>
  <si>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</si>
  <si>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</si>
  <si>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</si>
  <si>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</si>
  <si>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</si>
  <si>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</si>
  <si>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</si>
  <si>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</si>
  <si>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</si>
  <si>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</si>
  <si>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</si>
  <si>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</si>
  <si>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</si>
  <si>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</si>
  <si>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</si>
  <si>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</si>
  <si>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</si>
  <si>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</si>
  <si>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</si>
  <si>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</si>
  <si>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</si>
  <si>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</si>
  <si>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</si>
  <si>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</si>
  <si>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</si>
  <si>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</si>
  <si>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</si>
  <si>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</si>
  <si>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</si>
  <si>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</si>
  <si>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</si>
  <si>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</si>
  <si>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</si>
  <si>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</si>
  <si>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</si>
  <si>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</si>
  <si>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</si>
  <si>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</si>
  <si>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</si>
  <si>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</si>
  <si>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</si>
  <si>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</si>
  <si>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</si>
  <si>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</si>
  <si>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</si>
  <si>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</si>
  <si>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</si>
  <si>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</si>
  <si>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</si>
  <si>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</si>
  <si>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</si>
  <si>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</si>
  <si>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</si>
  <si>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</si>
  <si>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</si>
  <si>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</si>
  <si>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</si>
  <si>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</si>
  <si>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</si>
  <si>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</si>
  <si>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</si>
  <si>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</si>
  <si>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</si>
  <si>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</si>
  <si>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</si>
  <si>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</si>
  <si>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</si>
  <si>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</si>
  <si>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</si>
  <si>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CUB C/R FRENTE 90° R8</t>
  </si>
  <si>
    <t>7 DIAS HABILES</t>
  </si>
  <si>
    <t>SANTIAGO</t>
  </si>
  <si>
    <t>SI</t>
  </si>
  <si>
    <t>N° 11208</t>
  </si>
  <si>
    <t>CRISTIAN REBOLLEDO</t>
  </si>
  <si>
    <t>+569 4977 4632</t>
  </si>
  <si>
    <t>ASHES GRANITE 40265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</si>
</sst>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16" sqref="G16"/>
    </sheetView>
  </sheetViews>
  <sheetFormatPr baseColWidth="10" defaultRowHeight="15" x14ac:dyDescent="0.25"/>
  <cols>
    <col min="1" max="1" width="6" customWidth="1"/>
    <col min="2" max="2" width="10.5703125" customWidth="1"/>
    <col min="3" max="3" width="42.5703125" customWidth="1"/>
    <col min="4" max="4" width="11.140625" customWidth="1"/>
    <col min="5" max="5" width="10.5703125" customWidth="1"/>
    <col min="6" max="6" width="34.28515625" customWidth="1"/>
    <col min="7" max="7" width="14" customWidth="1"/>
    <col min="8" max="9" width="15.42578125" customWidth="1"/>
    <col min="10" max="10" width="13.42578125" customWidth="1"/>
    <col min="12" max="12" width="9.5703125" style="18" customWidth="1"/>
    <col min="13" max="13" width="8.85546875" customWidth="1"/>
    <col min="14" max="14" width="8.28515625" customWidth="1"/>
    <col min="15" max="15" width="9.42578125" customWidth="1"/>
    <col min="16" max="16" width="7.7109375" customWidth="1"/>
    <col min="17" max="17" width="9.42578125" customWidth="1"/>
    <col min="18" max="18" width="10.140625" customWidth="1"/>
    <col min="19" max="19" width="8.85546875" customWidth="1"/>
    <col min="20" max="20" width="9.7109375" customWidth="1"/>
    <col min="21" max="21" width="9.28515625" customWidth="1"/>
    <col min="22" max="22" width="9.7109375" customWidth="1"/>
    <col min="23" max="23" width="10.85546875" customWidth="1"/>
    <col min="24" max="24" width="10.42578125" customWidth="1"/>
    <col min="25" max="25" width="9" customWidth="1"/>
  </cols>
  <sheetData>
    <row r="2" spans="2:24" ht="15.75" x14ac:dyDescent="0.25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25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25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25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75" x14ac:dyDescent="0.25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.75" thickBot="1" x14ac:dyDescent="0.3">
      <c r="F7" s="59" t="s">
        <v>124</v>
      </c>
      <c r="Q7" s="2"/>
      <c r="R7" s="2"/>
      <c r="S7" s="3"/>
      <c r="T7" s="3"/>
      <c r="U7" s="2"/>
      <c r="V7" s="2"/>
      <c r="W7" s="3"/>
    </row>
    <row r="8" spans="2:24" ht="21.75" thickBot="1" x14ac:dyDescent="0.4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.75" thickBot="1" x14ac:dyDescent="0.3">
      <c r="R9" s="2"/>
      <c r="S9" s="3"/>
      <c r="T9" s="3"/>
      <c r="U9" s="4"/>
      <c r="V9" s="2"/>
      <c r="W9" s="3"/>
    </row>
    <row r="10" spans="2:24" x14ac:dyDescent="0.25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45637</v>
      </c>
      <c r="H10" s="245"/>
      <c r="K10" s="1"/>
      <c r="R10" s="2"/>
      <c r="S10" s="3"/>
      <c r="T10" s="3"/>
      <c r="U10" s="4"/>
      <c r="V10" s="2"/>
      <c r="W10" s="3"/>
    </row>
    <row r="11" spans="2:24" ht="16.5" x14ac:dyDescent="0.3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5" x14ac:dyDescent="0.3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25">
      <c r="B13" s="287" t="s">
        <v>146</v>
      </c>
      <c r="G13" s="307"/>
      <c r="H13" s="289"/>
      <c r="Q13" s="19"/>
      <c r="R13" s="25"/>
      <c r="S13" s="19"/>
    </row>
    <row r="14" spans="2:24" x14ac:dyDescent="0.25">
      <c r="B14" s="246" t="s">
        <v>139</v>
      </c>
      <c r="C14" s="314"/>
      <c r="D14" s="247"/>
      <c r="E14" s="247"/>
      <c r="F14" s="315" t="s">
        <v>136</v>
      </c>
      <c r="G14" s="290" t="s">
        <v>169</v>
      </c>
      <c r="H14" s="248"/>
      <c r="K14" s="29"/>
      <c r="Q14" s="20"/>
      <c r="R14" s="26" t="s">
        <v>17</v>
      </c>
      <c r="S14" s="20"/>
    </row>
    <row r="15" spans="2:24" ht="15.75" x14ac:dyDescent="0.25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5" x14ac:dyDescent="0.3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.75" thickBot="1" x14ac:dyDescent="0.3">
      <c r="B17" s="311" t="s">
        <v>13</v>
      </c>
      <c r="C17" s="312" t="s">
        <v>168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">
      <c r="J18" s="47"/>
      <c r="K18" s="5"/>
      <c r="V18" s="9"/>
      <c r="X18" s="6"/>
      <c r="Y18" s="6"/>
    </row>
    <row r="19" spans="2:25" ht="13.5" customHeight="1" thickBot="1" x14ac:dyDescent="0.3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25" x14ac:dyDescent="0.2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97338.363656171714</v>
      </c>
      <c r="R20" s="258">
        <v>3000</v>
      </c>
      <c r="S20" s="38"/>
      <c r="T20" s="14" t="s">
        <v>128</v>
      </c>
      <c r="U20" s="9"/>
      <c r="X20" s="4"/>
    </row>
    <row r="21" spans="2:25" ht="17.25" x14ac:dyDescent="0.25">
      <c r="B21" s="330">
        <v>1</v>
      </c>
      <c r="C21" s="330" t="s">
        <v>166</v>
      </c>
      <c r="D21" s="331">
        <v>1.49</v>
      </c>
      <c r="E21" s="331">
        <v>0.52</v>
      </c>
      <c r="F21" s="330" t="s">
        <v>173</v>
      </c>
      <c r="G21" s="332">
        <v>79467</v>
      </c>
      <c r="H21" s="332">
        <f>G21*B21</f>
        <v>79467</v>
      </c>
      <c r="I21" s="320"/>
      <c r="J21" s="265"/>
      <c r="K21" s="47"/>
      <c r="L21" s="47">
        <f>B21</f>
        <v>1</v>
      </c>
      <c r="M21" s="39">
        <f>D21+M$19</f>
        <v>1.57</v>
      </c>
      <c r="N21" s="39">
        <f>E21+$N$19</f>
        <v>0.52</v>
      </c>
      <c r="O21" s="261">
        <f t="shared" ref="O21" si="1">M21*N21</f>
        <v>0.81640000000000001</v>
      </c>
      <c r="P21" s="259">
        <f t="shared" ref="P21" si="2">O21*L21</f>
        <v>0.81640000000000001</v>
      </c>
      <c r="Q21" s="252">
        <f t="shared" ref="Q21" si="3">Q$20*O21</f>
        <v>79467.04008889859</v>
      </c>
      <c r="R21" s="319">
        <f t="shared" ref="R21" si="4">Q21+R$20</f>
        <v>82467.04008889859</v>
      </c>
      <c r="S21" s="297">
        <f>M21*L21</f>
        <v>1.57</v>
      </c>
      <c r="T21" s="46">
        <f>N21*2*L21*2</f>
        <v>2.08</v>
      </c>
      <c r="U21" s="9"/>
      <c r="X21" s="4"/>
    </row>
    <row r="22" spans="2:25" ht="17.25" x14ac:dyDescent="0.25">
      <c r="B22" s="330">
        <v>1</v>
      </c>
      <c r="C22" s="330" t="s">
        <v>166</v>
      </c>
      <c r="D22" s="331">
        <v>0.82</v>
      </c>
      <c r="E22" s="331">
        <v>0.6</v>
      </c>
      <c r="F22" s="330" t="s">
        <v>173</v>
      </c>
      <c r="G22" s="332">
        <v>52563</v>
      </c>
      <c r="H22" s="332">
        <f t="shared" ref="H22:H24" si="5">G22*B22</f>
        <v>52563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0.89999999999999991</v>
      </c>
      <c r="N22" s="39">
        <f t="shared" ref="N22" si="8">E22+$N$19</f>
        <v>0.6</v>
      </c>
      <c r="O22" s="261">
        <f t="shared" ref="O22" si="9">M22*N22</f>
        <v>0.53999999999999992</v>
      </c>
      <c r="P22" s="259">
        <f t="shared" ref="P22" si="10">O22*L22</f>
        <v>0.53999999999999992</v>
      </c>
      <c r="Q22" s="252">
        <f t="shared" ref="Q22" si="11">Q$20*O22</f>
        <v>52562.716374332718</v>
      </c>
      <c r="R22" s="319">
        <f t="shared" ref="R22" si="12">Q22+R$20</f>
        <v>55562.716374332718</v>
      </c>
      <c r="S22" s="297">
        <f>M22*L22</f>
        <v>0.89999999999999991</v>
      </c>
      <c r="T22" s="46"/>
      <c r="U22" s="9"/>
      <c r="X22" s="4"/>
    </row>
    <row r="23" spans="2:25" ht="17.25" x14ac:dyDescent="0.25">
      <c r="B23" s="330">
        <v>1</v>
      </c>
      <c r="C23" s="330" t="s">
        <v>166</v>
      </c>
      <c r="D23" s="331">
        <v>2.02</v>
      </c>
      <c r="E23" s="331">
        <v>0.57999999999999996</v>
      </c>
      <c r="F23" s="330" t="s">
        <v>173</v>
      </c>
      <c r="G23" s="332">
        <v>118558</v>
      </c>
      <c r="H23" s="332">
        <f t="shared" si="5"/>
        <v>118558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2.1</v>
      </c>
      <c r="N23" s="39">
        <f t="shared" ref="N23" si="15">E23+$N$19</f>
        <v>0.57999999999999996</v>
      </c>
      <c r="O23" s="261">
        <f t="shared" ref="O23" si="16">M23*N23</f>
        <v>1.218</v>
      </c>
      <c r="P23" s="259">
        <f t="shared" ref="P23" si="17">O23*L23</f>
        <v>1.218</v>
      </c>
      <c r="Q23" s="252">
        <f t="shared" ref="Q23" si="18">Q$20*O23</f>
        <v>118558.12693321715</v>
      </c>
      <c r="R23" s="319">
        <f t="shared" ref="R23" si="19">Q23+R$20</f>
        <v>121558.12693321715</v>
      </c>
      <c r="S23" s="297"/>
      <c r="T23" s="46"/>
      <c r="U23" s="9"/>
      <c r="X23" s="4"/>
    </row>
    <row r="24" spans="2:25" ht="17.25" x14ac:dyDescent="0.25">
      <c r="B24" s="330">
        <v>1</v>
      </c>
      <c r="C24" s="330" t="s">
        <v>166</v>
      </c>
      <c r="D24" s="331">
        <v>2.0299999999999998</v>
      </c>
      <c r="E24" s="331">
        <v>0.52</v>
      </c>
      <c r="F24" s="330" t="s">
        <v>173</v>
      </c>
      <c r="G24" s="332">
        <v>106800</v>
      </c>
      <c r="H24" s="332">
        <f t="shared" si="5"/>
        <v>106800</v>
      </c>
      <c r="I24" s="320"/>
      <c r="J24" s="265"/>
      <c r="K24" s="47"/>
      <c r="L24" s="47">
        <f t="shared" ref="L24" si="20">B24</f>
        <v>1</v>
      </c>
      <c r="M24" s="39">
        <f t="shared" ref="M24" si="21">D24+M$19</f>
        <v>2.11</v>
      </c>
      <c r="N24" s="39">
        <f t="shared" ref="N24" si="22">E24+$N$19</f>
        <v>0.52</v>
      </c>
      <c r="O24" s="261">
        <f t="shared" ref="O24" si="23">M24*N24</f>
        <v>1.0972</v>
      </c>
      <c r="P24" s="259">
        <f t="shared" ref="P24" si="24">O24*L24</f>
        <v>1.0972</v>
      </c>
      <c r="Q24" s="252">
        <f t="shared" ref="Q24" si="25">Q$20*O24</f>
        <v>106799.6526035516</v>
      </c>
      <c r="R24" s="319">
        <f t="shared" ref="R24" si="26">Q24+R$20</f>
        <v>109799.6526035516</v>
      </c>
      <c r="S24" s="297"/>
      <c r="T24" s="46"/>
      <c r="U24" s="9"/>
      <c r="X24" s="4"/>
    </row>
    <row r="25" spans="2:25" ht="17.25" x14ac:dyDescent="0.25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25" x14ac:dyDescent="0.25">
      <c r="B27" s="285"/>
      <c r="C27" s="285"/>
      <c r="D27" s="286"/>
      <c r="E27" s="286"/>
      <c r="F27" s="285"/>
      <c r="G27" s="324" t="s">
        <v>28</v>
      </c>
      <c r="H27" s="325">
        <f>SUM(H21:H26)</f>
        <v>357388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2.08</v>
      </c>
      <c r="U27" s="9"/>
      <c r="X27" s="4"/>
    </row>
    <row r="28" spans="2:25" ht="17.25" x14ac:dyDescent="0.25">
      <c r="B28" s="279"/>
      <c r="C28" s="282"/>
      <c r="D28" s="283"/>
      <c r="E28" s="283"/>
      <c r="F28" s="284"/>
      <c r="G28" s="296" t="s">
        <v>51</v>
      </c>
      <c r="H28" s="294">
        <f>H27*19%</f>
        <v>67903.72</v>
      </c>
      <c r="I28" s="322"/>
      <c r="J28" s="265"/>
      <c r="K28" s="47"/>
      <c r="L28" s="47"/>
      <c r="M28" s="39">
        <f>SUM(M21:M27)</f>
        <v>6.68</v>
      </c>
      <c r="N28" s="12"/>
      <c r="O28" s="12"/>
      <c r="P28" s="253">
        <f>SUM(P21:P26)</f>
        <v>3.6715999999999998</v>
      </c>
      <c r="Q28" s="14"/>
      <c r="R28" s="12"/>
      <c r="S28" s="239">
        <f>SUM(S21:S27)</f>
        <v>2.4699999999999998</v>
      </c>
      <c r="T28" s="46"/>
      <c r="U28" s="9"/>
      <c r="X28" s="4"/>
    </row>
    <row r="29" spans="2:25" ht="18" thickBot="1" x14ac:dyDescent="0.3">
      <c r="B29" s="275"/>
      <c r="C29" s="281"/>
      <c r="D29" s="272"/>
      <c r="E29" s="272"/>
      <c r="F29" s="273"/>
      <c r="G29" s="280" t="s">
        <v>6</v>
      </c>
      <c r="H29" s="295">
        <f>H27+H28</f>
        <v>425291.72</v>
      </c>
      <c r="I29" s="322"/>
      <c r="J29" s="265"/>
      <c r="K29" s="47"/>
      <c r="L29" s="47"/>
      <c r="M29" s="39"/>
      <c r="N29" s="12"/>
      <c r="O29" s="12"/>
      <c r="P29" s="253">
        <f>P28</f>
        <v>3.6715999999999998</v>
      </c>
      <c r="Q29" s="14"/>
      <c r="R29" s="12"/>
      <c r="S29" s="239"/>
      <c r="T29" s="46"/>
      <c r="U29" s="9"/>
      <c r="X29" s="4"/>
    </row>
    <row r="30" spans="2:25" ht="17.25" x14ac:dyDescent="0.25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0.73431999999999997</v>
      </c>
      <c r="Q30" s="39" t="s">
        <v>130</v>
      </c>
      <c r="R30" s="42"/>
      <c r="S30" s="240"/>
      <c r="T30" s="14"/>
      <c r="U30" s="9"/>
      <c r="X30" s="4"/>
    </row>
    <row r="31" spans="2:25" ht="17.25" x14ac:dyDescent="0.3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4.4059200000000001</v>
      </c>
      <c r="Q31" s="14"/>
      <c r="R31" s="14"/>
      <c r="S31" s="238"/>
      <c r="T31" s="14"/>
      <c r="U31" s="9"/>
      <c r="X31" s="4"/>
    </row>
    <row r="32" spans="2:25" ht="17.25" x14ac:dyDescent="0.3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25" x14ac:dyDescent="0.3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4.4059200000000001</v>
      </c>
      <c r="N33" s="12">
        <v>1500</v>
      </c>
      <c r="O33" s="12">
        <f t="shared" ref="O33:O38" si="27">M33*N33</f>
        <v>6608.88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25" x14ac:dyDescent="0.3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25000</v>
      </c>
      <c r="O34" s="12">
        <f t="shared" si="27"/>
        <v>25000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25" x14ac:dyDescent="0.3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2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25" x14ac:dyDescent="0.3">
      <c r="B36" s="24" t="s">
        <v>144</v>
      </c>
      <c r="C36"/>
      <c r="D36"/>
      <c r="E36"/>
      <c r="F36"/>
      <c r="J36" s="262"/>
      <c r="K36" s="232"/>
      <c r="L36" s="250"/>
      <c r="M36" s="14">
        <v>3</v>
      </c>
      <c r="N36" s="250">
        <v>42500</v>
      </c>
      <c r="O36" s="12">
        <f t="shared" si="27"/>
        <v>127500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25" x14ac:dyDescent="0.3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25" x14ac:dyDescent="0.3">
      <c r="J38" s="293"/>
      <c r="K38" s="260"/>
      <c r="L38" s="250"/>
      <c r="M38" s="266">
        <v>6.68</v>
      </c>
      <c r="N38" s="12">
        <v>500</v>
      </c>
      <c r="O38" s="12">
        <f t="shared" si="27"/>
        <v>3340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25" x14ac:dyDescent="0.3">
      <c r="K39" s="260"/>
      <c r="L39" s="250"/>
      <c r="M39" s="14"/>
      <c r="N39" s="12"/>
      <c r="O39" s="12">
        <f>SUM(O33:O38)</f>
        <v>162448.88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25" x14ac:dyDescent="0.3">
      <c r="L40" s="250"/>
      <c r="M40" s="254" t="s">
        <v>33</v>
      </c>
      <c r="N40" s="12"/>
      <c r="O40" s="255">
        <f>O39*2.2</f>
        <v>357387.53600000002</v>
      </c>
      <c r="P40" s="14" t="s">
        <v>140</v>
      </c>
      <c r="Q40" s="14"/>
      <c r="R40" s="40">
        <f>P31/R39</f>
        <v>1.1879637618636756</v>
      </c>
      <c r="S40"/>
      <c r="T40" s="257"/>
    </row>
    <row r="41" spans="1:24" s="230" customFormat="1" ht="17.25" x14ac:dyDescent="0.3">
      <c r="G41"/>
      <c r="H41" s="260"/>
      <c r="I41" s="260"/>
      <c r="J41" s="260"/>
      <c r="K41" s="230">
        <v>60910</v>
      </c>
      <c r="L41" s="250"/>
      <c r="M41" s="14"/>
      <c r="N41" s="12"/>
      <c r="O41" s="12">
        <f>O40/P29</f>
        <v>97338.363656171714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25" x14ac:dyDescent="0.3">
      <c r="G42"/>
      <c r="K42" s="230">
        <f>K41/1.19</f>
        <v>51184.873949579836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25" x14ac:dyDescent="0.3">
      <c r="G43" s="23"/>
      <c r="L43" s="12"/>
      <c r="T43" s="238"/>
      <c r="U43" s="59" t="s">
        <v>161</v>
      </c>
      <c r="V43" s="301">
        <v>395.37</v>
      </c>
    </row>
    <row r="44" spans="1:24" s="230" customFormat="1" ht="17.25" x14ac:dyDescent="0.3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5" customHeight="1" x14ac:dyDescent="0.25">
      <c r="L45" s="12"/>
      <c r="U45" s="59"/>
      <c r="V45" s="59"/>
    </row>
    <row r="46" spans="1:24" x14ac:dyDescent="0.25">
      <c r="L46" s="250"/>
    </row>
    <row r="47" spans="1:24" x14ac:dyDescent="0.25">
      <c r="L47" s="250"/>
      <c r="T47" s="270"/>
    </row>
    <row r="48" spans="1:24" x14ac:dyDescent="0.25">
      <c r="L48" s="250"/>
    </row>
    <row r="49" spans="15:20" ht="15" customHeight="1" x14ac:dyDescent="0.25"/>
    <row r="51" spans="15:20" x14ac:dyDescent="0.25">
      <c r="O51">
        <v>40935</v>
      </c>
      <c r="P51" t="s">
        <v>16</v>
      </c>
      <c r="Q51" t="s">
        <v>26</v>
      </c>
    </row>
    <row r="53" spans="15:20" x14ac:dyDescent="0.25">
      <c r="O53" s="54"/>
      <c r="P53" s="54"/>
    </row>
    <row r="54" spans="15:20" x14ac:dyDescent="0.25">
      <c r="S54" s="18"/>
      <c r="T54" s="18"/>
    </row>
    <row r="55" spans="15:20" x14ac:dyDescent="0.25">
      <c r="S55" s="18"/>
      <c r="T55" s="18"/>
    </row>
    <row r="56" spans="15:20" x14ac:dyDescent="0.25">
      <c r="S56" s="18"/>
      <c r="T56" s="18"/>
    </row>
    <row r="57" spans="15:20" x14ac:dyDescent="0.25">
      <c r="S57" s="18"/>
      <c r="T57" s="18"/>
    </row>
    <row r="58" spans="15:20" x14ac:dyDescent="0.25">
      <c r="S58" s="18"/>
      <c r="T58" s="18"/>
    </row>
    <row r="59" spans="15:20" x14ac:dyDescent="0.25">
      <c r="S59" s="18"/>
      <c r="T59" s="18"/>
    </row>
    <row r="60" spans="15:20" x14ac:dyDescent="0.25">
      <c r="S60" s="18"/>
      <c r="T60" s="18"/>
    </row>
    <row r="61" spans="15:20" x14ac:dyDescent="0.25">
      <c r="S61" s="18"/>
      <c r="T61" s="18"/>
    </row>
    <row r="62" spans="15:20" x14ac:dyDescent="0.25">
      <c r="S62" s="18"/>
      <c r="T62" s="18"/>
    </row>
    <row r="65" spans="3:15" x14ac:dyDescent="0.25">
      <c r="O65" s="43"/>
    </row>
    <row r="66" spans="3:15" x14ac:dyDescent="0.25">
      <c r="O66" s="43"/>
    </row>
    <row r="67" spans="3:15" x14ac:dyDescent="0.25">
      <c r="O67" s="6"/>
    </row>
    <row r="68" spans="3:15" x14ac:dyDescent="0.25">
      <c r="O68" s="6"/>
    </row>
    <row r="76" spans="3:15" x14ac:dyDescent="0.25">
      <c r="C76" t="s">
        <v>148</v>
      </c>
    </row>
    <row r="77" spans="3:15" x14ac:dyDescent="0.25">
      <c r="C77" t="s">
        <v>147</v>
      </c>
    </row>
    <row r="80" spans="3:15" x14ac:dyDescent="0.25">
      <c r="C80" t="s">
        <v>147</v>
      </c>
    </row>
    <row r="157" spans="3:3" x14ac:dyDescent="0.25">
      <c r="C157" t="s">
        <v>147</v>
      </c>
    </row>
    <row r="158" spans="3:3" x14ac:dyDescent="0.25">
      <c r="C158" t="s">
        <v>149</v>
      </c>
    </row>
    <row r="159" spans="3:3" x14ac:dyDescent="0.25">
      <c r="C159" t="s">
        <v>150</v>
      </c>
    </row>
    <row r="584" spans="3:3" x14ac:dyDescent="0.25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105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45637</v>
      </c>
    </row>
    <row r="6" spans="2:31" ht="16.5" thickBot="1" x14ac:dyDescent="0.3">
      <c r="B6" s="140" t="s">
        <v>2</v>
      </c>
      <c r="C6" s="139" t="str">
        <f>'2229'!C10</f>
        <v>CRISTIAN REBOLLEDO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5" thickBot="1" x14ac:dyDescent="0.3">
      <c r="B8" s="140" t="s">
        <v>100</v>
      </c>
      <c r="C8" s="139" t="str">
        <f>'2229'!D8</f>
        <v>N° 11208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.75" thickBot="1" x14ac:dyDescent="0.3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-42667.849700120772</v>
      </c>
    </row>
    <row r="10" spans="2:31" ht="16.5" thickBot="1" x14ac:dyDescent="0.3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93</v>
      </c>
      <c r="D11" s="133">
        <f>'2229'!H27</f>
        <v>357388</v>
      </c>
      <c r="E11" s="132">
        <f>D11*0.19</f>
        <v>67903.72</v>
      </c>
      <c r="F11" s="131">
        <f>E11+D11</f>
        <v>425291.72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63322.150299879228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97</v>
      </c>
      <c r="D12" s="136">
        <f>SUM(M43:M45)</f>
        <v>61442.970787439612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45322.150299879228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91</v>
      </c>
      <c r="D13" s="217">
        <f>D11-D12</f>
        <v>295945.02921256039</v>
      </c>
      <c r="E13" s="221">
        <f>(D11/D12)-1</f>
        <v>4.8165807320152965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36322.150299879228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-2677.8497001207725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121</v>
      </c>
      <c r="D15" s="214">
        <v>0.65</v>
      </c>
      <c r="E15" s="215">
        <f>(100%+D15)*D12</f>
        <v>101380.90179927535</v>
      </c>
      <c r="F15" s="216">
        <f>E15-D12</f>
        <v>39937.931011835739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-2677.8497001207725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37322.150299879228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21</v>
      </c>
      <c r="D20" s="122">
        <f>'2229'!O33</f>
        <v>6608.88</v>
      </c>
      <c r="E20" s="121">
        <f>D20*0.19</f>
        <v>1255.6872000000001</v>
      </c>
      <c r="F20" s="120">
        <f>SUM(D20:E20)</f>
        <v>7864.5672000000004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31608.880000000001</v>
      </c>
      <c r="E21" s="116">
        <f>SUM(E18:E20)</f>
        <v>6005.6872000000003</v>
      </c>
      <c r="F21" s="115">
        <f>SUM(F18:F20)</f>
        <v>37614.567199999998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.75" thickBot="1" x14ac:dyDescent="0.3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.75" thickBot="1" x14ac:dyDescent="0.3">
      <c r="B40" s="68" t="s">
        <v>52</v>
      </c>
      <c r="C40" s="67" t="s">
        <v>51</v>
      </c>
      <c r="D40" s="66">
        <f>E11-E21</f>
        <v>61898.032800000001</v>
      </c>
    </row>
    <row r="41" spans="2:16" ht="15.75" thickBot="1" x14ac:dyDescent="0.3">
      <c r="H41" s="342" t="s">
        <v>60</v>
      </c>
      <c r="I41" s="343"/>
      <c r="J41" s="343"/>
      <c r="K41" s="343"/>
      <c r="L41" s="343"/>
      <c r="M41" s="344"/>
    </row>
    <row r="42" spans="2:16" ht="15.75" thickBot="1" x14ac:dyDescent="0.3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357388</v>
      </c>
    </row>
    <row r="43" spans="2:16" ht="15.75" thickBot="1" x14ac:dyDescent="0.3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31608.880000000001</v>
      </c>
    </row>
    <row r="44" spans="2:16" x14ac:dyDescent="0.25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50</v>
      </c>
      <c r="J46" s="172"/>
      <c r="K46" s="172"/>
      <c r="L46" s="173"/>
      <c r="M46" s="62">
        <f>M42-(SUM(M43:M45))</f>
        <v>295945.02921256039</v>
      </c>
    </row>
    <row r="47" spans="2:16" x14ac:dyDescent="0.25">
      <c r="I47" s="162" t="s">
        <v>49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48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47</v>
      </c>
      <c r="J49" s="172"/>
      <c r="K49" s="172"/>
      <c r="L49" s="173"/>
      <c r="M49" s="62">
        <f>M46-SUM(M47:M48)</f>
        <v>295945.02921256039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2024-12-13T12:55:56Z</dcterms:modified>
</cp:coreProperties>
</file>