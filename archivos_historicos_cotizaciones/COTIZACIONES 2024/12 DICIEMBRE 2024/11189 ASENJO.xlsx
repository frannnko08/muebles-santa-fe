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24C66947-52DF-4874-A6C1-10CD1146A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1" i="1" s="1"/>
  <c r="D21" i="3"/>
  <c r="M43" i="3" s="1"/>
  <c r="D12" i="3" s="1"/>
  <c r="F20" i="3"/>
  <c r="F21" i="3" s="1"/>
  <c r="O39" i="1" l="1"/>
  <c r="E15" i="3"/>
  <c r="F15" i="3" l="1"/>
  <c r="R21" i="1" l="1"/>
  <c r="H21" i="1" l="1"/>
  <c r="H24" i="1" s="1"/>
  <c r="H25" i="1" s="1"/>
  <c r="H26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<sst xmlns="http://schemas.openxmlformats.org/spreadsheetml/2006/main" count="229" uniqueCount="173">
  <si>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</si>
  <si>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</si>
  <si>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</si>
  <si>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</si>
  <si>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</si>
  <si>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</si>
  <si>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</si>
  <si>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</si>
  <si>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</si>
  <si>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</si>
  <si>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</si>
  <si>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</si>
  <si>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</si>
  <si>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</si>
  <si>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</si>
  <si>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</si>
  <si>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</si>
  <si>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</si>
  <si>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</si>
  <si>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</si>
  <si>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</si>
  <si>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</si>
  <si>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</si>
  <si>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</si>
  <si>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</si>
  <si>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</si>
  <si>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</si>
  <si>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</si>
  <si>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</si>
  <si>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</si>
  <si>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</si>
  <si>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</si>
  <si>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</si>
  <si>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</si>
  <si>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</si>
  <si>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</si>
  <si>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</si>
  <si>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</si>
  <si>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</si>
  <si>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</si>
  <si>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</si>
  <si>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</si>
  <si>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</si>
  <si>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</si>
  <si>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</si>
  <si>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</si>
  <si>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</si>
  <si>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</si>
  <si>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</si>
  <si>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</si>
  <si>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</si>
  <si>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</si>
  <si>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</si>
  <si>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</si>
  <si>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</si>
  <si>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</si>
  <si>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</si>
  <si>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</si>
  <si>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</si>
  <si>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</si>
  <si>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</si>
  <si>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</si>
  <si>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</si>
  <si>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</si>
  <si>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</si>
  <si>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</si>
  <si>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</si>
  <si>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</si>
  <si>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</si>
  <si>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</si>
  <si>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</si>
  <si>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</si>
  <si>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</si>
  <si>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</si>
  <si>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</si>
  <si>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</si>
  <si>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</si>
  <si>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</si>
  <si>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</si>
  <si>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</si>
  <si>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</si>
  <si>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</si>
  <si>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</si>
  <si>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</si>
  <si>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</si>
  <si>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</si>
  <si>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</si>
  <si>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</si>
  <si>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</si>
  <si>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</si>
  <si>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</si>
  <si>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</si>
  <si>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</si>
  <si>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</si>
  <si>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</si>
  <si>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</si>
  <si>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</si>
  <si>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</si>
  <si>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</si>
  <si>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</si>
  <si>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</si>
  <si>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</si>
  <si>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</si>
  <si>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</si>
  <si>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</si>
  <si>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</si>
  <si>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</si>
  <si>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</si>
  <si>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</si>
  <si>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</si>
  <si>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</si>
  <si>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</si>
  <si>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</si>
  <si>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</si>
  <si>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</si>
  <si>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</si>
  <si>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</si>
  <si>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</si>
  <si>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</si>
  <si>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</si>
  <si>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</si>
  <si>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</si>
  <si>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</si>
  <si>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</si>
  <si>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</si>
  <si>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</si>
  <si>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</si>
  <si>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</si>
  <si>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</si>
  <si>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</si>
  <si>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</si>
  <si>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</si>
  <si>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</si>
  <si>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</si>
  <si>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</si>
  <si>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</si>
  <si>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</si>
  <si>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</si>
  <si>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</si>
  <si>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</si>
  <si>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</si>
  <si>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</si>
  <si>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</si>
  <si>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</si>
  <si>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</si>
  <si>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</si>
  <si>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</si>
  <si>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</si>
  <si>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</si>
  <si>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</si>
  <si>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</si>
  <si>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</si>
  <si>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</si>
  <si>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</si>
  <si>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</si>
  <si>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</si>
  <si>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</si>
  <si>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</si>
  <si>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</si>
  <si>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</si>
  <si>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</si>
  <si>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</si>
  <si>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</si>
  <si>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</si>
  <si>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</si>
  <si>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</si>
  <si>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</si>
  <si>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11188</t>
  </si>
  <si>
    <t>SERGIO PONCE</t>
  </si>
  <si>
    <t>569 7541 6533</t>
  </si>
  <si>
    <t>7 DIAS HABILES</t>
  </si>
  <si>
    <t>CUB C/R 90° R8</t>
  </si>
  <si>
    <t>SKY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</si>
</sst>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7" zoomScale="93" zoomScaleNormal="93" workbookViewId="0">
      <selection activeCell="H36" sqref="H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74299.523809523831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3</v>
      </c>
      <c r="E21" s="331">
        <v>0.6</v>
      </c>
      <c r="F21" s="330" t="s">
        <v>172</v>
      </c>
      <c r="G21" s="332">
        <v>140306</v>
      </c>
      <c r="H21" s="333">
        <f>G21*B21</f>
        <v>140306</v>
      </c>
      <c r="I21" s="320"/>
      <c r="J21" s="265"/>
      <c r="K21" s="47"/>
      <c r="L21" s="335">
        <f>B21</f>
        <v>1</v>
      </c>
      <c r="M21" s="336">
        <f>D21+M$19</f>
        <v>3.08</v>
      </c>
      <c r="N21" s="336">
        <f>E21+$N$19</f>
        <v>0.6</v>
      </c>
      <c r="O21" s="261">
        <f t="shared" ref="O21" si="1">M21*N21</f>
        <v>1.8479999999999999</v>
      </c>
      <c r="P21" s="259">
        <f t="shared" ref="P21" si="2">O21*L21</f>
        <v>1.8479999999999999</v>
      </c>
      <c r="Q21" s="252">
        <f t="shared" ref="Q21" si="3">Q$20*O21</f>
        <v>137305.52000000002</v>
      </c>
      <c r="R21" s="319">
        <f t="shared" ref="R21" si="4">Q21+R$20</f>
        <v>140305.52000000002</v>
      </c>
      <c r="S21" s="297">
        <f>L21*M21*2</f>
        <v>6.16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140306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26658.14</v>
      </c>
      <c r="I25" s="322"/>
      <c r="J25" s="265"/>
      <c r="K25" s="47"/>
      <c r="L25" s="47"/>
      <c r="M25" s="39">
        <f>SUM(M21:M21)</f>
        <v>3.08</v>
      </c>
      <c r="N25" s="12"/>
      <c r="O25" s="12"/>
      <c r="P25" s="253">
        <f>SUM(P21:P21)</f>
        <v>1.8479999999999999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166964.14000000001</v>
      </c>
      <c r="I26" s="322"/>
      <c r="J26" s="265"/>
      <c r="K26" s="47"/>
      <c r="L26" s="47"/>
      <c r="M26" s="39"/>
      <c r="N26" s="12"/>
      <c r="O26" s="12"/>
      <c r="P26" s="253">
        <f>P25</f>
        <v>1.8479999999999999</v>
      </c>
      <c r="Q26" s="14"/>
      <c r="R26" s="12"/>
      <c r="S26" s="239">
        <f>SUM(S21:S25)</f>
        <v>6.16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0.36959999999999998</v>
      </c>
      <c r="Q27" s="39" t="s">
        <v>130</v>
      </c>
      <c r="R27" s="42"/>
      <c r="S27" s="240">
        <f>S26+T24</f>
        <v>8.56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2.2176</v>
      </c>
      <c r="Q28" s="14"/>
      <c r="R28" s="14"/>
      <c r="S28" s="238">
        <f>S27*20%</f>
        <v>1.7120000000000002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10.272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2.2176</v>
      </c>
      <c r="N30" s="12">
        <v>3500</v>
      </c>
      <c r="O30" s="12">
        <f t="shared" ref="O30:O35" si="5">M30*N30</f>
        <v>7761.6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25000</v>
      </c>
      <c r="O31" s="12">
        <f t="shared" si="5"/>
        <v>15000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49250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35000</v>
      </c>
      <c r="O33" s="12">
        <f t="shared" si="5"/>
        <v>35000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3.1</v>
      </c>
      <c r="N35" s="12">
        <v>1500</v>
      </c>
      <c r="O35" s="12">
        <f t="shared" si="5"/>
        <v>4650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62411.6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137305.52000000002</v>
      </c>
      <c r="P37" s="14" t="s">
        <v>140</v>
      </c>
      <c r="Q37" s="14"/>
      <c r="R37" s="40">
        <f>P28/R36</f>
        <v>0.59792924935289038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58560</v>
      </c>
      <c r="L38" s="250"/>
      <c r="M38" s="14"/>
      <c r="N38" s="12"/>
      <c r="O38" s="12">
        <f>O37/P26</f>
        <v>74299.523809523831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49210.08403361345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45628</v>
      </c>
    </row>
    <row r="6" spans="2:31" ht="16.2" thickBot="1" x14ac:dyDescent="0.35">
      <c r="B6" s="140" t="s">
        <v>2</v>
      </c>
      <c r="C6" s="139" t="str">
        <f>'2229'!C10</f>
        <v>SERGIO PONCE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-8920.5183667874389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140306</v>
      </c>
      <c r="E11" s="132">
        <f>D11*0.19</f>
        <v>26658.14</v>
      </c>
      <c r="F11" s="131">
        <f>E11+D11</f>
        <v>166964.14000000001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97069.481633212563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52595.690787439613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79069.481633212563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87710.309212560387</v>
      </c>
      <c r="E13" s="221">
        <f>(D11/D12)-1</f>
        <v>1.6676329923497555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70069.481633212563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31069.481633212563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86782.889799275363</v>
      </c>
      <c r="F15" s="216">
        <f>E15-D12</f>
        <v>34187.19901183575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31069.481633212563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71069.481633212563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7761.6</v>
      </c>
      <c r="E20" s="121">
        <f>D20*0.19</f>
        <v>1474.7040000000002</v>
      </c>
      <c r="F20" s="120">
        <f>SUM(D20:E20)</f>
        <v>9236.3040000000001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22761.599999999999</v>
      </c>
      <c r="E21" s="116">
        <f>SUM(E18:E20)</f>
        <v>4324.7039999999997</v>
      </c>
      <c r="F21" s="115">
        <f>SUM(F18:F20)</f>
        <v>27086.304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22333.436000000002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140306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22761.599999999999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87710.309212560387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87710.309212560387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2024-11-28T20:51:14Z</cp:lastPrinted>
  <dcterms:created xsi:type="dcterms:W3CDTF">2013-03-18T13:35:42Z</dcterms:created>
  <dcterms:modified xsi:type="dcterms:W3CDTF">2024-12-03T21:30:27Z</dcterms:modified>
</cp:coreProperties>
</file>