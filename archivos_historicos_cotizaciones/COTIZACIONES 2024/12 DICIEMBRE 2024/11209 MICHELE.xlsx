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4\"/>
    </mc:Choice>
  </mc:AlternateContent>
  <xr:revisionPtr revIDLastSave="0" documentId="13_ncr:1_{3C03B6AE-61BB-4B01-9524-DFBB43969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D13" i="3"/>
  <c r="E13" i="3"/>
  <c r="X16" i="3"/>
  <c r="E11" i="3"/>
  <c r="D40" i="3" s="1"/>
  <c r="M42" i="3"/>
  <c r="M46" i="3" s="1"/>
  <c r="M49" i="3" s="1"/>
  <c r="X12" i="3" l="1"/>
  <c r="X13" i="3"/>
  <c r="X14" i="3"/>
  <c r="X11" i="3"/>
  <c r="F11" i="3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<sst xmlns="http://schemas.openxmlformats.org/spreadsheetml/2006/main" count="229" uniqueCount="173">
  <si>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</si>
  <si>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</si>
  <si>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</si>
  <si>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</si>
  <si>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</si>
  <si>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</si>
  <si>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</si>
  <si>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</si>
  <si>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</si>
  <si>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</si>
  <si>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</si>
  <si>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</si>
  <si>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</si>
  <si>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</si>
  <si>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</si>
  <si>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</si>
  <si>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</si>
  <si>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</si>
  <si>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</si>
  <si>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</si>
  <si>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</si>
  <si>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</si>
  <si>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</si>
  <si>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</si>
  <si>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</si>
  <si>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</si>
  <si>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</si>
  <si>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</si>
  <si>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</si>
  <si>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</si>
  <si>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</si>
  <si>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</si>
  <si>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</si>
  <si>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</si>
  <si>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</si>
  <si>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</si>
  <si>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</si>
  <si>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</si>
  <si>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</si>
  <si>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</si>
  <si>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</si>
  <si>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</si>
  <si>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</si>
  <si>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</si>
  <si>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</si>
  <si>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</si>
  <si>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</si>
  <si>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</si>
  <si>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</si>
  <si>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</si>
  <si>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</si>
  <si>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</si>
  <si>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</si>
  <si>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</si>
  <si>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</si>
  <si>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</si>
  <si>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</si>
  <si>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</si>
  <si>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</si>
  <si>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</si>
  <si>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</si>
  <si>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</si>
  <si>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</si>
  <si>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</si>
  <si>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</si>
  <si>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</si>
  <si>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</si>
  <si>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</si>
  <si>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</si>
  <si>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</si>
  <si>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</si>
  <si>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</si>
  <si>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</si>
  <si>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</si>
  <si>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</si>
  <si>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</si>
  <si>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</si>
  <si>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</si>
  <si>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</si>
  <si>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</si>
  <si>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</si>
  <si>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</si>
  <si>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</si>
  <si>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</si>
  <si>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</si>
  <si>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</si>
  <si>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</si>
  <si>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</si>
  <si>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</si>
  <si>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</si>
  <si>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</si>
  <si>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</si>
  <si>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</si>
  <si>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</si>
  <si>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</si>
  <si>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</si>
  <si>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</si>
  <si>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</si>
  <si>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</si>
  <si>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</si>
  <si>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</si>
  <si>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</si>
  <si>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</si>
  <si>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</si>
  <si>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</si>
  <si>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</si>
  <si>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</si>
  <si>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</si>
  <si>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</si>
  <si>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</si>
  <si>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</si>
  <si>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</si>
  <si>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</si>
  <si>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</si>
  <si>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</si>
  <si>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</si>
  <si>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</si>
  <si>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</si>
  <si>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</si>
  <si>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</si>
  <si>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</si>
  <si>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</si>
  <si>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</si>
  <si>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</si>
  <si>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</si>
  <si>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</si>
  <si>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</si>
  <si>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</si>
  <si>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</si>
  <si>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</si>
  <si>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</si>
  <si>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</si>
  <si>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</si>
  <si>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</si>
  <si>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</si>
  <si>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</si>
  <si>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</si>
  <si>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</si>
  <si>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</si>
  <si>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</si>
  <si>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</si>
  <si>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</si>
  <si>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</si>
  <si>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</si>
  <si>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</si>
  <si>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</si>
  <si>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</si>
  <si>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</si>
  <si>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</si>
  <si>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</si>
  <si>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</si>
  <si>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</si>
  <si>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</si>
  <si>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</si>
  <si>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</si>
  <si>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</si>
  <si>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</si>
  <si>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</si>
  <si>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</si>
  <si>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</si>
  <si>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</si>
  <si>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</si>
  <si>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</si>
  <si>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</si>
  <si>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</si>
  <si>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</si>
  <si>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CUB C/R FRENTE 90° R8</t>
  </si>
  <si>
    <t>7 DIAS HABILES</t>
  </si>
  <si>
    <t>SANTIAGO</t>
  </si>
  <si>
    <t>+569 4977 4632</t>
  </si>
  <si>
    <t>N° 11209</t>
  </si>
  <si>
    <t>MICHELE</t>
  </si>
  <si>
    <t>RUBY 2135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</si>
</sst>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SOBREMEDIDAS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0" zoomScale="93" zoomScaleNormal="93" workbookViewId="0">
      <selection activeCell="C25" sqref="C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45639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168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98355.098039215693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1.62</v>
      </c>
      <c r="E21" s="331">
        <v>0.6</v>
      </c>
      <c r="F21" s="330" t="s">
        <v>172</v>
      </c>
      <c r="G21" s="332">
        <v>79467</v>
      </c>
      <c r="H21" s="332">
        <f>G21*B21</f>
        <v>79467</v>
      </c>
      <c r="I21" s="320"/>
      <c r="J21" s="265"/>
      <c r="K21" s="47"/>
      <c r="L21" s="47">
        <f>B21</f>
        <v>1</v>
      </c>
      <c r="M21" s="39">
        <f>D21+M$19</f>
        <v>1.7000000000000002</v>
      </c>
      <c r="N21" s="39">
        <f>E21+$N$19</f>
        <v>0.6</v>
      </c>
      <c r="O21" s="261">
        <f t="shared" ref="O21" si="1">M21*N21</f>
        <v>1.02</v>
      </c>
      <c r="P21" s="259">
        <f t="shared" ref="P21" si="2">O21*L21</f>
        <v>1.02</v>
      </c>
      <c r="Q21" s="252">
        <f t="shared" ref="Q21" si="3">Q$20*O21</f>
        <v>100322.20000000001</v>
      </c>
      <c r="R21" s="319">
        <f t="shared" ref="R21" si="4">Q21+R$20</f>
        <v>103322.20000000001</v>
      </c>
      <c r="S21" s="297">
        <f>M21*L21</f>
        <v>1.7000000000000002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79467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15098.73</v>
      </c>
      <c r="I25" s="322"/>
      <c r="J25" s="265"/>
      <c r="K25" s="47"/>
      <c r="L25" s="47"/>
      <c r="M25" s="39">
        <f>SUM(M21:M24)</f>
        <v>1.7000000000000002</v>
      </c>
      <c r="N25" s="12"/>
      <c r="O25" s="12"/>
      <c r="P25" s="253">
        <f>SUM(P21:P23)</f>
        <v>1.02</v>
      </c>
      <c r="Q25" s="14"/>
      <c r="R25" s="12"/>
      <c r="S25" s="239">
        <f>SUM(S21:S24)</f>
        <v>1.7000000000000002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94565.73</v>
      </c>
      <c r="I26" s="322"/>
      <c r="J26" s="265"/>
      <c r="K26" s="47"/>
      <c r="L26" s="47"/>
      <c r="M26" s="39"/>
      <c r="N26" s="12"/>
      <c r="O26" s="12"/>
      <c r="P26" s="253">
        <f>P25</f>
        <v>1.02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0.20400000000000001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1.224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1.224</v>
      </c>
      <c r="N30" s="12">
        <v>1500</v>
      </c>
      <c r="O30" s="12">
        <f t="shared" ref="O30:O35" si="5">M30*N30</f>
        <v>1836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0.4</v>
      </c>
      <c r="N31" s="12">
        <v>25000</v>
      </c>
      <c r="O31" s="12">
        <f t="shared" si="5"/>
        <v>10000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32915</v>
      </c>
      <c r="O33" s="12">
        <f t="shared" si="5"/>
        <v>32915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1.7</v>
      </c>
      <c r="N35" s="12">
        <v>500</v>
      </c>
      <c r="O35" s="12">
        <f t="shared" si="5"/>
        <v>850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45601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100322.20000000001</v>
      </c>
      <c r="P37" s="14" t="s">
        <v>140</v>
      </c>
      <c r="Q37" s="14"/>
      <c r="R37" s="40">
        <f>P28/R36</f>
        <v>0.33002588438308883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98355.098039215693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45639</v>
      </c>
    </row>
    <row r="6" spans="2:31" ht="16.2" thickBot="1" x14ac:dyDescent="0.35">
      <c r="B6" s="140" t="s">
        <v>2</v>
      </c>
      <c r="C6" s="139" t="str">
        <f>'2229'!C10</f>
        <v>MICHELE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-1785.225033454107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79467</v>
      </c>
      <c r="E11" s="132">
        <f>D11*0.19</f>
        <v>15098.73</v>
      </c>
      <c r="F11" s="131">
        <f>E11+D11</f>
        <v>94565.73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104204.7749665459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41670.090787439614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86204.774966545898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37796.909212560386</v>
      </c>
      <c r="E13" s="221">
        <f>(D11/D12)-1</f>
        <v>0.90705128062627827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77204.774966545898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38204.77496654589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68755.649799275358</v>
      </c>
      <c r="F15" s="216">
        <f>E15-D12</f>
        <v>27085.559011835743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38204.77496654589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78204.774966545898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1836</v>
      </c>
      <c r="E20" s="121">
        <f>D20*0.19</f>
        <v>348.84000000000003</v>
      </c>
      <c r="F20" s="120">
        <f>SUM(D20:E20)</f>
        <v>2184.84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11836</v>
      </c>
      <c r="E21" s="116">
        <f>SUM(E18:E20)</f>
        <v>2248.84</v>
      </c>
      <c r="F21" s="115">
        <f>SUM(F18:F20)</f>
        <v>14084.84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12849.89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79467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11836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37796.909212560386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37796.909212560386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2024-12-13T18:39:04Z</dcterms:modified>
</cp:coreProperties>
</file>