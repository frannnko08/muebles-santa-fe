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609337EE-9E12-4D63-9B8E-F144D86E23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  <c r="M30" i="1"/>
  <c r="L21" i="1" l="1"/>
  <c r="N21" i="1"/>
  <c r="M21" i="1" l="1"/>
  <c r="M25" i="1" l="1"/>
  <c r="S21" i="1"/>
  <c r="S25" i="1" s="1"/>
  <c r="T21" i="1"/>
  <c r="T24" i="1" s="1"/>
  <c r="O21" i="1"/>
  <c r="P21" i="1" s="1"/>
  <c r="P25" i="1" s="1"/>
  <c r="K39" i="1"/>
  <c r="V32" i="1" l="1"/>
  <c r="V33" i="1" s="1"/>
  <c r="O31" i="1" l="1"/>
  <c r="P26" i="1" l="1"/>
  <c r="N20" i="1"/>
  <c r="L20" i="1"/>
  <c r="P27" i="1" l="1"/>
  <c r="P28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l="1"/>
  <c r="H25" i="1" s="1"/>
  <c r="D11" i="3" l="1"/>
  <c r="X9" i="3" s="1"/>
  <c r="X15" i="3" s="1"/>
  <c r="H26" i="1"/>
  <c r="M42" i="3" l="1"/>
  <c r="M46" i="3" s="1"/>
  <c r="M49" i="3" s="1"/>
  <c r="X16" i="3"/>
  <c r="D13" i="3"/>
  <c r="E13" i="3"/>
  <c r="E11" i="3"/>
  <c r="D40" i="3" s="1"/>
  <c r="X12" i="3"/>
  <c r="X13" i="3"/>
  <c r="X14" i="3"/>
  <c r="X11" i="3"/>
  <c r="F11" i="3" l="1"/>
</calcChain>
</file>

<file path=xl/sharedStrings.xml><?xml version="1.0" encoding="utf-8"?>
<sst xmlns="http://schemas.openxmlformats.org/spreadsheetml/2006/main" count="233" uniqueCount="178">
  <si>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</si>
  <si>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</si>
  <si>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</si>
  <si>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</si>
  <si>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</si>
  <si>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</si>
  <si>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</si>
  <si>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</si>
  <si>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</si>
  <si>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</si>
  <si>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</si>
  <si>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</si>
  <si>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</si>
  <si>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</si>
  <si>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</si>
  <si>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</si>
  <si>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</si>
  <si>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</si>
  <si>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</si>
  <si>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</si>
  <si>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</si>
  <si>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</si>
  <si>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</si>
  <si>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</si>
  <si>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</si>
  <si>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</si>
  <si>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</si>
  <si>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</si>
  <si>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</si>
  <si>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</si>
  <si>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</si>
  <si>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</si>
  <si>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</si>
  <si>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</si>
  <si>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</si>
  <si>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</si>
  <si>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</si>
  <si>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</si>
  <si>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</si>
  <si>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</si>
  <si>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</si>
  <si>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</si>
  <si>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</si>
  <si>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</si>
  <si>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</si>
  <si>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</si>
  <si>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</si>
  <si>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</si>
  <si>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</si>
  <si>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</si>
  <si>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</si>
  <si>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</si>
  <si>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</si>
  <si>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</si>
  <si>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</si>
  <si>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</si>
  <si>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</si>
  <si>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</si>
  <si>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</si>
  <si>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</si>
  <si>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</si>
  <si>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</si>
  <si>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</si>
  <si>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</si>
  <si>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</si>
  <si>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</si>
  <si>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</si>
  <si>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</si>
  <si>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</si>
  <si>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</si>
  <si>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</si>
  <si>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</si>
  <si>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</si>
  <si>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</si>
  <si>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</si>
  <si>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</si>
  <si>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</si>
  <si>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</si>
  <si>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</si>
  <si>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</si>
  <si>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</si>
  <si>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</si>
  <si>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</si>
  <si>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</si>
  <si>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</si>
  <si>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</si>
  <si>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</si>
  <si>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</si>
  <si>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</si>
  <si>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</si>
  <si>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</si>
  <si>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</si>
  <si>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</si>
  <si>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</si>
  <si>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</si>
  <si>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</si>
  <si>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</si>
  <si>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</si>
  <si>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</si>
  <si>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</si>
  <si>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</si>
  <si>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</si>
  <si>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</si>
  <si>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</si>
  <si>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</si>
  <si>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</si>
  <si>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</si>
  <si>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</si>
  <si>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</si>
  <si>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</si>
  <si>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</si>
  <si>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</si>
  <si>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</si>
  <si>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</si>
  <si>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</si>
  <si>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</si>
  <si>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</si>
  <si>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</si>
  <si>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</si>
  <si>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</si>
  <si>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</si>
  <si>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</si>
  <si>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</si>
  <si>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</si>
  <si>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</si>
  <si>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</si>
  <si>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</si>
  <si>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</si>
  <si>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</si>
  <si>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</si>
  <si>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</si>
  <si>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</si>
  <si>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</si>
  <si>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</si>
  <si>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</si>
  <si>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</si>
  <si>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</si>
  <si>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</si>
  <si>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</si>
  <si>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</si>
  <si>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</si>
  <si>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</si>
  <si>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</si>
  <si>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</si>
  <si>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</si>
  <si>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</si>
  <si>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</si>
  <si>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</si>
  <si>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</si>
  <si>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</si>
  <si>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</si>
  <si>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</si>
  <si>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</si>
  <si>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</si>
  <si>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</si>
  <si>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</si>
  <si>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</si>
  <si>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</si>
  <si>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</si>
  <si>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</si>
  <si>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</si>
  <si>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</si>
  <si>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</si>
  <si>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</si>
  <si>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</si>
  <si>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</si>
  <si>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</si>
  <si>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CLIMACORP</t>
  </si>
  <si>
    <t>79.898.380-6</t>
  </si>
  <si>
    <t>VLADIMIR CARRASCO</t>
  </si>
  <si>
    <t>+569 3218 9120</t>
  </si>
  <si>
    <t>3 DIAS HABILES</t>
  </si>
  <si>
    <t>SI</t>
  </si>
  <si>
    <t>E/R 1 CARA MDF 25MM</t>
  </si>
  <si>
    <t>SAINT TROPEZ PP-7983 UP</t>
  </si>
  <si>
    <t>N° 11212</t>
  </si>
  <si>
    <t xml:space="preserve">ABONO </t>
  </si>
  <si>
    <t>118994.-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</si>
</sst>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42" fontId="21" fillId="0" borderId="0" xfId="0" applyNumberFormat="1" applyFont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ENCHAPADA POR SUS 4 CANTOS CON TAPACANTO PVC 2MM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 MDF 25MM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5" zoomScale="93" zoomScaleNormal="93" workbookViewId="0">
      <selection activeCell="J27" sqref="J27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45642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168</v>
      </c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172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76564.712247909498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173</v>
      </c>
      <c r="D21" s="331">
        <v>2.2599999999999998</v>
      </c>
      <c r="E21" s="331">
        <v>1.05</v>
      </c>
      <c r="F21" s="330" t="s">
        <v>174</v>
      </c>
      <c r="G21" s="332">
        <v>199990</v>
      </c>
      <c r="H21" s="332">
        <f>G21*B21</f>
        <v>199990</v>
      </c>
      <c r="I21" s="320"/>
      <c r="J21" s="265"/>
      <c r="K21" s="47"/>
      <c r="L21" s="47">
        <f>B21</f>
        <v>1</v>
      </c>
      <c r="M21" s="39">
        <f>D21+M$19</f>
        <v>2.2799999999999998</v>
      </c>
      <c r="N21" s="39">
        <f>E21+$N$19</f>
        <v>1.07</v>
      </c>
      <c r="O21" s="261">
        <f t="shared" ref="O21" si="1">M21*N21</f>
        <v>2.4396</v>
      </c>
      <c r="P21" s="259">
        <f t="shared" ref="P21" si="2">O21*L21</f>
        <v>2.4396</v>
      </c>
      <c r="Q21" s="252">
        <f t="shared" ref="Q21" si="3">Q$20*O21</f>
        <v>186787.272</v>
      </c>
      <c r="R21" s="319">
        <f t="shared" ref="R21" si="4">Q21+R$20</f>
        <v>189787.272</v>
      </c>
      <c r="S21" s="297">
        <f>M21*L21</f>
        <v>2.2799999999999998</v>
      </c>
      <c r="T21" s="46">
        <f>N21*2*L21*2</f>
        <v>4.28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 t="s">
        <v>176</v>
      </c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 t="s">
        <v>177</v>
      </c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199990</v>
      </c>
      <c r="I24" s="322"/>
      <c r="J24" s="345">
        <v>237988</v>
      </c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4.28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37998.1</v>
      </c>
      <c r="I25" s="322"/>
      <c r="J25" s="345">
        <v>118994</v>
      </c>
      <c r="K25" s="47"/>
      <c r="L25" s="47"/>
      <c r="M25" s="39">
        <f>SUM(M21:M24)</f>
        <v>2.2799999999999998</v>
      </c>
      <c r="N25" s="12"/>
      <c r="O25" s="12"/>
      <c r="P25" s="253">
        <f>SUM(P21:P23)</f>
        <v>2.4396</v>
      </c>
      <c r="Q25" s="14"/>
      <c r="R25" s="12"/>
      <c r="S25" s="239">
        <f>SUM(S21:S24)</f>
        <v>2.2799999999999998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237988.1</v>
      </c>
      <c r="I26" s="322"/>
      <c r="J26" s="345">
        <f>J24-J25</f>
        <v>118994</v>
      </c>
      <c r="K26" s="47"/>
      <c r="L26" s="47"/>
      <c r="M26" s="39"/>
      <c r="N26" s="12"/>
      <c r="O26" s="12"/>
      <c r="P26" s="253">
        <f>P25</f>
        <v>2.4396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0.48792000000000002</v>
      </c>
      <c r="Q27" s="39" t="s">
        <v>130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2.9275199999999999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2.9275199999999999</v>
      </c>
      <c r="N30" s="12">
        <v>3500</v>
      </c>
      <c r="O30" s="12">
        <f t="shared" ref="O30:O35" si="5">M30*N30</f>
        <v>10246.32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1</v>
      </c>
      <c r="N31" s="12">
        <v>40000</v>
      </c>
      <c r="O31" s="12">
        <f t="shared" si="5"/>
        <v>40000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20000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1</v>
      </c>
      <c r="N33" s="250">
        <v>38700</v>
      </c>
      <c r="O33" s="12">
        <f t="shared" si="5"/>
        <v>38700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88946.32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186787.27200000003</v>
      </c>
      <c r="P37" s="14" t="s">
        <v>140</v>
      </c>
      <c r="Q37" s="14"/>
      <c r="R37" s="40">
        <f>P28/R36</f>
        <v>0.78934426229508192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46000</v>
      </c>
      <c r="L38" s="250"/>
      <c r="M38" s="14"/>
      <c r="N38" s="12"/>
      <c r="O38" s="12">
        <f>O37/P26</f>
        <v>76564.712247909498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38655.462184873948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45642</v>
      </c>
    </row>
    <row r="6" spans="2:31" ht="16.2" thickBot="1" x14ac:dyDescent="0.35">
      <c r="B6" s="140" t="s">
        <v>2</v>
      </c>
      <c r="C6" s="139" t="str">
        <f>'2229'!C10</f>
        <v>CLIMACORP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11212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-11309.553700120776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199990</v>
      </c>
      <c r="E11" s="132">
        <f>D11*0.19</f>
        <v>37998.1</v>
      </c>
      <c r="F11" s="131">
        <f>E11+D11</f>
        <v>237988.1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94680.44629987923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80080.410787439614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76680.44629987923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119909.58921256039</v>
      </c>
      <c r="E13" s="221">
        <f>(D11/D12)-1</f>
        <v>1.4973648116121785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67680.44629987923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28680.446299879222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132132.67779927535</v>
      </c>
      <c r="F15" s="216">
        <f>E15-D12</f>
        <v>52052.267011835735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28680.446299879222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68680.44629987923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40000</v>
      </c>
      <c r="E19" s="123">
        <f>D19*0.19</f>
        <v>7600</v>
      </c>
      <c r="F19" s="120">
        <f>SUM(D19:E19)</f>
        <v>47600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10246.32</v>
      </c>
      <c r="E20" s="121">
        <f>D20*0.19</f>
        <v>1946.8008</v>
      </c>
      <c r="F20" s="120">
        <f>SUM(D20:E20)</f>
        <v>12193.120800000001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50246.32</v>
      </c>
      <c r="E21" s="116">
        <f>SUM(E18:E20)</f>
        <v>9546.8008000000009</v>
      </c>
      <c r="F21" s="115">
        <f>SUM(F18:F20)</f>
        <v>59793.120800000004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28451.299199999998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199990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50246.32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119909.58921256039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119909.58921256039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2024-12-26T19:56:08Z</dcterms:modified>
</cp:coreProperties>
</file>