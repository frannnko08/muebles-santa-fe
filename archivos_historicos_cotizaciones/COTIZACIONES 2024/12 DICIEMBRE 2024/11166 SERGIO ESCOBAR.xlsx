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D104FD71-04F1-4D8D-B739-A4C0979E7D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1" l="1"/>
  <c r="K35" i="1"/>
  <c r="K34" i="1"/>
  <c r="K31" i="1"/>
  <c r="K33" i="1"/>
  <c r="N21" i="1"/>
  <c r="M21" i="1" l="1"/>
  <c r="M25" i="1" s="1"/>
  <c r="L21" i="1"/>
  <c r="T21" i="1" l="1"/>
  <c r="T24" i="1" s="1"/>
  <c r="S21" i="1"/>
  <c r="S26" i="1" s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<sst xmlns="http://schemas.openxmlformats.org/spreadsheetml/2006/main" count="229" uniqueCount="173">
  <si>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</si>
  <si>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</si>
  <si>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</si>
  <si>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</si>
  <si>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</si>
  <si>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</si>
  <si>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</si>
  <si>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</si>
  <si>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</si>
  <si>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</si>
  <si>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</si>
  <si>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</si>
  <si>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</si>
  <si>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</si>
  <si>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</si>
  <si>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</si>
  <si>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</si>
  <si>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</si>
  <si>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</si>
  <si>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</si>
  <si>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</si>
  <si>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</si>
  <si>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</si>
  <si>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</si>
  <si>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</si>
  <si>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</si>
  <si>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</si>
  <si>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</si>
  <si>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</si>
  <si>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</si>
  <si>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</si>
  <si>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</si>
  <si>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</si>
  <si>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</si>
  <si>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</si>
  <si>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</si>
  <si>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</si>
  <si>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</si>
  <si>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</si>
  <si>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</si>
  <si>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</si>
  <si>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</si>
  <si>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</si>
  <si>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</si>
  <si>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</si>
  <si>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</si>
  <si>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</si>
  <si>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</si>
  <si>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</si>
  <si>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</si>
  <si>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</si>
  <si>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</si>
  <si>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</si>
  <si>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</si>
  <si>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</si>
  <si>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</si>
  <si>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</si>
  <si>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</si>
  <si>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</si>
  <si>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</si>
  <si>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</si>
  <si>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</si>
  <si>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</si>
  <si>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</si>
  <si>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</si>
  <si>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</si>
  <si>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</si>
  <si>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</si>
  <si>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</si>
  <si>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</si>
  <si>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</si>
  <si>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</si>
  <si>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</si>
  <si>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</si>
  <si>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</si>
  <si>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</si>
  <si>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</si>
  <si>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</si>
  <si>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</si>
  <si>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</si>
  <si>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</si>
  <si>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</si>
  <si>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</si>
  <si>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</si>
  <si>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</si>
  <si>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</si>
  <si>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</si>
  <si>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</si>
  <si>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</si>
  <si>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</si>
  <si>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</si>
  <si>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</si>
  <si>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</si>
  <si>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</si>
  <si>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</si>
  <si>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</si>
  <si>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</si>
  <si>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</si>
  <si>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</si>
  <si>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</si>
  <si>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</si>
  <si>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</si>
  <si>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</si>
  <si>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</si>
  <si>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</si>
  <si>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</si>
  <si>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</si>
  <si>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</si>
  <si>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</si>
  <si>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</si>
  <si>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</si>
  <si>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</si>
  <si>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</si>
  <si>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</si>
  <si>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</si>
  <si>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</si>
  <si>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</si>
  <si>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</si>
  <si>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</si>
  <si>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</si>
  <si>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</si>
  <si>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</si>
  <si>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</si>
  <si>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</si>
  <si>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</si>
  <si>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</si>
  <si>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</si>
  <si>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</si>
  <si>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</si>
  <si>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</si>
  <si>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</si>
  <si>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</si>
  <si>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</si>
  <si>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</si>
  <si>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</si>
  <si>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</si>
  <si>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</si>
  <si>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</si>
  <si>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</si>
  <si>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</si>
  <si>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</si>
  <si>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</si>
  <si>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</si>
  <si>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</si>
  <si>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</si>
  <si>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</si>
  <si>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</si>
  <si>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</si>
  <si>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</si>
  <si>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</si>
  <si>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</si>
  <si>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</si>
  <si>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</si>
  <si>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</si>
  <si>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</si>
  <si>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</si>
  <si>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</si>
  <si>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</si>
  <si>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</si>
  <si>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</si>
  <si>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</si>
  <si>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</si>
  <si>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</si>
  <si>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</si>
  <si>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</si>
  <si>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</si>
  <si>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</si>
  <si>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5 DIAS HABILES</t>
  </si>
  <si>
    <t>SERGIO ESCOBAR</t>
  </si>
  <si>
    <t>N° 11166</t>
  </si>
  <si>
    <t>+569 9957 1192</t>
  </si>
  <si>
    <t>CUB MESON 180°</t>
  </si>
  <si>
    <t>WINTER SAMSARA MAPLE 14689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</si>
</sst>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SOBREMEDIDAS EN EL LARGO</a:t>
          </a:r>
        </a:p>
        <a:p>
          <a:pPr algn="l"/>
          <a:r>
            <a:rPr lang="es-CL" sz="1200" b="1"/>
            <a:t>FALDON DE 60</a:t>
          </a:r>
          <a:r>
            <a:rPr lang="es-CL" sz="1200" b="1" baseline="0"/>
            <a:t>cms 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93" zoomScaleNormal="93" workbookViewId="0">
      <selection activeCell="H25" sqref="H25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34" t="s">
        <v>169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168</v>
      </c>
      <c r="D10" s="243"/>
      <c r="E10" s="243"/>
      <c r="F10" s="244" t="s">
        <v>0</v>
      </c>
      <c r="G10" s="276">
        <v>45611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5" t="s">
        <v>165</v>
      </c>
      <c r="G17" s="335"/>
      <c r="H17" s="336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181050.14150943398</v>
      </c>
      <c r="R20" s="258">
        <v>5000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30" t="s">
        <v>171</v>
      </c>
      <c r="D21" s="331">
        <v>2.1</v>
      </c>
      <c r="E21" s="331">
        <v>0.3</v>
      </c>
      <c r="F21" s="330" t="s">
        <v>172</v>
      </c>
      <c r="G21" s="332">
        <v>134578</v>
      </c>
      <c r="H21" s="333">
        <f>G21*B21</f>
        <v>134578</v>
      </c>
      <c r="I21" s="320"/>
      <c r="J21" s="265"/>
      <c r="K21" s="47"/>
      <c r="L21" s="47">
        <f>B21</f>
        <v>1</v>
      </c>
      <c r="M21" s="39">
        <f>D21+M$19</f>
        <v>2.12</v>
      </c>
      <c r="N21" s="39">
        <f>E21+$N$19</f>
        <v>0.32</v>
      </c>
      <c r="O21" s="261">
        <f t="shared" ref="O21" si="1">M21*N21</f>
        <v>0.6784</v>
      </c>
      <c r="P21" s="259">
        <f t="shared" ref="P21" si="2">O21*L21</f>
        <v>0.6784</v>
      </c>
      <c r="Q21" s="252">
        <f t="shared" ref="Q21" si="3">Q$20*O21</f>
        <v>122824.41600000001</v>
      </c>
      <c r="R21" s="319">
        <f t="shared" ref="R21" si="4">Q21+R$20</f>
        <v>127824.41600000001</v>
      </c>
      <c r="S21" s="297">
        <f>L21*M21*2</f>
        <v>4.24</v>
      </c>
      <c r="T21" s="46">
        <f>N21*2*L21*2</f>
        <v>1.28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v>130000</v>
      </c>
      <c r="I24" s="322">
        <v>0</v>
      </c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1.28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/>
      <c r="I25" s="322"/>
      <c r="J25" s="265"/>
      <c r="K25" s="47"/>
      <c r="L25" s="47"/>
      <c r="M25" s="39">
        <f>SUM(M21:M24)</f>
        <v>2.12</v>
      </c>
      <c r="N25" s="12"/>
      <c r="O25" s="12"/>
      <c r="P25" s="253">
        <f>SUM(P21:P21)</f>
        <v>0.6784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130000</v>
      </c>
      <c r="I26" s="322"/>
      <c r="J26" s="265"/>
      <c r="K26" s="47"/>
      <c r="L26" s="47"/>
      <c r="M26" s="39"/>
      <c r="N26" s="12"/>
      <c r="O26" s="12"/>
      <c r="P26" s="253">
        <f>P25</f>
        <v>0.6784</v>
      </c>
      <c r="Q26" s="14"/>
      <c r="R26" s="12"/>
      <c r="S26" s="239">
        <f>SUM(S21:S25)</f>
        <v>4.24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0.13568</v>
      </c>
      <c r="Q27" s="39" t="s">
        <v>130</v>
      </c>
      <c r="R27" s="42"/>
      <c r="S27" s="240">
        <f>S26+T24</f>
        <v>5.5200000000000005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0.81408000000000003</v>
      </c>
      <c r="Q28" s="14"/>
      <c r="R28" s="14"/>
      <c r="S28" s="238">
        <f>S27*20%</f>
        <v>1.1040000000000001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6.6240000000000006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0.81408000000000003</v>
      </c>
      <c r="N30" s="12">
        <v>3500</v>
      </c>
      <c r="O30" s="12">
        <f t="shared" ref="O30:O35" si="5">M30*N30</f>
        <v>2849.28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>
        <f>23500*1.19</f>
        <v>27965</v>
      </c>
      <c r="L31" s="47"/>
      <c r="M31" s="249">
        <v>0.7</v>
      </c>
      <c r="N31" s="12">
        <v>25000</v>
      </c>
      <c r="O31" s="12">
        <f t="shared" si="5"/>
        <v>17500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61840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>
        <f>N33*1.19</f>
        <v>42221.2</v>
      </c>
      <c r="L33" s="250"/>
      <c r="M33" s="14">
        <v>1</v>
      </c>
      <c r="N33" s="250">
        <v>35480</v>
      </c>
      <c r="O33" s="12">
        <f t="shared" si="5"/>
        <v>35480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>
        <f>SUM(K31:K33)</f>
        <v>70186.2</v>
      </c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>
        <f>K34/1.19</f>
        <v>58980</v>
      </c>
      <c r="L35" s="250"/>
      <c r="M35" s="266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>
        <f>K34-K35</f>
        <v>11206.199999999997</v>
      </c>
      <c r="L36" s="250"/>
      <c r="M36" s="14"/>
      <c r="N36" s="12"/>
      <c r="O36" s="12">
        <f>SUM(O30:O35)</f>
        <v>55829.279999999999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122824.41600000001</v>
      </c>
      <c r="P37" s="14" t="s">
        <v>140</v>
      </c>
      <c r="Q37" s="14"/>
      <c r="R37" s="40">
        <f>P28/R36</f>
        <v>0.21949956859361519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67392</v>
      </c>
      <c r="L38" s="250"/>
      <c r="M38" s="14"/>
      <c r="N38" s="12"/>
      <c r="O38" s="12">
        <f>O37/P26</f>
        <v>181050.14150943398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56631.932773109249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45611</v>
      </c>
    </row>
    <row r="6" spans="2:31" ht="16.2" thickBot="1" x14ac:dyDescent="0.35">
      <c r="B6" s="140" t="s">
        <v>2</v>
      </c>
      <c r="C6" s="139" t="str">
        <f>'2229'!C10</f>
        <v>SERGIO ESCOBAR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98</v>
      </c>
      <c r="I7" s="342"/>
      <c r="J7" s="342"/>
      <c r="K7" s="343"/>
      <c r="N7" s="75"/>
      <c r="O7" s="3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11166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-7866.2397001207746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130000</v>
      </c>
      <c r="E11" s="132">
        <f>D11*0.19</f>
        <v>24700</v>
      </c>
      <c r="F11" s="131">
        <f>E11+D11</f>
        <v>154700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98123.760299879228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50183.370787439613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80123.760299879228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79816.629212560394</v>
      </c>
      <c r="E13" s="221">
        <f>(D11/D12)-1</f>
        <v>1.5904995611123374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71123.760299879228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32123.760299879224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82802.561799275354</v>
      </c>
      <c r="F15" s="216">
        <f>E15-D12</f>
        <v>32619.191011835741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32123.760299879224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72123.760299879228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17500</v>
      </c>
      <c r="E19" s="123">
        <f>D19*0.19</f>
        <v>3325</v>
      </c>
      <c r="F19" s="120">
        <f>SUM(D19:E19)</f>
        <v>20825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2849.28</v>
      </c>
      <c r="E20" s="121">
        <f>D20*0.19</f>
        <v>541.36320000000001</v>
      </c>
      <c r="F20" s="120">
        <f>SUM(D20:E20)</f>
        <v>3390.6432000000004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20349.28</v>
      </c>
      <c r="E21" s="116">
        <f>SUM(E18:E20)</f>
        <v>3866.3631999999998</v>
      </c>
      <c r="F21" s="115">
        <f>SUM(F18:F20)</f>
        <v>24215.643199999999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20833.6368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130000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20349.28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79816.629212560394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79816.629212560394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2024-11-18T19:42:09Z</dcterms:modified>
</cp:coreProperties>
</file>