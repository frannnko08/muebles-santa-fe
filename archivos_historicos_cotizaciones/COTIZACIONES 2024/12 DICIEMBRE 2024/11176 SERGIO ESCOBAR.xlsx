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1 NOVIEMBRE 2024\"/>
    </mc:Choice>
  </mc:AlternateContent>
  <xr:revisionPtr revIDLastSave="0" documentId="13_ncr:1_{718628C7-E7B0-4FBA-9493-D76B6D9780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S21" i="1" s="1"/>
  <c r="N21" i="1"/>
  <c r="O21" i="1" s="1"/>
  <c r="P21" i="1" s="1"/>
  <c r="P25" i="1" s="1"/>
  <c r="M25" i="1" l="1"/>
  <c r="T24" i="1" l="1"/>
  <c r="S26" i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O39" i="1"/>
  <c r="E15" i="3"/>
  <c r="R21" i="1" l="1"/>
  <c r="H21" i="1"/>
  <c r="F15" i="3"/>
  <c r="H24" i="1" l="1"/>
  <c r="H25" i="1" l="1"/>
  <c r="H26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<sst xmlns="http://schemas.openxmlformats.org/spreadsheetml/2006/main" count="229" uniqueCount="173">
  <si>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</si>
  <si>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</si>
  <si>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</si>
  <si>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</si>
  <si>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</si>
  <si>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</si>
  <si>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</si>
  <si>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</si>
  <si>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</si>
  <si>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</si>
  <si>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</si>
  <si>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</si>
  <si>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</si>
  <si>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</si>
  <si>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</si>
  <si>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</si>
  <si>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</si>
  <si>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</si>
  <si>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</si>
  <si>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</si>
  <si>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</si>
  <si>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</si>
  <si>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</si>
  <si>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</si>
  <si>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</si>
  <si>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</si>
  <si>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</si>
  <si>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</si>
  <si>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</si>
  <si>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</si>
  <si>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</si>
  <si>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</si>
  <si>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</si>
  <si>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</si>
  <si>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</si>
  <si>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</si>
  <si>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</si>
  <si>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</si>
  <si>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</si>
  <si>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</si>
  <si>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</si>
  <si>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</si>
  <si>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</si>
  <si>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</si>
  <si>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</si>
  <si>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</si>
  <si>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</si>
  <si>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</si>
  <si>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</si>
  <si>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</si>
  <si>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</si>
  <si>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</si>
  <si>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</si>
  <si>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</si>
  <si>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</si>
  <si>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</si>
  <si>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</si>
  <si>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</si>
  <si>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</si>
  <si>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</si>
  <si>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</si>
  <si>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</si>
  <si>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</si>
  <si>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</si>
  <si>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</si>
  <si>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</si>
  <si>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</si>
  <si>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</si>
  <si>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</si>
  <si>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</si>
  <si>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</si>
  <si>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</si>
  <si>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</si>
  <si>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</si>
  <si>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</si>
  <si>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</si>
  <si>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</si>
  <si>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</si>
  <si>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</si>
  <si>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</si>
  <si>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</si>
  <si>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</si>
  <si>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</si>
  <si>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</si>
  <si>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</si>
  <si>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</si>
  <si>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</si>
  <si>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</si>
  <si>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</si>
  <si>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</si>
  <si>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</si>
  <si>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</si>
  <si>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</si>
  <si>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</si>
  <si>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</si>
  <si>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</si>
  <si>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</si>
  <si>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</si>
  <si>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</si>
  <si>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</si>
  <si>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</si>
  <si>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</si>
  <si>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</si>
  <si>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</si>
  <si>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</si>
  <si>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</si>
  <si>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</si>
  <si>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</si>
  <si>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</si>
  <si>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</si>
  <si>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</si>
  <si>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</si>
  <si>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</si>
  <si>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</si>
  <si>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</si>
  <si>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</si>
  <si>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</si>
  <si>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</si>
  <si>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</si>
  <si>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</si>
  <si>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</si>
  <si>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</si>
  <si>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</si>
  <si>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</si>
  <si>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</si>
  <si>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</si>
  <si>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</si>
  <si>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</si>
  <si>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</si>
  <si>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</si>
  <si>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</si>
  <si>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</si>
  <si>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</si>
  <si>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</si>
  <si>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</si>
  <si>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</si>
  <si>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</si>
  <si>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</si>
  <si>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</si>
  <si>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</si>
  <si>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</si>
  <si>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</si>
  <si>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</si>
  <si>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</si>
  <si>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</si>
  <si>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</si>
  <si>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</si>
  <si>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</si>
  <si>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</si>
  <si>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</si>
  <si>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</si>
  <si>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</si>
  <si>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</si>
  <si>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</si>
  <si>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</si>
  <si>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</si>
  <si>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</si>
  <si>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</si>
  <si>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</si>
  <si>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</si>
  <si>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</si>
  <si>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</si>
  <si>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</si>
  <si>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</si>
  <si>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</si>
  <si>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</si>
  <si>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5 DIAS HABILES</t>
  </si>
  <si>
    <t>N° 11176</t>
  </si>
  <si>
    <t>CUB MESON 180° FALDON 45cm</t>
  </si>
  <si>
    <t>SERGIO ESCOBAR</t>
  </si>
  <si>
    <t>+569 9957 1192</t>
  </si>
  <si>
    <t>WINTER SAMSARA MAPLE</t>
  </si>
  <si>
    <t>DURACION COTIZACION: 5 DIAS                           FERNANDO DONOSO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</si>
</sst>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SOBREMEDIDAS EN EL LARGO</a:t>
          </a:r>
        </a:p>
        <a:p>
          <a:pPr algn="l"/>
          <a:r>
            <a:rPr lang="es-CL" sz="1200" b="1"/>
            <a:t>FALDON DE 45cms</a:t>
          </a:r>
          <a:r>
            <a:rPr lang="es-CL" sz="1200" b="1" baseline="0"/>
            <a:t> TERMINACION PUERTA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7" zoomScale="93" zoomScaleNormal="93" workbookViewId="0">
      <selection activeCell="I24" sqref="I24:I26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45617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166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0" t="s">
        <v>172</v>
      </c>
      <c r="G17" s="330"/>
      <c r="H17" s="331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2" t="s">
        <v>95</v>
      </c>
      <c r="C19" s="333"/>
      <c r="D19" s="333"/>
      <c r="E19" s="333"/>
      <c r="F19" s="333"/>
      <c r="G19" s="333"/>
      <c r="H19" s="334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129705.29801324502</v>
      </c>
      <c r="R20" s="258">
        <v>5000</v>
      </c>
      <c r="S20" s="38"/>
      <c r="T20" s="14" t="s">
        <v>128</v>
      </c>
      <c r="U20" s="9"/>
      <c r="X20" s="4"/>
    </row>
    <row r="21" spans="1:25" ht="18" thickBot="1" x14ac:dyDescent="0.35">
      <c r="B21" s="342">
        <v>2</v>
      </c>
      <c r="C21" s="343" t="s">
        <v>168</v>
      </c>
      <c r="D21" s="344">
        <v>3</v>
      </c>
      <c r="E21" s="344">
        <v>0.4</v>
      </c>
      <c r="F21" s="343" t="s">
        <v>171</v>
      </c>
      <c r="G21" s="345">
        <v>209788</v>
      </c>
      <c r="H21" s="346">
        <f t="shared" ref="H21" si="1">G21*B21</f>
        <v>419576</v>
      </c>
      <c r="I21" s="320"/>
      <c r="J21" s="265"/>
      <c r="K21" s="47"/>
      <c r="L21" s="47">
        <f t="shared" ref="L21" si="2">B21</f>
        <v>2</v>
      </c>
      <c r="M21" s="39">
        <f t="shared" ref="M21" si="3">D21+M$19</f>
        <v>3.02</v>
      </c>
      <c r="N21" s="39">
        <f t="shared" ref="N21" si="4">E21+$N$19</f>
        <v>0.42000000000000004</v>
      </c>
      <c r="O21" s="261">
        <f t="shared" ref="O21" si="5">M21*N21</f>
        <v>1.2684000000000002</v>
      </c>
      <c r="P21" s="259">
        <f t="shared" ref="P21" si="6">O21*L21</f>
        <v>2.5368000000000004</v>
      </c>
      <c r="Q21" s="252">
        <f t="shared" ref="Q21" si="7">Q$20*O21</f>
        <v>164518.20000000001</v>
      </c>
      <c r="R21" s="319">
        <f t="shared" ref="R21" si="8">Q21+R$20</f>
        <v>169518.2</v>
      </c>
      <c r="S21" s="297">
        <f t="shared" ref="S21" si="9">L21*M21*2</f>
        <v>12.08</v>
      </c>
      <c r="T21" s="46"/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419576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79719.44</v>
      </c>
      <c r="I25" s="322"/>
      <c r="J25" s="265"/>
      <c r="K25" s="47"/>
      <c r="L25" s="47"/>
      <c r="M25" s="39">
        <f>SUM(M21:M24)</f>
        <v>3.02</v>
      </c>
      <c r="N25" s="12"/>
      <c r="O25" s="12"/>
      <c r="P25" s="253">
        <f>SUM(P21:P21)</f>
        <v>2.5368000000000004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499295.44</v>
      </c>
      <c r="I26" s="322"/>
      <c r="J26" s="265"/>
      <c r="K26" s="47"/>
      <c r="L26" s="47"/>
      <c r="M26" s="39"/>
      <c r="N26" s="12"/>
      <c r="O26" s="12"/>
      <c r="P26" s="253">
        <f>P25</f>
        <v>2.5368000000000004</v>
      </c>
      <c r="Q26" s="14"/>
      <c r="R26" s="12"/>
      <c r="S26" s="239">
        <f>SUM(S21:S25)</f>
        <v>12.08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0.50736000000000014</v>
      </c>
      <c r="Q27" s="39" t="s">
        <v>130</v>
      </c>
      <c r="R27" s="42"/>
      <c r="S27" s="240">
        <f>S26+T24</f>
        <v>12.08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3.0441600000000006</v>
      </c>
      <c r="Q28" s="14"/>
      <c r="R28" s="14"/>
      <c r="S28" s="238">
        <f>S27*20%</f>
        <v>2.4160000000000004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14.496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3.0441600000000006</v>
      </c>
      <c r="N30" s="12">
        <v>3500</v>
      </c>
      <c r="O30" s="12">
        <f t="shared" ref="O30:O35" si="10">M30*N30</f>
        <v>10654.560000000003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2</v>
      </c>
      <c r="N31" s="12">
        <v>25000</v>
      </c>
      <c r="O31" s="12">
        <f t="shared" si="10"/>
        <v>50000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10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2</v>
      </c>
      <c r="N33" s="250">
        <v>35480</v>
      </c>
      <c r="O33" s="12">
        <f t="shared" si="10"/>
        <v>70960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L34" s="250"/>
      <c r="M34" s="249"/>
      <c r="N34" s="250">
        <v>900</v>
      </c>
      <c r="O34" s="12">
        <f t="shared" si="10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93"/>
      <c r="L35" s="250"/>
      <c r="M35" s="266"/>
      <c r="N35" s="12">
        <v>1500</v>
      </c>
      <c r="O35" s="12">
        <f t="shared" si="10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L36" s="250"/>
      <c r="M36" s="14"/>
      <c r="N36" s="12"/>
      <c r="O36" s="12">
        <f>SUM(O30:O35)</f>
        <v>131614.56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O36*2.5</f>
        <v>329036.40000000002</v>
      </c>
      <c r="P37" s="14" t="s">
        <v>140</v>
      </c>
      <c r="Q37" s="14"/>
      <c r="R37" s="40">
        <f>P28/R36</f>
        <v>0.82079378774805878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67392</v>
      </c>
      <c r="L38" s="250"/>
      <c r="M38" s="14"/>
      <c r="N38" s="12"/>
      <c r="O38" s="12">
        <f>O37/P26</f>
        <v>129705.29801324502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56631.932773109249</v>
      </c>
      <c r="L39" s="250"/>
      <c r="M39" s="13"/>
      <c r="N39" s="14"/>
      <c r="O39" s="17">
        <f>O37/O36</f>
        <v>2.5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45617</v>
      </c>
    </row>
    <row r="6" spans="2:31" ht="16.2" thickBot="1" x14ac:dyDescent="0.35">
      <c r="B6" s="140" t="s">
        <v>2</v>
      </c>
      <c r="C6" s="139" t="str">
        <f>'2229'!C10</f>
        <v>SERGIO ESCOBAR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98</v>
      </c>
      <c r="I7" s="337"/>
      <c r="J7" s="337"/>
      <c r="K7" s="338"/>
      <c r="N7" s="75"/>
      <c r="O7" s="335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11176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5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-45044.954366787431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419576</v>
      </c>
      <c r="E11" s="132">
        <f>D11*0.19</f>
        <v>79719.44</v>
      </c>
      <c r="F11" s="131">
        <f>E11+D11</f>
        <v>499295.44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60945.045633212569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90488.650787439619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42945.045633212569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329087.3492125604</v>
      </c>
      <c r="E13" s="221">
        <f>(D11/D12)-1</f>
        <v>3.6367803735475714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33945.045633212569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-5054.9543667874314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149306.27379927537</v>
      </c>
      <c r="F15" s="216">
        <f>E15-D12</f>
        <v>58817.623011835749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-5054.9543667874314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34945.045633212569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10654.560000000003</v>
      </c>
      <c r="E20" s="121">
        <f>D20*0.19</f>
        <v>2024.3664000000006</v>
      </c>
      <c r="F20" s="120">
        <f>SUM(D20:E20)</f>
        <v>12678.926400000004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60654.560000000005</v>
      </c>
      <c r="E21" s="116">
        <f>SUM(E18:E20)</f>
        <v>11524.366400000001</v>
      </c>
      <c r="F21" s="115">
        <f>SUM(F18:F20)</f>
        <v>72178.926399999997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68195.073600000003</v>
      </c>
    </row>
    <row r="41" spans="2:16" ht="15" thickBot="1" x14ac:dyDescent="0.35">
      <c r="H41" s="339" t="s">
        <v>60</v>
      </c>
      <c r="I41" s="340"/>
      <c r="J41" s="340"/>
      <c r="K41" s="340"/>
      <c r="L41" s="340"/>
      <c r="M41" s="341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419576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60654.560000000005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329087.3492125604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329087.3492125604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2024-11-21T15:40:44Z</cp:lastPrinted>
  <dcterms:created xsi:type="dcterms:W3CDTF">2013-03-18T13:35:42Z</dcterms:created>
  <dcterms:modified xsi:type="dcterms:W3CDTF">2024-11-21T15:41:29Z</dcterms:modified>
</cp:coreProperties>
</file>