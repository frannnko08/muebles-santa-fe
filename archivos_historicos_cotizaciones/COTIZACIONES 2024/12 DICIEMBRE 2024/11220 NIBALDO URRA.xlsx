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2 DICIEMBRE 2024\"/>
    </mc:Choice>
  </mc:AlternateContent>
  <xr:revisionPtr revIDLastSave="0" documentId="13_ncr:1_{DD8DEBF4-5DA4-4F10-9895-68F2886E2E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8" i="1" l="1"/>
  <c r="L22" i="1"/>
  <c r="M22" i="1"/>
  <c r="N22" i="1"/>
  <c r="O22" i="1" s="1"/>
  <c r="P22" i="1" s="1"/>
  <c r="S22" i="1"/>
  <c r="H22" i="1"/>
  <c r="L21" i="1"/>
  <c r="K32" i="1"/>
  <c r="K34" i="1"/>
  <c r="N21" i="1"/>
  <c r="K35" i="1" l="1"/>
  <c r="K36" i="1" s="1"/>
  <c r="K37" i="1" s="1"/>
  <c r="M21" i="1"/>
  <c r="M26" i="1" s="1"/>
  <c r="T21" i="1" l="1"/>
  <c r="T25" i="1" s="1"/>
  <c r="S21" i="1"/>
  <c r="S27" i="1" s="1"/>
  <c r="O21" i="1"/>
  <c r="P21" i="1" s="1"/>
  <c r="P26" i="1" s="1"/>
  <c r="K40" i="1"/>
  <c r="S28" i="1" l="1"/>
  <c r="S29" i="1" s="1"/>
  <c r="S30" i="1" s="1"/>
  <c r="V33" i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D20" i="3" l="1"/>
  <c r="E20" i="3" s="1"/>
  <c r="E21" i="3" s="1"/>
  <c r="O39" i="1" l="1"/>
  <c r="Q20" i="1" s="1"/>
  <c r="Q22" i="1" s="1"/>
  <c r="R22" i="1" s="1"/>
  <c r="D21" i="3"/>
  <c r="M43" i="3" s="1"/>
  <c r="D12" i="3" s="1"/>
  <c r="F20" i="3"/>
  <c r="F21" i="3" s="1"/>
  <c r="O40" i="1" l="1"/>
  <c r="E15" i="3"/>
  <c r="Q21" i="1" l="1"/>
  <c r="F15" i="3"/>
  <c r="R21" i="1" l="1"/>
  <c r="H21" i="1" l="1"/>
  <c r="H25" i="1" s="1"/>
  <c r="H26" i="1" l="1"/>
  <c r="H27" i="1" s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<sst xmlns="http://schemas.openxmlformats.org/spreadsheetml/2006/main" count="231" uniqueCount="174">
  <si>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</si>
  <si>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</si>
  <si>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</si>
  <si>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</si>
  <si>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</si>
  <si>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</si>
  <si>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</si>
  <si>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</si>
  <si>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</si>
  <si>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</si>
  <si>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</si>
  <si>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</si>
  <si>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</si>
  <si>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</si>
  <si>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</si>
  <si>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</si>
  <si>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</si>
  <si>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</si>
  <si>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</si>
  <si>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</si>
  <si>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</si>
  <si>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</si>
  <si>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</si>
  <si>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</si>
  <si>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</si>
  <si>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</si>
  <si>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</si>
  <si>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</si>
  <si>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</si>
  <si>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</si>
  <si>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</si>
  <si>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</si>
  <si>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</si>
  <si>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</si>
  <si>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</si>
  <si>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</si>
  <si>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</si>
  <si>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</si>
  <si>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</si>
  <si>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</si>
  <si>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</si>
  <si>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</si>
  <si>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</si>
  <si>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</si>
  <si>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</si>
  <si>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</si>
  <si>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</si>
  <si>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</si>
  <si>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</si>
  <si>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</si>
  <si>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</si>
  <si>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</si>
  <si>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</si>
  <si>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</si>
  <si>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</si>
  <si>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</si>
  <si>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</si>
  <si>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</si>
  <si>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</si>
  <si>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</si>
  <si>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</si>
  <si>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</si>
  <si>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</si>
  <si>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</si>
  <si>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</si>
  <si>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</si>
  <si>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</si>
  <si>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</si>
  <si>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</si>
  <si>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</si>
  <si>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</si>
  <si>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</si>
  <si>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</si>
  <si>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</si>
  <si>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</si>
  <si>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</si>
  <si>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</si>
  <si>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</si>
  <si>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</si>
  <si>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</si>
  <si>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</si>
  <si>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</si>
  <si>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</si>
  <si>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</si>
  <si>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</si>
  <si>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</si>
  <si>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</si>
  <si>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</si>
  <si>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</si>
  <si>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</si>
  <si>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</si>
  <si>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</si>
  <si>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</si>
  <si>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</si>
  <si>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</si>
  <si>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</si>
  <si>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</si>
  <si>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</si>
  <si>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</si>
  <si>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</si>
  <si>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</si>
  <si>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</si>
  <si>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</si>
  <si>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</si>
  <si>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</si>
  <si>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</si>
  <si>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</si>
  <si>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</si>
  <si>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</si>
  <si>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</si>
  <si>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</si>
  <si>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</si>
  <si>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</si>
  <si>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</si>
  <si>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</si>
  <si>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</si>
  <si>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</si>
  <si>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</si>
  <si>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</si>
  <si>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</si>
  <si>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</si>
  <si>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</si>
  <si>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</si>
  <si>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</si>
  <si>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</si>
  <si>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</si>
  <si>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</si>
  <si>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</si>
  <si>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</si>
  <si>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</si>
  <si>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</si>
  <si>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</si>
  <si>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</si>
  <si>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</si>
  <si>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</si>
  <si>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</si>
  <si>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</si>
  <si>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</si>
  <si>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</si>
  <si>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</si>
  <si>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</si>
  <si>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</si>
  <si>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</si>
  <si>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</si>
  <si>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</si>
  <si>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</si>
  <si>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</si>
  <si>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</si>
  <si>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</si>
  <si>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</si>
  <si>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</si>
  <si>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</si>
  <si>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</si>
  <si>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</si>
  <si>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</si>
  <si>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</si>
  <si>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</si>
  <si>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</si>
  <si>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</si>
  <si>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</si>
  <si>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</si>
  <si>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</si>
  <si>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</si>
  <si>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</si>
  <si>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</si>
  <si>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</si>
  <si>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</si>
  <si>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NIBALDO URRA ALLENDE</t>
  </si>
  <si>
    <t>+569 89584423</t>
  </si>
  <si>
    <t>CUB C/R FRENTE 90° R8</t>
  </si>
  <si>
    <t>CUB C/R FRENTE 90° R9</t>
  </si>
  <si>
    <t>MODENA BRILLO</t>
  </si>
  <si>
    <t>5 DIAS HABILES</t>
  </si>
  <si>
    <t>N° 11220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</si>
</sst>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</a:t>
          </a:r>
          <a:r>
            <a:rPr lang="es-CL" sz="1200" b="1" baseline="0"/>
            <a:t> SE ENTREGAN CON SOBRE MEDIDA EN EL LARGO</a:t>
          </a:r>
          <a:endParaRPr lang="es-CL" sz="1200" b="1"/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42.55468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173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167</v>
      </c>
      <c r="D10" s="243"/>
      <c r="E10" s="243"/>
      <c r="F10" s="244" t="s">
        <v>0</v>
      </c>
      <c r="G10" s="276">
        <v>45646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172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168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1:25" ht="15" thickBot="1" x14ac:dyDescent="0.35">
      <c r="B17" s="311" t="s">
        <v>13</v>
      </c>
      <c r="C17" s="312" t="s">
        <v>166</v>
      </c>
      <c r="D17" s="313"/>
      <c r="E17" s="119"/>
      <c r="F17" s="333" t="s">
        <v>165</v>
      </c>
      <c r="G17" s="333"/>
      <c r="H17" s="334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O39</f>
        <v>117198.2923899989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30">
        <v>1</v>
      </c>
      <c r="C21" s="330" t="s">
        <v>169</v>
      </c>
      <c r="D21" s="331">
        <v>1.8</v>
      </c>
      <c r="E21" s="331">
        <v>0.6</v>
      </c>
      <c r="F21" s="330" t="s">
        <v>171</v>
      </c>
      <c r="G21" s="332">
        <v>132200</v>
      </c>
      <c r="H21" s="332">
        <f>G21*B21</f>
        <v>132200</v>
      </c>
      <c r="I21" s="320"/>
      <c r="J21" s="265"/>
      <c r="K21" s="47"/>
      <c r="L21" s="47">
        <f>B21</f>
        <v>1</v>
      </c>
      <c r="M21" s="39">
        <f>D21+M$19</f>
        <v>1.8800000000000001</v>
      </c>
      <c r="N21" s="39">
        <f>E21+$N$19</f>
        <v>0.6</v>
      </c>
      <c r="O21" s="261">
        <f t="shared" ref="O21" si="1">M21*N21</f>
        <v>1.1280000000000001</v>
      </c>
      <c r="P21" s="259">
        <f t="shared" ref="P21" si="2">O21*L21</f>
        <v>1.1280000000000001</v>
      </c>
      <c r="Q21" s="252">
        <f t="shared" ref="Q21" si="3">Q$20*O21</f>
        <v>132199.67381591877</v>
      </c>
      <c r="R21" s="319">
        <f t="shared" ref="R21" si="4">Q21+R$20</f>
        <v>135199.67381591877</v>
      </c>
      <c r="S21" s="297">
        <f>L21*M21*2</f>
        <v>3.7600000000000002</v>
      </c>
      <c r="T21" s="46">
        <f>N21*2*L21*2</f>
        <v>2.4</v>
      </c>
      <c r="U21" s="9"/>
      <c r="X21" s="4"/>
    </row>
    <row r="22" spans="1:25" ht="17.399999999999999" x14ac:dyDescent="0.3">
      <c r="B22" s="330">
        <v>1</v>
      </c>
      <c r="C22" s="330" t="s">
        <v>170</v>
      </c>
      <c r="D22" s="331">
        <v>1.3</v>
      </c>
      <c r="E22" s="331">
        <v>0.51</v>
      </c>
      <c r="F22" s="330" t="s">
        <v>171</v>
      </c>
      <c r="G22" s="332">
        <v>82484</v>
      </c>
      <c r="H22" s="332">
        <f>G22*B22</f>
        <v>82484</v>
      </c>
      <c r="I22" s="320"/>
      <c r="J22" s="265"/>
      <c r="K22" s="47"/>
      <c r="L22" s="47">
        <f>B22</f>
        <v>1</v>
      </c>
      <c r="M22" s="39">
        <f>D22+M$19</f>
        <v>1.3800000000000001</v>
      </c>
      <c r="N22" s="39">
        <f>E22+$N$19</f>
        <v>0.51</v>
      </c>
      <c r="O22" s="261">
        <f t="shared" ref="O22" si="5">M22*N22</f>
        <v>0.70380000000000009</v>
      </c>
      <c r="P22" s="259">
        <f t="shared" ref="P22" si="6">O22*L22</f>
        <v>0.70380000000000009</v>
      </c>
      <c r="Q22" s="252">
        <f t="shared" ref="Q22" si="7">Q$20*O22</f>
        <v>82484.158184081229</v>
      </c>
      <c r="R22" s="319">
        <f t="shared" ref="R22" si="8">Q22+R$20</f>
        <v>85484.158184081229</v>
      </c>
      <c r="S22" s="297">
        <f>L22*M22*2</f>
        <v>2.7600000000000002</v>
      </c>
      <c r="T22" s="46"/>
      <c r="U22" s="9"/>
      <c r="X22" s="4"/>
    </row>
    <row r="23" spans="1:25" ht="17.399999999999999" x14ac:dyDescent="0.3">
      <c r="B23" s="285"/>
      <c r="C23" s="285"/>
      <c r="D23" s="286"/>
      <c r="E23" s="286"/>
      <c r="F23" s="285"/>
      <c r="G23" s="320"/>
      <c r="H23" s="320"/>
      <c r="I23" s="320"/>
      <c r="J23" s="265"/>
      <c r="K23" s="47"/>
      <c r="L23" s="47"/>
      <c r="M23" s="39"/>
      <c r="N23" s="39"/>
      <c r="O23" s="261"/>
      <c r="P23" s="259"/>
      <c r="Q23" s="252"/>
      <c r="R23" s="319"/>
      <c r="S23" s="297"/>
      <c r="T23" s="46"/>
      <c r="U23" s="9"/>
      <c r="X23" s="4"/>
    </row>
    <row r="24" spans="1:25" ht="18" thickBot="1" x14ac:dyDescent="0.35">
      <c r="B24" s="285"/>
      <c r="C24" s="285"/>
      <c r="D24" s="286"/>
      <c r="E24" s="286"/>
      <c r="F24" s="285"/>
      <c r="G24" s="265"/>
      <c r="H24" s="321"/>
      <c r="I24" s="323"/>
      <c r="J24" s="233"/>
      <c r="K24" s="47"/>
      <c r="L24" s="47"/>
      <c r="M24" s="39"/>
      <c r="N24" s="39"/>
      <c r="O24" s="261"/>
      <c r="P24" s="259"/>
      <c r="Q24" s="252"/>
      <c r="R24" s="258"/>
      <c r="S24" s="297"/>
      <c r="T24" s="14"/>
      <c r="U24" s="9"/>
      <c r="X24" s="4"/>
    </row>
    <row r="25" spans="1:25" ht="17.399999999999999" x14ac:dyDescent="0.3">
      <c r="B25" s="285"/>
      <c r="C25" s="285"/>
      <c r="D25" s="286"/>
      <c r="E25" s="286"/>
      <c r="F25" s="285"/>
      <c r="G25" s="324" t="s">
        <v>28</v>
      </c>
      <c r="H25" s="325">
        <f>SUM(H21:H24)</f>
        <v>214684</v>
      </c>
      <c r="I25" s="322"/>
      <c r="J25" s="265"/>
      <c r="K25" s="47">
        <v>2600000</v>
      </c>
      <c r="L25" s="47"/>
      <c r="M25" s="39"/>
      <c r="N25" s="39"/>
      <c r="O25" s="261"/>
      <c r="P25" s="259"/>
      <c r="Q25" s="252"/>
      <c r="R25" s="258"/>
      <c r="S25" s="297"/>
      <c r="T25" s="46">
        <f>SUM(T21:T24)</f>
        <v>2.4</v>
      </c>
      <c r="U25" s="9"/>
      <c r="X25" s="4"/>
    </row>
    <row r="26" spans="1:25" ht="17.399999999999999" x14ac:dyDescent="0.3">
      <c r="B26" s="279"/>
      <c r="C26" s="282"/>
      <c r="D26" s="283"/>
      <c r="E26" s="283"/>
      <c r="F26" s="284"/>
      <c r="G26" s="296" t="s">
        <v>51</v>
      </c>
      <c r="H26" s="294">
        <f>H25*19%</f>
        <v>40789.96</v>
      </c>
      <c r="I26" s="322"/>
      <c r="J26" s="265"/>
      <c r="K26" s="47"/>
      <c r="L26" s="47"/>
      <c r="M26" s="39">
        <f>SUM(M21:M25)</f>
        <v>3.2600000000000002</v>
      </c>
      <c r="N26" s="12"/>
      <c r="O26" s="12"/>
      <c r="P26" s="253">
        <f>SUM(P21:P24)</f>
        <v>1.8318000000000003</v>
      </c>
      <c r="Q26" s="14"/>
      <c r="R26" s="12"/>
      <c r="S26" s="239"/>
      <c r="T26" s="46"/>
      <c r="U26" s="9"/>
      <c r="X26" s="4"/>
    </row>
    <row r="27" spans="1:25" ht="18" thickBot="1" x14ac:dyDescent="0.35">
      <c r="B27" s="275"/>
      <c r="C27" s="281"/>
      <c r="D27" s="272"/>
      <c r="E27" s="272"/>
      <c r="F27" s="273"/>
      <c r="G27" s="280" t="s">
        <v>6</v>
      </c>
      <c r="H27" s="295">
        <f>H25+H26</f>
        <v>255473.96</v>
      </c>
      <c r="I27" s="322"/>
      <c r="J27" s="265"/>
      <c r="K27" s="47"/>
      <c r="L27" s="47"/>
      <c r="M27" s="39"/>
      <c r="N27" s="12"/>
      <c r="O27" s="12"/>
      <c r="P27" s="253">
        <f>P26</f>
        <v>1.8318000000000003</v>
      </c>
      <c r="Q27" s="14"/>
      <c r="R27" s="12"/>
      <c r="S27" s="239">
        <f>SUM(S21:S26)</f>
        <v>6.5200000000000005</v>
      </c>
      <c r="T27" s="46"/>
      <c r="U27" s="9"/>
      <c r="X27" s="4"/>
    </row>
    <row r="28" spans="1:25" ht="17.399999999999999" x14ac:dyDescent="0.3">
      <c r="B28" s="275"/>
      <c r="C28" s="271"/>
      <c r="D28" s="272"/>
      <c r="E28" s="272"/>
      <c r="F28" s="273"/>
      <c r="J28" s="265"/>
      <c r="K28" s="47"/>
      <c r="L28" s="47"/>
      <c r="M28" s="14"/>
      <c r="N28" s="12"/>
      <c r="O28" s="12"/>
      <c r="P28" s="39">
        <f>P27*20%</f>
        <v>0.36636000000000007</v>
      </c>
      <c r="Q28" s="39" t="s">
        <v>130</v>
      </c>
      <c r="R28" s="42"/>
      <c r="S28" s="240">
        <f>S27+T25</f>
        <v>8.92</v>
      </c>
      <c r="T28" s="14"/>
      <c r="U28" s="9"/>
      <c r="X28" s="4"/>
    </row>
    <row r="29" spans="1:25" ht="17.399999999999999" x14ac:dyDescent="0.35">
      <c r="B29" s="269"/>
      <c r="C29" s="230"/>
      <c r="D29" s="230"/>
      <c r="E29" s="233"/>
      <c r="F29" s="234"/>
      <c r="G29" s="230"/>
      <c r="H29" s="274"/>
      <c r="I29" s="274"/>
      <c r="J29" s="265"/>
      <c r="K29" s="47"/>
      <c r="L29" s="47"/>
      <c r="M29" s="14"/>
      <c r="N29" s="12"/>
      <c r="O29" s="12"/>
      <c r="P29" s="46">
        <f>P27+P28</f>
        <v>2.1981600000000006</v>
      </c>
      <c r="Q29" s="14"/>
      <c r="R29" s="14"/>
      <c r="S29" s="238">
        <f>S28*20%</f>
        <v>1.784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4"/>
      <c r="J30" s="265"/>
      <c r="K30" s="47"/>
      <c r="L30" s="47"/>
      <c r="M30" s="14"/>
      <c r="N30" s="14"/>
      <c r="O30" s="14"/>
      <c r="P30" s="14"/>
      <c r="Q30" s="14"/>
      <c r="R30" s="14"/>
      <c r="S30" s="240">
        <f>S28+S29</f>
        <v>10.704000000000001</v>
      </c>
      <c r="T30" s="14"/>
      <c r="U30" s="302" t="s">
        <v>21</v>
      </c>
      <c r="V30" s="299" t="s">
        <v>152</v>
      </c>
      <c r="W30" s="303">
        <v>44971</v>
      </c>
      <c r="X30" s="304"/>
    </row>
    <row r="31" spans="1:25" ht="17.399999999999999" x14ac:dyDescent="0.35">
      <c r="B31" s="230"/>
      <c r="C31" s="230"/>
      <c r="D31" s="230"/>
      <c r="E31" s="230"/>
      <c r="F31" s="230"/>
      <c r="G31" s="230"/>
      <c r="J31" s="265"/>
      <c r="K31" s="47"/>
      <c r="L31" s="47"/>
      <c r="M31" s="39">
        <f>P29</f>
        <v>2.1981600000000006</v>
      </c>
      <c r="N31" s="12">
        <v>3500</v>
      </c>
      <c r="O31" s="12">
        <f t="shared" ref="O31:O36" si="9">M31*N31</f>
        <v>7693.5600000000022</v>
      </c>
      <c r="P31" s="14" t="s">
        <v>21</v>
      </c>
      <c r="Q31" s="14"/>
      <c r="R31" s="14"/>
      <c r="S31" s="241"/>
      <c r="T31" s="14"/>
      <c r="U31" s="302" t="s">
        <v>153</v>
      </c>
      <c r="V31" s="299">
        <v>3625</v>
      </c>
      <c r="W31" s="59" t="s">
        <v>154</v>
      </c>
      <c r="X31" s="304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5"/>
      <c r="K32" s="47">
        <f>23500*1.19</f>
        <v>27965</v>
      </c>
      <c r="L32" s="47"/>
      <c r="M32" s="249">
        <v>0.6</v>
      </c>
      <c r="N32" s="12">
        <v>25000</v>
      </c>
      <c r="O32" s="12">
        <f t="shared" si="9"/>
        <v>15000</v>
      </c>
      <c r="P32" s="39" t="s">
        <v>31</v>
      </c>
      <c r="Q32" s="42"/>
      <c r="R32" s="14"/>
      <c r="S32" s="240"/>
      <c r="T32" s="14"/>
      <c r="U32" s="302"/>
      <c r="V32" s="59">
        <v>906.25</v>
      </c>
      <c r="W32" s="59" t="s">
        <v>155</v>
      </c>
      <c r="X32" s="304"/>
    </row>
    <row r="33" spans="2:24" s="230" customFormat="1" ht="17.399999999999999" x14ac:dyDescent="0.35">
      <c r="B33" s="24" t="s">
        <v>151</v>
      </c>
      <c r="J33" s="262"/>
      <c r="K33" s="232"/>
      <c r="L33" s="250"/>
      <c r="M33" s="14"/>
      <c r="N33" s="250">
        <v>61840</v>
      </c>
      <c r="O33" s="12">
        <f t="shared" si="9"/>
        <v>0</v>
      </c>
      <c r="P33" s="39" t="s">
        <v>30</v>
      </c>
      <c r="Q33" s="42"/>
      <c r="S33" s="240"/>
      <c r="T33" s="256"/>
      <c r="U33" s="59"/>
      <c r="V33" s="59">
        <f>V32*20%</f>
        <v>181.25</v>
      </c>
      <c r="W33" s="304" t="s">
        <v>156</v>
      </c>
      <c r="X33" s="59"/>
    </row>
    <row r="34" spans="2:24" s="230" customFormat="1" ht="17.399999999999999" x14ac:dyDescent="0.35">
      <c r="B34" s="24" t="s">
        <v>144</v>
      </c>
      <c r="C34"/>
      <c r="D34"/>
      <c r="E34"/>
      <c r="F34"/>
      <c r="J34" s="262"/>
      <c r="K34" s="232">
        <f>N34*1.19</f>
        <v>41650</v>
      </c>
      <c r="L34" s="250"/>
      <c r="M34" s="14">
        <v>2</v>
      </c>
      <c r="N34" s="250">
        <v>35000</v>
      </c>
      <c r="O34" s="12">
        <f t="shared" si="9"/>
        <v>70000</v>
      </c>
      <c r="P34" s="14" t="s">
        <v>141</v>
      </c>
      <c r="Q34" s="17"/>
      <c r="S34" s="238"/>
      <c r="T34" s="256"/>
      <c r="U34" s="59"/>
      <c r="V34" s="59">
        <f>V32+V33</f>
        <v>1087.5</v>
      </c>
      <c r="W34" s="304" t="s">
        <v>157</v>
      </c>
      <c r="X34" s="59"/>
    </row>
    <row r="35" spans="2:24" s="230" customFormat="1" ht="17.399999999999999" x14ac:dyDescent="0.35">
      <c r="B35" s="29" t="s">
        <v>125</v>
      </c>
      <c r="C35"/>
      <c r="D35"/>
      <c r="E35"/>
      <c r="F35" s="229" t="s">
        <v>15</v>
      </c>
      <c r="J35" s="262"/>
      <c r="K35" s="260">
        <f>SUM(K32:K34)</f>
        <v>69615</v>
      </c>
      <c r="L35" s="250"/>
      <c r="M35" s="249"/>
      <c r="N35" s="250">
        <v>900</v>
      </c>
      <c r="O35" s="12">
        <f t="shared" si="9"/>
        <v>0</v>
      </c>
      <c r="P35" s="14" t="s">
        <v>32</v>
      </c>
      <c r="Q35" s="14"/>
      <c r="R35" s="230">
        <v>1.52</v>
      </c>
      <c r="S35" s="238"/>
      <c r="T35" s="238"/>
    </row>
    <row r="36" spans="2:24" s="230" customFormat="1" ht="17.399999999999999" x14ac:dyDescent="0.35">
      <c r="J36" s="293"/>
      <c r="K36" s="260">
        <f>K35/1.19</f>
        <v>58500</v>
      </c>
      <c r="L36" s="250"/>
      <c r="M36" s="266">
        <v>3.26</v>
      </c>
      <c r="N36" s="12">
        <v>1500</v>
      </c>
      <c r="O36" s="12">
        <f t="shared" si="9"/>
        <v>4890</v>
      </c>
      <c r="P36" s="14" t="s">
        <v>22</v>
      </c>
      <c r="Q36" s="14"/>
      <c r="R36">
        <v>2.44</v>
      </c>
      <c r="S36"/>
      <c r="T36" s="238"/>
      <c r="X36" s="231"/>
    </row>
    <row r="37" spans="2:24" s="230" customFormat="1" ht="17.399999999999999" x14ac:dyDescent="0.35">
      <c r="K37" s="260">
        <f>K35-K36</f>
        <v>11115</v>
      </c>
      <c r="L37" s="250"/>
      <c r="M37" s="14"/>
      <c r="N37" s="12"/>
      <c r="O37" s="12">
        <f>SUM(O31:O36)</f>
        <v>97583.56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2:24" s="230" customFormat="1" ht="17.399999999999999" x14ac:dyDescent="0.35">
      <c r="L38" s="250"/>
      <c r="M38" s="254" t="s">
        <v>33</v>
      </c>
      <c r="N38" s="12"/>
      <c r="O38" s="255">
        <f>O37*2.2</f>
        <v>214683.83200000002</v>
      </c>
      <c r="P38" s="14" t="s">
        <v>140</v>
      </c>
      <c r="Q38" s="14"/>
      <c r="R38" s="40">
        <f>P29/R37</f>
        <v>0.5926876617773944</v>
      </c>
      <c r="S38"/>
      <c r="T38" s="257"/>
    </row>
    <row r="39" spans="2:24" s="230" customFormat="1" ht="17.399999999999999" x14ac:dyDescent="0.35">
      <c r="G39"/>
      <c r="H39" s="260"/>
      <c r="I39" s="260"/>
      <c r="J39" s="260"/>
      <c r="K39" s="230">
        <v>40000</v>
      </c>
      <c r="L39" s="250"/>
      <c r="M39" s="14"/>
      <c r="N39" s="12"/>
      <c r="O39" s="12">
        <f>O38/P27</f>
        <v>117198.2923899989</v>
      </c>
      <c r="P39" s="45" t="s">
        <v>24</v>
      </c>
      <c r="Q39" s="14"/>
      <c r="R39" s="14"/>
      <c r="S39"/>
      <c r="T39" s="238"/>
      <c r="U39" s="59" t="s">
        <v>158</v>
      </c>
      <c r="V39" s="299">
        <v>43650</v>
      </c>
    </row>
    <row r="40" spans="2:24" s="230" customFormat="1" ht="17.399999999999999" x14ac:dyDescent="0.35">
      <c r="G40"/>
      <c r="K40" s="230">
        <f>K39/1.19</f>
        <v>33613.445378151264</v>
      </c>
      <c r="L40" s="250"/>
      <c r="M40" s="13"/>
      <c r="N40" s="14"/>
      <c r="O40" s="17">
        <f>O38/O37</f>
        <v>2.2000000000000002</v>
      </c>
      <c r="P40" s="15"/>
      <c r="Q40"/>
      <c r="R40"/>
      <c r="S40"/>
      <c r="T40" s="238"/>
      <c r="U40" s="59" t="s">
        <v>160</v>
      </c>
      <c r="V40" s="300" t="s">
        <v>159</v>
      </c>
      <c r="W40" s="59">
        <v>2.4</v>
      </c>
    </row>
    <row r="41" spans="2:24" s="230" customFormat="1" ht="17.399999999999999" x14ac:dyDescent="0.35">
      <c r="G41" s="23"/>
      <c r="L41" s="12"/>
      <c r="T41" s="238"/>
      <c r="U41" s="59" t="s">
        <v>161</v>
      </c>
      <c r="V41" s="301">
        <v>395.37</v>
      </c>
    </row>
    <row r="42" spans="2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156</v>
      </c>
      <c r="V42" s="59">
        <v>474.45</v>
      </c>
    </row>
    <row r="43" spans="2:24" ht="14.4" customHeight="1" x14ac:dyDescent="0.3">
      <c r="L43" s="12"/>
      <c r="U43" s="59"/>
      <c r="V43" s="59"/>
    </row>
    <row r="44" spans="2:24" x14ac:dyDescent="0.3">
      <c r="L44" s="250"/>
    </row>
    <row r="45" spans="2:24" x14ac:dyDescent="0.3">
      <c r="L45" s="250"/>
      <c r="T45" s="270"/>
    </row>
    <row r="46" spans="2:24" x14ac:dyDescent="0.3">
      <c r="L46" s="250"/>
    </row>
    <row r="47" spans="2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148</v>
      </c>
    </row>
    <row r="75" spans="3:15" x14ac:dyDescent="0.3">
      <c r="C75" t="s">
        <v>147</v>
      </c>
    </row>
    <row r="78" spans="3:15" x14ac:dyDescent="0.3">
      <c r="C78" t="s">
        <v>147</v>
      </c>
    </row>
    <row r="155" spans="3:3" x14ac:dyDescent="0.3">
      <c r="C155" t="s">
        <v>147</v>
      </c>
    </row>
    <row r="156" spans="3:3" x14ac:dyDescent="0.3">
      <c r="C156" t="s">
        <v>149</v>
      </c>
    </row>
    <row r="157" spans="3:3" x14ac:dyDescent="0.3">
      <c r="C157" t="s">
        <v>150</v>
      </c>
    </row>
    <row r="582" spans="3:3" x14ac:dyDescent="0.3">
      <c r="C582" t="s">
        <v>147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45646</v>
      </c>
    </row>
    <row r="6" spans="2:31" ht="16.2" thickBot="1" x14ac:dyDescent="0.35">
      <c r="B6" s="140" t="s">
        <v>2</v>
      </c>
      <c r="C6" s="139" t="str">
        <f>'2229'!C10</f>
        <v>NIBALDO URRA ALLENDE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98</v>
      </c>
      <c r="I7" s="340"/>
      <c r="J7" s="340"/>
      <c r="K7" s="341"/>
      <c r="N7" s="75"/>
      <c r="O7" s="3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11220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-21335.562700120772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214684</v>
      </c>
      <c r="E11" s="132">
        <f>D11*0.19</f>
        <v>40789.96</v>
      </c>
      <c r="F11" s="131">
        <f>E11+D11</f>
        <v>255473.96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84654.437299879224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52527.650787439619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66654.437299879224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162156.3492125604</v>
      </c>
      <c r="E13" s="221">
        <f>(D11/D12)-1</f>
        <v>3.0870664646463704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57654.437299879224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18654.437299879228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86670.623799275374</v>
      </c>
      <c r="F15" s="216">
        <f>E15-D12</f>
        <v>34142.973011835755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18654.437299879228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58654.437299879224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15000</v>
      </c>
      <c r="E19" s="123">
        <f>D19*0.19</f>
        <v>2850</v>
      </c>
      <c r="F19" s="120">
        <f>SUM(D19:E19)</f>
        <v>17850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7693.5600000000022</v>
      </c>
      <c r="E20" s="121">
        <f>D20*0.19</f>
        <v>1461.7764000000004</v>
      </c>
      <c r="F20" s="120">
        <f>SUM(D20:E20)</f>
        <v>9155.336400000002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22693.56</v>
      </c>
      <c r="E21" s="116">
        <f>SUM(E18:E20)</f>
        <v>4311.7764000000006</v>
      </c>
      <c r="F21" s="115">
        <f>SUM(F18:F20)</f>
        <v>27005.3364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36478.183599999997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214684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22693.56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162156.3492125604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162156.3492125604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2024-12-09T18:09:54Z</cp:lastPrinted>
  <dcterms:created xsi:type="dcterms:W3CDTF">2013-03-18T13:35:42Z</dcterms:created>
  <dcterms:modified xsi:type="dcterms:W3CDTF">2024-12-20T13:54:03Z</dcterms:modified>
</cp:coreProperties>
</file>