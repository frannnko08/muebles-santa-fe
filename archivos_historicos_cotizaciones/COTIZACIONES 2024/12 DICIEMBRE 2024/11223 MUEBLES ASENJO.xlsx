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COTIZACIONES 2024\12 DICIEMBRE 2024\"/>
    </mc:Choice>
  </mc:AlternateContent>
  <xr:revisionPtr revIDLastSave="0" documentId="13_ncr:1_{25A7C070-85A2-4167-A9A1-E2B9F31A7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K22" i="1"/>
  <c r="K21" i="1"/>
  <c r="K23" i="1" l="1"/>
  <c r="L21" i="1" l="1"/>
  <c r="R21" i="1" s="1"/>
  <c r="M21" i="1"/>
  <c r="N21" i="1" s="1"/>
  <c r="L22" i="1"/>
  <c r="R22" i="1" s="1"/>
  <c r="M22" i="1"/>
  <c r="H21" i="1"/>
  <c r="H22" i="1"/>
  <c r="N22" i="1" l="1"/>
  <c r="O22" i="1" s="1"/>
  <c r="O21" i="1"/>
  <c r="L27" i="1" l="1"/>
  <c r="R28" i="1"/>
  <c r="O28" i="1"/>
  <c r="J41" i="1" l="1"/>
  <c r="N34" i="1" l="1"/>
  <c r="O29" i="1" l="1"/>
  <c r="O30" i="1" s="1"/>
  <c r="O31" i="1" s="1"/>
  <c r="S46" i="1"/>
  <c r="M20" i="1" l="1"/>
  <c r="K20" i="1"/>
  <c r="R20" i="1" s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1" i="1" l="1"/>
  <c r="Q21" i="1" s="1"/>
  <c r="P22" i="1"/>
  <c r="Q22" i="1" s="1"/>
  <c r="F15" i="3"/>
  <c r="H25" i="1" l="1"/>
  <c r="K1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<sst xmlns="http://schemas.openxmlformats.org/spreadsheetml/2006/main" count="222" uniqueCount="166">
  <si>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</si>
  <si>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</si>
  <si>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</si>
  <si>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</si>
  <si>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</si>
  <si>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</si>
  <si>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</si>
  <si>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</si>
  <si>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</si>
  <si>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</si>
  <si>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</si>
  <si>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</si>
  <si>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</si>
  <si>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</si>
  <si>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</si>
  <si>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</si>
  <si>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</si>
  <si>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</si>
  <si>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</si>
  <si>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</si>
  <si>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</si>
  <si>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</si>
  <si>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</si>
  <si>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</si>
  <si>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</si>
  <si>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</si>
  <si>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</si>
  <si>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</si>
  <si>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</si>
  <si>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</si>
  <si>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</si>
  <si>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</si>
  <si>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</si>
  <si>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</si>
  <si>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</si>
  <si>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</si>
  <si>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</si>
  <si>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</si>
  <si>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</si>
  <si>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</si>
  <si>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</si>
  <si>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</si>
  <si>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</si>
  <si>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</si>
  <si>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</si>
  <si>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</si>
  <si>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</si>
  <si>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</si>
  <si>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</si>
  <si>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</si>
  <si>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</si>
  <si>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</si>
  <si>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</si>
  <si>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</si>
  <si>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</si>
  <si>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</si>
  <si>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</si>
  <si>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</si>
  <si>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</si>
  <si>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</si>
  <si>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</si>
  <si>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</si>
  <si>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</si>
  <si>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</si>
  <si>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</si>
  <si>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</si>
  <si>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</si>
  <si>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</si>
  <si>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</si>
  <si>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</si>
  <si>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</si>
  <si>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</si>
  <si>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</si>
  <si>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</si>
  <si>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</si>
  <si>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</si>
  <si>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</si>
  <si>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</si>
  <si>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</si>
  <si>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</si>
  <si>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</si>
  <si>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</si>
  <si>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</si>
  <si>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</si>
  <si>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</si>
  <si>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</si>
  <si>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</si>
  <si>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</si>
  <si>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</si>
  <si>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</si>
  <si>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</si>
  <si>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</si>
  <si>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</si>
  <si>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</si>
  <si>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</si>
  <si>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</si>
  <si>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</si>
  <si>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</si>
  <si>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</si>
  <si>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</si>
  <si>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</si>
  <si>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</si>
  <si>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</si>
  <si>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</si>
  <si>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</si>
  <si>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</si>
  <si>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</si>
  <si>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</si>
  <si>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</si>
  <si>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</si>
  <si>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</si>
  <si>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</si>
  <si>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</si>
  <si>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</si>
  <si>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</si>
  <si>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</si>
  <si>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</si>
  <si>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</si>
  <si>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</si>
  <si>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</si>
  <si>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</si>
  <si>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</si>
  <si>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</si>
  <si>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</si>
  <si>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</si>
  <si>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</si>
  <si>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</si>
  <si>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</si>
  <si>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</si>
  <si>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</si>
  <si>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</si>
  <si>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</si>
  <si>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</si>
  <si>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</si>
  <si>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</si>
  <si>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</si>
  <si>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</si>
  <si>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</si>
  <si>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</si>
  <si>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</si>
  <si>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</si>
  <si>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</si>
  <si>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</si>
  <si>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</si>
  <si>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</si>
  <si>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</si>
  <si>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</si>
  <si>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</si>
  <si>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</si>
  <si>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</si>
  <si>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</si>
  <si>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</si>
  <si>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</si>
  <si>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</si>
  <si>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</si>
  <si>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</si>
  <si>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</si>
  <si>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</si>
  <si>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MIGUEL ASENJO</t>
  </si>
  <si>
    <t xml:space="preserve">+569 </t>
  </si>
  <si>
    <t>CUBIERTA CON RESPALDO 10 CMS SOBRE LA BASE 90° R8</t>
  </si>
  <si>
    <t>WHITE ASWHOOD SF</t>
  </si>
  <si>
    <t>7 - 10 DIAS HABILES</t>
  </si>
  <si>
    <t>SI</t>
  </si>
  <si>
    <t>MTL CUBIERTAS</t>
  </si>
  <si>
    <t>N° 11223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</si>
</sst>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3" fillId="5" borderId="0" xfId="0" applyNumberFormat="1" applyFont="1" applyFill="1"/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28</xdr:row>
      <xdr:rowOff>9525</xdr:rowOff>
    </xdr:from>
    <xdr:to>
      <xdr:col>5</xdr:col>
      <xdr:colOff>1679511</xdr:colOff>
      <xdr:row>31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225489</xdr:rowOff>
    </xdr:from>
    <xdr:to>
      <xdr:col>5</xdr:col>
      <xdr:colOff>1656183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D20" zoomScale="98" zoomScaleNormal="98" workbookViewId="0">
      <selection activeCell="K32" sqref="K32"/>
    </sheetView>
  </sheetViews>
  <sheetFormatPr baseColWidth="10" defaultRowHeight="14.4" x14ac:dyDescent="0.3"/>
  <cols>
    <col min="1" max="1" width="6" customWidth="1"/>
    <col min="2" max="2" width="10.5546875" customWidth="1"/>
    <col min="3" max="3" width="54.218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0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9" t="s">
        <v>128</v>
      </c>
      <c r="C8" s="300"/>
      <c r="D8" s="312" t="s">
        <v>165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1" t="s">
        <v>2</v>
      </c>
      <c r="C10" s="277" t="s">
        <v>158</v>
      </c>
      <c r="D10" s="242"/>
      <c r="E10" s="242"/>
      <c r="F10" s="243" t="s">
        <v>0</v>
      </c>
      <c r="G10" s="275">
        <v>45656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9"/>
      <c r="F11" t="s">
        <v>125</v>
      </c>
      <c r="G11" s="287" t="s">
        <v>162</v>
      </c>
      <c r="H11" s="288"/>
      <c r="P11" s="19"/>
      <c r="Q11" s="25" t="s">
        <v>19</v>
      </c>
      <c r="R11" s="19"/>
    </row>
    <row r="12" spans="2:23" ht="16.8" x14ac:dyDescent="0.4">
      <c r="B12" s="245" t="s">
        <v>146</v>
      </c>
      <c r="C12" s="309"/>
      <c r="D12" s="246"/>
      <c r="E12" s="246"/>
      <c r="F12" s="246" t="s">
        <v>129</v>
      </c>
      <c r="G12" s="276" t="s">
        <v>137</v>
      </c>
      <c r="H12" s="247"/>
      <c r="P12" s="19"/>
      <c r="Q12" s="25"/>
      <c r="R12" s="19"/>
    </row>
    <row r="13" spans="2:23" x14ac:dyDescent="0.3">
      <c r="B13" s="245" t="s">
        <v>147</v>
      </c>
      <c r="D13" s="246"/>
      <c r="E13" s="246"/>
      <c r="F13" s="246"/>
      <c r="G13" s="276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6" t="s">
        <v>141</v>
      </c>
      <c r="C14" s="304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ht="15.6" x14ac:dyDescent="0.3">
      <c r="B15" s="245" t="s">
        <v>4</v>
      </c>
      <c r="C15" s="313" t="s">
        <v>159</v>
      </c>
      <c r="D15" s="293"/>
      <c r="E15" s="246"/>
      <c r="F15" s="246" t="s">
        <v>136</v>
      </c>
      <c r="G15" s="294" t="s">
        <v>163</v>
      </c>
      <c r="H15" s="247"/>
      <c r="K15" s="18">
        <f>H25/L13</f>
        <v>16052.819890842937</v>
      </c>
    </row>
    <row r="16" spans="2:23" ht="16.8" x14ac:dyDescent="0.4">
      <c r="B16" s="290" t="s">
        <v>3</v>
      </c>
      <c r="C16" s="309"/>
      <c r="F16" s="291" t="s">
        <v>131</v>
      </c>
      <c r="G16" s="292" t="s">
        <v>157</v>
      </c>
      <c r="H16" s="288"/>
    </row>
    <row r="17" spans="1:24" ht="15" thickBot="1" x14ac:dyDescent="0.35">
      <c r="B17" s="295" t="s">
        <v>13</v>
      </c>
      <c r="C17" s="296" t="s">
        <v>153</v>
      </c>
      <c r="D17" s="297"/>
      <c r="E17" s="298"/>
      <c r="F17" s="325" t="s">
        <v>154</v>
      </c>
      <c r="G17" s="325"/>
      <c r="H17" s="326"/>
      <c r="I17" s="262"/>
      <c r="S17" s="6"/>
      <c r="T17" s="6"/>
    </row>
    <row r="18" spans="1:24" ht="15.75" customHeight="1" thickBot="1" x14ac:dyDescent="0.35">
      <c r="I18" s="46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7.399999999999999" x14ac:dyDescent="0.3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4"/>
      <c r="J20" s="46"/>
      <c r="K20" s="267" t="str">
        <f t="shared" ref="K20:K22" si="0">B20</f>
        <v>UNIDAD</v>
      </c>
      <c r="L20" s="266" t="s">
        <v>133</v>
      </c>
      <c r="M20" s="38" t="str">
        <f>E20</f>
        <v>ANCHO</v>
      </c>
      <c r="N20" s="260" t="s">
        <v>134</v>
      </c>
      <c r="O20" s="258" t="s">
        <v>17</v>
      </c>
      <c r="P20" s="251">
        <f>N41</f>
        <v>71302.42424242424</v>
      </c>
      <c r="Q20" s="257">
        <v>3000</v>
      </c>
      <c r="R20" s="306" t="e">
        <f t="shared" ref="R20:R22" si="1">K20*L20</f>
        <v>#VALUE!</v>
      </c>
      <c r="S20" s="14" t="s">
        <v>130</v>
      </c>
      <c r="T20" s="9"/>
      <c r="W20" s="4"/>
    </row>
    <row r="21" spans="1:24" ht="17.399999999999999" x14ac:dyDescent="0.3">
      <c r="B21" s="320">
        <v>7</v>
      </c>
      <c r="C21" s="321" t="s">
        <v>160</v>
      </c>
      <c r="D21" s="322">
        <v>1.21</v>
      </c>
      <c r="E21" s="322">
        <v>0.55000000000000004</v>
      </c>
      <c r="F21" s="320" t="s">
        <v>161</v>
      </c>
      <c r="G21" s="323">
        <v>49413</v>
      </c>
      <c r="H21" s="323">
        <f t="shared" ref="H21:H22" si="2">G21*B21</f>
        <v>345891</v>
      </c>
      <c r="I21" s="264"/>
      <c r="J21" s="46">
        <v>4</v>
      </c>
      <c r="K21" s="46">
        <f t="shared" si="0"/>
        <v>7</v>
      </c>
      <c r="L21" s="319">
        <f t="shared" ref="L21:L22" si="3">D21+L$19</f>
        <v>1.26</v>
      </c>
      <c r="M21" s="319">
        <f t="shared" ref="M21:M22" si="4">E21+M$19</f>
        <v>0.55000000000000004</v>
      </c>
      <c r="N21" s="260">
        <f t="shared" ref="N21:N22" si="5">L21*M21</f>
        <v>0.69300000000000006</v>
      </c>
      <c r="O21" s="258">
        <f t="shared" ref="O21:O22" si="6">N21*K21</f>
        <v>4.8510000000000009</v>
      </c>
      <c r="P21" s="251">
        <f t="shared" ref="P21:P22" si="7">P$20*N21</f>
        <v>49412.58</v>
      </c>
      <c r="Q21" s="257">
        <f t="shared" ref="Q21:Q22" si="8">P21+Q$20</f>
        <v>52412.58</v>
      </c>
      <c r="R21" s="306">
        <f t="shared" si="1"/>
        <v>8.82</v>
      </c>
      <c r="S21" s="14"/>
      <c r="T21" s="9"/>
      <c r="W21" s="4"/>
    </row>
    <row r="22" spans="1:24" ht="17.399999999999999" x14ac:dyDescent="0.3">
      <c r="B22" s="320">
        <v>3</v>
      </c>
      <c r="C22" s="321" t="s">
        <v>160</v>
      </c>
      <c r="D22" s="322">
        <v>1.51</v>
      </c>
      <c r="E22" s="322">
        <v>0.55000000000000004</v>
      </c>
      <c r="F22" s="320" t="s">
        <v>161</v>
      </c>
      <c r="G22" s="323">
        <v>61177</v>
      </c>
      <c r="H22" s="323">
        <f t="shared" si="2"/>
        <v>183531</v>
      </c>
      <c r="I22" s="264"/>
      <c r="J22" s="324">
        <v>7</v>
      </c>
      <c r="K22" s="46">
        <f t="shared" si="0"/>
        <v>3</v>
      </c>
      <c r="L22" s="319">
        <f t="shared" si="3"/>
        <v>1.56</v>
      </c>
      <c r="M22" s="319">
        <f t="shared" si="4"/>
        <v>0.55000000000000004</v>
      </c>
      <c r="N22" s="260">
        <f t="shared" si="5"/>
        <v>0.8580000000000001</v>
      </c>
      <c r="O22" s="258">
        <f t="shared" si="6"/>
        <v>2.5740000000000003</v>
      </c>
      <c r="P22" s="251">
        <f t="shared" si="7"/>
        <v>61177.48</v>
      </c>
      <c r="Q22" s="257">
        <f t="shared" si="8"/>
        <v>64177.48</v>
      </c>
      <c r="R22" s="306">
        <f t="shared" si="1"/>
        <v>4.68</v>
      </c>
      <c r="S22" s="14"/>
      <c r="T22" s="9" t="s">
        <v>164</v>
      </c>
      <c r="W22" s="4"/>
    </row>
    <row r="23" spans="1:24" ht="17.399999999999999" x14ac:dyDescent="0.3">
      <c r="B23" s="284"/>
      <c r="C23" s="318"/>
      <c r="D23" s="285"/>
      <c r="E23" s="285"/>
      <c r="F23" s="284"/>
      <c r="G23" s="323"/>
      <c r="H23" s="323"/>
      <c r="I23" s="264"/>
      <c r="J23" s="46"/>
      <c r="K23" s="46" t="e">
        <f>SUM(#REF!)</f>
        <v>#REF!</v>
      </c>
      <c r="L23" s="38"/>
      <c r="M23" s="38"/>
      <c r="N23" s="260"/>
      <c r="O23" s="258"/>
      <c r="P23" s="251"/>
      <c r="Q23" s="257"/>
      <c r="R23" s="306"/>
      <c r="S23" s="14"/>
      <c r="T23" s="9"/>
      <c r="W23" s="4"/>
    </row>
    <row r="24" spans="1:24" ht="18" thickBot="1" x14ac:dyDescent="0.35">
      <c r="B24" s="284"/>
      <c r="C24" s="284"/>
      <c r="D24" s="285"/>
      <c r="E24" s="285"/>
      <c r="F24" s="284"/>
      <c r="G24" s="317"/>
      <c r="H24" s="317"/>
      <c r="I24" s="231"/>
      <c r="J24" s="46"/>
      <c r="K24" s="46"/>
      <c r="L24" s="38"/>
      <c r="M24" s="38"/>
      <c r="N24" s="260"/>
      <c r="O24" s="258"/>
      <c r="P24" s="251"/>
      <c r="Q24" s="257"/>
      <c r="R24" s="306"/>
      <c r="S24" s="14"/>
      <c r="T24" s="9"/>
      <c r="W24" s="4"/>
    </row>
    <row r="25" spans="1:24" ht="17.399999999999999" x14ac:dyDescent="0.3">
      <c r="B25" s="284"/>
      <c r="C25" s="284"/>
      <c r="D25" s="285"/>
      <c r="E25" s="285"/>
      <c r="F25" s="284"/>
      <c r="G25" s="307" t="s">
        <v>30</v>
      </c>
      <c r="H25" s="308">
        <f>SUM(H21:H23)</f>
        <v>529422</v>
      </c>
      <c r="I25" s="231"/>
      <c r="J25" s="46"/>
      <c r="K25" s="46"/>
      <c r="L25" s="38"/>
      <c r="M25" s="38"/>
      <c r="N25" s="260"/>
      <c r="O25" s="258"/>
      <c r="P25" s="251"/>
      <c r="Q25" s="257"/>
      <c r="R25" s="306"/>
      <c r="S25" s="14"/>
      <c r="T25" s="9"/>
      <c r="W25" s="4"/>
    </row>
    <row r="26" spans="1:24" ht="17.399999999999999" x14ac:dyDescent="0.3">
      <c r="B26" s="278"/>
      <c r="C26" s="281"/>
      <c r="D26" s="282"/>
      <c r="E26" s="282"/>
      <c r="F26" s="283"/>
      <c r="G26" s="305" t="s">
        <v>53</v>
      </c>
      <c r="H26" s="302">
        <f>H25*0.19</f>
        <v>100590.18000000001</v>
      </c>
      <c r="I26" s="231"/>
      <c r="J26" s="46"/>
      <c r="K26" s="46"/>
      <c r="L26" s="38"/>
      <c r="M26" s="38"/>
      <c r="N26" s="260"/>
      <c r="O26" s="258"/>
      <c r="P26" s="251"/>
      <c r="Q26" s="257"/>
      <c r="R26" s="306"/>
      <c r="S26" s="14"/>
      <c r="T26" s="9"/>
      <c r="W26" s="4"/>
    </row>
    <row r="27" spans="1:24" ht="18" thickBot="1" x14ac:dyDescent="0.35">
      <c r="B27" s="274"/>
      <c r="C27" s="280"/>
      <c r="D27" s="271"/>
      <c r="E27" s="271"/>
      <c r="F27" s="272"/>
      <c r="G27" s="279" t="s">
        <v>6</v>
      </c>
      <c r="H27" s="303">
        <f>H25+H26</f>
        <v>630012.18000000005</v>
      </c>
      <c r="I27" s="264"/>
      <c r="J27" s="46"/>
      <c r="K27" s="46"/>
      <c r="L27" s="38" t="e">
        <f>SUM(#REF!)*2</f>
        <v>#REF!</v>
      </c>
      <c r="M27" s="38"/>
      <c r="N27" s="260"/>
      <c r="O27" s="258"/>
      <c r="P27" s="251"/>
      <c r="Q27" s="257"/>
      <c r="R27" s="306"/>
      <c r="S27" s="14"/>
      <c r="T27" s="9"/>
      <c r="W27" s="4"/>
    </row>
    <row r="28" spans="1:24" ht="17.399999999999999" x14ac:dyDescent="0.3">
      <c r="B28" s="274"/>
      <c r="C28" s="270"/>
      <c r="D28" s="271"/>
      <c r="E28" s="271"/>
      <c r="F28" s="272"/>
      <c r="I28" s="264"/>
      <c r="J28" s="46"/>
      <c r="K28" s="46"/>
      <c r="L28" s="38"/>
      <c r="M28" s="12"/>
      <c r="N28" s="12"/>
      <c r="O28" s="252">
        <f>SUM(O21:O24)</f>
        <v>7.4250000000000007</v>
      </c>
      <c r="P28" s="14"/>
      <c r="Q28" s="12"/>
      <c r="R28" s="237">
        <f>SUM(R21:R27)</f>
        <v>13.5</v>
      </c>
      <c r="S28" s="14"/>
      <c r="T28" s="9"/>
      <c r="W28" s="4"/>
    </row>
    <row r="29" spans="1:24" ht="17.399999999999999" x14ac:dyDescent="0.35">
      <c r="B29" s="268"/>
      <c r="C29" s="229"/>
      <c r="D29" s="229"/>
      <c r="E29" s="231"/>
      <c r="F29" s="232"/>
      <c r="G29" s="229"/>
      <c r="H29" s="273"/>
      <c r="I29" s="264"/>
      <c r="J29" s="46"/>
      <c r="K29" s="46"/>
      <c r="L29" s="38"/>
      <c r="M29" s="12"/>
      <c r="N29" s="12"/>
      <c r="O29" s="252">
        <f>O28</f>
        <v>7.4250000000000007</v>
      </c>
      <c r="P29" s="14"/>
      <c r="Q29" s="12"/>
      <c r="R29" s="237"/>
      <c r="S29" s="14"/>
      <c r="T29" s="9"/>
      <c r="W29" s="4"/>
    </row>
    <row r="30" spans="1:24" ht="17.399999999999999" x14ac:dyDescent="0.35">
      <c r="B30" s="233"/>
      <c r="C30" s="234"/>
      <c r="D30" s="235"/>
      <c r="E30" s="233"/>
      <c r="F30" s="229"/>
      <c r="G30" s="229"/>
      <c r="I30" s="264"/>
      <c r="J30" s="46"/>
      <c r="K30" s="46"/>
      <c r="L30" s="14"/>
      <c r="M30" s="12"/>
      <c r="N30" s="12"/>
      <c r="O30" s="38">
        <f>O29*0.2</f>
        <v>1.4850000000000003</v>
      </c>
      <c r="P30" s="38" t="s">
        <v>132</v>
      </c>
      <c r="Q30" s="41"/>
      <c r="R30" s="238"/>
      <c r="S30" s="14"/>
      <c r="T30" s="9"/>
      <c r="W30" s="4"/>
    </row>
    <row r="31" spans="1:24" ht="17.399999999999999" x14ac:dyDescent="0.35">
      <c r="B31" s="229"/>
      <c r="C31" s="229"/>
      <c r="D31" s="229"/>
      <c r="E31" s="229"/>
      <c r="F31" s="229"/>
      <c r="G31" s="229"/>
      <c r="I31" s="264"/>
      <c r="J31" s="311"/>
      <c r="K31" s="46"/>
      <c r="L31" s="14"/>
      <c r="M31" s="12"/>
      <c r="N31" s="12"/>
      <c r="O31" s="45">
        <f>O29+O30</f>
        <v>8.91</v>
      </c>
      <c r="P31" s="14"/>
      <c r="Q31" s="14"/>
      <c r="R31" s="236">
        <v>40</v>
      </c>
      <c r="S31" s="14"/>
      <c r="T31" s="9"/>
      <c r="W31" s="4"/>
    </row>
    <row r="32" spans="1:24" ht="17.399999999999999" x14ac:dyDescent="0.35">
      <c r="A32" s="229"/>
      <c r="B32" s="229"/>
      <c r="C32" s="229"/>
      <c r="D32" s="229"/>
      <c r="E32" s="229"/>
      <c r="F32" s="229"/>
      <c r="G32" s="229"/>
      <c r="H32" s="229"/>
      <c r="J32" s="311"/>
      <c r="K32" s="46"/>
      <c r="L32" s="14"/>
      <c r="M32" s="14"/>
      <c r="N32" s="14"/>
      <c r="O32" s="14"/>
      <c r="P32" s="14"/>
      <c r="Q32" s="14"/>
      <c r="R32" s="236"/>
      <c r="S32" s="14"/>
      <c r="T32" s="9"/>
      <c r="W32" s="4"/>
    </row>
    <row r="33" spans="1:23" ht="17.399999999999999" x14ac:dyDescent="0.35">
      <c r="A33" s="229"/>
      <c r="B33" s="24" t="s">
        <v>155</v>
      </c>
      <c r="C33" s="229"/>
      <c r="D33" s="229"/>
      <c r="E33" s="229"/>
      <c r="F33" s="229"/>
      <c r="G33" s="229"/>
      <c r="H33" s="229"/>
      <c r="I33" s="264"/>
      <c r="J33" s="46"/>
      <c r="K33" s="46"/>
      <c r="L33" s="38">
        <f>O31</f>
        <v>8.91</v>
      </c>
      <c r="M33" s="12">
        <v>2500</v>
      </c>
      <c r="N33" s="12">
        <f t="shared" ref="N33:N38" si="9">L33*M33</f>
        <v>22275</v>
      </c>
      <c r="O33" s="14" t="s">
        <v>22</v>
      </c>
      <c r="P33" s="14" t="s">
        <v>23</v>
      </c>
      <c r="Q33" s="14"/>
      <c r="R33" s="239"/>
      <c r="S33" s="14"/>
      <c r="T33" s="9"/>
      <c r="W33" s="4"/>
    </row>
    <row r="34" spans="1:23" ht="17.399999999999999" x14ac:dyDescent="0.35">
      <c r="A34" s="229"/>
      <c r="B34" s="24" t="s">
        <v>156</v>
      </c>
      <c r="G34" s="229"/>
      <c r="H34" s="229"/>
      <c r="I34" s="264"/>
      <c r="J34" s="46"/>
      <c r="K34" s="46"/>
      <c r="L34" s="248">
        <v>2.5</v>
      </c>
      <c r="M34" s="12">
        <v>23500</v>
      </c>
      <c r="N34" s="12">
        <f t="shared" si="9"/>
        <v>58750</v>
      </c>
      <c r="O34" s="38" t="s">
        <v>152</v>
      </c>
      <c r="P34" s="41"/>
      <c r="Q34" s="14"/>
      <c r="R34" s="238"/>
      <c r="S34" s="14"/>
      <c r="T34" s="9"/>
      <c r="W34" s="4"/>
    </row>
    <row r="35" spans="1:23" s="229" customFormat="1" ht="17.399999999999999" x14ac:dyDescent="0.35">
      <c r="B35" s="29" t="s">
        <v>127</v>
      </c>
      <c r="C35"/>
      <c r="D35"/>
      <c r="E35"/>
      <c r="F35" s="228" t="s">
        <v>16</v>
      </c>
      <c r="I35" s="261"/>
      <c r="J35" s="46"/>
      <c r="K35" s="249"/>
      <c r="L35" s="14"/>
      <c r="M35" s="249">
        <v>22606</v>
      </c>
      <c r="N35" s="12">
        <f t="shared" si="9"/>
        <v>0</v>
      </c>
      <c r="O35" s="38" t="s">
        <v>32</v>
      </c>
      <c r="P35" s="41"/>
      <c r="R35" s="238"/>
      <c r="S35" s="255"/>
      <c r="V35" s="230"/>
    </row>
    <row r="36" spans="1:23" s="229" customFormat="1" ht="17.399999999999999" x14ac:dyDescent="0.35">
      <c r="I36" s="261"/>
      <c r="J36" s="310"/>
      <c r="K36" s="249">
        <v>20</v>
      </c>
      <c r="L36" s="14">
        <v>5</v>
      </c>
      <c r="M36" s="249">
        <v>32866</v>
      </c>
      <c r="N36" s="12">
        <f t="shared" si="9"/>
        <v>164330</v>
      </c>
      <c r="O36" s="14" t="s">
        <v>143</v>
      </c>
      <c r="P36" s="17"/>
      <c r="R36" s="236"/>
      <c r="S36" s="255"/>
      <c r="V36" s="230"/>
    </row>
    <row r="37" spans="1:23" s="229" customFormat="1" ht="17.399999999999999" x14ac:dyDescent="0.35">
      <c r="I37" s="261"/>
      <c r="J37" s="310"/>
      <c r="K37" s="249"/>
      <c r="L37" s="248"/>
      <c r="M37" s="249">
        <v>800</v>
      </c>
      <c r="N37" s="12">
        <f t="shared" si="9"/>
        <v>0</v>
      </c>
      <c r="O37" s="14" t="s">
        <v>34</v>
      </c>
      <c r="P37" s="14"/>
      <c r="Q37" s="229">
        <v>1.52</v>
      </c>
      <c r="R37" s="236"/>
      <c r="S37" s="236"/>
    </row>
    <row r="38" spans="1:23" s="229" customFormat="1" ht="17.399999999999999" x14ac:dyDescent="0.35">
      <c r="I38" s="301"/>
      <c r="J38" s="46"/>
      <c r="K38" s="249"/>
      <c r="L38" s="265">
        <v>13.5</v>
      </c>
      <c r="M38" s="12">
        <v>500</v>
      </c>
      <c r="N38" s="12">
        <f t="shared" si="9"/>
        <v>6750</v>
      </c>
      <c r="O38" s="14" t="s">
        <v>24</v>
      </c>
      <c r="P38" s="14"/>
      <c r="Q38">
        <v>2.44</v>
      </c>
      <c r="R38"/>
      <c r="S38" s="236">
        <v>1500</v>
      </c>
      <c r="W38" s="230"/>
    </row>
    <row r="39" spans="1:23" s="229" customFormat="1" ht="17.399999999999999" x14ac:dyDescent="0.35">
      <c r="I39" s="264"/>
      <c r="J39" s="46"/>
      <c r="K39" s="249"/>
      <c r="L39" s="14"/>
      <c r="M39" s="12"/>
      <c r="N39" s="12">
        <f>SUM(N33:N38)</f>
        <v>252105</v>
      </c>
      <c r="O39" s="38" t="s">
        <v>25</v>
      </c>
      <c r="P39" s="14"/>
      <c r="Q39">
        <f>Q37*Q38</f>
        <v>3.7088000000000001</v>
      </c>
      <c r="R39"/>
      <c r="S39" s="236">
        <f>R31*S38</f>
        <v>60000</v>
      </c>
      <c r="W39" s="230"/>
    </row>
    <row r="40" spans="1:23" s="229" customFormat="1" ht="17.399999999999999" x14ac:dyDescent="0.35">
      <c r="J40" s="46">
        <v>58690</v>
      </c>
      <c r="K40" s="249"/>
      <c r="L40" s="253" t="s">
        <v>35</v>
      </c>
      <c r="M40" s="12"/>
      <c r="N40" s="254">
        <f>N39*2.1</f>
        <v>529420.5</v>
      </c>
      <c r="O40" s="14" t="s">
        <v>142</v>
      </c>
      <c r="P40" s="14"/>
      <c r="Q40" s="45">
        <f>O31/Q39</f>
        <v>2.4023943054357204</v>
      </c>
      <c r="R40"/>
      <c r="S40" s="256" t="e">
        <f>S39/#REF!</f>
        <v>#REF!</v>
      </c>
    </row>
    <row r="41" spans="1:23" s="229" customFormat="1" ht="17.399999999999999" x14ac:dyDescent="0.35">
      <c r="G41"/>
      <c r="H41" s="259"/>
      <c r="I41" s="259"/>
      <c r="J41" s="46">
        <f>J40/1.19</f>
        <v>49319.327731092439</v>
      </c>
      <c r="K41" s="249"/>
      <c r="L41" s="14"/>
      <c r="M41" s="12"/>
      <c r="N41" s="12">
        <f>N40/O29</f>
        <v>71302.42424242424</v>
      </c>
      <c r="O41" s="44" t="s">
        <v>26</v>
      </c>
      <c r="P41" s="14"/>
      <c r="Q41" s="14"/>
      <c r="R41"/>
      <c r="S41" s="236"/>
    </row>
    <row r="42" spans="1:23" s="229" customFormat="1" ht="17.399999999999999" x14ac:dyDescent="0.35">
      <c r="G42"/>
      <c r="J42" s="46"/>
      <c r="K42" s="249"/>
      <c r="L42" s="13"/>
      <c r="M42" s="14"/>
      <c r="N42" s="17">
        <f>N40/N39</f>
        <v>2.1</v>
      </c>
      <c r="O42" s="15"/>
      <c r="P42"/>
      <c r="Q42"/>
      <c r="R42"/>
      <c r="S42" s="236"/>
    </row>
    <row r="43" spans="1:23" s="229" customFormat="1" ht="17.399999999999999" x14ac:dyDescent="0.35">
      <c r="G43" s="23"/>
      <c r="J43" s="46"/>
      <c r="K43" s="12"/>
      <c r="S43" s="236"/>
    </row>
    <row r="44" spans="1:23" s="229" customFormat="1" ht="17.399999999999999" x14ac:dyDescent="0.35">
      <c r="B44"/>
      <c r="C44" s="227"/>
      <c r="D44" s="22"/>
      <c r="E44" s="22"/>
      <c r="F44" s="21"/>
      <c r="G44" s="23"/>
      <c r="J44" s="46"/>
      <c r="K44" s="12"/>
      <c r="S44" s="236">
        <v>1.83</v>
      </c>
    </row>
    <row r="45" spans="1:23" ht="14.4" customHeight="1" x14ac:dyDescent="0.3">
      <c r="J45" s="46"/>
      <c r="K45" s="12"/>
      <c r="S45">
        <v>2.5</v>
      </c>
    </row>
    <row r="46" spans="1:23" x14ac:dyDescent="0.3">
      <c r="J46" s="46"/>
      <c r="K46" s="249"/>
      <c r="S46">
        <f>S44*S45</f>
        <v>4.5750000000000002</v>
      </c>
    </row>
    <row r="47" spans="1:23" x14ac:dyDescent="0.3">
      <c r="K47" s="249"/>
      <c r="S47" s="269">
        <f>O31/S46</f>
        <v>1.9475409836065574</v>
      </c>
    </row>
    <row r="48" spans="1:23" x14ac:dyDescent="0.3">
      <c r="K48" s="249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3"/>
      <c r="O53" s="53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2"/>
    </row>
    <row r="66" spans="3:14" x14ac:dyDescent="0.3">
      <c r="N66" s="42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107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45656</v>
      </c>
    </row>
    <row r="6" spans="2:31" ht="16.2" thickBot="1" x14ac:dyDescent="0.35">
      <c r="B6" s="139" t="s">
        <v>2</v>
      </c>
      <c r="C6" s="138" t="str">
        <f>'2229'!C10</f>
        <v>MIGUEL ASENJO</v>
      </c>
      <c r="D6" s="137"/>
      <c r="E6" s="137"/>
      <c r="F6" s="137"/>
      <c r="N6" s="74" t="s">
        <v>106</v>
      </c>
      <c r="O6" s="74"/>
      <c r="P6" s="141" t="s">
        <v>105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1" t="s">
        <v>100</v>
      </c>
      <c r="I7" s="332"/>
      <c r="J7" s="332"/>
      <c r="K7" s="333"/>
      <c r="N7" s="74"/>
      <c r="O7" s="330" t="s">
        <v>104</v>
      </c>
      <c r="P7" s="140" t="s">
        <v>103</v>
      </c>
      <c r="Q7" s="140"/>
    </row>
    <row r="8" spans="2:31" ht="16.2" thickBot="1" x14ac:dyDescent="0.35">
      <c r="B8" s="139" t="s">
        <v>102</v>
      </c>
      <c r="C8" s="138" t="str">
        <f>'2229'!D8</f>
        <v>N° 11223</v>
      </c>
      <c r="D8" s="137"/>
      <c r="E8" s="137"/>
      <c r="F8" s="137"/>
      <c r="H8" s="181" t="s">
        <v>119</v>
      </c>
      <c r="I8" s="153" t="s">
        <v>118</v>
      </c>
      <c r="J8" s="226" t="s">
        <v>97</v>
      </c>
      <c r="K8" s="134" t="s">
        <v>6</v>
      </c>
      <c r="L8" s="133" t="s">
        <v>6</v>
      </c>
      <c r="N8" s="74"/>
      <c r="O8" s="330"/>
      <c r="P8" s="74" t="s">
        <v>101</v>
      </c>
      <c r="Q8" s="74"/>
      <c r="X8">
        <f>SUM(Q11:Q16)</f>
        <v>6</v>
      </c>
    </row>
    <row r="9" spans="2:31" ht="15" thickBot="1" x14ac:dyDescent="0.35">
      <c r="H9" s="196" t="s">
        <v>98</v>
      </c>
      <c r="I9" s="197" t="s">
        <v>117</v>
      </c>
      <c r="J9" s="182" t="s">
        <v>94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-57750.750033454118</v>
      </c>
    </row>
    <row r="10" spans="2:31" ht="16.2" thickBot="1" x14ac:dyDescent="0.35">
      <c r="D10" s="217" t="s">
        <v>30</v>
      </c>
      <c r="E10" s="218" t="s">
        <v>53</v>
      </c>
      <c r="F10" s="219" t="s">
        <v>6</v>
      </c>
      <c r="H10" s="189">
        <v>3</v>
      </c>
      <c r="I10" s="203">
        <v>350</v>
      </c>
      <c r="J10" s="200" t="s">
        <v>34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95</v>
      </c>
      <c r="D11" s="132">
        <f>'2229'!H25</f>
        <v>529422</v>
      </c>
      <c r="E11" s="131">
        <f>D11*0.19</f>
        <v>100590.18000000001</v>
      </c>
      <c r="F11" s="130">
        <f>E11+D11</f>
        <v>630012.18000000005</v>
      </c>
      <c r="H11" s="190">
        <v>3</v>
      </c>
      <c r="I11" s="173">
        <v>500</v>
      </c>
      <c r="J11" s="147" t="s">
        <v>24</v>
      </c>
      <c r="K11" s="157">
        <f t="shared" si="0"/>
        <v>1500</v>
      </c>
      <c r="Q11" s="7">
        <v>1</v>
      </c>
      <c r="R11" s="7" t="s">
        <v>37</v>
      </c>
      <c r="S11" s="50">
        <v>2.8</v>
      </c>
      <c r="T11" s="50">
        <v>0.62</v>
      </c>
      <c r="U11" s="7" t="s">
        <v>40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48239.249966545882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99</v>
      </c>
      <c r="D12" s="135">
        <f>SUM(M43:M45)</f>
        <v>110859.09078743961</v>
      </c>
      <c r="F12" s="60"/>
      <c r="H12" s="190">
        <v>0</v>
      </c>
      <c r="I12" s="173">
        <v>7500</v>
      </c>
      <c r="J12" s="149" t="s">
        <v>113</v>
      </c>
      <c r="K12" s="157">
        <f t="shared" si="0"/>
        <v>0</v>
      </c>
      <c r="L12" s="60"/>
      <c r="Q12" s="7">
        <v>1</v>
      </c>
      <c r="R12" s="7" t="s">
        <v>37</v>
      </c>
      <c r="S12" s="50">
        <v>2.2999999999999998</v>
      </c>
      <c r="T12" s="50">
        <v>0.62</v>
      </c>
      <c r="U12" s="7" t="s">
        <v>40</v>
      </c>
      <c r="V12" s="54">
        <v>87990</v>
      </c>
      <c r="W12" s="48">
        <f t="shared" si="1"/>
        <v>87990</v>
      </c>
      <c r="X12" s="175">
        <f t="shared" si="2"/>
        <v>30239.249966545882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93</v>
      </c>
      <c r="D13" s="216">
        <f>D11-D12</f>
        <v>418562.90921256039</v>
      </c>
      <c r="E13" s="220">
        <f>(D11/D12)-1</f>
        <v>3.775630002370395</v>
      </c>
      <c r="H13" s="190">
        <v>0</v>
      </c>
      <c r="I13" s="173">
        <v>50</v>
      </c>
      <c r="J13" s="149" t="s">
        <v>114</v>
      </c>
      <c r="K13" s="157">
        <f t="shared" si="0"/>
        <v>0</v>
      </c>
      <c r="L13" s="60"/>
      <c r="Q13" s="7">
        <v>1</v>
      </c>
      <c r="R13" s="7" t="s">
        <v>37</v>
      </c>
      <c r="S13" s="50">
        <v>2.0299999999999998</v>
      </c>
      <c r="T13" s="50">
        <v>0.62</v>
      </c>
      <c r="U13" s="7" t="s">
        <v>40</v>
      </c>
      <c r="V13" s="54">
        <v>78990</v>
      </c>
      <c r="W13" s="48">
        <f t="shared" si="1"/>
        <v>78990</v>
      </c>
      <c r="X13" s="175">
        <f t="shared" si="2"/>
        <v>21239.249966545882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124</v>
      </c>
      <c r="E14" s="178" t="s">
        <v>30</v>
      </c>
      <c r="F14" s="177" t="s">
        <v>112</v>
      </c>
      <c r="H14" s="190">
        <v>0</v>
      </c>
      <c r="I14" s="173">
        <v>50</v>
      </c>
      <c r="J14" s="149" t="s">
        <v>115</v>
      </c>
      <c r="K14" s="157">
        <f t="shared" si="0"/>
        <v>0</v>
      </c>
      <c r="L14" s="60"/>
      <c r="P14" s="125"/>
      <c r="Q14" s="7">
        <v>1</v>
      </c>
      <c r="R14" s="7" t="s">
        <v>37</v>
      </c>
      <c r="S14" s="50">
        <v>1.08</v>
      </c>
      <c r="T14" s="50">
        <v>0.62</v>
      </c>
      <c r="U14" s="7" t="s">
        <v>40</v>
      </c>
      <c r="V14" s="54">
        <v>39990</v>
      </c>
      <c r="W14" s="48">
        <f t="shared" si="1"/>
        <v>39990</v>
      </c>
      <c r="X14" s="175">
        <f t="shared" si="2"/>
        <v>-17760.750033454118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123</v>
      </c>
      <c r="D15" s="213">
        <v>0.65</v>
      </c>
      <c r="E15" s="214">
        <f>(100%+D15)*D12</f>
        <v>182917.49979927533</v>
      </c>
      <c r="F15" s="215">
        <f>E15-D12</f>
        <v>72058.409011835727</v>
      </c>
      <c r="H15" s="190">
        <v>0</v>
      </c>
      <c r="I15" s="173">
        <v>10</v>
      </c>
      <c r="J15" s="149" t="s">
        <v>116</v>
      </c>
      <c r="K15" s="157">
        <f t="shared" si="0"/>
        <v>0</v>
      </c>
      <c r="L15" s="60"/>
      <c r="Q15" s="7">
        <v>1</v>
      </c>
      <c r="R15" s="7" t="s">
        <v>37</v>
      </c>
      <c r="S15" s="50">
        <v>1.08</v>
      </c>
      <c r="T15" s="50">
        <v>0.62</v>
      </c>
      <c r="U15" s="7" t="s">
        <v>40</v>
      </c>
      <c r="V15" s="54">
        <v>39990</v>
      </c>
      <c r="W15" s="48">
        <f t="shared" si="1"/>
        <v>39990</v>
      </c>
      <c r="X15" s="175">
        <f t="shared" si="2"/>
        <v>-17760.750033454118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92</v>
      </c>
      <c r="K16" s="157">
        <f t="shared" si="0"/>
        <v>0</v>
      </c>
      <c r="L16" s="60"/>
      <c r="Q16" s="7">
        <v>1</v>
      </c>
      <c r="R16" s="7" t="s">
        <v>37</v>
      </c>
      <c r="S16" s="50">
        <v>2.06</v>
      </c>
      <c r="T16" s="50">
        <v>0.62</v>
      </c>
      <c r="U16" s="7" t="s">
        <v>40</v>
      </c>
      <c r="V16" s="54">
        <v>79990</v>
      </c>
      <c r="W16" s="48">
        <f t="shared" si="1"/>
        <v>79990</v>
      </c>
      <c r="X16" s="175">
        <f t="shared" si="2"/>
        <v>22239.249966545882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90</v>
      </c>
      <c r="C17" s="128" t="s">
        <v>89</v>
      </c>
      <c r="D17" s="128" t="s">
        <v>30</v>
      </c>
      <c r="E17" s="127" t="s">
        <v>53</v>
      </c>
      <c r="F17" s="126" t="s">
        <v>6</v>
      </c>
      <c r="H17" s="192">
        <v>1</v>
      </c>
      <c r="I17" s="201"/>
      <c r="J17" s="187" t="s">
        <v>91</v>
      </c>
      <c r="K17" s="157">
        <f t="shared" si="0"/>
        <v>0</v>
      </c>
      <c r="L17" s="60"/>
      <c r="Q17" s="7">
        <v>6</v>
      </c>
      <c r="R17" s="7" t="s">
        <v>38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87</v>
      </c>
      <c r="D18" s="121">
        <f>'2229'!N35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88</v>
      </c>
      <c r="K18" s="157">
        <f t="shared" si="0"/>
        <v>0</v>
      </c>
      <c r="L18" s="60"/>
      <c r="Q18" s="7">
        <v>1</v>
      </c>
      <c r="R18" s="55" t="s">
        <v>39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33</v>
      </c>
      <c r="D19" s="121">
        <f>'2229'!N34</f>
        <v>58750</v>
      </c>
      <c r="E19" s="122">
        <f>D19*0.19</f>
        <v>11162.5</v>
      </c>
      <c r="F19" s="119">
        <f>SUM(D19:E19)</f>
        <v>69912.5</v>
      </c>
      <c r="H19" s="191">
        <v>1</v>
      </c>
      <c r="I19" s="201"/>
      <c r="J19" s="183" t="s">
        <v>86</v>
      </c>
      <c r="K19" s="157">
        <f t="shared" si="0"/>
        <v>0</v>
      </c>
      <c r="L19" s="60"/>
      <c r="Q19" s="16"/>
      <c r="T19" s="5"/>
      <c r="U19" s="6"/>
      <c r="V19" s="30" t="s">
        <v>30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'2229'!N33</f>
        <v>22275</v>
      </c>
      <c r="E20" s="120">
        <f>D20*0.19</f>
        <v>4232.25</v>
      </c>
      <c r="F20" s="119">
        <f>SUM(D20:E20)</f>
        <v>26507.25</v>
      </c>
      <c r="H20" s="191">
        <v>1</v>
      </c>
      <c r="I20" s="201"/>
      <c r="J20" s="183" t="s">
        <v>85</v>
      </c>
      <c r="K20" s="157">
        <f t="shared" si="0"/>
        <v>0</v>
      </c>
      <c r="V20" s="31" t="s">
        <v>31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81025</v>
      </c>
      <c r="E21" s="115">
        <f>SUM(E18:E20)</f>
        <v>15394.75</v>
      </c>
      <c r="F21" s="114">
        <f>SUM(F18:F20)</f>
        <v>96419.75</v>
      </c>
      <c r="H21" s="191">
        <v>1</v>
      </c>
      <c r="I21" s="201"/>
      <c r="J21" s="183" t="s">
        <v>84</v>
      </c>
      <c r="K21" s="157">
        <f t="shared" si="0"/>
        <v>0</v>
      </c>
      <c r="M21" s="152">
        <f>B32/9</f>
        <v>2318.840579710145</v>
      </c>
      <c r="Q21" s="49" t="s">
        <v>41</v>
      </c>
      <c r="R21" s="49"/>
      <c r="S21" s="49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82</v>
      </c>
      <c r="C22" s="112" t="s">
        <v>81</v>
      </c>
      <c r="D22" s="111" t="s">
        <v>80</v>
      </c>
      <c r="E22" s="110" t="s">
        <v>79</v>
      </c>
      <c r="F22" s="109" t="s">
        <v>6</v>
      </c>
      <c r="H22" s="191">
        <v>1</v>
      </c>
      <c r="I22" s="201"/>
      <c r="J22" s="147" t="s">
        <v>83</v>
      </c>
      <c r="K22" s="157">
        <f t="shared" si="0"/>
        <v>0</v>
      </c>
      <c r="M22" s="104"/>
      <c r="N22" s="57"/>
      <c r="Q22" s="49" t="s">
        <v>36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27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78</v>
      </c>
      <c r="K23" s="157">
        <f t="shared" si="0"/>
        <v>0</v>
      </c>
      <c r="M23" s="104"/>
      <c r="N23" s="57"/>
      <c r="Q23" s="49" t="s">
        <v>29</v>
      </c>
      <c r="R23" s="49"/>
      <c r="X23" s="103"/>
      <c r="Y23" s="27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76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119</v>
      </c>
      <c r="I24" s="154" t="s">
        <v>117</v>
      </c>
      <c r="J24" s="180" t="s">
        <v>77</v>
      </c>
      <c r="K24" s="151" t="s">
        <v>96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75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110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73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74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72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71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70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108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69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120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24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121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67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122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66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43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42</v>
      </c>
      <c r="K33" s="96">
        <f t="shared" si="5"/>
        <v>0</v>
      </c>
    </row>
    <row r="34" spans="2:16" ht="15" thickBot="1" x14ac:dyDescent="0.35">
      <c r="B34" s="82" t="s">
        <v>65</v>
      </c>
      <c r="C34" s="81" t="s">
        <v>64</v>
      </c>
      <c r="D34" s="80">
        <f>L9</f>
        <v>2550</v>
      </c>
      <c r="H34" s="191">
        <v>1</v>
      </c>
      <c r="I34" s="173"/>
      <c r="J34" s="147" t="s">
        <v>109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63</v>
      </c>
      <c r="D35" s="77">
        <f>L24</f>
        <v>0</v>
      </c>
      <c r="H35" s="193">
        <v>6</v>
      </c>
      <c r="I35" s="205"/>
      <c r="J35" s="179" t="s">
        <v>111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61</v>
      </c>
      <c r="D36" s="77">
        <f>L36</f>
        <v>18467.665666666668</v>
      </c>
      <c r="E36" s="57"/>
      <c r="H36" s="150" t="s">
        <v>98</v>
      </c>
      <c r="I36" s="154" t="s">
        <v>117</v>
      </c>
      <c r="J36" s="188" t="s">
        <v>68</v>
      </c>
      <c r="K36" s="151" t="s">
        <v>96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44</v>
      </c>
      <c r="D37" s="72"/>
      <c r="H37" s="198">
        <f>$E$33</f>
        <v>3.9000000000000004</v>
      </c>
      <c r="I37" s="203">
        <f>32609.69/9</f>
        <v>3623.2988888888885</v>
      </c>
      <c r="J37" s="186" t="s">
        <v>47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45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46</v>
      </c>
      <c r="K39" s="83">
        <f>I39*H39</f>
        <v>565.5</v>
      </c>
    </row>
    <row r="40" spans="2:16" ht="15" thickBot="1" x14ac:dyDescent="0.35">
      <c r="B40" s="67" t="s">
        <v>54</v>
      </c>
      <c r="C40" s="66" t="s">
        <v>53</v>
      </c>
      <c r="D40" s="65">
        <f>E11-E21</f>
        <v>85195.430000000008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4" t="s">
        <v>48</v>
      </c>
      <c r="C42" s="74"/>
      <c r="D42" s="206">
        <f>E33</f>
        <v>3.9000000000000004</v>
      </c>
      <c r="H42" s="76" t="s">
        <v>60</v>
      </c>
      <c r="I42" s="158" t="s">
        <v>59</v>
      </c>
      <c r="J42" s="159"/>
      <c r="K42" s="159"/>
      <c r="L42" s="160"/>
      <c r="M42" s="75">
        <f>D11</f>
        <v>529422</v>
      </c>
    </row>
    <row r="43" spans="2:16" ht="15" thickBot="1" x14ac:dyDescent="0.35">
      <c r="D43" s="56"/>
      <c r="H43" s="71" t="s">
        <v>58</v>
      </c>
      <c r="I43" s="161" t="s">
        <v>57</v>
      </c>
      <c r="J43" s="162"/>
      <c r="K43" s="162"/>
      <c r="L43" s="163"/>
      <c r="M43" s="63">
        <f>D21</f>
        <v>81025</v>
      </c>
    </row>
    <row r="44" spans="2:16" x14ac:dyDescent="0.3">
      <c r="D44" s="56"/>
      <c r="I44" s="164" t="s">
        <v>56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55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52</v>
      </c>
      <c r="J46" s="171"/>
      <c r="K46" s="171"/>
      <c r="L46" s="172"/>
      <c r="M46" s="61">
        <f>M42-(SUM(M43:M45))</f>
        <v>418562.90921256039</v>
      </c>
    </row>
    <row r="47" spans="2:16" x14ac:dyDescent="0.3">
      <c r="I47" s="161" t="s">
        <v>51</v>
      </c>
      <c r="J47" s="162"/>
      <c r="K47" s="162"/>
      <c r="L47" s="163"/>
      <c r="M47" s="63"/>
    </row>
    <row r="48" spans="2:16" ht="15" thickBot="1" x14ac:dyDescent="0.35">
      <c r="D48" s="59"/>
      <c r="I48" s="167" t="s">
        <v>50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49</v>
      </c>
      <c r="J49" s="171"/>
      <c r="K49" s="171"/>
      <c r="L49" s="172"/>
      <c r="M49" s="61">
        <f>M46-SUM(M47:M48)</f>
        <v>418562.90921256039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2024-06-12T16:25:25Z</cp:lastPrinted>
  <dcterms:created xsi:type="dcterms:W3CDTF">2013-03-18T13:35:42Z</dcterms:created>
  <dcterms:modified xsi:type="dcterms:W3CDTF">2025-01-03T12:53:29Z</dcterms:modified>
</cp:coreProperties>
</file>