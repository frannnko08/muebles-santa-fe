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F3FE0847-1016-452B-ADBB-00F6B4BDC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BIERTA" sheetId="4" r:id="rId1"/>
    <sheet name="2229" sheetId="1" r:id="rId2"/>
    <sheet name="COSTOS" sheetId="3" r:id="rId3"/>
  </sheets>
  <definedNames>
    <definedName name="_xlnm.Print_Area" localSheetId="1">'2229'!$B$1:$H$44</definedName>
    <definedName name="_xlnm.Print_Area" localSheetId="0">CUBIERTA!$B$1:$H$35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4" l="1"/>
  <c r="R36" i="4"/>
  <c r="O35" i="4"/>
  <c r="O34" i="4"/>
  <c r="O33" i="4"/>
  <c r="V32" i="4"/>
  <c r="V33" i="4" s="1"/>
  <c r="O32" i="4"/>
  <c r="O31" i="4"/>
  <c r="N21" i="4"/>
  <c r="M21" i="4"/>
  <c r="M25" i="4" s="1"/>
  <c r="H21" i="4"/>
  <c r="H24" i="4" s="1"/>
  <c r="H26" i="4" s="1"/>
  <c r="N20" i="4"/>
  <c r="L20" i="4"/>
  <c r="H33" i="1"/>
  <c r="L28" i="1"/>
  <c r="V27" i="1"/>
  <c r="U28" i="1"/>
  <c r="M22" i="1"/>
  <c r="N22" i="1"/>
  <c r="M23" i="1"/>
  <c r="N23" i="1"/>
  <c r="M24" i="1"/>
  <c r="S24" i="1" s="1"/>
  <c r="N24" i="1"/>
  <c r="M25" i="1"/>
  <c r="N25" i="1"/>
  <c r="M26" i="1"/>
  <c r="N26" i="1"/>
  <c r="M27" i="1"/>
  <c r="N27" i="1"/>
  <c r="M28" i="1"/>
  <c r="N28" i="1"/>
  <c r="L29" i="1"/>
  <c r="M29" i="1"/>
  <c r="N29" i="1"/>
  <c r="L30" i="1"/>
  <c r="M30" i="1"/>
  <c r="N30" i="1"/>
  <c r="S21" i="4" l="1"/>
  <c r="S26" i="4" s="1"/>
  <c r="O21" i="4"/>
  <c r="P21" i="4" s="1"/>
  <c r="P25" i="4" s="1"/>
  <c r="P26" i="4" s="1"/>
  <c r="T21" i="4"/>
  <c r="T24" i="4" s="1"/>
  <c r="O30" i="1"/>
  <c r="S29" i="1"/>
  <c r="O29" i="1"/>
  <c r="P29" i="1" s="1"/>
  <c r="O28" i="1"/>
  <c r="P28" i="1" s="1"/>
  <c r="S28" i="1"/>
  <c r="O27" i="1"/>
  <c r="O23" i="1"/>
  <c r="P23" i="1" s="1"/>
  <c r="O26" i="1"/>
  <c r="P26" i="1" s="1"/>
  <c r="O24" i="1"/>
  <c r="P24" i="1" s="1"/>
  <c r="O22" i="1"/>
  <c r="P22" i="1" s="1"/>
  <c r="S27" i="1"/>
  <c r="S25" i="1"/>
  <c r="O25" i="1"/>
  <c r="P25" i="1" s="1"/>
  <c r="S23" i="1"/>
  <c r="P30" i="1"/>
  <c r="P27" i="1"/>
  <c r="S30" i="1"/>
  <c r="S26" i="1"/>
  <c r="S22" i="1"/>
  <c r="H22" i="1"/>
  <c r="H23" i="1"/>
  <c r="H24" i="1"/>
  <c r="H25" i="1"/>
  <c r="H26" i="1"/>
  <c r="H27" i="1"/>
  <c r="H28" i="1"/>
  <c r="H29" i="1"/>
  <c r="H30" i="1"/>
  <c r="N21" i="1"/>
  <c r="P27" i="4" l="1"/>
  <c r="P28" i="4" s="1"/>
  <c r="S27" i="4"/>
  <c r="M21" i="1"/>
  <c r="M34" i="1" s="1"/>
  <c r="R37" i="4" l="1"/>
  <c r="M30" i="4"/>
  <c r="O30" i="4" s="1"/>
  <c r="O36" i="4" s="1"/>
  <c r="O37" i="4" s="1"/>
  <c r="S28" i="4"/>
  <c r="S29" i="4" s="1"/>
  <c r="T21" i="1"/>
  <c r="T33" i="1" s="1"/>
  <c r="S21" i="1"/>
  <c r="S35" i="1" s="1"/>
  <c r="O21" i="1"/>
  <c r="P21" i="1" s="1"/>
  <c r="P34" i="1" s="1"/>
  <c r="K48" i="1"/>
  <c r="O39" i="4" l="1"/>
  <c r="O38" i="4"/>
  <c r="Q20" i="4" s="1"/>
  <c r="S36" i="1"/>
  <c r="S37" i="1" s="1"/>
  <c r="S38" i="1" s="1"/>
  <c r="V41" i="1"/>
  <c r="V42" i="1" s="1"/>
  <c r="Q21" i="4" l="1"/>
  <c r="R21" i="4" s="1"/>
  <c r="O40" i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6" i="1" s="1"/>
  <c r="D20" i="3" l="1"/>
  <c r="E20" i="3" s="1"/>
  <c r="E21" i="3" s="1"/>
  <c r="O47" i="1" l="1"/>
  <c r="Q20" i="1" s="1"/>
  <c r="D21" i="3"/>
  <c r="M43" i="3" s="1"/>
  <c r="D12" i="3" s="1"/>
  <c r="F20" i="3"/>
  <c r="F21" i="3" s="1"/>
  <c r="Q28" i="1" l="1"/>
  <c r="R28" i="1" s="1"/>
  <c r="Q23" i="1"/>
  <c r="R23" i="1" s="1"/>
  <c r="Q29" i="1"/>
  <c r="R29" i="1" s="1"/>
  <c r="Q24" i="1"/>
  <c r="R24" i="1" s="1"/>
  <c r="Q30" i="1"/>
  <c r="R30" i="1" s="1"/>
  <c r="Q25" i="1"/>
  <c r="R25" i="1" s="1"/>
  <c r="Q26" i="1"/>
  <c r="R26" i="1" s="1"/>
  <c r="Q27" i="1"/>
  <c r="R27" i="1" s="1"/>
  <c r="Q22" i="1"/>
  <c r="R22" i="1" s="1"/>
  <c r="O48" i="1"/>
  <c r="E15" i="3"/>
  <c r="Q21" i="1" l="1"/>
  <c r="F15" i="3"/>
  <c r="R21" i="1" l="1"/>
  <c r="H21" i="1" l="1"/>
  <c r="H3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<sst xmlns="http://schemas.openxmlformats.org/spreadsheetml/2006/main" count="338" uniqueCount="177">
  <si>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</si>
  <si>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</si>
  <si>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</si>
  <si>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</si>
  <si>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</si>
  <si>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</si>
  <si>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</si>
  <si>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</si>
  <si>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</si>
  <si>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</si>
  <si>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</si>
  <si>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</si>
  <si>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</si>
  <si>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</si>
  <si>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</si>
  <si>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</si>
  <si>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</si>
  <si>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</si>
  <si>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</si>
  <si>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</si>
  <si>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</si>
  <si>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</si>
  <si>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</si>
  <si>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</si>
  <si>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</si>
  <si>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</si>
  <si>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</si>
  <si>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</si>
  <si>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</si>
  <si>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</si>
  <si>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</si>
  <si>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</si>
  <si>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</si>
  <si>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</si>
  <si>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</si>
  <si>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</si>
  <si>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</si>
  <si>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</si>
  <si>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</si>
  <si>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</si>
  <si>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</si>
  <si>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</si>
  <si>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</si>
  <si>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</si>
  <si>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</si>
  <si>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</si>
  <si>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</si>
  <si>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</si>
  <si>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</si>
  <si>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</si>
  <si>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</si>
  <si>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</si>
  <si>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</si>
  <si>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</si>
  <si>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</si>
  <si>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</si>
  <si>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</si>
  <si>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</si>
  <si>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</si>
  <si>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</si>
  <si>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</si>
  <si>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</si>
  <si>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</si>
  <si>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</si>
  <si>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</si>
  <si>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</si>
  <si>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</si>
  <si>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</si>
  <si>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</si>
  <si>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</si>
  <si>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</si>
  <si>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</si>
  <si>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</si>
  <si>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</si>
  <si>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</si>
  <si>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</si>
  <si>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</si>
  <si>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</si>
  <si>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</si>
  <si>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</si>
  <si>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</si>
  <si>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</si>
  <si>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</si>
  <si>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</si>
  <si>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</si>
  <si>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</si>
  <si>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</si>
  <si>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</si>
  <si>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</si>
  <si>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</si>
  <si>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</si>
  <si>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</si>
  <si>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</si>
  <si>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</si>
  <si>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</si>
  <si>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</si>
  <si>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</si>
  <si>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</si>
  <si>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</si>
  <si>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</si>
  <si>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</si>
  <si>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</si>
  <si>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</si>
  <si>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</si>
  <si>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</si>
  <si>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</si>
  <si>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</si>
  <si>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</si>
  <si>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</si>
  <si>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</si>
  <si>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</si>
  <si>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</si>
  <si>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</si>
  <si>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</si>
  <si>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</si>
  <si>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</si>
  <si>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</si>
  <si>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</si>
  <si>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</si>
  <si>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</si>
  <si>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</si>
  <si>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</si>
  <si>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</si>
  <si>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</si>
  <si>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</si>
  <si>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</si>
  <si>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</si>
  <si>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</si>
  <si>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</si>
  <si>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</si>
  <si>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</si>
  <si>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</si>
  <si>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</si>
  <si>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</si>
  <si>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</si>
  <si>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</si>
  <si>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</si>
  <si>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</si>
  <si>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</si>
  <si>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</si>
  <si>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</si>
  <si>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</si>
  <si>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</si>
  <si>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</si>
  <si>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</si>
  <si>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</si>
  <si>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</si>
  <si>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</si>
  <si>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</si>
  <si>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</si>
  <si>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</si>
  <si>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</si>
  <si>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</si>
  <si>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</si>
  <si>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</si>
  <si>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</si>
  <si>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</si>
  <si>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</si>
  <si>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</si>
  <si>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</si>
  <si>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</si>
  <si>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</si>
  <si>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</si>
  <si>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</si>
  <si>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</si>
  <si>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</si>
  <si>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</si>
  <si>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FRANCISCO MORENO</t>
  </si>
  <si>
    <t>+569 9004 4098</t>
  </si>
  <si>
    <t>PR2</t>
  </si>
  <si>
    <t>N° 11181</t>
  </si>
  <si>
    <t>10 DIAS HABILES</t>
  </si>
  <si>
    <t>SI</t>
  </si>
  <si>
    <t>PR6</t>
  </si>
  <si>
    <t>BLACKS SF</t>
  </si>
  <si>
    <t>ROYAL WALNUT 1536 UP</t>
  </si>
  <si>
    <t>CUB C/R FRENTE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</si>
</sst>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6" fontId="32" fillId="2" borderId="36" xfId="0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0" fillId="5" borderId="0" xfId="0" applyNumberFormat="1" applyFill="1"/>
    <xf numFmtId="166" fontId="3" fillId="5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7C69BF8-202C-4F7A-B876-ADF5ACB1C054}"/>
            </a:ext>
          </a:extLst>
        </xdr:cNvPr>
        <xdr:cNvSpPr/>
      </xdr:nvSpPr>
      <xdr:spPr>
        <a:xfrm>
          <a:off x="7315200" y="75824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74E658B-9770-4C04-B361-2DB49A2E1111}"/>
            </a:ext>
          </a:extLst>
        </xdr:cNvPr>
        <xdr:cNvCxnSpPr/>
      </xdr:nvCxnSpPr>
      <xdr:spPr>
        <a:xfrm>
          <a:off x="7538085" y="81705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0027BA2-7AD7-4B58-A863-6D1A220EA1C0}"/>
            </a:ext>
          </a:extLst>
        </xdr:cNvPr>
        <xdr:cNvSpPr/>
      </xdr:nvSpPr>
      <xdr:spPr>
        <a:xfrm>
          <a:off x="390525" y="7583805"/>
          <a:ext cx="63229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23462FD-58AD-4E48-8BE0-A1A0A7B6DCA1}"/>
            </a:ext>
          </a:extLst>
        </xdr:cNvPr>
        <xdr:cNvSpPr/>
      </xdr:nvSpPr>
      <xdr:spPr>
        <a:xfrm>
          <a:off x="411480" y="6692265"/>
          <a:ext cx="62855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1FEED6-3A79-4F1E-A78C-35BF38DF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380" y="0"/>
          <a:ext cx="1516511" cy="1156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BF5E-4400-4C92-BDB4-4F5D5A713AB5}">
  <sheetPr>
    <pageSetUpPr fitToPage="1"/>
  </sheetPr>
  <dimension ref="A2:Y581"/>
  <sheetViews>
    <sheetView tabSelected="1" topLeftCell="D16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42" t="s">
        <v>165</v>
      </c>
      <c r="G17" s="342"/>
      <c r="H17" s="34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44" t="s">
        <v>95</v>
      </c>
      <c r="C19" s="345"/>
      <c r="D19" s="345"/>
      <c r="E19" s="345"/>
      <c r="F19" s="345"/>
      <c r="G19" s="345"/>
      <c r="H19" s="34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84742.95857988167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176</v>
      </c>
      <c r="D21" s="331">
        <v>3.3</v>
      </c>
      <c r="E21" s="331">
        <v>0.6</v>
      </c>
      <c r="F21" s="330" t="s">
        <v>174</v>
      </c>
      <c r="G21" s="332">
        <v>190000</v>
      </c>
      <c r="H21" s="333">
        <f>G21*B21</f>
        <v>190000</v>
      </c>
      <c r="I21" s="320"/>
      <c r="J21" s="265"/>
      <c r="K21" s="47"/>
      <c r="L21" s="47">
        <v>1</v>
      </c>
      <c r="M21" s="39">
        <f>D21+M$19</f>
        <v>3.38</v>
      </c>
      <c r="N21" s="39">
        <f>E21+$N$19</f>
        <v>0.6</v>
      </c>
      <c r="O21" s="261">
        <f t="shared" ref="O21" si="1">M21*N21</f>
        <v>2.028</v>
      </c>
      <c r="P21" s="259">
        <f t="shared" ref="P21" si="2">O21*L21</f>
        <v>2.028</v>
      </c>
      <c r="Q21" s="252">
        <f t="shared" ref="Q21" si="3">Q$20*O21</f>
        <v>171858.72000000003</v>
      </c>
      <c r="R21" s="319">
        <f t="shared" ref="R21" si="4">Q21+R$20</f>
        <v>173858.72000000003</v>
      </c>
      <c r="S21" s="297">
        <f>L21*M21*2</f>
        <v>6.76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190000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/>
      <c r="I25" s="322"/>
      <c r="J25" s="265"/>
      <c r="K25" s="47"/>
      <c r="L25" s="47"/>
      <c r="M25" s="39">
        <f>SUM(M21:M24)</f>
        <v>3.38</v>
      </c>
      <c r="N25" s="12"/>
      <c r="O25" s="12"/>
      <c r="P25" s="253">
        <f>SUM(P21:P21)</f>
        <v>2.028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190000</v>
      </c>
      <c r="I26" s="322"/>
      <c r="J26" s="265"/>
      <c r="K26" s="47"/>
      <c r="L26" s="47"/>
      <c r="M26" s="39"/>
      <c r="N26" s="12"/>
      <c r="O26" s="12"/>
      <c r="P26" s="253">
        <f>P25</f>
        <v>2.028</v>
      </c>
      <c r="Q26" s="14"/>
      <c r="R26" s="12"/>
      <c r="S26" s="239">
        <f>SUM(S21:S25)</f>
        <v>6.76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0.40560000000000002</v>
      </c>
      <c r="Q27" s="39" t="s">
        <v>130</v>
      </c>
      <c r="R27" s="42"/>
      <c r="S27" s="240">
        <f>S26+T24</f>
        <v>9.16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2.4336000000000002</v>
      </c>
      <c r="Q28" s="14"/>
      <c r="R28" s="14"/>
      <c r="S28" s="238">
        <f>S27*20%</f>
        <v>1.8320000000000001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10.992000000000001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2.4336000000000002</v>
      </c>
      <c r="N30" s="12">
        <v>3500</v>
      </c>
      <c r="O30" s="12">
        <f t="shared" ref="O30:O35" si="5">M30*N30</f>
        <v>8517.6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0.7</v>
      </c>
      <c r="N31" s="12">
        <v>25000</v>
      </c>
      <c r="O31" s="12">
        <f t="shared" si="5"/>
        <v>17500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>
        <v>1</v>
      </c>
      <c r="N32" s="250">
        <v>47000</v>
      </c>
      <c r="O32" s="12">
        <f t="shared" si="5"/>
        <v>47000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/>
      <c r="N33" s="250">
        <v>63950</v>
      </c>
      <c r="O33" s="12">
        <f t="shared" si="5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3.4</v>
      </c>
      <c r="N35" s="12">
        <v>1500</v>
      </c>
      <c r="O35" s="12">
        <f t="shared" si="5"/>
        <v>5100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78117.600000000006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171858.72000000003</v>
      </c>
      <c r="P37" s="14" t="s">
        <v>140</v>
      </c>
      <c r="Q37" s="14"/>
      <c r="R37" s="40">
        <f>P28/R36</f>
        <v>0.65616911130284727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76090</v>
      </c>
      <c r="L38" s="250"/>
      <c r="M38" s="14"/>
      <c r="N38" s="12"/>
      <c r="O38" s="12">
        <f>O37/P26</f>
        <v>84742.95857988167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63941.176470588238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hyperlinks>
    <hyperlink ref="F34" r:id="rId1" xr:uid="{A5574099-444B-4795-AD23-0C94F987443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opLeftCell="A13" zoomScale="93" zoomScaleNormal="93" workbookViewId="0">
      <selection activeCell="A31" sqref="A3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42" t="s">
        <v>165</v>
      </c>
      <c r="G17" s="342"/>
      <c r="H17" s="34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4" t="s">
        <v>95</v>
      </c>
      <c r="C19" s="345"/>
      <c r="D19" s="345"/>
      <c r="E19" s="345"/>
      <c r="F19" s="345"/>
      <c r="G19" s="345"/>
      <c r="H19" s="34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O47</f>
        <v>106777.29818107502</v>
      </c>
      <c r="R20" s="258">
        <v>2000</v>
      </c>
      <c r="S20" s="38"/>
      <c r="T20" s="14" t="s">
        <v>128</v>
      </c>
      <c r="U20" s="9"/>
      <c r="X20" s="4"/>
    </row>
    <row r="21" spans="2:25" ht="18" thickBot="1" x14ac:dyDescent="0.35">
      <c r="B21" s="329">
        <v>2</v>
      </c>
      <c r="C21" s="330" t="s">
        <v>173</v>
      </c>
      <c r="D21" s="331">
        <v>0.6</v>
      </c>
      <c r="E21" s="331">
        <v>0.34799999999999998</v>
      </c>
      <c r="F21" s="330" t="s">
        <v>174</v>
      </c>
      <c r="G21" s="332">
        <v>17726</v>
      </c>
      <c r="H21" s="333">
        <f>G21*B21</f>
        <v>35452</v>
      </c>
      <c r="I21" s="320"/>
      <c r="J21" s="265"/>
      <c r="K21" s="47"/>
      <c r="L21" s="47"/>
      <c r="M21" s="39">
        <f>D21+M$19</f>
        <v>0.67999999999999994</v>
      </c>
      <c r="N21" s="39">
        <f>E21+$N$19</f>
        <v>0.34799999999999998</v>
      </c>
      <c r="O21" s="261">
        <f t="shared" ref="O21" si="1">M21*N21</f>
        <v>0.23663999999999996</v>
      </c>
      <c r="P21" s="259">
        <f t="shared" ref="P21" si="2">O21*L21</f>
        <v>0</v>
      </c>
      <c r="Q21" s="252">
        <f t="shared" ref="Q21" si="3">Q$20*O21</f>
        <v>25267.779841569587</v>
      </c>
      <c r="R21" s="319">
        <f t="shared" ref="R21" si="4">Q21+R$20</f>
        <v>27267.779841569587</v>
      </c>
      <c r="S21" s="297">
        <f>L21*M21*2</f>
        <v>0</v>
      </c>
      <c r="T21" s="46">
        <f>N21*2*L21*2</f>
        <v>0</v>
      </c>
      <c r="U21" s="9"/>
      <c r="X21" s="4"/>
    </row>
    <row r="22" spans="2:25" ht="18" thickBot="1" x14ac:dyDescent="0.35">
      <c r="B22" s="329">
        <v>6</v>
      </c>
      <c r="C22" s="330" t="s">
        <v>173</v>
      </c>
      <c r="D22" s="335">
        <v>0.9</v>
      </c>
      <c r="E22" s="335">
        <v>0.29799999999999999</v>
      </c>
      <c r="F22" s="330" t="s">
        <v>174</v>
      </c>
      <c r="G22" s="332">
        <v>21408</v>
      </c>
      <c r="H22" s="333">
        <f t="shared" ref="H22:H30" si="5">G22*B22</f>
        <v>128448</v>
      </c>
      <c r="I22" s="320"/>
      <c r="J22" s="265"/>
      <c r="K22" s="47"/>
      <c r="L22" s="338"/>
      <c r="M22" s="339">
        <f t="shared" ref="M22:M30" si="6">D22+M$19</f>
        <v>0.98</v>
      </c>
      <c r="N22" s="339">
        <f t="shared" ref="N22:N30" si="7">E22+$N$19</f>
        <v>0.29799999999999999</v>
      </c>
      <c r="O22" s="261">
        <f t="shared" ref="O22:O30" si="8">M22*N22</f>
        <v>0.29203999999999997</v>
      </c>
      <c r="P22" s="259">
        <f t="shared" ref="P22:P30" si="9">O22*L22</f>
        <v>0</v>
      </c>
      <c r="Q22" s="252">
        <f t="shared" ref="Q22:Q30" si="10">Q$20*O22</f>
        <v>31183.242160801146</v>
      </c>
      <c r="R22" s="319">
        <f t="shared" ref="R22:R30" si="11">Q22+R$20</f>
        <v>33183.24216080115</v>
      </c>
      <c r="S22" s="297">
        <f t="shared" ref="S22:S30" si="12">L22*M22*2</f>
        <v>0</v>
      </c>
      <c r="T22" s="46"/>
      <c r="U22" s="9"/>
      <c r="X22" s="4"/>
    </row>
    <row r="23" spans="2:25" ht="18" thickBot="1" x14ac:dyDescent="0.35">
      <c r="B23" s="329">
        <v>2</v>
      </c>
      <c r="C23" s="330" t="s">
        <v>173</v>
      </c>
      <c r="D23" s="335">
        <v>0.9</v>
      </c>
      <c r="E23" s="335">
        <v>0.39800000000000002</v>
      </c>
      <c r="F23" s="330" t="s">
        <v>174</v>
      </c>
      <c r="G23" s="332">
        <v>27920</v>
      </c>
      <c r="H23" s="333">
        <f t="shared" si="5"/>
        <v>55840</v>
      </c>
      <c r="I23" s="320"/>
      <c r="J23" s="265"/>
      <c r="K23" s="47"/>
      <c r="L23" s="338"/>
      <c r="M23" s="339">
        <f t="shared" si="6"/>
        <v>0.98</v>
      </c>
      <c r="N23" s="339">
        <f t="shared" si="7"/>
        <v>0.39800000000000002</v>
      </c>
      <c r="O23" s="261">
        <f t="shared" si="8"/>
        <v>0.39004</v>
      </c>
      <c r="P23" s="259">
        <f t="shared" si="9"/>
        <v>0</v>
      </c>
      <c r="Q23" s="252">
        <f t="shared" si="10"/>
        <v>41647.417382546504</v>
      </c>
      <c r="R23" s="319">
        <f t="shared" si="11"/>
        <v>43647.417382546504</v>
      </c>
      <c r="S23" s="297">
        <f t="shared" si="12"/>
        <v>0</v>
      </c>
      <c r="T23" s="46"/>
      <c r="U23" s="9"/>
      <c r="X23" s="4"/>
    </row>
    <row r="24" spans="2:25" ht="18" thickBot="1" x14ac:dyDescent="0.35">
      <c r="B24" s="329">
        <v>2</v>
      </c>
      <c r="C24" s="330" t="s">
        <v>173</v>
      </c>
      <c r="D24" s="331">
        <v>0.9</v>
      </c>
      <c r="E24" s="331">
        <v>0.19800000000000001</v>
      </c>
      <c r="F24" s="330" t="s">
        <v>174</v>
      </c>
      <c r="G24" s="332">
        <v>14895</v>
      </c>
      <c r="H24" s="333">
        <f t="shared" si="5"/>
        <v>29790</v>
      </c>
      <c r="I24" s="320"/>
      <c r="J24" s="265"/>
      <c r="K24" s="47"/>
      <c r="L24" s="47"/>
      <c r="M24" s="39">
        <f t="shared" si="6"/>
        <v>0.98</v>
      </c>
      <c r="N24" s="39">
        <f t="shared" si="7"/>
        <v>0.19800000000000001</v>
      </c>
      <c r="O24" s="261">
        <f t="shared" si="8"/>
        <v>0.19404000000000002</v>
      </c>
      <c r="P24" s="259">
        <f t="shared" si="9"/>
        <v>0</v>
      </c>
      <c r="Q24" s="252">
        <f t="shared" si="10"/>
        <v>20719.0669390558</v>
      </c>
      <c r="R24" s="319">
        <f t="shared" si="11"/>
        <v>22719.0669390558</v>
      </c>
      <c r="S24" s="297">
        <f t="shared" si="12"/>
        <v>0</v>
      </c>
      <c r="T24" s="46"/>
      <c r="U24" s="9"/>
      <c r="X24" s="4"/>
    </row>
    <row r="25" spans="2:25" ht="18" thickBot="1" x14ac:dyDescent="0.35">
      <c r="B25" s="329">
        <v>2</v>
      </c>
      <c r="C25" s="330" t="s">
        <v>173</v>
      </c>
      <c r="D25" s="331">
        <v>2.4</v>
      </c>
      <c r="E25" s="331">
        <v>0.498</v>
      </c>
      <c r="F25" s="330" t="s">
        <v>174</v>
      </c>
      <c r="G25" s="332">
        <v>84076</v>
      </c>
      <c r="H25" s="333">
        <f t="shared" si="5"/>
        <v>168152</v>
      </c>
      <c r="I25" s="320"/>
      <c r="J25" s="265"/>
      <c r="K25" s="47"/>
      <c r="L25" s="340"/>
      <c r="M25" s="341">
        <f t="shared" si="6"/>
        <v>2.48</v>
      </c>
      <c r="N25" s="341">
        <f t="shared" si="7"/>
        <v>0.498</v>
      </c>
      <c r="O25" s="261">
        <f t="shared" si="8"/>
        <v>1.2350399999999999</v>
      </c>
      <c r="P25" s="259">
        <f t="shared" si="9"/>
        <v>0</v>
      </c>
      <c r="Q25" s="252">
        <f t="shared" si="10"/>
        <v>131874.2343455549</v>
      </c>
      <c r="R25" s="319">
        <f t="shared" si="11"/>
        <v>133874.2343455549</v>
      </c>
      <c r="S25" s="297">
        <f t="shared" si="12"/>
        <v>0</v>
      </c>
      <c r="T25" s="46"/>
      <c r="U25" s="9"/>
      <c r="X25" s="4"/>
    </row>
    <row r="26" spans="2:25" ht="18" thickBot="1" x14ac:dyDescent="0.35">
      <c r="B26" s="329">
        <v>1</v>
      </c>
      <c r="C26" s="330" t="s">
        <v>173</v>
      </c>
      <c r="D26" s="331">
        <v>2.4</v>
      </c>
      <c r="E26" s="331">
        <v>0.6</v>
      </c>
      <c r="F26" s="330" t="s">
        <v>174</v>
      </c>
      <c r="G26" s="332">
        <v>49511</v>
      </c>
      <c r="H26" s="333">
        <f t="shared" si="5"/>
        <v>49511</v>
      </c>
      <c r="I26" s="320"/>
      <c r="J26" s="265"/>
      <c r="K26" s="47"/>
      <c r="L26" s="47"/>
      <c r="M26" s="39">
        <f t="shared" si="6"/>
        <v>2.48</v>
      </c>
      <c r="N26" s="39">
        <f t="shared" si="7"/>
        <v>0.6</v>
      </c>
      <c r="O26" s="261">
        <f t="shared" si="8"/>
        <v>1.488</v>
      </c>
      <c r="P26" s="259">
        <f t="shared" si="9"/>
        <v>0</v>
      </c>
      <c r="Q26" s="252">
        <f t="shared" si="10"/>
        <v>158884.61969343963</v>
      </c>
      <c r="R26" s="319">
        <f t="shared" si="11"/>
        <v>160884.61969343963</v>
      </c>
      <c r="S26" s="297">
        <f t="shared" si="12"/>
        <v>0</v>
      </c>
      <c r="T26" s="46"/>
      <c r="U26" s="9">
        <v>49511</v>
      </c>
      <c r="X26" s="4"/>
    </row>
    <row r="27" spans="2:25" ht="18" thickBot="1" x14ac:dyDescent="0.35">
      <c r="B27" s="329">
        <v>2</v>
      </c>
      <c r="C27" s="330" t="s">
        <v>173</v>
      </c>
      <c r="D27" s="335">
        <v>0.7</v>
      </c>
      <c r="E27" s="335">
        <v>0.6</v>
      </c>
      <c r="F27" s="330" t="s">
        <v>174</v>
      </c>
      <c r="G27" s="332">
        <v>16944</v>
      </c>
      <c r="H27" s="333">
        <f t="shared" si="5"/>
        <v>33888</v>
      </c>
      <c r="I27" s="320"/>
      <c r="J27" s="265"/>
      <c r="K27" s="47"/>
      <c r="L27" s="336"/>
      <c r="M27" s="337">
        <f t="shared" si="6"/>
        <v>0.77999999999999992</v>
      </c>
      <c r="N27" s="337">
        <f t="shared" si="7"/>
        <v>0.6</v>
      </c>
      <c r="O27" s="261">
        <f t="shared" si="8"/>
        <v>0.46799999999999992</v>
      </c>
      <c r="P27" s="259">
        <f t="shared" si="9"/>
        <v>0</v>
      </c>
      <c r="Q27" s="252">
        <f t="shared" si="10"/>
        <v>49971.775548743099</v>
      </c>
      <c r="R27" s="319">
        <f t="shared" si="11"/>
        <v>51971.775548743099</v>
      </c>
      <c r="S27" s="297">
        <f t="shared" si="12"/>
        <v>0</v>
      </c>
      <c r="T27" s="46"/>
      <c r="U27" s="9">
        <v>16943</v>
      </c>
      <c r="V27">
        <f>U27/2</f>
        <v>8471.5</v>
      </c>
      <c r="X27" s="4"/>
    </row>
    <row r="28" spans="2:25" ht="18" thickBot="1" x14ac:dyDescent="0.35">
      <c r="B28" s="329">
        <v>2</v>
      </c>
      <c r="C28" s="330" t="s">
        <v>169</v>
      </c>
      <c r="D28" s="335">
        <v>0.39800000000000002</v>
      </c>
      <c r="E28" s="335">
        <v>0.77</v>
      </c>
      <c r="F28" s="330" t="s">
        <v>175</v>
      </c>
      <c r="G28" s="332">
        <v>41300</v>
      </c>
      <c r="H28" s="333">
        <f t="shared" si="5"/>
        <v>82600</v>
      </c>
      <c r="I28" s="320"/>
      <c r="J28" s="265"/>
      <c r="K28" s="47"/>
      <c r="L28" s="336">
        <f t="shared" ref="L28:L30" si="13">B28</f>
        <v>2</v>
      </c>
      <c r="M28" s="337">
        <f t="shared" si="6"/>
        <v>0.47800000000000004</v>
      </c>
      <c r="N28" s="337">
        <f t="shared" si="7"/>
        <v>0.77</v>
      </c>
      <c r="O28" s="261">
        <f t="shared" si="8"/>
        <v>0.36806000000000005</v>
      </c>
      <c r="P28" s="259">
        <f t="shared" si="9"/>
        <v>0.73612000000000011</v>
      </c>
      <c r="Q28" s="252">
        <f t="shared" si="10"/>
        <v>39300.452368526479</v>
      </c>
      <c r="R28" s="319">
        <f t="shared" si="11"/>
        <v>41300.452368526479</v>
      </c>
      <c r="S28" s="297">
        <f t="shared" si="12"/>
        <v>1.9120000000000001</v>
      </c>
      <c r="T28" s="46"/>
      <c r="U28" s="9">
        <f>SUM(U26:U27)</f>
        <v>66454</v>
      </c>
      <c r="X28" s="4"/>
    </row>
    <row r="29" spans="2:25" ht="18" thickBot="1" x14ac:dyDescent="0.35">
      <c r="B29" s="329">
        <v>2</v>
      </c>
      <c r="C29" s="330" t="s">
        <v>169</v>
      </c>
      <c r="D29" s="335">
        <v>0.6</v>
      </c>
      <c r="E29" s="335">
        <v>0.77</v>
      </c>
      <c r="F29" s="330" t="s">
        <v>175</v>
      </c>
      <c r="G29" s="332">
        <v>57909</v>
      </c>
      <c r="H29" s="333">
        <f t="shared" si="5"/>
        <v>115818</v>
      </c>
      <c r="I29" s="320"/>
      <c r="J29" s="265"/>
      <c r="K29" s="47"/>
      <c r="L29" s="336">
        <f t="shared" si="13"/>
        <v>2</v>
      </c>
      <c r="M29" s="337">
        <f t="shared" si="6"/>
        <v>0.67999999999999994</v>
      </c>
      <c r="N29" s="337">
        <f t="shared" si="7"/>
        <v>0.77</v>
      </c>
      <c r="O29" s="261">
        <f t="shared" si="8"/>
        <v>0.52359999999999995</v>
      </c>
      <c r="P29" s="259">
        <f t="shared" si="9"/>
        <v>1.0471999999999999</v>
      </c>
      <c r="Q29" s="252">
        <f t="shared" si="10"/>
        <v>55908.593327610877</v>
      </c>
      <c r="R29" s="319">
        <f t="shared" si="11"/>
        <v>57908.593327610877</v>
      </c>
      <c r="S29" s="297">
        <f t="shared" si="12"/>
        <v>2.7199999999999998</v>
      </c>
      <c r="T29" s="46"/>
      <c r="U29" s="9"/>
      <c r="X29" s="4"/>
    </row>
    <row r="30" spans="2:25" ht="17.399999999999999" x14ac:dyDescent="0.3">
      <c r="B30" s="329">
        <v>1</v>
      </c>
      <c r="C30" s="330" t="s">
        <v>169</v>
      </c>
      <c r="D30" s="335">
        <v>0.4</v>
      </c>
      <c r="E30" s="335">
        <v>0.77</v>
      </c>
      <c r="F30" s="330" t="s">
        <v>175</v>
      </c>
      <c r="G30" s="332">
        <v>41465</v>
      </c>
      <c r="H30" s="333">
        <f t="shared" si="5"/>
        <v>41465</v>
      </c>
      <c r="I30" s="320"/>
      <c r="J30" s="265"/>
      <c r="K30" s="47"/>
      <c r="L30" s="336">
        <f t="shared" si="13"/>
        <v>1</v>
      </c>
      <c r="M30" s="337">
        <f t="shared" si="6"/>
        <v>0.48000000000000004</v>
      </c>
      <c r="N30" s="337">
        <f t="shared" si="7"/>
        <v>0.77</v>
      </c>
      <c r="O30" s="261">
        <f t="shared" si="8"/>
        <v>0.36960000000000004</v>
      </c>
      <c r="P30" s="259">
        <f t="shared" si="9"/>
        <v>0.36960000000000004</v>
      </c>
      <c r="Q30" s="252">
        <f t="shared" si="10"/>
        <v>39464.889407725335</v>
      </c>
      <c r="R30" s="319">
        <f t="shared" si="11"/>
        <v>41464.889407725335</v>
      </c>
      <c r="S30" s="297">
        <f t="shared" si="12"/>
        <v>0.96000000000000008</v>
      </c>
      <c r="T30" s="46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0"/>
      <c r="H31" s="320"/>
      <c r="I31" s="320"/>
      <c r="J31" s="265"/>
      <c r="K31" s="47"/>
      <c r="L31" s="47"/>
      <c r="M31" s="39"/>
      <c r="N31" s="39"/>
      <c r="O31" s="261"/>
      <c r="P31" s="259"/>
      <c r="Q31" s="252"/>
      <c r="R31" s="319"/>
      <c r="S31" s="297"/>
      <c r="T31" s="46"/>
      <c r="U31" s="9"/>
      <c r="X31" s="4"/>
    </row>
    <row r="32" spans="2:25" ht="18" thickBot="1" x14ac:dyDescent="0.35">
      <c r="B32" s="285"/>
      <c r="C32" s="285"/>
      <c r="D32" s="286"/>
      <c r="E32" s="286"/>
      <c r="F32" s="285"/>
      <c r="G32" s="265"/>
      <c r="H32" s="321"/>
      <c r="I32" s="323"/>
      <c r="J32" s="233"/>
      <c r="K32" s="47"/>
      <c r="L32" s="47"/>
      <c r="M32" s="39"/>
      <c r="N32" s="39"/>
      <c r="O32" s="261"/>
      <c r="P32" s="259"/>
      <c r="Q32" s="252"/>
      <c r="R32" s="258"/>
      <c r="S32" s="297"/>
      <c r="T32" s="14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4" t="s">
        <v>28</v>
      </c>
      <c r="H33" s="325">
        <f>SUM(H21:H32)</f>
        <v>740964</v>
      </c>
      <c r="I33" s="322"/>
      <c r="J33" s="265"/>
      <c r="K33" s="47">
        <v>2600000</v>
      </c>
      <c r="L33" s="47"/>
      <c r="M33" s="39"/>
      <c r="N33" s="39"/>
      <c r="O33" s="261"/>
      <c r="P33" s="259"/>
      <c r="Q33" s="252"/>
      <c r="R33" s="258"/>
      <c r="S33" s="297"/>
      <c r="T33" s="46">
        <f>SUM(T21:T32)</f>
        <v>0</v>
      </c>
      <c r="U33" s="9"/>
      <c r="X33" s="4"/>
    </row>
    <row r="34" spans="1:24" ht="17.399999999999999" x14ac:dyDescent="0.3">
      <c r="B34" s="279"/>
      <c r="C34" s="282"/>
      <c r="D34" s="283"/>
      <c r="E34" s="283"/>
      <c r="F34" s="284"/>
      <c r="G34" s="296" t="s">
        <v>51</v>
      </c>
      <c r="H34" s="294"/>
      <c r="I34" s="322"/>
      <c r="J34" s="265"/>
      <c r="K34" s="47"/>
      <c r="L34" s="47"/>
      <c r="M34" s="39">
        <f>SUM(M21:M33)</f>
        <v>10.997999999999999</v>
      </c>
      <c r="N34" s="12"/>
      <c r="O34" s="12"/>
      <c r="P34" s="253">
        <f>SUM(P21:P30)</f>
        <v>2.1529199999999999</v>
      </c>
      <c r="Q34" s="14"/>
      <c r="R34" s="12"/>
      <c r="S34" s="239"/>
      <c r="T34" s="46"/>
      <c r="U34" s="9"/>
      <c r="X34" s="4"/>
    </row>
    <row r="35" spans="1:24" ht="18" thickBot="1" x14ac:dyDescent="0.35">
      <c r="B35" s="275"/>
      <c r="C35" s="281"/>
      <c r="D35" s="272"/>
      <c r="E35" s="272"/>
      <c r="F35" s="273"/>
      <c r="G35" s="280" t="s">
        <v>6</v>
      </c>
      <c r="H35" s="295">
        <f>H33+H34</f>
        <v>740964</v>
      </c>
      <c r="I35" s="322"/>
      <c r="J35" s="265"/>
      <c r="K35" s="47"/>
      <c r="L35" s="47"/>
      <c r="M35" s="39"/>
      <c r="N35" s="12"/>
      <c r="O35" s="12"/>
      <c r="P35" s="253">
        <f>P34</f>
        <v>2.1529199999999999</v>
      </c>
      <c r="Q35" s="14"/>
      <c r="R35" s="12"/>
      <c r="S35" s="239">
        <f>SUM(S21:S34)</f>
        <v>5.5919999999999996</v>
      </c>
      <c r="T35" s="46"/>
      <c r="U35" s="9"/>
      <c r="X35" s="4"/>
    </row>
    <row r="36" spans="1:24" ht="17.399999999999999" x14ac:dyDescent="0.3">
      <c r="B36" s="275"/>
      <c r="C36" s="271"/>
      <c r="D36" s="272"/>
      <c r="E36" s="272"/>
      <c r="F36" s="273"/>
      <c r="J36" s="265"/>
      <c r="K36" s="47"/>
      <c r="L36" s="47"/>
      <c r="M36" s="14"/>
      <c r="N36" s="12"/>
      <c r="O36" s="12"/>
      <c r="P36" s="39">
        <f>P35*20%</f>
        <v>0.43058400000000002</v>
      </c>
      <c r="Q36" s="39" t="s">
        <v>130</v>
      </c>
      <c r="R36" s="42"/>
      <c r="S36" s="240">
        <f>S35+T33</f>
        <v>5.5919999999999996</v>
      </c>
      <c r="T36" s="14"/>
      <c r="U36" s="9"/>
      <c r="X36" s="4"/>
    </row>
    <row r="37" spans="1:24" ht="17.399999999999999" x14ac:dyDescent="0.35">
      <c r="B37" s="269"/>
      <c r="C37" s="230"/>
      <c r="D37" s="230"/>
      <c r="E37" s="233"/>
      <c r="F37" s="234"/>
      <c r="G37" s="230"/>
      <c r="H37" s="274"/>
      <c r="I37" s="274"/>
      <c r="J37" s="265"/>
      <c r="K37" s="47"/>
      <c r="L37" s="47"/>
      <c r="M37" s="14"/>
      <c r="N37" s="12"/>
      <c r="O37" s="12"/>
      <c r="P37" s="46">
        <f>P35+P36</f>
        <v>2.583504</v>
      </c>
      <c r="Q37" s="14"/>
      <c r="R37" s="14"/>
      <c r="S37" s="238">
        <f>S36*20%</f>
        <v>1.1184000000000001</v>
      </c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4"/>
      <c r="J38" s="265"/>
      <c r="K38" s="47"/>
      <c r="L38" s="47"/>
      <c r="M38" s="14"/>
      <c r="N38" s="14"/>
      <c r="O38" s="14"/>
      <c r="P38" s="14"/>
      <c r="Q38" s="14"/>
      <c r="R38" s="14"/>
      <c r="S38" s="240">
        <f>S36+S37</f>
        <v>6.7103999999999999</v>
      </c>
      <c r="T38" s="14"/>
      <c r="U38" s="302" t="s">
        <v>21</v>
      </c>
      <c r="V38" s="299" t="s">
        <v>152</v>
      </c>
      <c r="W38" s="303">
        <v>44971</v>
      </c>
      <c r="X38" s="304"/>
    </row>
    <row r="39" spans="1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39">
        <f>P37</f>
        <v>2.583504</v>
      </c>
      <c r="N39" s="12">
        <v>3500</v>
      </c>
      <c r="O39" s="12">
        <f t="shared" ref="O39:O44" si="14">M39*N39</f>
        <v>9042.2639999999992</v>
      </c>
      <c r="P39" s="14" t="s">
        <v>21</v>
      </c>
      <c r="Q39" s="14"/>
      <c r="R39" s="14"/>
      <c r="S39" s="241"/>
      <c r="T39" s="14"/>
      <c r="U39" s="302" t="s">
        <v>153</v>
      </c>
      <c r="V39" s="299">
        <v>3625</v>
      </c>
      <c r="W39" s="59" t="s">
        <v>154</v>
      </c>
      <c r="X39" s="304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5"/>
      <c r="K40" s="47"/>
      <c r="L40" s="47"/>
      <c r="M40" s="249">
        <v>0.7</v>
      </c>
      <c r="N40" s="12">
        <v>45000</v>
      </c>
      <c r="O40" s="12">
        <f t="shared" si="14"/>
        <v>31499.999999999996</v>
      </c>
      <c r="P40" s="39" t="s">
        <v>31</v>
      </c>
      <c r="Q40" s="42"/>
      <c r="R40" s="14"/>
      <c r="S40" s="240"/>
      <c r="T40" s="14"/>
      <c r="U40" s="302"/>
      <c r="V40" s="59">
        <v>906.25</v>
      </c>
      <c r="W40" s="59" t="s">
        <v>155</v>
      </c>
      <c r="X40" s="304"/>
    </row>
    <row r="41" spans="1:24" s="230" customFormat="1" ht="17.399999999999999" x14ac:dyDescent="0.35">
      <c r="B41" s="24" t="s">
        <v>151</v>
      </c>
      <c r="J41" s="262"/>
      <c r="K41" s="232"/>
      <c r="L41" s="250"/>
      <c r="M41" s="14"/>
      <c r="N41" s="250">
        <v>71000</v>
      </c>
      <c r="O41" s="12">
        <f t="shared" si="14"/>
        <v>0</v>
      </c>
      <c r="P41" s="39" t="s">
        <v>30</v>
      </c>
      <c r="Q41" s="42"/>
      <c r="S41" s="240"/>
      <c r="T41" s="256"/>
      <c r="U41" s="59"/>
      <c r="V41" s="59">
        <f>V40*20%</f>
        <v>181.25</v>
      </c>
      <c r="W41" s="304" t="s">
        <v>156</v>
      </c>
      <c r="X41" s="59"/>
    </row>
    <row r="42" spans="1:24" s="230" customFormat="1" ht="17.399999999999999" x14ac:dyDescent="0.35">
      <c r="B42" s="24" t="s">
        <v>144</v>
      </c>
      <c r="C42"/>
      <c r="D42"/>
      <c r="E42"/>
      <c r="F42"/>
      <c r="J42" s="262"/>
      <c r="K42" s="232"/>
      <c r="L42" s="250"/>
      <c r="M42" s="14">
        <v>1</v>
      </c>
      <c r="N42" s="250">
        <v>63950</v>
      </c>
      <c r="O42" s="12">
        <f t="shared" si="14"/>
        <v>63950</v>
      </c>
      <c r="P42" s="14" t="s">
        <v>141</v>
      </c>
      <c r="Q42" s="17"/>
      <c r="S42" s="238"/>
      <c r="T42" s="256"/>
      <c r="U42" s="59"/>
      <c r="V42" s="59">
        <f>V40+V41</f>
        <v>1087.5</v>
      </c>
      <c r="W42" s="304" t="s">
        <v>157</v>
      </c>
      <c r="X42" s="59"/>
    </row>
    <row r="43" spans="1:24" s="230" customFormat="1" ht="17.399999999999999" x14ac:dyDescent="0.35">
      <c r="B43" s="29" t="s">
        <v>125</v>
      </c>
      <c r="C43"/>
      <c r="D43"/>
      <c r="E43"/>
      <c r="F43" s="229" t="s">
        <v>15</v>
      </c>
      <c r="J43" s="262"/>
      <c r="K43" s="260"/>
      <c r="L43" s="250"/>
      <c r="M43" s="249"/>
      <c r="N43" s="250">
        <v>900</v>
      </c>
      <c r="O43" s="12">
        <f t="shared" si="14"/>
        <v>0</v>
      </c>
      <c r="P43" s="14" t="s">
        <v>32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93"/>
      <c r="K44" s="260"/>
      <c r="L44" s="250"/>
      <c r="M44" s="266"/>
      <c r="N44" s="12">
        <v>1500</v>
      </c>
      <c r="O44" s="12">
        <f t="shared" si="14"/>
        <v>0</v>
      </c>
      <c r="P44" s="14" t="s">
        <v>22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K45" s="260"/>
      <c r="L45" s="250"/>
      <c r="M45" s="14"/>
      <c r="N45" s="12"/>
      <c r="O45" s="12">
        <f>SUM(O39:O44)</f>
        <v>104492.264</v>
      </c>
      <c r="P45" s="39" t="s">
        <v>23</v>
      </c>
      <c r="Q45" s="14"/>
      <c r="R45">
        <f>R43*R44</f>
        <v>3.7088000000000001</v>
      </c>
      <c r="S45"/>
      <c r="T45" s="238"/>
      <c r="X45" s="231"/>
    </row>
    <row r="46" spans="1:24" s="230" customFormat="1" ht="17.399999999999999" x14ac:dyDescent="0.35">
      <c r="L46" s="250"/>
      <c r="M46" s="254" t="s">
        <v>33</v>
      </c>
      <c r="N46" s="12"/>
      <c r="O46" s="255">
        <f>O45*2.2</f>
        <v>229882.98080000002</v>
      </c>
      <c r="P46" s="14" t="s">
        <v>140</v>
      </c>
      <c r="Q46" s="14"/>
      <c r="R46" s="40">
        <f>P37/R45</f>
        <v>0.69658757549611738</v>
      </c>
      <c r="S46"/>
      <c r="T46" s="257"/>
    </row>
    <row r="47" spans="1:24" s="230" customFormat="1" ht="17.399999999999999" x14ac:dyDescent="0.35">
      <c r="G47"/>
      <c r="H47" s="260"/>
      <c r="I47" s="260"/>
      <c r="J47" s="260"/>
      <c r="K47" s="230">
        <v>76090</v>
      </c>
      <c r="L47" s="250"/>
      <c r="M47" s="14"/>
      <c r="N47" s="12"/>
      <c r="O47" s="12">
        <f>O46/P35</f>
        <v>106777.29818107502</v>
      </c>
      <c r="P47" s="45" t="s">
        <v>24</v>
      </c>
      <c r="Q47" s="14"/>
      <c r="R47" s="14"/>
      <c r="S47"/>
      <c r="T47" s="238"/>
      <c r="U47" s="59" t="s">
        <v>158</v>
      </c>
      <c r="V47" s="299">
        <v>43650</v>
      </c>
    </row>
    <row r="48" spans="1:24" s="230" customFormat="1" ht="17.399999999999999" x14ac:dyDescent="0.35">
      <c r="G48"/>
      <c r="K48" s="230">
        <f>K47/1.19</f>
        <v>63941.176470588238</v>
      </c>
      <c r="L48" s="250"/>
      <c r="M48" s="13"/>
      <c r="N48" s="14"/>
      <c r="O48" s="17">
        <f>O46/O45</f>
        <v>2.2000000000000002</v>
      </c>
      <c r="P48" s="15"/>
      <c r="Q48"/>
      <c r="R48"/>
      <c r="S48"/>
      <c r="T48" s="238"/>
      <c r="U48" s="59" t="s">
        <v>160</v>
      </c>
      <c r="V48" s="300" t="s">
        <v>159</v>
      </c>
      <c r="W48" s="59">
        <v>2.4</v>
      </c>
    </row>
    <row r="49" spans="2:22" s="230" customFormat="1" ht="17.399999999999999" x14ac:dyDescent="0.35">
      <c r="G49" s="23"/>
      <c r="L49" s="12"/>
      <c r="T49" s="238"/>
      <c r="U49" s="59" t="s">
        <v>161</v>
      </c>
      <c r="V49" s="301">
        <v>395.37</v>
      </c>
    </row>
    <row r="50" spans="2:22" s="230" customFormat="1" ht="17.399999999999999" x14ac:dyDescent="0.35">
      <c r="B50"/>
      <c r="C50" s="228"/>
      <c r="D50" s="22"/>
      <c r="E50" s="22"/>
      <c r="F50" s="21"/>
      <c r="G50" s="23"/>
      <c r="L50" s="12"/>
      <c r="T50" s="238"/>
      <c r="U50" s="59" t="s">
        <v>156</v>
      </c>
      <c r="V50" s="59">
        <v>474.45</v>
      </c>
    </row>
    <row r="51" spans="2:22" ht="14.4" customHeight="1" x14ac:dyDescent="0.3">
      <c r="L51" s="12"/>
      <c r="U51" s="59"/>
      <c r="V51" s="59"/>
    </row>
    <row r="52" spans="2:22" x14ac:dyDescent="0.3">
      <c r="L52" s="250"/>
    </row>
    <row r="53" spans="2:22" x14ac:dyDescent="0.3">
      <c r="L53" s="250"/>
      <c r="T53" s="270"/>
    </row>
    <row r="54" spans="2:22" x14ac:dyDescent="0.3">
      <c r="L54" s="250"/>
    </row>
    <row r="55" spans="2:22" ht="15" customHeight="1" x14ac:dyDescent="0.3"/>
    <row r="57" spans="2:22" x14ac:dyDescent="0.3">
      <c r="O57">
        <v>40935</v>
      </c>
      <c r="P57" t="s">
        <v>16</v>
      </c>
      <c r="Q57" t="s">
        <v>26</v>
      </c>
    </row>
    <row r="59" spans="2:22" x14ac:dyDescent="0.3">
      <c r="O59" s="54"/>
      <c r="P59" s="54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3"/>
    </row>
    <row r="72" spans="15:20" x14ac:dyDescent="0.3">
      <c r="O72" s="43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148</v>
      </c>
    </row>
    <row r="83" spans="3:3" x14ac:dyDescent="0.3">
      <c r="C83" t="s">
        <v>147</v>
      </c>
    </row>
    <row r="86" spans="3:3" x14ac:dyDescent="0.3">
      <c r="C86" t="s">
        <v>147</v>
      </c>
    </row>
    <row r="163" spans="3:3" x14ac:dyDescent="0.3">
      <c r="C163" t="s">
        <v>147</v>
      </c>
    </row>
    <row r="164" spans="3:3" x14ac:dyDescent="0.3">
      <c r="C164" t="s">
        <v>149</v>
      </c>
    </row>
    <row r="165" spans="3:3" x14ac:dyDescent="0.3">
      <c r="C165" t="s">
        <v>150</v>
      </c>
    </row>
    <row r="590" spans="3:3" x14ac:dyDescent="0.3">
      <c r="C590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8" t="s">
        <v>98</v>
      </c>
      <c r="I7" s="349"/>
      <c r="J7" s="349"/>
      <c r="K7" s="350"/>
      <c r="N7" s="75"/>
      <c r="O7" s="34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-104140.50243345411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'2229'!H33</f>
        <v>740964</v>
      </c>
      <c r="E11" s="132">
        <f>D11*0.19</f>
        <v>140783.16</v>
      </c>
      <c r="F11" s="131">
        <f>E11+D11</f>
        <v>881747.16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1849.4975665458915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70376.354787439603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-16150.502433454109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670587.64521256043</v>
      </c>
      <c r="E13" s="221">
        <f>(D11/D12)-1</f>
        <v>9.5285930514298727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-25150.502433454109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-64150.502433454109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116120.98539927533</v>
      </c>
      <c r="F15" s="216">
        <f>E15-D12</f>
        <v>45744.630611835732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-64150.502433454109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-24150.502433454109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'2229'!O40</f>
        <v>31499.999999999996</v>
      </c>
      <c r="E19" s="123">
        <f>D19*0.19</f>
        <v>5984.9999999999991</v>
      </c>
      <c r="F19" s="120">
        <f>SUM(D19:E19)</f>
        <v>37484.999999999993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'2229'!O39</f>
        <v>9042.2639999999992</v>
      </c>
      <c r="E20" s="121">
        <f>D20*0.19</f>
        <v>1718.0301599999998</v>
      </c>
      <c r="F20" s="120">
        <f>SUM(D20:E20)</f>
        <v>10760.294159999999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40542.263999999996</v>
      </c>
      <c r="E21" s="116">
        <f>SUM(E18:E20)</f>
        <v>7703.0301599999984</v>
      </c>
      <c r="F21" s="115">
        <f>SUM(F18:F20)</f>
        <v>48245.29415999999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133080.12984000001</v>
      </c>
    </row>
    <row r="41" spans="2:16" ht="15" thickBot="1" x14ac:dyDescent="0.35">
      <c r="H41" s="351" t="s">
        <v>60</v>
      </c>
      <c r="I41" s="352"/>
      <c r="J41" s="352"/>
      <c r="K41" s="352"/>
      <c r="L41" s="352"/>
      <c r="M41" s="35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740964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40542.263999999996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670587.64521256043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670587.64521256043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CUBIERTA</vt:lpstr>
      <vt:lpstr>2229</vt:lpstr>
      <vt:lpstr>COSTOS</vt:lpstr>
      <vt:lpstr>'2229'!Área_de_impresión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2024-11-26T15:43:10Z</cp:lastPrinted>
  <dcterms:created xsi:type="dcterms:W3CDTF">2013-03-18T13:35:42Z</dcterms:created>
  <dcterms:modified xsi:type="dcterms:W3CDTF">2024-12-18T19:51:50Z</dcterms:modified>
</cp:coreProperties>
</file>