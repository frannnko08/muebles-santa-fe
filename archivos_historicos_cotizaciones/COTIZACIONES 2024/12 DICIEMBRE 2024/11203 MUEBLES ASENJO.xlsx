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411B7BD3-CF54-466B-8D36-F54E85B0A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L22" i="1" l="1"/>
  <c r="M22" i="1"/>
  <c r="O22" i="1" s="1"/>
  <c r="P22" i="1" s="1"/>
  <c r="N22" i="1"/>
  <c r="L23" i="1"/>
  <c r="M23" i="1"/>
  <c r="N23" i="1"/>
  <c r="O23" i="1" s="1"/>
  <c r="P23" i="1" s="1"/>
  <c r="H22" i="1"/>
  <c r="H23" i="1"/>
  <c r="L21" i="1"/>
  <c r="K32" i="1"/>
  <c r="K34" i="1"/>
  <c r="N21" i="1"/>
  <c r="K35" i="1" l="1"/>
  <c r="K36" i="1" s="1"/>
  <c r="K37" i="1" s="1"/>
  <c r="M21" i="1"/>
  <c r="M26" i="1" s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3" i="1" l="1"/>
  <c r="R23" i="1" s="1"/>
  <c r="Q22" i="1"/>
  <c r="R22" i="1" s="1"/>
  <c r="O40" i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<sst xmlns="http://schemas.openxmlformats.org/spreadsheetml/2006/main" count="234" uniqueCount="174">
  <si>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</si>
  <si>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</si>
  <si>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</si>
  <si>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</si>
  <si>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</si>
  <si>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</si>
  <si>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</si>
  <si>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</si>
  <si>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</si>
  <si>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</si>
  <si>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</si>
  <si>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</si>
  <si>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</si>
  <si>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</si>
  <si>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</si>
  <si>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</si>
  <si>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</si>
  <si>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</si>
  <si>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</si>
  <si>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</si>
  <si>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</si>
  <si>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</si>
  <si>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</si>
  <si>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</si>
  <si>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</si>
  <si>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</si>
  <si>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</si>
  <si>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</si>
  <si>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</si>
  <si>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</si>
  <si>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</si>
  <si>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</si>
  <si>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</si>
  <si>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</si>
  <si>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</si>
  <si>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</si>
  <si>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</si>
  <si>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</si>
  <si>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</si>
  <si>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</si>
  <si>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</si>
  <si>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</si>
  <si>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</si>
  <si>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</si>
  <si>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</si>
  <si>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</si>
  <si>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</si>
  <si>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</si>
  <si>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</si>
  <si>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</si>
  <si>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</si>
  <si>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</si>
  <si>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</si>
  <si>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</si>
  <si>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</si>
  <si>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</si>
  <si>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</si>
  <si>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</si>
  <si>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</si>
  <si>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</si>
  <si>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</si>
  <si>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</si>
  <si>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</si>
  <si>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</si>
  <si>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</si>
  <si>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</si>
  <si>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</si>
  <si>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</si>
  <si>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</si>
  <si>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</si>
  <si>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</si>
  <si>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</si>
  <si>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</si>
  <si>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</si>
  <si>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</si>
  <si>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</si>
  <si>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</si>
  <si>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</si>
  <si>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</si>
  <si>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</si>
  <si>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</si>
  <si>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</si>
  <si>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</si>
  <si>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</si>
  <si>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</si>
  <si>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</si>
  <si>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</si>
  <si>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</si>
  <si>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</si>
  <si>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</si>
  <si>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</si>
  <si>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</si>
  <si>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</si>
  <si>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</si>
  <si>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</si>
  <si>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</si>
  <si>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</si>
  <si>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</si>
  <si>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</si>
  <si>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</si>
  <si>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</si>
  <si>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</si>
  <si>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</si>
  <si>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</si>
  <si>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</si>
  <si>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</si>
  <si>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</si>
  <si>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</si>
  <si>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</si>
  <si>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</si>
  <si>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</si>
  <si>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</si>
  <si>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</si>
  <si>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</si>
  <si>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</si>
  <si>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</si>
  <si>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</si>
  <si>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</si>
  <si>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</si>
  <si>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</si>
  <si>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</si>
  <si>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</si>
  <si>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</si>
  <si>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</si>
  <si>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</si>
  <si>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</si>
  <si>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</si>
  <si>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</si>
  <si>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</si>
  <si>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</si>
  <si>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</si>
  <si>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</si>
  <si>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</si>
  <si>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</si>
  <si>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</si>
  <si>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</si>
  <si>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</si>
  <si>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</si>
  <si>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</si>
  <si>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</si>
  <si>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</si>
  <si>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</si>
  <si>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</si>
  <si>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</si>
  <si>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</si>
  <si>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</si>
  <si>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</si>
  <si>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</si>
  <si>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</si>
  <si>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</si>
  <si>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</si>
  <si>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</si>
  <si>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</si>
  <si>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</si>
  <si>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</si>
  <si>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</si>
  <si>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</si>
  <si>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</si>
  <si>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</si>
  <si>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</si>
  <si>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</si>
  <si>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</si>
  <si>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</si>
  <si>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</si>
  <si>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</si>
  <si>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</si>
  <si>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</si>
  <si>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CUB C/R FRENTE 90° R8</t>
  </si>
  <si>
    <t>N° 11203</t>
  </si>
  <si>
    <t>MUEBLES ASENJO</t>
  </si>
  <si>
    <t>MIGUEL ASENJO</t>
  </si>
  <si>
    <t>+569 9884 4786</t>
  </si>
  <si>
    <t>2 DIAS HABILES</t>
  </si>
  <si>
    <t>CELTIC STAD OAK 14012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</si>
</sst>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baseline="0"/>
            <a:t>Respaldo de 7 cms sobre la base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9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45636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170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79126.22739018088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167</v>
      </c>
      <c r="D21" s="331">
        <v>1.8</v>
      </c>
      <c r="E21" s="331">
        <v>0.6</v>
      </c>
      <c r="F21" s="330" t="s">
        <v>173</v>
      </c>
      <c r="G21" s="332">
        <v>104130</v>
      </c>
      <c r="H21" s="332">
        <f>G21*B21</f>
        <v>104130</v>
      </c>
      <c r="I21" s="320"/>
      <c r="J21" s="265"/>
      <c r="K21" s="47"/>
      <c r="L21" s="47">
        <f>B21</f>
        <v>1</v>
      </c>
      <c r="M21" s="39">
        <f>D21+M$19</f>
        <v>1.8800000000000001</v>
      </c>
      <c r="N21" s="39">
        <f>E21+$N$19</f>
        <v>0.7</v>
      </c>
      <c r="O21" s="261">
        <f t="shared" ref="O21" si="1">M21*N21</f>
        <v>1.3160000000000001</v>
      </c>
      <c r="P21" s="259">
        <f t="shared" ref="P21" si="2">O21*L21</f>
        <v>1.3160000000000001</v>
      </c>
      <c r="Q21" s="252">
        <f t="shared" ref="Q21" si="3">Q$20*O21</f>
        <v>104130.11524547804</v>
      </c>
      <c r="R21" s="319">
        <f t="shared" ref="R21" si="4">Q21+R$20</f>
        <v>107130.11524547804</v>
      </c>
      <c r="S21" s="297">
        <f>L21*M21*2</f>
        <v>3.7600000000000002</v>
      </c>
      <c r="T21" s="46">
        <f>N21*2*L21*2</f>
        <v>2.8</v>
      </c>
      <c r="U21" s="9"/>
      <c r="X21" s="4"/>
    </row>
    <row r="22" spans="1:25" ht="17.399999999999999" x14ac:dyDescent="0.3">
      <c r="B22" s="330">
        <v>1</v>
      </c>
      <c r="C22" s="330" t="s">
        <v>167</v>
      </c>
      <c r="D22" s="331">
        <v>0.8</v>
      </c>
      <c r="E22" s="331">
        <v>0.35</v>
      </c>
      <c r="F22" s="330" t="s">
        <v>173</v>
      </c>
      <c r="G22" s="332">
        <v>31334</v>
      </c>
      <c r="H22" s="332">
        <f t="shared" ref="H22:H23" si="5">G22*B22</f>
        <v>31334</v>
      </c>
      <c r="I22" s="320"/>
      <c r="J22" s="265"/>
      <c r="K22" s="47"/>
      <c r="L22" s="47">
        <f t="shared" ref="L22:L23" si="6">B22</f>
        <v>1</v>
      </c>
      <c r="M22" s="39">
        <f t="shared" ref="M22:M23" si="7">D22+M$19</f>
        <v>0.88</v>
      </c>
      <c r="N22" s="39">
        <f t="shared" ref="N22:N23" si="8">E22+$N$19</f>
        <v>0.44999999999999996</v>
      </c>
      <c r="O22" s="261">
        <f t="shared" ref="O22:O23" si="9">M22*N22</f>
        <v>0.39599999999999996</v>
      </c>
      <c r="P22" s="259">
        <f t="shared" ref="P22:P23" si="10">O22*L22</f>
        <v>0.39599999999999996</v>
      </c>
      <c r="Q22" s="252">
        <f t="shared" ref="Q22:Q23" si="11">Q$20*O22</f>
        <v>31333.986046511625</v>
      </c>
      <c r="R22" s="319">
        <f t="shared" ref="R22:R23" si="12">Q22+R$20</f>
        <v>34333.986046511622</v>
      </c>
      <c r="S22" s="297"/>
      <c r="T22" s="46"/>
      <c r="U22" s="9"/>
      <c r="X22" s="4"/>
    </row>
    <row r="23" spans="1:25" ht="17.399999999999999" x14ac:dyDescent="0.3">
      <c r="B23" s="330">
        <v>1</v>
      </c>
      <c r="C23" s="330" t="s">
        <v>167</v>
      </c>
      <c r="D23" s="331">
        <v>1.5</v>
      </c>
      <c r="E23" s="331">
        <v>0.57999999999999996</v>
      </c>
      <c r="F23" s="330" t="s">
        <v>173</v>
      </c>
      <c r="G23" s="332">
        <v>85013</v>
      </c>
      <c r="H23" s="332">
        <f t="shared" si="5"/>
        <v>85013</v>
      </c>
      <c r="I23" s="320"/>
      <c r="J23" s="265"/>
      <c r="K23" s="47"/>
      <c r="L23" s="47">
        <f t="shared" si="6"/>
        <v>1</v>
      </c>
      <c r="M23" s="39">
        <f t="shared" si="7"/>
        <v>1.58</v>
      </c>
      <c r="N23" s="39">
        <f t="shared" si="8"/>
        <v>0.67999999999999994</v>
      </c>
      <c r="O23" s="261">
        <f t="shared" si="9"/>
        <v>1.0744</v>
      </c>
      <c r="P23" s="259">
        <f t="shared" si="10"/>
        <v>1.0744</v>
      </c>
      <c r="Q23" s="252">
        <f t="shared" si="11"/>
        <v>85013.218708010347</v>
      </c>
      <c r="R23" s="319">
        <f t="shared" si="12"/>
        <v>88013.218708010347</v>
      </c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220477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41890.629999999997</v>
      </c>
      <c r="I26" s="322"/>
      <c r="J26" s="265"/>
      <c r="K26" s="47"/>
      <c r="L26" s="47"/>
      <c r="M26" s="39">
        <f>SUM(M21:M25)</f>
        <v>4.34</v>
      </c>
      <c r="N26" s="12"/>
      <c r="O26" s="12"/>
      <c r="P26" s="253">
        <f>SUM(P21:P24)</f>
        <v>2.7864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262367.63</v>
      </c>
      <c r="I27" s="322"/>
      <c r="J27" s="265"/>
      <c r="K27" s="47"/>
      <c r="L27" s="47"/>
      <c r="M27" s="39"/>
      <c r="N27" s="12"/>
      <c r="O27" s="12"/>
      <c r="P27" s="253">
        <f>P26</f>
        <v>2.7864</v>
      </c>
      <c r="Q27" s="14"/>
      <c r="R27" s="12"/>
      <c r="S27" s="239">
        <f>SUM(S21:S26)</f>
        <v>3.7600000000000002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0.55728</v>
      </c>
      <c r="Q28" s="39" t="s">
        <v>130</v>
      </c>
      <c r="R28" s="42"/>
      <c r="S28" s="240">
        <f>S27+T25</f>
        <v>6.5600000000000005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3.34368</v>
      </c>
      <c r="Q29" s="14"/>
      <c r="R29" s="14"/>
      <c r="S29" s="238">
        <f>S28*20%</f>
        <v>1.3120000000000003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7.8720000000000008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3.34368</v>
      </c>
      <c r="N31" s="12">
        <v>2500</v>
      </c>
      <c r="O31" s="12">
        <f t="shared" ref="O31:O36" si="13">M31*N31</f>
        <v>8359.2000000000007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1</v>
      </c>
      <c r="N32" s="12">
        <v>23500</v>
      </c>
      <c r="O32" s="12">
        <f t="shared" si="13"/>
        <v>23500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61840</v>
      </c>
      <c r="O33" s="12">
        <f t="shared" si="13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42221.2</v>
      </c>
      <c r="L34" s="250"/>
      <c r="M34" s="14">
        <v>2</v>
      </c>
      <c r="N34" s="250">
        <v>35480</v>
      </c>
      <c r="O34" s="12">
        <f t="shared" si="13"/>
        <v>70960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70186.2</v>
      </c>
      <c r="L35" s="250"/>
      <c r="M35" s="249"/>
      <c r="N35" s="250">
        <v>900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58980</v>
      </c>
      <c r="L36" s="250"/>
      <c r="M36" s="266">
        <v>4.34</v>
      </c>
      <c r="N36" s="12">
        <v>500</v>
      </c>
      <c r="O36" s="12">
        <f t="shared" si="13"/>
        <v>2170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11206.199999999997</v>
      </c>
      <c r="L37" s="250"/>
      <c r="M37" s="14"/>
      <c r="N37" s="12"/>
      <c r="O37" s="12">
        <f>SUM(O31:O36)</f>
        <v>104989.2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220477.32</v>
      </c>
      <c r="P38" s="14" t="s">
        <v>140</v>
      </c>
      <c r="Q38" s="14"/>
      <c r="R38" s="40">
        <f>P29/R37</f>
        <v>0.90155306298533211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79126.22739018088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45636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11203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-19780.511700120773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220477</v>
      </c>
      <c r="E11" s="132">
        <f>D11*0.19</f>
        <v>41890.629999999997</v>
      </c>
      <c r="F11" s="131">
        <f>E11+D11</f>
        <v>262367.63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86209.488299879231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61693.290787439619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68209.488299879231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158783.70921256038</v>
      </c>
      <c r="E13" s="221">
        <f>(D11/D12)-1</f>
        <v>2.573759758733567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59209.488299879231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20209.488299879227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101793.92979927537</v>
      </c>
      <c r="F15" s="216">
        <f>E15-D12</f>
        <v>40100.639011835752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20209.488299879227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60209.488299879231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8359.2000000000007</v>
      </c>
      <c r="E20" s="121">
        <f>D20*0.19</f>
        <v>1588.248</v>
      </c>
      <c r="F20" s="120">
        <f>SUM(D20:E20)</f>
        <v>9947.4480000000003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31859.200000000001</v>
      </c>
      <c r="E21" s="116">
        <f>SUM(E18:E20)</f>
        <v>6053.2479999999996</v>
      </c>
      <c r="F21" s="115">
        <f>SUM(F18:F20)</f>
        <v>37912.448000000004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35837.381999999998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220477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31859.200000000001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158783.70921256038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158783.70921256038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2024-12-10T15:36:30Z</dcterms:modified>
</cp:coreProperties>
</file>