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F4A0FA96-F07B-4387-9E87-F4201F65E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4" i="1"/>
  <c r="M24" i="1"/>
  <c r="H25" i="1"/>
  <c r="H26" i="1"/>
  <c r="H24" i="1"/>
  <c r="H21" i="1"/>
  <c r="H22" i="1"/>
  <c r="H23" i="1"/>
  <c r="L21" i="1"/>
  <c r="R21" i="1" s="1"/>
  <c r="M21" i="1"/>
  <c r="K22" i="1"/>
  <c r="L22" i="1"/>
  <c r="M22" i="1"/>
  <c r="K23" i="1"/>
  <c r="L23" i="1"/>
  <c r="M23" i="1"/>
  <c r="H29" i="1" l="1"/>
  <c r="N24" i="1"/>
  <c r="R24" i="1"/>
  <c r="O24" i="1"/>
  <c r="N23" i="1"/>
  <c r="O23" i="1" s="1"/>
  <c r="N21" i="1"/>
  <c r="O21" i="1" s="1"/>
  <c r="R22" i="1"/>
  <c r="N22" i="1"/>
  <c r="O22" i="1" s="1"/>
  <c r="R23" i="1"/>
  <c r="O30" i="1" l="1"/>
  <c r="K10" i="1"/>
  <c r="J43" i="1" l="1"/>
  <c r="L29" i="1" l="1"/>
  <c r="N36" i="1" l="1"/>
  <c r="O31" i="1" l="1"/>
  <c r="S48" i="1"/>
  <c r="O32" i="1" l="1"/>
  <c r="M20" i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3" i="1" l="1"/>
  <c r="L35" i="1" s="1"/>
  <c r="N35" i="1" l="1"/>
  <c r="S49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P20" i="1" s="1"/>
  <c r="P24" i="1" s="1"/>
  <c r="Q24" i="1" s="1"/>
  <c r="E15" i="3"/>
  <c r="P22" i="1" l="1"/>
  <c r="Q22" i="1" s="1"/>
  <c r="P21" i="1"/>
  <c r="Q21" i="1" s="1"/>
  <c r="P23" i="1"/>
  <c r="Q23" i="1" s="1"/>
  <c r="F15" i="3"/>
  <c r="R31" i="1" l="1"/>
  <c r="H30" i="1" l="1"/>
  <c r="H3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<sst xmlns="http://schemas.openxmlformats.org/spreadsheetml/2006/main" count="230" uniqueCount="168">
  <si>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</si>
  <si>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</si>
  <si>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</si>
  <si>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</si>
  <si>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</si>
  <si>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</si>
  <si>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</si>
  <si>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</si>
  <si>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</si>
  <si>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</si>
  <si>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</si>
  <si>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</si>
  <si>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</si>
  <si>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</si>
  <si>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</si>
  <si>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</si>
  <si>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</si>
  <si>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</si>
  <si>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</si>
  <si>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</si>
  <si>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</si>
  <si>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</si>
  <si>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</si>
  <si>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</si>
  <si>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</si>
  <si>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</si>
  <si>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</si>
  <si>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</si>
  <si>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</si>
  <si>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</si>
  <si>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</si>
  <si>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</si>
  <si>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</si>
  <si>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</si>
  <si>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</si>
  <si>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</si>
  <si>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</si>
  <si>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</si>
  <si>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</si>
  <si>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</si>
  <si>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</si>
  <si>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</si>
  <si>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</si>
  <si>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</si>
  <si>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</si>
  <si>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</si>
  <si>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</si>
  <si>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</si>
  <si>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</si>
  <si>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</si>
  <si>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</si>
  <si>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</si>
  <si>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</si>
  <si>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</si>
  <si>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</si>
  <si>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</si>
  <si>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</si>
  <si>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</si>
  <si>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</si>
  <si>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</si>
  <si>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</si>
  <si>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</si>
  <si>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</si>
  <si>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</si>
  <si>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</si>
  <si>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</si>
  <si>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</si>
  <si>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</si>
  <si>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</si>
  <si>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</si>
  <si>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</si>
  <si>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</si>
  <si>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</si>
  <si>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</si>
  <si>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</si>
  <si>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</si>
  <si>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</si>
  <si>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</si>
  <si>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</si>
  <si>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</si>
  <si>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</si>
  <si>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</si>
  <si>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</si>
  <si>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</si>
  <si>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</si>
  <si>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</si>
  <si>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</si>
  <si>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</si>
  <si>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</si>
  <si>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</si>
  <si>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</si>
  <si>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</si>
  <si>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</si>
  <si>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</si>
  <si>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</si>
  <si>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</si>
  <si>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</si>
  <si>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</si>
  <si>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</si>
  <si>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</si>
  <si>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</si>
  <si>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</si>
  <si>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</si>
  <si>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</si>
  <si>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</si>
  <si>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</si>
  <si>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</si>
  <si>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</si>
  <si>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</si>
  <si>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</si>
  <si>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</si>
  <si>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</si>
  <si>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</si>
  <si>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</si>
  <si>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</si>
  <si>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</si>
  <si>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</si>
  <si>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</si>
  <si>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</si>
  <si>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</si>
  <si>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</si>
  <si>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</si>
  <si>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</si>
  <si>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</si>
  <si>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</si>
  <si>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</si>
  <si>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</si>
  <si>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</si>
  <si>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</si>
  <si>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</si>
  <si>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</si>
  <si>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</si>
  <si>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</si>
  <si>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</si>
  <si>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</si>
  <si>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</si>
  <si>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</si>
  <si>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</si>
  <si>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</si>
  <si>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</si>
  <si>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</si>
  <si>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</si>
  <si>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</si>
  <si>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</si>
  <si>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</si>
  <si>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</si>
  <si>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</si>
  <si>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</si>
  <si>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</si>
  <si>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</si>
  <si>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</si>
  <si>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</si>
  <si>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</si>
  <si>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</si>
  <si>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</si>
  <si>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</si>
  <si>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</si>
  <si>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</si>
  <si>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</si>
  <si>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</si>
  <si>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+569 85526125</t>
  </si>
  <si>
    <t>COMERCILIAZADORA MDM SPA</t>
  </si>
  <si>
    <t>DANIELA MORA</t>
  </si>
  <si>
    <t>PR6</t>
  </si>
  <si>
    <t>CUB MESA 180° 2 LADOS</t>
  </si>
  <si>
    <t>CUB S/R 180°</t>
  </si>
  <si>
    <t>N° 11221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</si>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</sst>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28575</xdr:rowOff>
    </xdr:from>
    <xdr:to>
      <xdr:col>8</xdr:col>
      <xdr:colOff>100890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27</xdr:row>
      <xdr:rowOff>169545</xdr:rowOff>
    </xdr:from>
    <xdr:to>
      <xdr:col>5</xdr:col>
      <xdr:colOff>1764030</xdr:colOff>
      <xdr:row>31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14" zoomScale="98" zoomScaleNormal="98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45646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7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26" t="s">
        <v>154</v>
      </c>
      <c r="G17" s="326"/>
      <c r="H17" s="32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8" t="s">
        <v>149</v>
      </c>
      <c r="C19" s="329"/>
      <c r="D19" s="329"/>
      <c r="E19" s="329"/>
      <c r="F19" s="329"/>
      <c r="G19" s="329"/>
      <c r="H19" s="330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N43</f>
        <v>94485.025125628134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4">
        <v>1</v>
      </c>
      <c r="C21" s="324" t="s">
        <v>164</v>
      </c>
      <c r="D21" s="318">
        <v>0.6</v>
      </c>
      <c r="E21" s="318">
        <v>0.4</v>
      </c>
      <c r="F21" s="324" t="s">
        <v>167</v>
      </c>
      <c r="G21" s="325">
        <v>37486</v>
      </c>
      <c r="H21" s="312">
        <f t="shared" ref="H21:H23" si="1">G21*B21</f>
        <v>37486</v>
      </c>
      <c r="I21" s="265"/>
      <c r="J21" s="47"/>
      <c r="K21" s="319"/>
      <c r="L21" s="320">
        <f t="shared" ref="L21:L23" si="2">D21+L$19</f>
        <v>0.67999999999999994</v>
      </c>
      <c r="M21" s="320">
        <f t="shared" ref="M21:M23" si="3">E21+M$19</f>
        <v>0.4</v>
      </c>
      <c r="N21" s="261">
        <f t="shared" ref="N21:N23" si="4">L21*M21</f>
        <v>0.27199999999999996</v>
      </c>
      <c r="O21" s="259">
        <f t="shared" ref="O21:O23" si="5">N21*K21</f>
        <v>0</v>
      </c>
      <c r="P21" s="252">
        <f t="shared" ref="P21:P23" si="6">P$20*N21</f>
        <v>25699.926834170848</v>
      </c>
      <c r="Q21" s="258">
        <f t="shared" ref="Q21:Q23" si="7">P21+Q$20</f>
        <v>28699.926834170848</v>
      </c>
      <c r="R21" s="308">
        <f t="shared" ref="R21:R23" si="8">K21*L21</f>
        <v>0</v>
      </c>
      <c r="S21" s="14"/>
      <c r="T21" s="9"/>
      <c r="W21" s="4"/>
    </row>
    <row r="22" spans="2:24" ht="17.399999999999999" x14ac:dyDescent="0.3">
      <c r="B22" s="324">
        <v>1</v>
      </c>
      <c r="C22" s="324" t="s">
        <v>165</v>
      </c>
      <c r="D22" s="318">
        <v>2.65</v>
      </c>
      <c r="E22" s="318">
        <v>0.8</v>
      </c>
      <c r="F22" s="324" t="s">
        <v>167</v>
      </c>
      <c r="G22" s="325">
        <v>239990</v>
      </c>
      <c r="H22" s="312">
        <f t="shared" si="1"/>
        <v>239990</v>
      </c>
      <c r="I22" s="265"/>
      <c r="J22" s="47"/>
      <c r="K22" s="319">
        <f t="shared" ref="K22:K23" si="9">B22</f>
        <v>1</v>
      </c>
      <c r="L22" s="320">
        <f t="shared" si="2"/>
        <v>2.73</v>
      </c>
      <c r="M22" s="320">
        <f t="shared" si="3"/>
        <v>0.8</v>
      </c>
      <c r="N22" s="261">
        <f t="shared" si="4"/>
        <v>2.1840000000000002</v>
      </c>
      <c r="O22" s="259">
        <f t="shared" si="5"/>
        <v>2.1840000000000002</v>
      </c>
      <c r="P22" s="252">
        <f t="shared" si="6"/>
        <v>206355.29487437187</v>
      </c>
      <c r="Q22" s="258">
        <f t="shared" si="7"/>
        <v>209355.29487437187</v>
      </c>
      <c r="R22" s="308">
        <f t="shared" si="8"/>
        <v>2.73</v>
      </c>
      <c r="S22" s="14"/>
      <c r="T22" s="9"/>
      <c r="W22" s="4"/>
    </row>
    <row r="23" spans="2:24" ht="17.399999999999999" x14ac:dyDescent="0.3">
      <c r="B23" s="324">
        <v>1</v>
      </c>
      <c r="C23" s="324" t="s">
        <v>165</v>
      </c>
      <c r="D23" s="318">
        <v>1.55</v>
      </c>
      <c r="E23" s="318">
        <v>0.4</v>
      </c>
      <c r="F23" s="324" t="s">
        <v>167</v>
      </c>
      <c r="G23" s="325">
        <v>97544</v>
      </c>
      <c r="H23" s="312">
        <f t="shared" si="1"/>
        <v>97544</v>
      </c>
      <c r="I23" s="265"/>
      <c r="J23" s="47"/>
      <c r="K23" s="319">
        <f t="shared" si="9"/>
        <v>1</v>
      </c>
      <c r="L23" s="320">
        <f t="shared" si="2"/>
        <v>1.6300000000000001</v>
      </c>
      <c r="M23" s="320">
        <f t="shared" si="3"/>
        <v>0.4</v>
      </c>
      <c r="N23" s="261">
        <f t="shared" si="4"/>
        <v>0.65200000000000014</v>
      </c>
      <c r="O23" s="259">
        <f t="shared" si="5"/>
        <v>0.65200000000000014</v>
      </c>
      <c r="P23" s="252">
        <f t="shared" si="6"/>
        <v>61604.236381909555</v>
      </c>
      <c r="Q23" s="258">
        <f t="shared" si="7"/>
        <v>64604.236381909555</v>
      </c>
      <c r="R23" s="308">
        <f t="shared" si="8"/>
        <v>1.6300000000000001</v>
      </c>
      <c r="S23" s="14"/>
      <c r="T23" s="9"/>
      <c r="W23" s="4"/>
    </row>
    <row r="24" spans="2:24" ht="17.399999999999999" x14ac:dyDescent="0.3">
      <c r="B24" s="324">
        <v>1</v>
      </c>
      <c r="C24" s="324" t="s">
        <v>165</v>
      </c>
      <c r="D24" s="318">
        <v>2</v>
      </c>
      <c r="E24" s="318">
        <v>0.55000000000000004</v>
      </c>
      <c r="F24" s="324" t="s">
        <v>167</v>
      </c>
      <c r="G24" s="325">
        <v>196143</v>
      </c>
      <c r="H24" s="312">
        <f t="shared" ref="H24" si="10">G24*B24</f>
        <v>196143</v>
      </c>
      <c r="I24" s="265"/>
      <c r="J24" s="47"/>
      <c r="K24" s="319">
        <f t="shared" ref="K24" si="11">B24</f>
        <v>1</v>
      </c>
      <c r="L24" s="320">
        <f t="shared" ref="L24" si="12">D24+L$19</f>
        <v>2.08</v>
      </c>
      <c r="M24" s="320">
        <f t="shared" ref="M24" si="13">E24+M$19</f>
        <v>0.55000000000000004</v>
      </c>
      <c r="N24" s="261">
        <f t="shared" ref="N24" si="14">L24*M24</f>
        <v>1.1440000000000001</v>
      </c>
      <c r="O24" s="259">
        <f t="shared" ref="O24" si="15">N24*K24</f>
        <v>1.1440000000000001</v>
      </c>
      <c r="P24" s="252">
        <f t="shared" ref="P24" si="16">P$20*N24</f>
        <v>108090.8687437186</v>
      </c>
      <c r="Q24" s="258">
        <f t="shared" ref="Q24" si="17">P24+Q$20</f>
        <v>111090.8687437186</v>
      </c>
      <c r="R24" s="308">
        <f t="shared" ref="R24" si="18">K24*L24</f>
        <v>2.08</v>
      </c>
      <c r="S24" s="14"/>
      <c r="T24" s="9"/>
      <c r="W24" s="4"/>
    </row>
    <row r="25" spans="2:24" ht="17.399999999999999" x14ac:dyDescent="0.3">
      <c r="B25" s="324">
        <v>4</v>
      </c>
      <c r="C25" s="324" t="s">
        <v>163</v>
      </c>
      <c r="D25" s="318">
        <v>0.52</v>
      </c>
      <c r="E25" s="318">
        <v>0.34799999999999998</v>
      </c>
      <c r="F25" s="324" t="s">
        <v>167</v>
      </c>
      <c r="G25" s="325">
        <v>23180</v>
      </c>
      <c r="H25" s="312">
        <f t="shared" ref="H25:H26" si="19">G25*B25</f>
        <v>92720</v>
      </c>
      <c r="I25" s="265"/>
      <c r="J25" s="47"/>
      <c r="K25" s="319"/>
      <c r="L25" s="320"/>
      <c r="M25" s="320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324">
        <v>4</v>
      </c>
      <c r="C26" s="324" t="s">
        <v>163</v>
      </c>
      <c r="D26" s="318">
        <v>0.7</v>
      </c>
      <c r="E26" s="318">
        <v>0.34799999999999998</v>
      </c>
      <c r="F26" s="324" t="s">
        <v>167</v>
      </c>
      <c r="G26" s="325">
        <v>29553</v>
      </c>
      <c r="H26" s="312">
        <f t="shared" si="19"/>
        <v>118212</v>
      </c>
      <c r="I26" s="265"/>
      <c r="J26" s="47"/>
      <c r="K26" s="319"/>
      <c r="L26" s="320"/>
      <c r="M26" s="320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3"/>
      <c r="H27" s="313"/>
      <c r="I27" s="265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2"/>
      <c r="I28" s="232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30</v>
      </c>
      <c r="H29" s="310">
        <f>SUM(H21:H28)</f>
        <v>782095</v>
      </c>
      <c r="I29" s="265"/>
      <c r="J29" s="47"/>
      <c r="K29" s="47"/>
      <c r="L29" s="39">
        <f>SUM(L21:L28)</f>
        <v>7.12</v>
      </c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53</v>
      </c>
      <c r="H30" s="304">
        <f>H29*19%</f>
        <v>148598.04999999999</v>
      </c>
      <c r="I30" s="265"/>
      <c r="J30" s="47"/>
      <c r="K30" s="47"/>
      <c r="L30" s="39"/>
      <c r="M30" s="12"/>
      <c r="N30" s="12"/>
      <c r="O30" s="253">
        <f>SUM(O21:O24)</f>
        <v>3.9800000000000004</v>
      </c>
      <c r="P30" s="14"/>
      <c r="Q30" s="12"/>
      <c r="R30" s="238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>
        <f>H29+H30</f>
        <v>930693.05</v>
      </c>
      <c r="I31" s="265"/>
      <c r="J31" s="47"/>
      <c r="K31" s="47"/>
      <c r="L31" s="39"/>
      <c r="M31" s="12"/>
      <c r="N31" s="12"/>
      <c r="O31" s="253">
        <f>O30</f>
        <v>3.9800000000000004</v>
      </c>
      <c r="P31" s="14"/>
      <c r="Q31" s="12"/>
      <c r="R31" s="238">
        <f>SUM(R21:R30)</f>
        <v>6.44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/>
      <c r="K32" s="47"/>
      <c r="L32" s="14"/>
      <c r="M32" s="12"/>
      <c r="N32" s="12"/>
      <c r="O32" s="39">
        <f>O31*20%</f>
        <v>0.79600000000000015</v>
      </c>
      <c r="P32" s="39" t="s">
        <v>132</v>
      </c>
      <c r="Q32" s="42"/>
      <c r="R32" s="239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315"/>
      <c r="K33" s="47"/>
      <c r="L33" s="14"/>
      <c r="M33" s="12"/>
      <c r="N33" s="12"/>
      <c r="O33" s="46">
        <f>O31+O32</f>
        <v>4.7760000000000007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2"/>
      <c r="F34" s="233"/>
      <c r="G34" s="230"/>
      <c r="H34" s="275"/>
      <c r="I34" s="265"/>
      <c r="J34" s="315"/>
      <c r="K34" s="47"/>
      <c r="L34" s="14"/>
      <c r="M34" s="14"/>
      <c r="N34" s="14"/>
      <c r="O34" s="14"/>
      <c r="P34" s="14"/>
      <c r="Q34" s="14"/>
      <c r="R34" s="237"/>
      <c r="S34" s="14"/>
      <c r="T34" s="9"/>
      <c r="W34" s="4"/>
    </row>
    <row r="35" spans="2:23" ht="17.399999999999999" x14ac:dyDescent="0.35">
      <c r="B35" s="234"/>
      <c r="C35" s="235"/>
      <c r="D35" s="236"/>
      <c r="E35" s="234"/>
      <c r="F35" s="230"/>
      <c r="G35" s="230"/>
      <c r="I35" s="265"/>
      <c r="J35" s="47"/>
      <c r="K35" s="47"/>
      <c r="L35" s="39">
        <f>O33*2</f>
        <v>9.5520000000000014</v>
      </c>
      <c r="M35" s="12">
        <v>3500</v>
      </c>
      <c r="N35" s="12">
        <f t="shared" ref="N35:N40" si="20">L35*M35</f>
        <v>33432.000000000007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2.5</v>
      </c>
      <c r="M36" s="12">
        <v>25000</v>
      </c>
      <c r="N36" s="12">
        <f t="shared" si="20"/>
        <v>62500</v>
      </c>
      <c r="O36" s="39" t="s">
        <v>155</v>
      </c>
      <c r="P36" s="42"/>
      <c r="Q36" s="14"/>
      <c r="R36" s="239"/>
      <c r="S36" s="14"/>
      <c r="T36" s="9"/>
      <c r="W36" s="4"/>
    </row>
    <row r="37" spans="2:23" s="230" customFormat="1" ht="17.399999999999999" x14ac:dyDescent="0.35">
      <c r="I37" s="262"/>
      <c r="J37" s="47"/>
      <c r="K37" s="250"/>
      <c r="L37" s="14"/>
      <c r="M37" s="250">
        <v>43000</v>
      </c>
      <c r="N37" s="12">
        <f t="shared" si="20"/>
        <v>0</v>
      </c>
      <c r="O37" s="39" t="s">
        <v>32</v>
      </c>
      <c r="P37" s="42"/>
      <c r="R37" s="239"/>
      <c r="S37" s="256"/>
      <c r="V37" s="231"/>
    </row>
    <row r="38" spans="2:23" s="230" customFormat="1" ht="17.399999999999999" x14ac:dyDescent="0.35">
      <c r="B38" s="24" t="s">
        <v>153</v>
      </c>
      <c r="I38" s="262"/>
      <c r="J38" s="314"/>
      <c r="K38" s="250"/>
      <c r="L38" s="14">
        <v>3</v>
      </c>
      <c r="M38" s="250">
        <v>25000</v>
      </c>
      <c r="N38" s="12">
        <f t="shared" si="20"/>
        <v>75000</v>
      </c>
      <c r="O38" s="14" t="s">
        <v>143</v>
      </c>
      <c r="P38" s="17"/>
      <c r="R38" s="237"/>
      <c r="S38" s="256"/>
      <c r="V38" s="231"/>
    </row>
    <row r="39" spans="2:23" s="230" customFormat="1" ht="17.399999999999999" x14ac:dyDescent="0.35">
      <c r="B39" s="24" t="s">
        <v>146</v>
      </c>
      <c r="C39"/>
      <c r="D39"/>
      <c r="E39"/>
      <c r="F39"/>
      <c r="I39" s="262"/>
      <c r="J39" s="314"/>
      <c r="K39" s="250"/>
      <c r="L39" s="249"/>
      <c r="M39" s="250">
        <v>800</v>
      </c>
      <c r="N39" s="12">
        <f t="shared" si="20"/>
        <v>0</v>
      </c>
      <c r="O39" s="14" t="s">
        <v>34</v>
      </c>
      <c r="P39" s="14"/>
      <c r="Q39" s="230">
        <v>1.52</v>
      </c>
      <c r="R39" s="237"/>
      <c r="S39" s="237"/>
    </row>
    <row r="40" spans="2:23" s="230" customFormat="1" ht="17.399999999999999" x14ac:dyDescent="0.35">
      <c r="B40" s="29" t="s">
        <v>127</v>
      </c>
      <c r="C40"/>
      <c r="D40"/>
      <c r="E40"/>
      <c r="F40" s="229" t="s">
        <v>16</v>
      </c>
      <c r="I40" s="303"/>
      <c r="J40" s="47"/>
      <c r="K40" s="250"/>
      <c r="L40" s="266"/>
      <c r="M40" s="12">
        <v>1500</v>
      </c>
      <c r="N40" s="12">
        <f t="shared" si="20"/>
        <v>0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2:23" s="230" customFormat="1" ht="17.399999999999999" x14ac:dyDescent="0.35">
      <c r="I41" s="230" t="s">
        <v>157</v>
      </c>
      <c r="J41" s="47"/>
      <c r="K41" s="250"/>
      <c r="L41" s="14"/>
      <c r="M41" s="12"/>
      <c r="N41" s="12">
        <f>SUM(N35:N40)</f>
        <v>170932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2:23" s="230" customFormat="1" ht="17.399999999999999" x14ac:dyDescent="0.35">
      <c r="J42" s="47">
        <v>61660</v>
      </c>
      <c r="K42" s="250"/>
      <c r="L42" s="254" t="s">
        <v>35</v>
      </c>
      <c r="M42" s="12"/>
      <c r="N42" s="255">
        <f>N41*2.2</f>
        <v>376050.4</v>
      </c>
      <c r="O42" s="14" t="s">
        <v>142</v>
      </c>
      <c r="P42" s="14"/>
      <c r="Q42" s="46">
        <f>O31/Q41</f>
        <v>1.0731233822260571</v>
      </c>
      <c r="R42"/>
      <c r="S42" s="257" t="e">
        <f>S41/#REF!</f>
        <v>#REF!</v>
      </c>
    </row>
    <row r="43" spans="2:23" s="230" customFormat="1" ht="17.399999999999999" x14ac:dyDescent="0.35">
      <c r="G43"/>
      <c r="H43" s="260"/>
      <c r="I43" s="260"/>
      <c r="J43" s="47">
        <f>J42/1.19</f>
        <v>51815.126050420171</v>
      </c>
      <c r="K43" s="250"/>
      <c r="L43" s="14"/>
      <c r="M43" s="12"/>
      <c r="N43" s="12">
        <f>N42/O31</f>
        <v>94485.025125628134</v>
      </c>
      <c r="O43" s="45" t="s">
        <v>26</v>
      </c>
      <c r="P43" s="14"/>
      <c r="Q43" s="14"/>
      <c r="R43"/>
      <c r="S43" s="237"/>
    </row>
    <row r="44" spans="2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2:23" s="230" customFormat="1" ht="17.399999999999999" x14ac:dyDescent="0.35">
      <c r="G45" s="23"/>
      <c r="J45" s="47"/>
      <c r="K45" s="12"/>
      <c r="S45" s="237"/>
    </row>
    <row r="46" spans="2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2:23" ht="14.4" customHeight="1" x14ac:dyDescent="0.3">
      <c r="J47" s="47"/>
      <c r="K47" s="12"/>
      <c r="S47">
        <v>2.5</v>
      </c>
    </row>
    <row r="48" spans="2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1.0439344262295083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150</v>
      </c>
    </row>
    <row r="79" spans="3:14" x14ac:dyDescent="0.3">
      <c r="C79" t="s">
        <v>149</v>
      </c>
    </row>
    <row r="82" spans="3:3" x14ac:dyDescent="0.3">
      <c r="C82" t="s">
        <v>149</v>
      </c>
    </row>
    <row r="159" spans="3:3" x14ac:dyDescent="0.3">
      <c r="C159" t="s">
        <v>149</v>
      </c>
    </row>
    <row r="160" spans="3:3" x14ac:dyDescent="0.3">
      <c r="C160" t="s">
        <v>151</v>
      </c>
    </row>
    <row r="161" spans="3:3" x14ac:dyDescent="0.3">
      <c r="C161" t="s">
        <v>152</v>
      </c>
    </row>
    <row r="586" spans="3:3" x14ac:dyDescent="0.3">
      <c r="C586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45646</v>
      </c>
    </row>
    <row r="6" spans="2:31" ht="16.2" thickBot="1" x14ac:dyDescent="0.35">
      <c r="B6" s="140" t="s">
        <v>2</v>
      </c>
      <c r="C6" s="139" t="str">
        <f>'2229'!C10</f>
        <v>COMERCILIAZADORA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11221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-95763.49170012078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782095</v>
      </c>
      <c r="E11" s="132">
        <f>D11*0.19</f>
        <v>148598.04999999999</v>
      </c>
      <c r="F11" s="131">
        <f>E11+D11</f>
        <v>930693.05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10226.50829987922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125766.09078743961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-7773.4917001207796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656328.90921256039</v>
      </c>
      <c r="E13" s="221">
        <f>(D11/D12)-1</f>
        <v>5.2186476108400175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-16773.49170012078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-55773.49170012078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207514.04979927535</v>
      </c>
      <c r="F15" s="216">
        <f>E15-D12</f>
        <v>81747.959011835745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-55773.49170012078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-15773.49170012078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'2229'!N36</f>
        <v>62500</v>
      </c>
      <c r="E19" s="123">
        <f>D19*0.19</f>
        <v>11875</v>
      </c>
      <c r="F19" s="120">
        <f>SUM(D19:E19)</f>
        <v>74375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33432.000000000007</v>
      </c>
      <c r="E20" s="121">
        <f>D20*0.19</f>
        <v>6352.0800000000017</v>
      </c>
      <c r="F20" s="120">
        <f>SUM(D20:E20)</f>
        <v>39784.080000000009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95932</v>
      </c>
      <c r="E21" s="116">
        <f>SUM(E18:E20)</f>
        <v>18227.080000000002</v>
      </c>
      <c r="F21" s="115">
        <f>SUM(F18:F20)</f>
        <v>114159.08000000002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130370.96999999999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782095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95932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656328.90921256039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656328.90921256039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2024-12-30T18:36:28Z</dcterms:modified>
</cp:coreProperties>
</file>