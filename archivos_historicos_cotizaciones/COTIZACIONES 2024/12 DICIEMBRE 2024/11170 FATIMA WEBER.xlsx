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5156631F-B608-40EC-9AAB-E9083AAAE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H22" i="1"/>
  <c r="K36" i="1"/>
  <c r="K38" i="1"/>
  <c r="K39" i="1" s="1"/>
  <c r="N21" i="1"/>
  <c r="O22" i="1" l="1"/>
  <c r="P22" i="1" s="1"/>
  <c r="K40" i="1"/>
  <c r="K41" i="1" s="1"/>
  <c r="M21" i="1"/>
  <c r="M30" i="1" s="1"/>
  <c r="L21" i="1"/>
  <c r="T21" i="1" l="1"/>
  <c r="T29" i="1" s="1"/>
  <c r="S21" i="1"/>
  <c r="S31" i="1" s="1"/>
  <c r="O21" i="1"/>
  <c r="P21" i="1" s="1"/>
  <c r="P30" i="1" s="1"/>
  <c r="K44" i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2" i="1" l="1"/>
  <c r="R22" i="1" s="1"/>
  <c r="O44" i="1"/>
  <c r="E15" i="3"/>
  <c r="Q21" i="1" l="1"/>
  <c r="F15" i="3"/>
  <c r="R21" i="1" l="1"/>
  <c r="H21" i="1" l="1"/>
  <c r="H29" i="1" s="1"/>
  <c r="H30" i="1" l="1"/>
  <c r="H31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<sst xmlns="http://schemas.openxmlformats.org/spreadsheetml/2006/main" count="231" uniqueCount="172">
  <si>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</si>
  <si>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</si>
  <si>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</si>
  <si>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</si>
  <si>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</si>
  <si>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</si>
  <si>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</si>
  <si>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</si>
  <si>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</si>
  <si>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</si>
  <si>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</si>
  <si>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</si>
  <si>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</si>
  <si>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</si>
  <si>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</si>
  <si>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</si>
  <si>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</si>
  <si>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</si>
  <si>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</si>
  <si>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</si>
  <si>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</si>
  <si>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</si>
  <si>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</si>
  <si>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</si>
  <si>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</si>
  <si>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</si>
  <si>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</si>
  <si>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</si>
  <si>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</si>
  <si>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</si>
  <si>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</si>
  <si>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</si>
  <si>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</si>
  <si>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</si>
  <si>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</si>
  <si>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</si>
  <si>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</si>
  <si>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</si>
  <si>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</si>
  <si>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</si>
  <si>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</si>
  <si>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</si>
  <si>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</si>
  <si>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</si>
  <si>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</si>
  <si>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</si>
  <si>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</si>
  <si>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</si>
  <si>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</si>
  <si>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</si>
  <si>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</si>
  <si>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</si>
  <si>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</si>
  <si>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</si>
  <si>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</si>
  <si>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</si>
  <si>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</si>
  <si>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</si>
  <si>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</si>
  <si>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</si>
  <si>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</si>
  <si>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</si>
  <si>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</si>
  <si>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</si>
  <si>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</si>
  <si>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</si>
  <si>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</si>
  <si>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</si>
  <si>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</si>
  <si>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</si>
  <si>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</si>
  <si>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</si>
  <si>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</si>
  <si>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</si>
  <si>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</si>
  <si>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</si>
  <si>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</si>
  <si>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</si>
  <si>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</si>
  <si>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</si>
  <si>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</si>
  <si>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</si>
  <si>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</si>
  <si>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</si>
  <si>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</si>
  <si>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</si>
  <si>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</si>
  <si>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</si>
  <si>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</si>
  <si>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</si>
  <si>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</si>
  <si>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</si>
  <si>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</si>
  <si>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</si>
  <si>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</si>
  <si>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</si>
  <si>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</si>
  <si>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</si>
  <si>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</si>
  <si>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</si>
  <si>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</si>
  <si>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</si>
  <si>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</si>
  <si>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</si>
  <si>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</si>
  <si>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</si>
  <si>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</si>
  <si>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</si>
  <si>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</si>
  <si>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</si>
  <si>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</si>
  <si>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</si>
  <si>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</si>
  <si>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</si>
  <si>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</si>
  <si>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</si>
  <si>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</si>
  <si>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</si>
  <si>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</si>
  <si>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</si>
  <si>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</si>
  <si>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</si>
  <si>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</si>
  <si>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</si>
  <si>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</si>
  <si>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</si>
  <si>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</si>
  <si>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</si>
  <si>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</si>
  <si>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</si>
  <si>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</si>
  <si>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</si>
  <si>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</si>
  <si>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</si>
  <si>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</si>
  <si>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</si>
  <si>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</si>
  <si>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</si>
  <si>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</si>
  <si>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</si>
  <si>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</si>
  <si>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</si>
  <si>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</si>
  <si>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</si>
  <si>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</si>
  <si>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</si>
  <si>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</si>
  <si>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</si>
  <si>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</si>
  <si>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</si>
  <si>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</si>
  <si>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</si>
  <si>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</si>
  <si>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</si>
  <si>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</si>
  <si>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</si>
  <si>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</si>
  <si>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</si>
  <si>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</si>
  <si>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</si>
  <si>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</si>
  <si>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</si>
  <si>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</si>
  <si>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</si>
  <si>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</si>
  <si>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</si>
  <si>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</si>
  <si>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</si>
  <si>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11169</t>
  </si>
  <si>
    <t>+569 8207 6592</t>
  </si>
  <si>
    <t>FATIMA WEBER</t>
  </si>
  <si>
    <t>GALAXIA GRAFITO 0491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</si>
</sst>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13" zoomScale="93" zoomScaleNormal="93" workbookViewId="0">
      <selection activeCell="A24" sqref="A24:XFD2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45614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81065.438300741749</v>
      </c>
      <c r="R20" s="258">
        <v>3000</v>
      </c>
      <c r="S20" s="38"/>
      <c r="T20" s="14" t="s">
        <v>128</v>
      </c>
      <c r="U20" s="9"/>
      <c r="X20" s="4"/>
    </row>
    <row r="21" spans="2:25" ht="18" thickBot="1" x14ac:dyDescent="0.35">
      <c r="B21" s="329">
        <v>1</v>
      </c>
      <c r="C21" s="330" t="s">
        <v>35</v>
      </c>
      <c r="D21" s="331">
        <v>3.57</v>
      </c>
      <c r="E21" s="331">
        <v>0.6</v>
      </c>
      <c r="F21" s="330" t="s">
        <v>171</v>
      </c>
      <c r="G21" s="332">
        <v>180533</v>
      </c>
      <c r="H21" s="333">
        <f>G21*B21</f>
        <v>180533</v>
      </c>
      <c r="I21" s="320"/>
      <c r="J21" s="265"/>
      <c r="K21" s="47"/>
      <c r="L21" s="47">
        <f>B21</f>
        <v>1</v>
      </c>
      <c r="M21" s="39">
        <f>D21+M$19</f>
        <v>3.65</v>
      </c>
      <c r="N21" s="39">
        <f>E21+$N$19</f>
        <v>0.6</v>
      </c>
      <c r="O21" s="261">
        <f t="shared" ref="O21" si="1">M21*N21</f>
        <v>2.19</v>
      </c>
      <c r="P21" s="259">
        <f t="shared" ref="P21" si="2">O21*L21</f>
        <v>2.19</v>
      </c>
      <c r="Q21" s="252">
        <f t="shared" ref="Q21" si="3">Q$20*O21</f>
        <v>177533.30987862442</v>
      </c>
      <c r="R21" s="319">
        <f t="shared" ref="R21" si="4">Q21+R$20</f>
        <v>180533.30987862442</v>
      </c>
      <c r="S21" s="297">
        <f>L21*M21*2</f>
        <v>7.3</v>
      </c>
      <c r="T21" s="46">
        <f>N21*2*L21*2</f>
        <v>2.4</v>
      </c>
      <c r="U21" s="9"/>
      <c r="X21" s="4"/>
    </row>
    <row r="22" spans="2:25" ht="17.399999999999999" x14ac:dyDescent="0.3">
      <c r="B22" s="329">
        <v>1</v>
      </c>
      <c r="C22" s="330" t="s">
        <v>35</v>
      </c>
      <c r="D22" s="331">
        <v>2.3650000000000002</v>
      </c>
      <c r="E22" s="331">
        <v>0.56000000000000005</v>
      </c>
      <c r="F22" s="330" t="s">
        <v>171</v>
      </c>
      <c r="G22" s="332">
        <v>113995</v>
      </c>
      <c r="H22" s="333">
        <f t="shared" ref="H22" si="5">G22*B22</f>
        <v>113995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2.4450000000000003</v>
      </c>
      <c r="N22" s="39">
        <f t="shared" ref="N22" si="8">E22+$N$19</f>
        <v>0.56000000000000005</v>
      </c>
      <c r="O22" s="261">
        <f t="shared" ref="O22" si="9">M22*N22</f>
        <v>1.3692000000000002</v>
      </c>
      <c r="P22" s="259">
        <f t="shared" ref="P22" si="10">O22*L22</f>
        <v>1.3692000000000002</v>
      </c>
      <c r="Q22" s="252">
        <f t="shared" ref="Q22" si="11">Q$20*O22</f>
        <v>110994.79812137561</v>
      </c>
      <c r="R22" s="319">
        <f t="shared" ref="R22" si="12">Q22+R$20</f>
        <v>113994.79812137561</v>
      </c>
      <c r="S22" s="297">
        <f t="shared" ref="S22" si="13">L22*M22*2</f>
        <v>4.8900000000000006</v>
      </c>
      <c r="T22" s="46"/>
      <c r="U22" s="9"/>
      <c r="X22" s="4"/>
    </row>
    <row r="23" spans="2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0"/>
      <c r="H26" s="320"/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0"/>
      <c r="H27" s="320"/>
      <c r="I27" s="320"/>
      <c r="J27" s="265"/>
      <c r="K27" s="47"/>
      <c r="L27" s="47"/>
      <c r="M27" s="39"/>
      <c r="N27" s="39"/>
      <c r="O27" s="261"/>
      <c r="P27" s="259"/>
      <c r="Q27" s="252"/>
      <c r="R27" s="319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4" t="s">
        <v>28</v>
      </c>
      <c r="H29" s="325">
        <f>SUM(H21:H28)</f>
        <v>294528</v>
      </c>
      <c r="I29" s="322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7"/>
      <c r="T29" s="46">
        <f>SUM(T21:T28)</f>
        <v>2.4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55960.32</v>
      </c>
      <c r="I30" s="322"/>
      <c r="J30" s="265"/>
      <c r="K30" s="47"/>
      <c r="L30" s="47"/>
      <c r="M30" s="39">
        <f>SUM(M21:M29)</f>
        <v>6.0950000000000006</v>
      </c>
      <c r="N30" s="12"/>
      <c r="O30" s="12"/>
      <c r="P30" s="253">
        <f>SUM(P21:P22)</f>
        <v>3.5592000000000001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350488.32000000001</v>
      </c>
      <c r="I31" s="322"/>
      <c r="J31" s="265"/>
      <c r="K31" s="47"/>
      <c r="L31" s="47"/>
      <c r="M31" s="39"/>
      <c r="N31" s="12"/>
      <c r="O31" s="12"/>
      <c r="P31" s="253">
        <f>P30</f>
        <v>3.5592000000000001</v>
      </c>
      <c r="Q31" s="14"/>
      <c r="R31" s="12"/>
      <c r="S31" s="239">
        <f>SUM(S21:S30)</f>
        <v>12.190000000000001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0.71184000000000003</v>
      </c>
      <c r="Q32" s="39" t="s">
        <v>130</v>
      </c>
      <c r="R32" s="42"/>
      <c r="S32" s="240">
        <f>S31+T29</f>
        <v>14.590000000000002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4.2710400000000002</v>
      </c>
      <c r="Q33" s="14"/>
      <c r="R33" s="14"/>
      <c r="S33" s="238">
        <f>S32*20%</f>
        <v>2.9180000000000006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17.508000000000003</v>
      </c>
      <c r="T34" s="14"/>
      <c r="U34" s="302" t="s">
        <v>21</v>
      </c>
      <c r="V34" s="299" t="s">
        <v>152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4.2710400000000002</v>
      </c>
      <c r="N35" s="12">
        <v>3500</v>
      </c>
      <c r="O35" s="12">
        <f t="shared" ref="O35:O40" si="14">M35*N35</f>
        <v>14948.640000000001</v>
      </c>
      <c r="P35" s="14" t="s">
        <v>21</v>
      </c>
      <c r="Q35" s="14"/>
      <c r="R35" s="14"/>
      <c r="S35" s="241"/>
      <c r="T35" s="14"/>
      <c r="U35" s="302" t="s">
        <v>153</v>
      </c>
      <c r="V35" s="299">
        <v>3625</v>
      </c>
      <c r="W35" s="59" t="s">
        <v>154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>
        <f>23500*1.19</f>
        <v>27965</v>
      </c>
      <c r="L36" s="47"/>
      <c r="M36" s="249">
        <v>1.2</v>
      </c>
      <c r="N36" s="12">
        <v>25000</v>
      </c>
      <c r="O36" s="12">
        <f t="shared" si="14"/>
        <v>30000</v>
      </c>
      <c r="P36" s="39" t="s">
        <v>31</v>
      </c>
      <c r="Q36" s="42"/>
      <c r="R36" s="14"/>
      <c r="S36" s="240"/>
      <c r="T36" s="14"/>
      <c r="U36" s="302"/>
      <c r="V36" s="59">
        <v>906.25</v>
      </c>
      <c r="W36" s="59" t="s">
        <v>155</v>
      </c>
      <c r="X36" s="304"/>
    </row>
    <row r="37" spans="1:24" s="230" customFormat="1" ht="17.399999999999999" x14ac:dyDescent="0.35">
      <c r="B37" s="24" t="s">
        <v>151</v>
      </c>
      <c r="J37" s="262"/>
      <c r="K37" s="232"/>
      <c r="L37" s="250"/>
      <c r="M37" s="14"/>
      <c r="N37" s="250">
        <v>61840</v>
      </c>
      <c r="O37" s="12">
        <f t="shared" si="14"/>
        <v>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4" t="s">
        <v>156</v>
      </c>
      <c r="X37" s="59"/>
    </row>
    <row r="38" spans="1:24" s="230" customFormat="1" ht="17.399999999999999" x14ac:dyDescent="0.35">
      <c r="B38" s="24" t="s">
        <v>144</v>
      </c>
      <c r="C38"/>
      <c r="D38"/>
      <c r="E38"/>
      <c r="F38"/>
      <c r="J38" s="262"/>
      <c r="K38" s="232">
        <f>N38*1.19</f>
        <v>91699.01999999999</v>
      </c>
      <c r="L38" s="250"/>
      <c r="M38" s="14">
        <v>1</v>
      </c>
      <c r="N38" s="250">
        <v>77058</v>
      </c>
      <c r="O38" s="12">
        <f t="shared" si="14"/>
        <v>77058</v>
      </c>
      <c r="P38" s="14" t="s">
        <v>141</v>
      </c>
      <c r="Q38" s="17"/>
      <c r="S38" s="238"/>
      <c r="T38" s="256"/>
      <c r="U38" s="59"/>
      <c r="V38" s="59">
        <f>V36+V37</f>
        <v>1087.5</v>
      </c>
      <c r="W38" s="304" t="s">
        <v>157</v>
      </c>
      <c r="X38" s="59"/>
    </row>
    <row r="39" spans="1:24" s="230" customFormat="1" ht="17.399999999999999" x14ac:dyDescent="0.35">
      <c r="B39" s="29" t="s">
        <v>125</v>
      </c>
      <c r="C39"/>
      <c r="D39"/>
      <c r="E39"/>
      <c r="F39" s="229" t="s">
        <v>15</v>
      </c>
      <c r="J39" s="262"/>
      <c r="K39" s="260">
        <f>SUM(K36:K38)</f>
        <v>119664.01999999999</v>
      </c>
      <c r="L39" s="250"/>
      <c r="M39" s="249"/>
      <c r="N39" s="250">
        <v>900</v>
      </c>
      <c r="O39" s="12">
        <f t="shared" si="14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/>
      <c r="K40" s="260">
        <f>K39/1.19</f>
        <v>100558</v>
      </c>
      <c r="L40" s="250"/>
      <c r="M40" s="266">
        <v>6.0949999999999998</v>
      </c>
      <c r="N40" s="12">
        <v>1500</v>
      </c>
      <c r="O40" s="12">
        <f t="shared" si="14"/>
        <v>9142.5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60">
        <f>K39-K40</f>
        <v>19106.01999999999</v>
      </c>
      <c r="L41" s="250"/>
      <c r="M41" s="14"/>
      <c r="N41" s="12"/>
      <c r="O41" s="12">
        <f>SUM(O35:O40)</f>
        <v>131149.14000000001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50"/>
      <c r="M42" s="254" t="s">
        <v>33</v>
      </c>
      <c r="N42" s="12"/>
      <c r="O42" s="255">
        <f>O41*2.2</f>
        <v>288528.10800000007</v>
      </c>
      <c r="P42" s="14" t="s">
        <v>140</v>
      </c>
      <c r="Q42" s="14"/>
      <c r="R42" s="40">
        <f>P33/R41</f>
        <v>1.1515962036238137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K43" s="230">
        <v>91700</v>
      </c>
      <c r="L43" s="250"/>
      <c r="M43" s="14"/>
      <c r="N43" s="12"/>
      <c r="O43" s="12">
        <f>O42/P31</f>
        <v>81065.438300741749</v>
      </c>
      <c r="P43" s="45" t="s">
        <v>24</v>
      </c>
      <c r="Q43" s="14"/>
      <c r="R43" s="14"/>
      <c r="S43"/>
      <c r="T43" s="238"/>
      <c r="U43" s="59" t="s">
        <v>158</v>
      </c>
      <c r="V43" s="299">
        <v>43650</v>
      </c>
    </row>
    <row r="44" spans="1:24" s="230" customFormat="1" ht="17.399999999999999" x14ac:dyDescent="0.35">
      <c r="G44"/>
      <c r="K44" s="230">
        <f>K43/1.19</f>
        <v>77058.823529411762</v>
      </c>
      <c r="L44" s="250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160</v>
      </c>
      <c r="V44" s="300" t="s">
        <v>159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161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156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148</v>
      </c>
    </row>
    <row r="79" spans="3:15" x14ac:dyDescent="0.3">
      <c r="C79" t="s">
        <v>147</v>
      </c>
    </row>
    <row r="82" spans="3:3" x14ac:dyDescent="0.3">
      <c r="C82" t="s">
        <v>147</v>
      </c>
    </row>
    <row r="159" spans="3:3" x14ac:dyDescent="0.3">
      <c r="C159" t="s">
        <v>147</v>
      </c>
    </row>
    <row r="160" spans="3:3" x14ac:dyDescent="0.3">
      <c r="C160" t="s">
        <v>149</v>
      </c>
    </row>
    <row r="161" spans="3:3" x14ac:dyDescent="0.3">
      <c r="C161" t="s">
        <v>150</v>
      </c>
    </row>
    <row r="586" spans="3:3" x14ac:dyDescent="0.3">
      <c r="C586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45614</v>
      </c>
    </row>
    <row r="6" spans="2:31" ht="16.2" thickBot="1" x14ac:dyDescent="0.35">
      <c r="B6" s="140" t="s">
        <v>2</v>
      </c>
      <c r="C6" s="139" t="str">
        <f>'2229'!C10</f>
        <v>FATIMA WEBER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-28522.749033454107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294528</v>
      </c>
      <c r="E11" s="132">
        <f>D11*0.19</f>
        <v>55960.32</v>
      </c>
      <c r="F11" s="131">
        <f>E11+D11</f>
        <v>350488.32000000001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77467.250966545893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74782.730787439621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59467.250966545893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219745.26921256038</v>
      </c>
      <c r="E13" s="221">
        <f>(D11/D12)-1</f>
        <v>2.9384493839514674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50467.250966545893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11467.250966545893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123391.50579927537</v>
      </c>
      <c r="F15" s="216">
        <f>E15-D12</f>
        <v>48608.775011835751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11467.250966545893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51467.250966545893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14948.640000000001</v>
      </c>
      <c r="E20" s="121">
        <f>D20*0.19</f>
        <v>2840.2416000000003</v>
      </c>
      <c r="F20" s="120">
        <f>SUM(D20:E20)</f>
        <v>17788.881600000001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44948.639999999999</v>
      </c>
      <c r="E21" s="116">
        <f>SUM(E18:E20)</f>
        <v>8540.2416000000012</v>
      </c>
      <c r="F21" s="115">
        <f>SUM(F18:F20)</f>
        <v>53488.881600000001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47420.078399999999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294528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44948.639999999999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219745.26921256038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219745.26921256038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2024-11-18T21:34:18Z</dcterms:modified>
</cp:coreProperties>
</file>