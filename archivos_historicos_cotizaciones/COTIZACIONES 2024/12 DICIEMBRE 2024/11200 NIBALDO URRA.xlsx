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87029EB3-7B6D-41AF-B3C9-68C7B69B4D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/>
  <c r="K33" i="1"/>
  <c r="N21" i="1"/>
  <c r="K34" i="1" l="1"/>
  <c r="K35" i="1" s="1"/>
  <c r="K36" i="1" s="1"/>
  <c r="M21" i="1"/>
  <c r="M25" i="1" s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<sst xmlns="http://schemas.openxmlformats.org/spreadsheetml/2006/main" count="229" uniqueCount="173">
  <si>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</si>
  <si>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</si>
  <si>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</si>
  <si>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</si>
  <si>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</si>
  <si>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</si>
  <si>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</si>
  <si>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</si>
  <si>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</si>
  <si>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</si>
  <si>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</si>
  <si>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</si>
  <si>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</si>
  <si>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</si>
  <si>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</si>
  <si>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</si>
  <si>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</si>
  <si>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</si>
  <si>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</si>
  <si>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</si>
  <si>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</si>
  <si>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</si>
  <si>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</si>
  <si>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</si>
  <si>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</si>
  <si>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</si>
  <si>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</si>
  <si>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</si>
  <si>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</si>
  <si>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</si>
  <si>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</si>
  <si>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</si>
  <si>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</si>
  <si>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</si>
  <si>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</si>
  <si>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</si>
  <si>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</si>
  <si>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</si>
  <si>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</si>
  <si>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</si>
  <si>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</si>
  <si>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</si>
  <si>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</si>
  <si>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</si>
  <si>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</si>
  <si>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</si>
  <si>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</si>
  <si>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</si>
  <si>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</si>
  <si>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</si>
  <si>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</si>
  <si>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</si>
  <si>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</si>
  <si>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</si>
  <si>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</si>
  <si>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</si>
  <si>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</si>
  <si>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</si>
  <si>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</si>
  <si>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</si>
  <si>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</si>
  <si>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</si>
  <si>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</si>
  <si>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</si>
  <si>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</si>
  <si>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</si>
  <si>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</si>
  <si>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</si>
  <si>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</si>
  <si>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</si>
  <si>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</si>
  <si>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</si>
  <si>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</si>
  <si>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</si>
  <si>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</si>
  <si>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</si>
  <si>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</si>
  <si>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</si>
  <si>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</si>
  <si>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</si>
  <si>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</si>
  <si>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</si>
  <si>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</si>
  <si>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</si>
  <si>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</si>
  <si>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</si>
  <si>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</si>
  <si>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</si>
  <si>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</si>
  <si>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</si>
  <si>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</si>
  <si>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</si>
  <si>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</si>
  <si>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</si>
  <si>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</si>
  <si>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</si>
  <si>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</si>
  <si>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</si>
  <si>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</si>
  <si>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</si>
  <si>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</si>
  <si>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</si>
  <si>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</si>
  <si>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</si>
  <si>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</si>
  <si>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</si>
  <si>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</si>
  <si>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</si>
  <si>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</si>
  <si>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</si>
  <si>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</si>
  <si>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</si>
  <si>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</si>
  <si>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</si>
  <si>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</si>
  <si>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</si>
  <si>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</si>
  <si>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</si>
  <si>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</si>
  <si>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</si>
  <si>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</si>
  <si>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</si>
  <si>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</si>
  <si>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</si>
  <si>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</si>
  <si>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</si>
  <si>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</si>
  <si>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</si>
  <si>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</si>
  <si>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</si>
  <si>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</si>
  <si>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</si>
  <si>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</si>
  <si>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</si>
  <si>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</si>
  <si>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</si>
  <si>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</si>
  <si>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</si>
  <si>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</si>
  <si>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</si>
  <si>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</si>
  <si>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</si>
  <si>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</si>
  <si>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</si>
  <si>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</si>
  <si>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</si>
  <si>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</si>
  <si>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</si>
  <si>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</si>
  <si>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</si>
  <si>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</si>
  <si>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</si>
  <si>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</si>
  <si>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</si>
  <si>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</si>
  <si>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</si>
  <si>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</si>
  <si>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</si>
  <si>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</si>
  <si>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</si>
  <si>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</si>
  <si>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</si>
  <si>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</si>
  <si>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</si>
  <si>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</si>
  <si>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</si>
  <si>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</si>
  <si>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2 DIAS HABILES</t>
  </si>
  <si>
    <t>N° 11200</t>
  </si>
  <si>
    <t>NIBALDO URRA ALLENDE</t>
  </si>
  <si>
    <t>+569 89584423</t>
  </si>
  <si>
    <t>CUB C/R FRENTE 90° R8</t>
  </si>
  <si>
    <t>PALERMO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</si>
</sst>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18mm, CLIENTE APORTA LA LAMINA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J28" sqref="J28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45635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37232.20973782771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1">
        <v>1.7</v>
      </c>
      <c r="E21" s="331">
        <v>0.5</v>
      </c>
      <c r="F21" s="330" t="s">
        <v>172</v>
      </c>
      <c r="G21" s="332">
        <v>42764</v>
      </c>
      <c r="H21" s="332">
        <f>G21*B21</f>
        <v>42764</v>
      </c>
      <c r="I21" s="320"/>
      <c r="J21" s="265"/>
      <c r="K21" s="47"/>
      <c r="L21" s="47">
        <f>B21</f>
        <v>1</v>
      </c>
      <c r="M21" s="39">
        <f>D21+M$19</f>
        <v>1.78</v>
      </c>
      <c r="N21" s="39">
        <f>E21+$N$19</f>
        <v>0.6</v>
      </c>
      <c r="O21" s="261">
        <f t="shared" ref="O21" si="1">M21*N21</f>
        <v>1.0680000000000001</v>
      </c>
      <c r="P21" s="259">
        <f t="shared" ref="P21" si="2">O21*L21</f>
        <v>1.0680000000000001</v>
      </c>
      <c r="Q21" s="252">
        <f t="shared" ref="Q21" si="3">Q$20*O21</f>
        <v>39764</v>
      </c>
      <c r="R21" s="319">
        <f t="shared" ref="R21" si="4">Q21+R$20</f>
        <v>42764</v>
      </c>
      <c r="S21" s="297">
        <f>L21*M21*2</f>
        <v>3.56</v>
      </c>
      <c r="T21" s="46">
        <f>N21*2*L21*2</f>
        <v>2.4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42764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8125.16</v>
      </c>
      <c r="I25" s="322"/>
      <c r="J25" s="265"/>
      <c r="K25" s="47"/>
      <c r="L25" s="47"/>
      <c r="M25" s="39">
        <f>SUM(M21:M24)</f>
        <v>1.78</v>
      </c>
      <c r="N25" s="12"/>
      <c r="O25" s="12"/>
      <c r="P25" s="253">
        <f>SUM(P21:P23)</f>
        <v>1.0680000000000001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50889.16</v>
      </c>
      <c r="I26" s="322"/>
      <c r="J26" s="265"/>
      <c r="K26" s="47"/>
      <c r="L26" s="47"/>
      <c r="M26" s="39"/>
      <c r="N26" s="12"/>
      <c r="O26" s="12"/>
      <c r="P26" s="253">
        <f>P25</f>
        <v>1.0680000000000001</v>
      </c>
      <c r="Q26" s="14"/>
      <c r="R26" s="12"/>
      <c r="S26" s="239">
        <f>SUM(S21:S25)</f>
        <v>3.56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0.21360000000000001</v>
      </c>
      <c r="Q27" s="39" t="s">
        <v>130</v>
      </c>
      <c r="R27" s="42"/>
      <c r="S27" s="240">
        <f>S26+T24</f>
        <v>5.96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1.2816000000000001</v>
      </c>
      <c r="Q28" s="14"/>
      <c r="R28" s="14"/>
      <c r="S28" s="238">
        <f>S27*20%</f>
        <v>1.1919999999999999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7.1520000000000001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1.2816000000000001</v>
      </c>
      <c r="N30" s="12">
        <v>3500</v>
      </c>
      <c r="O30" s="12">
        <f t="shared" ref="O30:O35" si="5">M30*N30</f>
        <v>4485.6000000000004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0.35</v>
      </c>
      <c r="N31" s="12">
        <v>25000</v>
      </c>
      <c r="O31" s="12">
        <f t="shared" si="5"/>
        <v>8750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40103</v>
      </c>
      <c r="L33" s="250"/>
      <c r="M33" s="14"/>
      <c r="N33" s="250">
        <v>33700</v>
      </c>
      <c r="O33" s="12">
        <f t="shared" si="5"/>
        <v>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68068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57200</v>
      </c>
      <c r="L35" s="250"/>
      <c r="M35" s="266">
        <v>1.78</v>
      </c>
      <c r="N35" s="12">
        <v>1500</v>
      </c>
      <c r="O35" s="12">
        <f t="shared" si="5"/>
        <v>2670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10868</v>
      </c>
      <c r="L36" s="250"/>
      <c r="M36" s="14"/>
      <c r="N36" s="12"/>
      <c r="O36" s="12">
        <f>SUM(O30:O35)</f>
        <v>15905.6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O36*2.5</f>
        <v>39764</v>
      </c>
      <c r="P37" s="14" t="s">
        <v>140</v>
      </c>
      <c r="Q37" s="14"/>
      <c r="R37" s="40">
        <f>P28/R36</f>
        <v>0.34555651423641071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37232.20973782771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2.5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45635</v>
      </c>
    </row>
    <row r="6" spans="2:31" ht="16.2" thickBot="1" x14ac:dyDescent="0.35">
      <c r="B6" s="140" t="s">
        <v>2</v>
      </c>
      <c r="C6" s="139" t="str">
        <f>'2229'!C10</f>
        <v>NIBALDO URRA ALLENDE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11200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4716.8316332125587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42764</v>
      </c>
      <c r="E11" s="132">
        <f>D11*0.19</f>
        <v>8125.16</v>
      </c>
      <c r="F11" s="131">
        <f>E11+D11</f>
        <v>50889.16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110706.83163321255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43069.690787439613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92706.831633212554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-305.6907874396129</v>
      </c>
      <c r="E13" s="221">
        <f>(D11/D12)-1</f>
        <v>-7.097584910657484E-3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83706.831633212554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44706.831633212561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71064.989799275354</v>
      </c>
      <c r="F15" s="216">
        <f>E15-D12</f>
        <v>27995.299011835741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44706.831633212561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84706.831633212554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8750</v>
      </c>
      <c r="E19" s="123">
        <f>D19*0.19</f>
        <v>1662.5</v>
      </c>
      <c r="F19" s="120">
        <f>SUM(D19:E19)</f>
        <v>10412.5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4485.6000000000004</v>
      </c>
      <c r="E20" s="121">
        <f>D20*0.19</f>
        <v>852.26400000000012</v>
      </c>
      <c r="F20" s="120">
        <f>SUM(D20:E20)</f>
        <v>5337.8640000000005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13235.6</v>
      </c>
      <c r="E21" s="116">
        <f>SUM(E18:E20)</f>
        <v>2514.7640000000001</v>
      </c>
      <c r="F21" s="115">
        <f>SUM(F18:F20)</f>
        <v>15750.364000000001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5610.3959999999997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42764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13235.6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-305.6907874396129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-305.6907874396129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2024-12-09T18:09:54Z</cp:lastPrinted>
  <dcterms:created xsi:type="dcterms:W3CDTF">2013-03-18T13:35:42Z</dcterms:created>
  <dcterms:modified xsi:type="dcterms:W3CDTF">2024-12-09T18:18:14Z</dcterms:modified>
</cp:coreProperties>
</file>