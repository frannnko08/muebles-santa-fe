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4\"/>
    </mc:Choice>
  </mc:AlternateContent>
  <xr:revisionPtr revIDLastSave="0" documentId="13_ncr:1_{E7FCE722-53C5-4EF7-A7B5-D522548103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K31" i="1"/>
  <c r="K33" i="1"/>
  <c r="N21" i="1"/>
  <c r="K34" i="1" l="1"/>
  <c r="K35" i="1" s="1"/>
  <c r="K36" i="1" s="1"/>
  <c r="M21" i="1"/>
  <c r="M25" i="1" s="1"/>
  <c r="T21" i="1" l="1"/>
  <c r="T24" i="1" s="1"/>
  <c r="S21" i="1"/>
  <c r="S26" i="1" s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<sst xmlns="http://schemas.openxmlformats.org/spreadsheetml/2006/main" count="228" uniqueCount="173">
  <si>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</si>
  <si>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</si>
  <si>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</si>
  <si>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</si>
  <si>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</si>
  <si>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</si>
  <si>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</si>
  <si>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</si>
  <si>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</si>
  <si>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</si>
  <si>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</si>
  <si>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</si>
  <si>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</si>
  <si>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</si>
  <si>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</si>
  <si>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</si>
  <si>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</si>
  <si>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</si>
  <si>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</si>
  <si>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</si>
  <si>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</si>
  <si>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</si>
  <si>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</si>
  <si>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</si>
  <si>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</si>
  <si>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</si>
  <si>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</si>
  <si>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</si>
  <si>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</si>
  <si>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</si>
  <si>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</si>
  <si>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</si>
  <si>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</si>
  <si>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</si>
  <si>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</si>
  <si>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</si>
  <si>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</si>
  <si>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</si>
  <si>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</si>
  <si>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</si>
  <si>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</si>
  <si>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</si>
  <si>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</si>
  <si>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</si>
  <si>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</si>
  <si>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</si>
  <si>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</si>
  <si>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</si>
  <si>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</si>
  <si>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</si>
  <si>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</si>
  <si>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</si>
  <si>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</si>
  <si>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</si>
  <si>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</si>
  <si>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</si>
  <si>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</si>
  <si>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</si>
  <si>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</si>
  <si>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</si>
  <si>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</si>
  <si>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</si>
  <si>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</si>
  <si>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</si>
  <si>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</si>
  <si>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</si>
  <si>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</si>
  <si>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</si>
  <si>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</si>
  <si>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</si>
  <si>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</si>
  <si>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</si>
  <si>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</si>
  <si>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</si>
  <si>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</si>
  <si>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</si>
  <si>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</si>
  <si>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</si>
  <si>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</si>
  <si>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</si>
  <si>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</si>
  <si>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</si>
  <si>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</si>
  <si>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</si>
  <si>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</si>
  <si>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</si>
  <si>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</si>
  <si>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</si>
  <si>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</si>
  <si>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</si>
  <si>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</si>
  <si>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</si>
  <si>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</si>
  <si>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</si>
  <si>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</si>
  <si>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</si>
  <si>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</si>
  <si>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</si>
  <si>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</si>
  <si>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</si>
  <si>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</si>
  <si>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</si>
  <si>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</si>
  <si>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</si>
  <si>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</si>
  <si>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</si>
  <si>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</si>
  <si>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</si>
  <si>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</si>
  <si>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</si>
  <si>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</si>
  <si>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</si>
  <si>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</si>
  <si>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</si>
  <si>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</si>
  <si>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</si>
  <si>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</si>
  <si>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</si>
  <si>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</si>
  <si>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</si>
  <si>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</si>
  <si>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</si>
  <si>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</si>
  <si>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</si>
  <si>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</si>
  <si>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</si>
  <si>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</si>
  <si>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</si>
  <si>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</si>
  <si>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</si>
  <si>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</si>
  <si>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</si>
  <si>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</si>
  <si>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</si>
  <si>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</si>
  <si>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</si>
  <si>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</si>
  <si>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</si>
  <si>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</si>
  <si>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</si>
  <si>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</si>
  <si>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</si>
  <si>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</si>
  <si>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</si>
  <si>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</si>
  <si>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</si>
  <si>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</si>
  <si>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</si>
  <si>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</si>
  <si>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</si>
  <si>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</si>
  <si>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</si>
  <si>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</si>
  <si>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</si>
  <si>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</si>
  <si>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</si>
  <si>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</si>
  <si>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</si>
  <si>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</si>
  <si>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</si>
  <si>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</si>
  <si>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</si>
  <si>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</si>
  <si>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</si>
  <si>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</si>
  <si>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</si>
  <si>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</si>
  <si>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2 DIAS HABILES</t>
  </si>
  <si>
    <t>CUB C/R FRENTE 90° R8</t>
  </si>
  <si>
    <t>N° 11201</t>
  </si>
  <si>
    <t>LUIS HUERQUE</t>
  </si>
  <si>
    <t>+569 8248 8304</t>
  </si>
  <si>
    <t>NEGRO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</si>
</sst>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18mm, EL SOBRANTE DE LA LAMINA SE ENTREGA AL CLIENTE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2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169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45635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171</v>
      </c>
      <c r="D15" s="310"/>
      <c r="F15" t="s">
        <v>134</v>
      </c>
      <c r="G15" s="308"/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165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>
        <v>0.1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90282.301510200472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168</v>
      </c>
      <c r="D21" s="331">
        <v>1.61</v>
      </c>
      <c r="E21" s="331">
        <v>0.56999999999999995</v>
      </c>
      <c r="F21" s="330" t="s">
        <v>172</v>
      </c>
      <c r="G21" s="332">
        <v>102227</v>
      </c>
      <c r="H21" s="332">
        <f>G21*B21</f>
        <v>102227</v>
      </c>
      <c r="I21" s="320"/>
      <c r="J21" s="265"/>
      <c r="K21" s="47"/>
      <c r="L21" s="47">
        <f>B21</f>
        <v>1</v>
      </c>
      <c r="M21" s="39">
        <f>D21+M$19</f>
        <v>1.6900000000000002</v>
      </c>
      <c r="N21" s="39">
        <f>E21+$N$19</f>
        <v>0.66999999999999993</v>
      </c>
      <c r="O21" s="261">
        <f t="shared" ref="O21" si="1">M21*N21</f>
        <v>1.1323000000000001</v>
      </c>
      <c r="P21" s="259">
        <f t="shared" ref="P21" si="2">O21*L21</f>
        <v>1.1323000000000001</v>
      </c>
      <c r="Q21" s="252">
        <f t="shared" ref="Q21" si="3">Q$20*O21</f>
        <v>102226.65000000001</v>
      </c>
      <c r="R21" s="319">
        <f t="shared" ref="R21" si="4">Q21+R$20</f>
        <v>105226.65000000001</v>
      </c>
      <c r="S21" s="297">
        <f>L21*M21*2</f>
        <v>3.3800000000000003</v>
      </c>
      <c r="T21" s="46">
        <f>N21*2*L21*2</f>
        <v>2.6799999999999997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102227</v>
      </c>
      <c r="I24" s="322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7"/>
      <c r="T24" s="46">
        <f>SUM(T21:T23)</f>
        <v>2.6799999999999997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19423.13</v>
      </c>
      <c r="I25" s="322"/>
      <c r="J25" s="265"/>
      <c r="K25" s="47"/>
      <c r="L25" s="47"/>
      <c r="M25" s="39">
        <f>SUM(M21:M24)</f>
        <v>1.6900000000000002</v>
      </c>
      <c r="N25" s="12"/>
      <c r="O25" s="12"/>
      <c r="P25" s="253">
        <f>SUM(P21:P23)</f>
        <v>1.1323000000000001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121650.13</v>
      </c>
      <c r="I26" s="322"/>
      <c r="J26" s="265"/>
      <c r="K26" s="47"/>
      <c r="L26" s="47"/>
      <c r="M26" s="39"/>
      <c r="N26" s="12"/>
      <c r="O26" s="12"/>
      <c r="P26" s="253">
        <f>P25</f>
        <v>1.1323000000000001</v>
      </c>
      <c r="Q26" s="14"/>
      <c r="R26" s="12"/>
      <c r="S26" s="239">
        <f>SUM(S21:S25)</f>
        <v>3.3800000000000003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0.22646000000000002</v>
      </c>
      <c r="Q27" s="39" t="s">
        <v>130</v>
      </c>
      <c r="R27" s="42"/>
      <c r="S27" s="240">
        <f>S26+T24</f>
        <v>6.0600000000000005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1.3587600000000002</v>
      </c>
      <c r="Q28" s="14"/>
      <c r="R28" s="14"/>
      <c r="S28" s="238">
        <f>S27*20%</f>
        <v>1.2120000000000002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7.2720000000000002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1.3587600000000002</v>
      </c>
      <c r="N30" s="12">
        <v>3500</v>
      </c>
      <c r="O30" s="12">
        <f t="shared" ref="O30:O35" si="5">M30*N30</f>
        <v>4755.6600000000008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>
        <f>23500*1.19</f>
        <v>27965</v>
      </c>
      <c r="L31" s="47"/>
      <c r="M31" s="249">
        <v>0.4</v>
      </c>
      <c r="N31" s="12">
        <v>25000</v>
      </c>
      <c r="O31" s="12">
        <f t="shared" si="5"/>
        <v>10000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61840</v>
      </c>
      <c r="O32" s="12">
        <f t="shared" si="5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>
        <f>N33*1.19</f>
        <v>28084</v>
      </c>
      <c r="L33" s="250"/>
      <c r="M33" s="14">
        <v>1</v>
      </c>
      <c r="N33" s="250">
        <v>23600</v>
      </c>
      <c r="O33" s="12">
        <f t="shared" si="5"/>
        <v>23600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>
        <f>SUM(K31:K33)</f>
        <v>56049</v>
      </c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>
        <f>K34/1.19</f>
        <v>47100</v>
      </c>
      <c r="L35" s="250"/>
      <c r="M35" s="266">
        <v>1.69</v>
      </c>
      <c r="N35" s="12">
        <v>1500</v>
      </c>
      <c r="O35" s="12">
        <f t="shared" si="5"/>
        <v>2535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>
        <f>K34-K35</f>
        <v>8949</v>
      </c>
      <c r="L36" s="250"/>
      <c r="M36" s="14"/>
      <c r="N36" s="12"/>
      <c r="O36" s="12">
        <f>SUM(O30:O35)</f>
        <v>40890.660000000003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O36*2.5</f>
        <v>102226.65000000001</v>
      </c>
      <c r="P37" s="14" t="s">
        <v>140</v>
      </c>
      <c r="Q37" s="14"/>
      <c r="R37" s="40">
        <f>P28/R36</f>
        <v>0.36636108714408977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90282.301510200472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2.5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45635</v>
      </c>
    </row>
    <row r="6" spans="2:31" ht="16.2" thickBot="1" x14ac:dyDescent="0.35">
      <c r="B6" s="140" t="s">
        <v>2</v>
      </c>
      <c r="C6" s="139" t="str">
        <f>'2229'!C10</f>
        <v>LUIS HUERQUE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11201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-4775.6518667874407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102227</v>
      </c>
      <c r="E11" s="132">
        <f>D11*0.19</f>
        <v>19423.13</v>
      </c>
      <c r="F11" s="131">
        <f>E11+D11</f>
        <v>121650.13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101214.34813321257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44589.750787439611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83214.348133212567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57637.249212560389</v>
      </c>
      <c r="E13" s="221">
        <f>(D11/D12)-1</f>
        <v>1.2926120508571244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74214.348133212567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35214.348133212559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73573.088799275356</v>
      </c>
      <c r="F15" s="216">
        <f>E15-D12</f>
        <v>28983.338011835745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35214.348133212559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75214.348133212567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10000</v>
      </c>
      <c r="E19" s="123">
        <f>D19*0.19</f>
        <v>1900</v>
      </c>
      <c r="F19" s="120">
        <f>SUM(D19:E19)</f>
        <v>11900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4755.6600000000008</v>
      </c>
      <c r="E20" s="121">
        <f>D20*0.19</f>
        <v>903.57540000000017</v>
      </c>
      <c r="F20" s="120">
        <f>SUM(D20:E20)</f>
        <v>5659.2354000000014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14755.66</v>
      </c>
      <c r="E21" s="116">
        <f>SUM(E18:E20)</f>
        <v>2803.5754000000002</v>
      </c>
      <c r="F21" s="115">
        <f>SUM(F18:F20)</f>
        <v>17559.235400000001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16619.554599999999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102227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14755.66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57637.249212560389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57637.249212560389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2024-12-09T18:16:32Z</dcterms:modified>
</cp:coreProperties>
</file>