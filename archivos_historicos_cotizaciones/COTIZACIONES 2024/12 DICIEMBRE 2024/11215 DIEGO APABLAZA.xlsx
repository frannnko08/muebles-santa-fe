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543C781A-01BB-414D-A21A-ABB9E2824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H23" i="1"/>
  <c r="L21" i="1"/>
  <c r="N21" i="1"/>
  <c r="M21" i="1" l="1"/>
  <c r="M27" i="1" l="1"/>
  <c r="S21" i="1"/>
  <c r="S27" i="1" s="1"/>
  <c r="T21" i="1"/>
  <c r="T26" i="1" s="1"/>
  <c r="O21" i="1"/>
  <c r="P21" i="1" s="1"/>
  <c r="P27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Q22" i="1" s="1"/>
  <c r="R22" i="1" s="1"/>
  <c r="G22" i="1" s="1"/>
  <c r="H22" i="1" s="1"/>
  <c r="D21" i="3"/>
  <c r="M43" i="3" s="1"/>
  <c r="D12" i="3" s="1"/>
  <c r="F20" i="3"/>
  <c r="F21" i="3" s="1"/>
  <c r="O41" i="1" l="1"/>
  <c r="E15" i="3"/>
  <c r="Q21" i="1" l="1"/>
  <c r="F15" i="3"/>
  <c r="R21" i="1" l="1"/>
  <c r="G21" i="1" s="1"/>
  <c r="H21" i="1" l="1"/>
  <c r="H26" i="1" l="1"/>
  <c r="H27" i="1" s="1"/>
  <c r="D11" i="3" l="1"/>
  <c r="X9" i="3" s="1"/>
  <c r="X15" i="3" s="1"/>
  <c r="H28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<sst xmlns="http://schemas.openxmlformats.org/spreadsheetml/2006/main" count="232" uniqueCount="174">
  <si>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</si>
  <si>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</si>
  <si>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</si>
  <si>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</si>
  <si>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</si>
  <si>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</si>
  <si>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</si>
  <si>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</si>
  <si>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</si>
  <si>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</si>
  <si>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</si>
  <si>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</si>
  <si>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</si>
  <si>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</si>
  <si>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</si>
  <si>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</si>
  <si>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</si>
  <si>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</si>
  <si>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</si>
  <si>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</si>
  <si>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</si>
  <si>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</si>
  <si>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</si>
  <si>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</si>
  <si>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</si>
  <si>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</si>
  <si>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</si>
  <si>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</si>
  <si>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</si>
  <si>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</si>
  <si>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</si>
  <si>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</si>
  <si>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</si>
  <si>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</si>
  <si>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</si>
  <si>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</si>
  <si>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</si>
  <si>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</si>
  <si>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</si>
  <si>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</si>
  <si>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</si>
  <si>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</si>
  <si>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</si>
  <si>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</si>
  <si>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</si>
  <si>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</si>
  <si>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</si>
  <si>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</si>
  <si>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</si>
  <si>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</si>
  <si>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</si>
  <si>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</si>
  <si>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</si>
  <si>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</si>
  <si>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</si>
  <si>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</si>
  <si>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</si>
  <si>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</si>
  <si>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</si>
  <si>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</si>
  <si>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</si>
  <si>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</si>
  <si>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</si>
  <si>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</si>
  <si>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</si>
  <si>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</si>
  <si>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</si>
  <si>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</si>
  <si>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</si>
  <si>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</si>
  <si>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</si>
  <si>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</si>
  <si>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</si>
  <si>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</si>
  <si>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</si>
  <si>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</si>
  <si>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</si>
  <si>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</si>
  <si>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</si>
  <si>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</si>
  <si>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</si>
  <si>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</si>
  <si>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</si>
  <si>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</si>
  <si>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</si>
  <si>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</si>
  <si>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</si>
  <si>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</si>
  <si>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</si>
  <si>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</si>
  <si>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</si>
  <si>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</si>
  <si>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</si>
  <si>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</si>
  <si>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</si>
  <si>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</si>
  <si>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</si>
  <si>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</si>
  <si>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</si>
  <si>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</si>
  <si>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</si>
  <si>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</si>
  <si>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</si>
  <si>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</si>
  <si>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</si>
  <si>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</si>
  <si>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</si>
  <si>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</si>
  <si>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</si>
  <si>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</si>
  <si>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</si>
  <si>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</si>
  <si>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</si>
  <si>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</si>
  <si>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</si>
  <si>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</si>
  <si>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</si>
  <si>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</si>
  <si>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</si>
  <si>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</si>
  <si>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</si>
  <si>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</si>
  <si>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</si>
  <si>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</si>
  <si>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</si>
  <si>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</si>
  <si>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</si>
  <si>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</si>
  <si>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</si>
  <si>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</si>
  <si>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</si>
  <si>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</si>
  <si>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</si>
  <si>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</si>
  <si>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</si>
  <si>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</si>
  <si>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</si>
  <si>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</si>
  <si>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</si>
  <si>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</si>
  <si>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</si>
  <si>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</si>
  <si>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</si>
  <si>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</si>
  <si>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</si>
  <si>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</si>
  <si>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</si>
  <si>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</si>
  <si>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</si>
  <si>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</si>
  <si>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</si>
  <si>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</si>
  <si>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</si>
  <si>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</si>
  <si>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</si>
  <si>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</si>
  <si>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</si>
  <si>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</si>
  <si>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</si>
  <si>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</si>
  <si>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</si>
  <si>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</si>
  <si>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</si>
  <si>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</si>
  <si>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</si>
  <si>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</si>
  <si>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</si>
  <si>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</si>
  <si>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N° 11215</t>
  </si>
  <si>
    <t>DIEGO APABLAZA</t>
  </si>
  <si>
    <t>+569 5104 8364</t>
  </si>
  <si>
    <t>CUB C/R FRENTE 90° R8</t>
  </si>
  <si>
    <t>WHITE MARBLE BRILLO</t>
  </si>
  <si>
    <t>SERVICIO 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</si>
</sst>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CON SOBRE MEDIDA EN EL LARGO.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C23" sqref="C2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45643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56290.33707865169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1">
        <v>2.4</v>
      </c>
      <c r="E21" s="331">
        <v>0.5</v>
      </c>
      <c r="F21" s="330" t="s">
        <v>172</v>
      </c>
      <c r="G21" s="332">
        <f>R21</f>
        <v>72800.017977528099</v>
      </c>
      <c r="H21" s="332">
        <f>G21*B21</f>
        <v>72800.017977528099</v>
      </c>
      <c r="I21" s="320"/>
      <c r="J21" s="265"/>
      <c r="K21" s="47"/>
      <c r="L21" s="47">
        <f>B21</f>
        <v>1</v>
      </c>
      <c r="M21" s="39">
        <f>D21+M$19</f>
        <v>2.48</v>
      </c>
      <c r="N21" s="39">
        <f>E21+$N$19</f>
        <v>0.5</v>
      </c>
      <c r="O21" s="261">
        <f t="shared" ref="O21" si="1">M21*N21</f>
        <v>1.24</v>
      </c>
      <c r="P21" s="259">
        <f t="shared" ref="P21" si="2">O21*L21</f>
        <v>1.24</v>
      </c>
      <c r="Q21" s="252">
        <f t="shared" ref="Q21" si="3">Q$20*O21</f>
        <v>69800.017977528099</v>
      </c>
      <c r="R21" s="319">
        <f t="shared" ref="R21" si="4">Q21+R$20</f>
        <v>72800.017977528099</v>
      </c>
      <c r="S21" s="297">
        <f>M21*L21</f>
        <v>2.48</v>
      </c>
      <c r="T21" s="46">
        <f>N21*2*L21*2</f>
        <v>2</v>
      </c>
      <c r="U21" s="9"/>
      <c r="X21" s="4"/>
    </row>
    <row r="22" spans="2:25" ht="17.399999999999999" x14ac:dyDescent="0.3">
      <c r="B22" s="330">
        <v>1</v>
      </c>
      <c r="C22" s="330" t="s">
        <v>171</v>
      </c>
      <c r="D22" s="331">
        <v>1</v>
      </c>
      <c r="E22" s="331">
        <v>0.5</v>
      </c>
      <c r="F22" s="330" t="s">
        <v>172</v>
      </c>
      <c r="G22" s="332">
        <f>R22</f>
        <v>33396.782022471918</v>
      </c>
      <c r="H22" s="332">
        <f>G22*B22</f>
        <v>33396.782022471918</v>
      </c>
      <c r="I22" s="320"/>
      <c r="J22" s="265"/>
      <c r="K22" s="47"/>
      <c r="L22" s="47">
        <f>B22</f>
        <v>1</v>
      </c>
      <c r="M22" s="39">
        <f>D22+M$19</f>
        <v>1.08</v>
      </c>
      <c r="N22" s="39">
        <f>E22+$N$19</f>
        <v>0.5</v>
      </c>
      <c r="O22" s="261">
        <f t="shared" ref="O22" si="5">M22*N22</f>
        <v>0.54</v>
      </c>
      <c r="P22" s="259">
        <f t="shared" ref="P22" si="6">O22*L22</f>
        <v>0.54</v>
      </c>
      <c r="Q22" s="252">
        <f t="shared" ref="Q22" si="7">Q$20*O22</f>
        <v>30396.782022471914</v>
      </c>
      <c r="R22" s="319">
        <f t="shared" ref="R22" si="8">Q22+R$20</f>
        <v>33396.782022471918</v>
      </c>
      <c r="S22" s="297">
        <f>M22*L22</f>
        <v>1.08</v>
      </c>
      <c r="T22" s="46"/>
      <c r="U22" s="9"/>
      <c r="X22" s="4"/>
    </row>
    <row r="23" spans="2:25" ht="17.399999999999999" x14ac:dyDescent="0.3">
      <c r="B23" s="330">
        <v>2</v>
      </c>
      <c r="C23" s="330" t="s">
        <v>173</v>
      </c>
      <c r="D23" s="331"/>
      <c r="E23" s="331"/>
      <c r="F23" s="330"/>
      <c r="G23" s="332">
        <v>10000</v>
      </c>
      <c r="H23" s="332">
        <f>G23*B23</f>
        <v>20000</v>
      </c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126196.80000000002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23977.392000000003</v>
      </c>
      <c r="I27" s="322"/>
      <c r="J27" s="265"/>
      <c r="K27" s="47"/>
      <c r="L27" s="47"/>
      <c r="M27" s="39">
        <f>SUM(M21:M26)</f>
        <v>3.56</v>
      </c>
      <c r="N27" s="12"/>
      <c r="O27" s="12"/>
      <c r="P27" s="253">
        <f>SUM(P21:P25)</f>
        <v>1.78</v>
      </c>
      <c r="Q27" s="14"/>
      <c r="R27" s="12"/>
      <c r="S27" s="239">
        <f>SUM(S21:S26)</f>
        <v>3.56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150174.19200000001</v>
      </c>
      <c r="I28" s="322"/>
      <c r="J28" s="265"/>
      <c r="K28" s="47"/>
      <c r="L28" s="47"/>
      <c r="M28" s="39"/>
      <c r="N28" s="12"/>
      <c r="O28" s="12"/>
      <c r="P28" s="253">
        <f>P27</f>
        <v>1.78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0.35600000000000004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2.1360000000000001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2.1360000000000001</v>
      </c>
      <c r="N32" s="12">
        <v>1500</v>
      </c>
      <c r="O32" s="12">
        <f t="shared" ref="O32:O37" si="9">M32*N32</f>
        <v>3204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0.6</v>
      </c>
      <c r="N33" s="12">
        <v>25000</v>
      </c>
      <c r="O33" s="12">
        <f t="shared" si="9"/>
        <v>15000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61840</v>
      </c>
      <c r="O34" s="12">
        <f t="shared" si="9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1</v>
      </c>
      <c r="N35" s="250">
        <v>22000</v>
      </c>
      <c r="O35" s="12">
        <f t="shared" si="9"/>
        <v>22000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9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3.56</v>
      </c>
      <c r="N37" s="12">
        <v>1500</v>
      </c>
      <c r="O37" s="12">
        <f t="shared" si="9"/>
        <v>5340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45544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100196.8</v>
      </c>
      <c r="P39" s="14" t="s">
        <v>140</v>
      </c>
      <c r="Q39" s="14"/>
      <c r="R39" s="40">
        <f>P30/R38</f>
        <v>0.57592752372735123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60910</v>
      </c>
      <c r="L40" s="250"/>
      <c r="M40" s="14"/>
      <c r="N40" s="12"/>
      <c r="O40" s="12">
        <f>O39/P28</f>
        <v>56290.33707865169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51184.873949579836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45643</v>
      </c>
    </row>
    <row r="6" spans="2:31" ht="16.2" thickBot="1" x14ac:dyDescent="0.35">
      <c r="B6" s="140" t="s">
        <v>2</v>
      </c>
      <c r="C6" s="139" t="str">
        <f>'2229'!C10</f>
        <v>DIEGO APABLAZA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11215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-7822.3250334541108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126196.80000000002</v>
      </c>
      <c r="E11" s="132">
        <f>D11*0.19</f>
        <v>23977.392000000003</v>
      </c>
      <c r="F11" s="131">
        <f>E11+D11</f>
        <v>150174.19200000001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98167.674966545892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48038.090787439614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80167.674966545892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78158.70921256041</v>
      </c>
      <c r="E13" s="221">
        <f>(D11/D12)-1</f>
        <v>1.6270153107957475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71167.674966545892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32167.674966545888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79262.849799275355</v>
      </c>
      <c r="F15" s="216">
        <f>E15-D12</f>
        <v>31224.75901183574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32167.674966545888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72167.674966545892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3204</v>
      </c>
      <c r="E20" s="121">
        <f>D20*0.19</f>
        <v>608.76</v>
      </c>
      <c r="F20" s="120">
        <f>SUM(D20:E20)</f>
        <v>3812.76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18204</v>
      </c>
      <c r="E21" s="116">
        <f>SUM(E18:E20)</f>
        <v>3458.76</v>
      </c>
      <c r="F21" s="115">
        <f>SUM(F18:F20)</f>
        <v>21662.760000000002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20518.632000000005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126196.80000000002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18204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78158.70921256041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78158.70921256041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2024-12-17T20:22:52Z</dcterms:modified>
</cp:coreProperties>
</file>