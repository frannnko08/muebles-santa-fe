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4\"/>
    </mc:Choice>
  </mc:AlternateContent>
  <xr:revisionPtr revIDLastSave="0" documentId="13_ncr:1_{D5CE5A12-BDF0-48BA-8D76-9921669F7D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9" i="1" l="1"/>
  <c r="L22" i="1"/>
  <c r="M22" i="1"/>
  <c r="N22" i="1"/>
  <c r="O22" i="1"/>
  <c r="P22" i="1" s="1"/>
  <c r="S22" i="1"/>
  <c r="L23" i="1"/>
  <c r="M23" i="1"/>
  <c r="N23" i="1"/>
  <c r="O23" i="1"/>
  <c r="P23" i="1" s="1"/>
  <c r="S23" i="1"/>
  <c r="L24" i="1"/>
  <c r="M24" i="1"/>
  <c r="N24" i="1"/>
  <c r="O24" i="1"/>
  <c r="P24" i="1" s="1"/>
  <c r="S24" i="1"/>
  <c r="L25" i="1"/>
  <c r="M25" i="1"/>
  <c r="N25" i="1"/>
  <c r="O25" i="1"/>
  <c r="P25" i="1" s="1"/>
  <c r="S25" i="1"/>
  <c r="H22" i="1"/>
  <c r="H23" i="1"/>
  <c r="H24" i="1"/>
  <c r="H25" i="1"/>
  <c r="L21" i="1"/>
  <c r="N21" i="1"/>
  <c r="M21" i="1" l="1"/>
  <c r="M29" i="1" l="1"/>
  <c r="S21" i="1"/>
  <c r="S29" i="1" s="1"/>
  <c r="T21" i="1"/>
  <c r="T28" i="1" s="1"/>
  <c r="O21" i="1"/>
  <c r="P21" i="1" s="1"/>
  <c r="K43" i="1"/>
  <c r="V36" i="1" l="1"/>
  <c r="V37" i="1" s="1"/>
  <c r="O35" i="1" l="1"/>
  <c r="P30" i="1" l="1"/>
  <c r="N20" i="1"/>
  <c r="L20" i="1"/>
  <c r="P31" i="1" l="1"/>
  <c r="P32" i="1" s="1"/>
  <c r="M34" i="1" s="1"/>
  <c r="O36" i="1"/>
  <c r="R40" i="1"/>
  <c r="R41" i="1" l="1"/>
  <c r="O37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9" i="1"/>
  <c r="O38" i="1"/>
  <c r="F18" i="3" l="1"/>
  <c r="O34" i="1" l="1"/>
  <c r="O40" i="1" s="1"/>
  <c r="O41" i="1" s="1"/>
  <c r="D20" i="3" l="1"/>
  <c r="E20" i="3" s="1"/>
  <c r="E21" i="3" s="1"/>
  <c r="O42" i="1" l="1"/>
  <c r="Q20" i="1" s="1"/>
  <c r="D21" i="3"/>
  <c r="M43" i="3" s="1"/>
  <c r="D12" i="3" s="1"/>
  <c r="F20" i="3"/>
  <c r="F21" i="3" s="1"/>
  <c r="Q22" i="1" l="1"/>
  <c r="R22" i="1" s="1"/>
  <c r="Q23" i="1"/>
  <c r="R23" i="1" s="1"/>
  <c r="Q24" i="1"/>
  <c r="R24" i="1" s="1"/>
  <c r="Q25" i="1"/>
  <c r="R25" i="1" s="1"/>
  <c r="O43" i="1"/>
  <c r="E15" i="3"/>
  <c r="Q21" i="1" l="1"/>
  <c r="F15" i="3"/>
  <c r="R21" i="1" l="1"/>
  <c r="H21" i="1" l="1"/>
  <c r="H28" i="1" l="1"/>
  <c r="H29" i="1" s="1"/>
  <c r="D11" i="3" l="1"/>
  <c r="X9" i="3" s="1"/>
  <c r="X15" i="3" s="1"/>
  <c r="H30" i="1"/>
  <c r="X16" i="3" l="1"/>
  <c r="M42" i="3"/>
  <c r="M46" i="3" s="1"/>
  <c r="M49" i="3" s="1"/>
  <c r="E13" i="3"/>
  <c r="D13" i="3"/>
  <c r="E11" i="3"/>
  <c r="D40" i="3" s="1"/>
  <c r="X12" i="3"/>
  <c r="X13" i="3"/>
  <c r="X14" i="3"/>
  <c r="X11" i="3"/>
  <c r="F11" i="3" l="1"/>
</calcChain>
</file>

<file path=xl/sharedStrings.xml><?xml version="1.0" encoding="utf-8"?>
<sst xmlns="http://schemas.openxmlformats.org/spreadsheetml/2006/main" count="237" uniqueCount="174">
  <si>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</si>
  <si>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</si>
  <si>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</si>
  <si>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</si>
  <si>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</si>
  <si>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</si>
  <si>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</si>
  <si>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</si>
  <si>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</si>
  <si>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</si>
  <si>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</si>
  <si>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</si>
  <si>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</si>
  <si>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</si>
  <si>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</si>
  <si>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</si>
  <si>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</si>
  <si>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</si>
  <si>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</si>
  <si>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</si>
  <si>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</si>
  <si>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</si>
  <si>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</si>
  <si>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</si>
  <si>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</si>
  <si>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</si>
  <si>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</si>
  <si>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</si>
  <si>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</si>
  <si>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</si>
  <si>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</si>
  <si>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</si>
  <si>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</si>
  <si>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</si>
  <si>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</si>
  <si>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</si>
  <si>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</si>
  <si>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</si>
  <si>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</si>
  <si>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</si>
  <si>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</si>
  <si>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</si>
  <si>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</si>
  <si>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</si>
  <si>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</si>
  <si>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</si>
  <si>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</si>
  <si>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</si>
  <si>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</si>
  <si>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</si>
  <si>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</si>
  <si>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</si>
  <si>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</si>
  <si>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</si>
  <si>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</si>
  <si>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</si>
  <si>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</si>
  <si>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</si>
  <si>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</si>
  <si>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</si>
  <si>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</si>
  <si>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</si>
  <si>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</si>
  <si>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</si>
  <si>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</si>
  <si>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</si>
  <si>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</si>
  <si>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</si>
  <si>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</si>
  <si>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</si>
  <si>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</si>
  <si>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</si>
  <si>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</si>
  <si>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</si>
  <si>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</si>
  <si>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</si>
  <si>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</si>
  <si>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</si>
  <si>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</si>
  <si>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</si>
  <si>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</si>
  <si>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</si>
  <si>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</si>
  <si>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</si>
  <si>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</si>
  <si>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</si>
  <si>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</si>
  <si>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</si>
  <si>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</si>
  <si>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</si>
  <si>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</si>
  <si>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</si>
  <si>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</si>
  <si>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</si>
  <si>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</si>
  <si>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</si>
  <si>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</si>
  <si>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</si>
  <si>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</si>
  <si>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</si>
  <si>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</si>
  <si>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</si>
  <si>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</si>
  <si>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</si>
  <si>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</si>
  <si>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</si>
  <si>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</si>
  <si>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</si>
  <si>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</si>
  <si>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</si>
  <si>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</si>
  <si>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</si>
  <si>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</si>
  <si>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</si>
  <si>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</si>
  <si>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</si>
  <si>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</si>
  <si>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</si>
  <si>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</si>
  <si>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</si>
  <si>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</si>
  <si>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</si>
  <si>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</si>
  <si>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</si>
  <si>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</si>
  <si>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</si>
  <si>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</si>
  <si>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</si>
  <si>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</si>
  <si>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</si>
  <si>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</si>
  <si>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</si>
  <si>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</si>
  <si>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</si>
  <si>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</si>
  <si>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</si>
  <si>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</si>
  <si>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</si>
  <si>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</si>
  <si>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</si>
  <si>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</si>
  <si>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</si>
  <si>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</si>
  <si>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</si>
  <si>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</si>
  <si>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</si>
  <si>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</si>
  <si>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</si>
  <si>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</si>
  <si>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</si>
  <si>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</si>
  <si>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</si>
  <si>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</si>
  <si>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</si>
  <si>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</si>
  <si>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</si>
  <si>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</si>
  <si>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</si>
  <si>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</si>
  <si>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</si>
  <si>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</si>
  <si>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</si>
  <si>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</si>
  <si>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</si>
  <si>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</si>
  <si>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</si>
  <si>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</si>
  <si>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30/12/024</t>
  </si>
  <si>
    <t>JACOB</t>
  </si>
  <si>
    <t>569 8176 6817</t>
  </si>
  <si>
    <t>CUB C/R R12</t>
  </si>
  <si>
    <t>BLACK MOSAIC</t>
  </si>
  <si>
    <t>7 DIAS HABILES</t>
  </si>
  <si>
    <t>N° 11225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</si>
</sst>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u/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1" fillId="8" borderId="46" xfId="0" applyFont="1" applyFill="1" applyBorder="1"/>
    <xf numFmtId="0" fontId="11" fillId="17" borderId="0" xfId="0" applyFont="1" applyFill="1"/>
    <xf numFmtId="0" fontId="11" fillId="8" borderId="0" xfId="0" applyFont="1" applyFill="1"/>
    <xf numFmtId="0" fontId="9" fillId="0" borderId="0" xfId="3"/>
    <xf numFmtId="0" fontId="36" fillId="0" borderId="0" xfId="3" quotePrefix="1" applyFont="1" applyFill="1" applyBorder="1" applyAlignment="1">
      <alignment horizontal="left"/>
    </xf>
    <xf numFmtId="0" fontId="11" fillId="17" borderId="0" xfId="0" applyFont="1" applyFill="1" applyAlignment="1">
      <alignment horizontal="left"/>
    </xf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27</xdr:row>
      <xdr:rowOff>9525</xdr:rowOff>
    </xdr:from>
    <xdr:to>
      <xdr:col>5</xdr:col>
      <xdr:colOff>1728839</xdr:colOff>
      <xdr:row>30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5"/>
  <sheetViews>
    <sheetView tabSelected="1" topLeftCell="A6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1.33203125" customWidth="1"/>
    <col min="4" max="4" width="11.109375" customWidth="1"/>
    <col min="5" max="5" width="10.5546875" customWidth="1"/>
    <col min="6" max="6" width="28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5" t="s">
        <v>173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ht="15.6" x14ac:dyDescent="0.3">
      <c r="B10" s="304" t="s">
        <v>162</v>
      </c>
      <c r="C10" s="278" t="s">
        <v>168</v>
      </c>
      <c r="D10" s="328"/>
      <c r="E10" s="243"/>
      <c r="F10" s="244" t="s">
        <v>0</v>
      </c>
      <c r="G10" s="276" t="s">
        <v>167</v>
      </c>
      <c r="H10" s="245"/>
      <c r="K10" s="1"/>
      <c r="R10" s="2"/>
      <c r="S10" s="3"/>
      <c r="T10" s="3"/>
      <c r="U10" s="4"/>
      <c r="V10" s="2"/>
      <c r="W10" s="3"/>
    </row>
    <row r="11" spans="2:24" ht="15.6" x14ac:dyDescent="0.3">
      <c r="B11" s="287" t="s">
        <v>12</v>
      </c>
      <c r="C11" s="138"/>
      <c r="D11" s="329"/>
      <c r="F11" t="s">
        <v>123</v>
      </c>
      <c r="G11" s="288" t="s">
        <v>172</v>
      </c>
      <c r="H11" s="289"/>
      <c r="Q11" s="19"/>
      <c r="R11" s="25" t="s">
        <v>18</v>
      </c>
      <c r="S11" s="19"/>
    </row>
    <row r="12" spans="2:24" ht="16.2" thickBot="1" x14ac:dyDescent="0.35">
      <c r="B12" s="246" t="s">
        <v>145</v>
      </c>
      <c r="C12" s="331"/>
      <c r="D12" s="330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ht="15.6" x14ac:dyDescent="0.3">
      <c r="B13" s="287" t="s">
        <v>146</v>
      </c>
      <c r="C13" s="278"/>
      <c r="D13" s="330"/>
      <c r="G13" s="306"/>
      <c r="H13" s="289"/>
      <c r="Q13" s="19"/>
      <c r="R13" s="25"/>
      <c r="S13" s="19"/>
    </row>
    <row r="14" spans="2:24" ht="15.6" x14ac:dyDescent="0.3">
      <c r="B14" s="246" t="s">
        <v>139</v>
      </c>
      <c r="D14" s="333"/>
      <c r="E14" s="247"/>
      <c r="F14" s="312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2" t="s">
        <v>169</v>
      </c>
      <c r="D15" s="308"/>
      <c r="F15" t="s">
        <v>134</v>
      </c>
      <c r="G15" s="307" t="s">
        <v>135</v>
      </c>
      <c r="H15" s="289"/>
    </row>
    <row r="16" spans="2:24" ht="16.8" x14ac:dyDescent="0.4">
      <c r="B16" s="313" t="s">
        <v>3</v>
      </c>
      <c r="C16" s="305"/>
      <c r="D16" s="247"/>
      <c r="E16" s="247"/>
      <c r="F16" s="314" t="s">
        <v>129</v>
      </c>
      <c r="G16" s="315" t="s">
        <v>163</v>
      </c>
      <c r="H16" s="248"/>
    </row>
    <row r="17" spans="2:25" ht="15" thickBot="1" x14ac:dyDescent="0.35">
      <c r="B17" s="309" t="s">
        <v>13</v>
      </c>
      <c r="C17" s="310" t="s">
        <v>166</v>
      </c>
      <c r="D17" s="311"/>
      <c r="E17" s="119"/>
      <c r="F17" s="335" t="s">
        <v>165</v>
      </c>
      <c r="G17" s="335"/>
      <c r="H17" s="336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7" t="s">
        <v>95</v>
      </c>
      <c r="C19" s="338"/>
      <c r="D19" s="338"/>
      <c r="E19" s="338"/>
      <c r="F19" s="338"/>
      <c r="G19" s="338"/>
      <c r="H19" s="339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>
        <v>1</v>
      </c>
      <c r="C20" s="323" t="s">
        <v>1</v>
      </c>
      <c r="D20" s="323" t="s">
        <v>10</v>
      </c>
      <c r="E20" s="323" t="s">
        <v>11</v>
      </c>
      <c r="F20" s="323" t="s">
        <v>8</v>
      </c>
      <c r="G20" s="323" t="s">
        <v>5</v>
      </c>
      <c r="H20" s="324" t="s">
        <v>6</v>
      </c>
      <c r="I20" s="265"/>
      <c r="J20" s="265"/>
      <c r="K20" s="47"/>
      <c r="L20" s="268">
        <f>B20</f>
        <v>1</v>
      </c>
      <c r="M20" s="267" t="s">
        <v>131</v>
      </c>
      <c r="N20" s="39" t="str">
        <f>E20</f>
        <v>ANCHO</v>
      </c>
      <c r="O20" s="261" t="s">
        <v>132</v>
      </c>
      <c r="P20" s="259" t="s">
        <v>16</v>
      </c>
      <c r="Q20" s="252">
        <f>O42</f>
        <v>94850.853312709471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26">
        <v>1</v>
      </c>
      <c r="C21" s="326" t="s">
        <v>170</v>
      </c>
      <c r="D21" s="334">
        <v>3</v>
      </c>
      <c r="E21" s="334">
        <v>0.6</v>
      </c>
      <c r="F21" s="326" t="s">
        <v>171</v>
      </c>
      <c r="G21" s="327">
        <v>175284</v>
      </c>
      <c r="H21" s="327">
        <f>G21*B21</f>
        <v>175284</v>
      </c>
      <c r="I21" s="317"/>
      <c r="J21" s="265"/>
      <c r="K21" s="47"/>
      <c r="L21" s="47">
        <f>B21</f>
        <v>1</v>
      </c>
      <c r="M21" s="39">
        <f>D21+M$19</f>
        <v>3.08</v>
      </c>
      <c r="N21" s="39">
        <f>E21+$N$19</f>
        <v>0.6</v>
      </c>
      <c r="O21" s="261">
        <f t="shared" ref="O21" si="0">M21*N21</f>
        <v>1.8479999999999999</v>
      </c>
      <c r="P21" s="259">
        <f t="shared" ref="P21" si="1">O21*L21</f>
        <v>1.8479999999999999</v>
      </c>
      <c r="Q21" s="252">
        <f t="shared" ref="Q21" si="2">Q$20*O21</f>
        <v>175284.3769218871</v>
      </c>
      <c r="R21" s="316">
        <f t="shared" ref="R21" si="3">Q21+R$20</f>
        <v>178284.3769218871</v>
      </c>
      <c r="S21" s="297">
        <f>M21*L21</f>
        <v>3.08</v>
      </c>
      <c r="T21" s="46">
        <f>N21*2*L21*2</f>
        <v>2.4</v>
      </c>
      <c r="U21" s="9"/>
      <c r="X21" s="4"/>
    </row>
    <row r="22" spans="2:25" ht="17.399999999999999" x14ac:dyDescent="0.3">
      <c r="B22" s="326">
        <v>1</v>
      </c>
      <c r="C22" s="326" t="s">
        <v>170</v>
      </c>
      <c r="D22" s="334">
        <v>0.6</v>
      </c>
      <c r="E22" s="334">
        <v>0.6</v>
      </c>
      <c r="F22" s="326" t="s">
        <v>171</v>
      </c>
      <c r="G22" s="327">
        <v>38699</v>
      </c>
      <c r="H22" s="327">
        <f t="shared" ref="H22:H25" si="4">G22*B22</f>
        <v>38699</v>
      </c>
      <c r="I22" s="317"/>
      <c r="J22" s="265"/>
      <c r="K22" s="47"/>
      <c r="L22" s="47">
        <f t="shared" ref="L22:L25" si="5">B22</f>
        <v>1</v>
      </c>
      <c r="M22" s="39">
        <f t="shared" ref="M22:M25" si="6">D22+M$19</f>
        <v>0.67999999999999994</v>
      </c>
      <c r="N22" s="39">
        <f t="shared" ref="N22:N25" si="7">E22+$N$19</f>
        <v>0.6</v>
      </c>
      <c r="O22" s="261">
        <f t="shared" ref="O22:O25" si="8">M22*N22</f>
        <v>0.40799999999999997</v>
      </c>
      <c r="P22" s="259">
        <f t="shared" ref="P22:P25" si="9">O22*L22</f>
        <v>0.40799999999999997</v>
      </c>
      <c r="Q22" s="252">
        <f t="shared" ref="Q22:Q25" si="10">Q$20*O22</f>
        <v>38699.148151585461</v>
      </c>
      <c r="R22" s="316">
        <f t="shared" ref="R22:R25" si="11">Q22+R$20</f>
        <v>41699.148151585461</v>
      </c>
      <c r="S22" s="297">
        <f t="shared" ref="S22:S25" si="12">M22*L22</f>
        <v>0.67999999999999994</v>
      </c>
      <c r="T22" s="46"/>
      <c r="U22" s="9"/>
      <c r="X22" s="4"/>
    </row>
    <row r="23" spans="2:25" ht="17.399999999999999" x14ac:dyDescent="0.3">
      <c r="B23" s="326">
        <v>1</v>
      </c>
      <c r="C23" s="326" t="s">
        <v>170</v>
      </c>
      <c r="D23" s="334">
        <v>3</v>
      </c>
      <c r="E23" s="334">
        <v>0.6</v>
      </c>
      <c r="F23" s="326" t="s">
        <v>171</v>
      </c>
      <c r="G23" s="327">
        <v>175284</v>
      </c>
      <c r="H23" s="327">
        <f t="shared" si="4"/>
        <v>175284</v>
      </c>
      <c r="I23" s="317"/>
      <c r="J23" s="265"/>
      <c r="K23" s="47"/>
      <c r="L23" s="47">
        <f t="shared" si="5"/>
        <v>1</v>
      </c>
      <c r="M23" s="39">
        <f t="shared" si="6"/>
        <v>3.08</v>
      </c>
      <c r="N23" s="39">
        <f t="shared" si="7"/>
        <v>0.6</v>
      </c>
      <c r="O23" s="261">
        <f t="shared" si="8"/>
        <v>1.8479999999999999</v>
      </c>
      <c r="P23" s="259">
        <f t="shared" si="9"/>
        <v>1.8479999999999999</v>
      </c>
      <c r="Q23" s="252">
        <f t="shared" si="10"/>
        <v>175284.3769218871</v>
      </c>
      <c r="R23" s="316">
        <f t="shared" si="11"/>
        <v>178284.3769218871</v>
      </c>
      <c r="S23" s="297">
        <f t="shared" si="12"/>
        <v>3.08</v>
      </c>
      <c r="T23" s="46"/>
      <c r="U23" s="9"/>
      <c r="X23" s="4"/>
    </row>
    <row r="24" spans="2:25" ht="17.399999999999999" x14ac:dyDescent="0.3">
      <c r="B24" s="326">
        <v>1</v>
      </c>
      <c r="C24" s="326" t="s">
        <v>170</v>
      </c>
      <c r="D24" s="334">
        <v>0.75</v>
      </c>
      <c r="E24" s="334">
        <v>0.6</v>
      </c>
      <c r="F24" s="326" t="s">
        <v>171</v>
      </c>
      <c r="G24" s="327">
        <v>47236</v>
      </c>
      <c r="H24" s="327">
        <f t="shared" si="4"/>
        <v>47236</v>
      </c>
      <c r="I24" s="317"/>
      <c r="J24" s="265"/>
      <c r="K24" s="47"/>
      <c r="L24" s="47">
        <f t="shared" si="5"/>
        <v>1</v>
      </c>
      <c r="M24" s="39">
        <f t="shared" si="6"/>
        <v>0.83</v>
      </c>
      <c r="N24" s="39">
        <f t="shared" si="7"/>
        <v>0.6</v>
      </c>
      <c r="O24" s="261">
        <f t="shared" si="8"/>
        <v>0.49799999999999994</v>
      </c>
      <c r="P24" s="259">
        <f t="shared" si="9"/>
        <v>0.49799999999999994</v>
      </c>
      <c r="Q24" s="252">
        <f t="shared" si="10"/>
        <v>47235.724949729309</v>
      </c>
      <c r="R24" s="316">
        <f t="shared" si="11"/>
        <v>50235.724949729309</v>
      </c>
      <c r="S24" s="297">
        <f t="shared" si="12"/>
        <v>0.83</v>
      </c>
      <c r="T24" s="46"/>
      <c r="U24" s="9"/>
      <c r="X24" s="4"/>
    </row>
    <row r="25" spans="2:25" ht="17.399999999999999" x14ac:dyDescent="0.3">
      <c r="B25" s="326">
        <v>2</v>
      </c>
      <c r="C25" s="326" t="s">
        <v>170</v>
      </c>
      <c r="D25" s="334">
        <v>2.5499999999999998</v>
      </c>
      <c r="E25" s="334">
        <v>0.6</v>
      </c>
      <c r="F25" s="326" t="s">
        <v>171</v>
      </c>
      <c r="G25" s="327">
        <v>149675</v>
      </c>
      <c r="H25" s="327">
        <f t="shared" si="4"/>
        <v>299350</v>
      </c>
      <c r="I25" s="317"/>
      <c r="J25" s="265"/>
      <c r="K25" s="47"/>
      <c r="L25" s="47">
        <f t="shared" si="5"/>
        <v>2</v>
      </c>
      <c r="M25" s="39">
        <f t="shared" si="6"/>
        <v>2.63</v>
      </c>
      <c r="N25" s="39">
        <f t="shared" si="7"/>
        <v>0.6</v>
      </c>
      <c r="O25" s="261">
        <f t="shared" si="8"/>
        <v>1.5779999999999998</v>
      </c>
      <c r="P25" s="259">
        <f t="shared" si="9"/>
        <v>3.1559999999999997</v>
      </c>
      <c r="Q25" s="252">
        <f t="shared" si="10"/>
        <v>149674.64652745554</v>
      </c>
      <c r="R25" s="316">
        <f t="shared" si="11"/>
        <v>152674.64652745554</v>
      </c>
      <c r="S25" s="297">
        <f t="shared" si="12"/>
        <v>5.26</v>
      </c>
      <c r="T25" s="46"/>
      <c r="U25" s="9"/>
      <c r="X25" s="4"/>
    </row>
    <row r="26" spans="2:25" ht="17.399999999999999" x14ac:dyDescent="0.3">
      <c r="B26" s="285"/>
      <c r="C26" s="285"/>
      <c r="D26" s="286"/>
      <c r="E26" s="286"/>
      <c r="F26" s="285"/>
      <c r="G26" s="317"/>
      <c r="H26" s="317"/>
      <c r="I26" s="317"/>
      <c r="J26" s="265"/>
      <c r="K26" s="47"/>
      <c r="L26" s="47"/>
      <c r="M26" s="39"/>
      <c r="N26" s="39"/>
      <c r="O26" s="261"/>
      <c r="P26" s="259"/>
      <c r="Q26" s="252"/>
      <c r="R26" s="316"/>
      <c r="S26" s="297"/>
      <c r="T26" s="46"/>
      <c r="U26" s="9"/>
      <c r="X26" s="4"/>
    </row>
    <row r="27" spans="2:25" ht="18" thickBot="1" x14ac:dyDescent="0.35">
      <c r="B27" s="285"/>
      <c r="C27" s="285"/>
      <c r="D27" s="286"/>
      <c r="E27" s="286"/>
      <c r="F27" s="285"/>
      <c r="G27" s="265"/>
      <c r="H27" s="318"/>
      <c r="I27" s="320"/>
      <c r="J27" s="233"/>
      <c r="K27" s="47"/>
      <c r="L27" s="47"/>
      <c r="M27" s="39"/>
      <c r="N27" s="39"/>
      <c r="O27" s="261"/>
      <c r="P27" s="259"/>
      <c r="Q27" s="252"/>
      <c r="R27" s="258"/>
      <c r="S27" s="297"/>
      <c r="T27" s="14"/>
      <c r="U27" s="9"/>
      <c r="X27" s="4"/>
    </row>
    <row r="28" spans="2:25" ht="17.399999999999999" x14ac:dyDescent="0.3">
      <c r="B28" s="285"/>
      <c r="C28" s="285"/>
      <c r="D28" s="286"/>
      <c r="E28" s="286"/>
      <c r="F28" s="285"/>
      <c r="G28" s="321" t="s">
        <v>28</v>
      </c>
      <c r="H28" s="322">
        <f>SUM(H21:H27)</f>
        <v>735853</v>
      </c>
      <c r="I28" s="319"/>
      <c r="J28" s="265"/>
      <c r="K28" s="47">
        <v>2600000</v>
      </c>
      <c r="L28" s="47"/>
      <c r="M28" s="39"/>
      <c r="N28" s="39"/>
      <c r="O28" s="261"/>
      <c r="P28" s="259"/>
      <c r="Q28" s="252"/>
      <c r="R28" s="258"/>
      <c r="S28" s="297"/>
      <c r="T28" s="46">
        <f>SUM(T21:T27)</f>
        <v>2.4</v>
      </c>
      <c r="U28" s="9"/>
      <c r="X28" s="4"/>
    </row>
    <row r="29" spans="2:25" ht="17.399999999999999" x14ac:dyDescent="0.3">
      <c r="B29" s="279"/>
      <c r="C29" s="282"/>
      <c r="D29" s="283"/>
      <c r="E29" s="283"/>
      <c r="F29" s="284"/>
      <c r="G29" s="296" t="s">
        <v>51</v>
      </c>
      <c r="H29" s="294">
        <f>H28*19%</f>
        <v>139812.07</v>
      </c>
      <c r="I29" s="319"/>
      <c r="J29" s="265"/>
      <c r="K29" s="47"/>
      <c r="L29" s="47"/>
      <c r="M29" s="39">
        <f>SUM(M21:M28)</f>
        <v>10.3</v>
      </c>
      <c r="N29" s="12"/>
      <c r="O29" s="12"/>
      <c r="P29" s="253">
        <f>SUM(P21:P27)</f>
        <v>7.7579999999999991</v>
      </c>
      <c r="Q29" s="14"/>
      <c r="R29" s="12"/>
      <c r="S29" s="239">
        <f>SUM(S21:S28)</f>
        <v>12.93</v>
      </c>
      <c r="T29" s="46"/>
      <c r="U29" s="9"/>
      <c r="X29" s="4"/>
    </row>
    <row r="30" spans="2:25" ht="18" thickBot="1" x14ac:dyDescent="0.35">
      <c r="B30" s="275"/>
      <c r="C30" s="281"/>
      <c r="D30" s="272"/>
      <c r="E30" s="272"/>
      <c r="F30" s="273"/>
      <c r="G30" s="280" t="s">
        <v>6</v>
      </c>
      <c r="H30" s="295">
        <f>H28+H29</f>
        <v>875665.07000000007</v>
      </c>
      <c r="I30" s="319"/>
      <c r="J30" s="265"/>
      <c r="K30" s="47"/>
      <c r="L30" s="47"/>
      <c r="M30" s="39"/>
      <c r="N30" s="12"/>
      <c r="O30" s="12"/>
      <c r="P30" s="253">
        <f>P29</f>
        <v>7.7579999999999991</v>
      </c>
      <c r="Q30" s="14"/>
      <c r="R30" s="12"/>
      <c r="S30" s="239"/>
      <c r="T30" s="46"/>
      <c r="U30" s="9"/>
      <c r="X30" s="4"/>
    </row>
    <row r="31" spans="2:25" ht="17.399999999999999" x14ac:dyDescent="0.3">
      <c r="B31" s="275"/>
      <c r="C31" s="271"/>
      <c r="D31" s="272"/>
      <c r="E31" s="272"/>
      <c r="F31" s="273"/>
      <c r="J31" s="265"/>
      <c r="K31" s="47"/>
      <c r="L31" s="47"/>
      <c r="M31" s="14"/>
      <c r="N31" s="12"/>
      <c r="O31" s="12"/>
      <c r="P31" s="39">
        <f>P30*20%</f>
        <v>1.5515999999999999</v>
      </c>
      <c r="Q31" s="39" t="s">
        <v>130</v>
      </c>
      <c r="R31" s="42"/>
      <c r="S31" s="240"/>
      <c r="T31" s="14"/>
      <c r="U31" s="9"/>
      <c r="X31" s="4"/>
    </row>
    <row r="32" spans="2:25" ht="17.399999999999999" x14ac:dyDescent="0.35">
      <c r="B32" s="269"/>
      <c r="C32" s="230"/>
      <c r="D32" s="230"/>
      <c r="E32" s="233"/>
      <c r="F32" s="234"/>
      <c r="G32" s="230"/>
      <c r="H32" s="274"/>
      <c r="I32" s="274"/>
      <c r="J32" s="265"/>
      <c r="K32" s="47"/>
      <c r="L32" s="47"/>
      <c r="M32" s="14"/>
      <c r="N32" s="12"/>
      <c r="O32" s="12"/>
      <c r="P32" s="46">
        <f>P30+P31</f>
        <v>9.3095999999999997</v>
      </c>
      <c r="Q32" s="14"/>
      <c r="R32" s="14"/>
      <c r="S32" s="238"/>
      <c r="T32" s="14"/>
      <c r="U32" s="9"/>
      <c r="X32" s="4"/>
    </row>
    <row r="33" spans="1:24" ht="17.399999999999999" x14ac:dyDescent="0.35">
      <c r="B33" s="235"/>
      <c r="C33" s="236"/>
      <c r="D33" s="237"/>
      <c r="E33" s="235"/>
      <c r="F33" s="230"/>
      <c r="G33" s="230"/>
      <c r="I33" s="274"/>
      <c r="J33" s="265"/>
      <c r="K33" s="47"/>
      <c r="L33" s="47"/>
      <c r="M33" s="14"/>
      <c r="N33" s="14"/>
      <c r="O33" s="14"/>
      <c r="P33" s="14"/>
      <c r="Q33" s="14"/>
      <c r="R33" s="14"/>
      <c r="S33" s="240"/>
      <c r="T33" s="14"/>
      <c r="U33" s="301" t="s">
        <v>21</v>
      </c>
      <c r="V33" s="298" t="s">
        <v>152</v>
      </c>
      <c r="W33" s="302">
        <v>44971</v>
      </c>
      <c r="X33" s="303"/>
    </row>
    <row r="34" spans="1:24" ht="17.399999999999999" x14ac:dyDescent="0.35">
      <c r="B34" s="230"/>
      <c r="C34" s="230"/>
      <c r="D34" s="230"/>
      <c r="E34" s="230"/>
      <c r="F34" s="230"/>
      <c r="G34" s="230"/>
      <c r="J34" s="265"/>
      <c r="K34" s="47"/>
      <c r="L34" s="47"/>
      <c r="M34" s="39">
        <f>P32</f>
        <v>9.3095999999999997</v>
      </c>
      <c r="N34" s="12">
        <v>3500</v>
      </c>
      <c r="O34" s="12">
        <f t="shared" ref="O34:O39" si="13">M34*N34</f>
        <v>32583.599999999999</v>
      </c>
      <c r="P34" s="14" t="s">
        <v>21</v>
      </c>
      <c r="Q34" s="14"/>
      <c r="R34" s="14"/>
      <c r="S34" s="241"/>
      <c r="T34" s="14"/>
      <c r="U34" s="301" t="s">
        <v>153</v>
      </c>
      <c r="V34" s="298">
        <v>3625</v>
      </c>
      <c r="W34" s="59" t="s">
        <v>154</v>
      </c>
      <c r="X34" s="303"/>
    </row>
    <row r="35" spans="1:24" ht="17.399999999999999" x14ac:dyDescent="0.35">
      <c r="A35" s="230"/>
      <c r="B35" s="230"/>
      <c r="C35" s="230"/>
      <c r="D35" s="230"/>
      <c r="E35" s="230"/>
      <c r="F35" s="230"/>
      <c r="G35" s="230"/>
      <c r="H35" s="230"/>
      <c r="J35" s="265"/>
      <c r="K35" s="47"/>
      <c r="L35" s="47"/>
      <c r="M35" s="249">
        <v>2.5</v>
      </c>
      <c r="N35" s="12">
        <v>25000</v>
      </c>
      <c r="O35" s="12">
        <f t="shared" si="13"/>
        <v>62500</v>
      </c>
      <c r="P35" s="39" t="s">
        <v>31</v>
      </c>
      <c r="Q35" s="42"/>
      <c r="R35" s="14"/>
      <c r="S35" s="240"/>
      <c r="T35" s="14"/>
      <c r="U35" s="301"/>
      <c r="V35" s="59">
        <v>906.25</v>
      </c>
      <c r="W35" s="59" t="s">
        <v>155</v>
      </c>
      <c r="X35" s="303"/>
    </row>
    <row r="36" spans="1:24" s="230" customFormat="1" ht="17.399999999999999" x14ac:dyDescent="0.35">
      <c r="B36" s="24" t="s">
        <v>151</v>
      </c>
      <c r="J36" s="262"/>
      <c r="K36" s="232"/>
      <c r="L36" s="250"/>
      <c r="M36" s="14"/>
      <c r="N36" s="250">
        <v>78200</v>
      </c>
      <c r="O36" s="12">
        <f t="shared" si="13"/>
        <v>0</v>
      </c>
      <c r="P36" s="39" t="s">
        <v>30</v>
      </c>
      <c r="Q36" s="42"/>
      <c r="S36" s="240"/>
      <c r="T36" s="256"/>
      <c r="U36" s="59"/>
      <c r="V36" s="59">
        <f>V35*20%</f>
        <v>181.25</v>
      </c>
      <c r="W36" s="303" t="s">
        <v>156</v>
      </c>
      <c r="X36" s="59"/>
    </row>
    <row r="37" spans="1:24" s="230" customFormat="1" ht="17.399999999999999" x14ac:dyDescent="0.35">
      <c r="B37" s="24" t="s">
        <v>144</v>
      </c>
      <c r="C37"/>
      <c r="D37"/>
      <c r="E37"/>
      <c r="F37"/>
      <c r="J37" s="262"/>
      <c r="K37" s="232"/>
      <c r="L37" s="250"/>
      <c r="M37" s="14">
        <v>5</v>
      </c>
      <c r="N37" s="250">
        <v>44000</v>
      </c>
      <c r="O37" s="12">
        <f t="shared" si="13"/>
        <v>220000</v>
      </c>
      <c r="P37" s="14" t="s">
        <v>141</v>
      </c>
      <c r="Q37" s="17"/>
      <c r="S37" s="238"/>
      <c r="T37" s="256"/>
      <c r="U37" s="59"/>
      <c r="V37" s="59">
        <f>V35+V36</f>
        <v>1087.5</v>
      </c>
      <c r="W37" s="303" t="s">
        <v>157</v>
      </c>
      <c r="X37" s="59"/>
    </row>
    <row r="38" spans="1:24" s="230" customFormat="1" ht="17.399999999999999" x14ac:dyDescent="0.35">
      <c r="B38" s="29" t="s">
        <v>125</v>
      </c>
      <c r="C38"/>
      <c r="D38"/>
      <c r="E38"/>
      <c r="F38" s="229" t="s">
        <v>15</v>
      </c>
      <c r="J38" s="262"/>
      <c r="K38" s="260"/>
      <c r="L38" s="250"/>
      <c r="M38" s="249"/>
      <c r="N38" s="250">
        <v>900</v>
      </c>
      <c r="O38" s="12">
        <f t="shared" si="13"/>
        <v>0</v>
      </c>
      <c r="P38" s="14" t="s">
        <v>32</v>
      </c>
      <c r="Q38" s="14"/>
      <c r="R38" s="230">
        <v>1.52</v>
      </c>
      <c r="S38" s="238"/>
      <c r="T38" s="238"/>
    </row>
    <row r="39" spans="1:24" s="230" customFormat="1" ht="17.399999999999999" x14ac:dyDescent="0.35">
      <c r="J39" s="293"/>
      <c r="K39" s="260"/>
      <c r="L39" s="250"/>
      <c r="M39" s="266">
        <v>12.93</v>
      </c>
      <c r="N39" s="12">
        <v>1500</v>
      </c>
      <c r="O39" s="12">
        <f t="shared" si="13"/>
        <v>19395</v>
      </c>
      <c r="P39" s="14" t="s">
        <v>22</v>
      </c>
      <c r="Q39" s="14"/>
      <c r="R39">
        <v>2.44</v>
      </c>
      <c r="S39"/>
      <c r="T39" s="238"/>
      <c r="X39" s="231"/>
    </row>
    <row r="40" spans="1:24" s="230" customFormat="1" ht="17.399999999999999" x14ac:dyDescent="0.35">
      <c r="K40" s="260"/>
      <c r="L40" s="250"/>
      <c r="M40" s="14"/>
      <c r="N40" s="12"/>
      <c r="O40" s="12">
        <f>SUM(O34:O39)</f>
        <v>334478.59999999998</v>
      </c>
      <c r="P40" s="39" t="s">
        <v>23</v>
      </c>
      <c r="Q40" s="14"/>
      <c r="R40">
        <f>R38*R39</f>
        <v>3.7088000000000001</v>
      </c>
      <c r="S40"/>
      <c r="T40" s="238"/>
      <c r="X40" s="231"/>
    </row>
    <row r="41" spans="1:24" s="230" customFormat="1" ht="17.399999999999999" x14ac:dyDescent="0.35">
      <c r="L41" s="250"/>
      <c r="M41" s="254" t="s">
        <v>33</v>
      </c>
      <c r="N41" s="12"/>
      <c r="O41" s="255">
        <f>O40*2.2</f>
        <v>735852.92</v>
      </c>
      <c r="P41" s="14" t="s">
        <v>140</v>
      </c>
      <c r="Q41" s="14"/>
      <c r="R41" s="40">
        <f>P32/R40</f>
        <v>2.5101380500431403</v>
      </c>
      <c r="S41"/>
      <c r="T41" s="257"/>
    </row>
    <row r="42" spans="1:24" s="230" customFormat="1" ht="17.399999999999999" x14ac:dyDescent="0.35">
      <c r="G42"/>
      <c r="H42" s="260"/>
      <c r="I42" s="260"/>
      <c r="J42" s="260"/>
      <c r="K42" s="230">
        <v>93020</v>
      </c>
      <c r="L42" s="250"/>
      <c r="M42" s="14"/>
      <c r="N42" s="12"/>
      <c r="O42" s="12">
        <f>O41/P30</f>
        <v>94850.853312709471</v>
      </c>
      <c r="P42" s="45" t="s">
        <v>24</v>
      </c>
      <c r="Q42" s="14"/>
      <c r="R42" s="14"/>
      <c r="S42"/>
      <c r="T42" s="238"/>
      <c r="U42" s="59" t="s">
        <v>158</v>
      </c>
      <c r="V42" s="298">
        <v>43650</v>
      </c>
    </row>
    <row r="43" spans="1:24" s="230" customFormat="1" ht="17.399999999999999" x14ac:dyDescent="0.35">
      <c r="G43"/>
      <c r="K43" s="230">
        <f>K42/1.19</f>
        <v>78168.067226890766</v>
      </c>
      <c r="L43" s="250"/>
      <c r="M43" s="13"/>
      <c r="N43" s="14"/>
      <c r="O43" s="17">
        <f>O41/O40</f>
        <v>2.2000000000000002</v>
      </c>
      <c r="P43" s="15"/>
      <c r="Q43"/>
      <c r="R43"/>
      <c r="S43"/>
      <c r="T43" s="238"/>
      <c r="U43" s="59" t="s">
        <v>160</v>
      </c>
      <c r="V43" s="299" t="s">
        <v>159</v>
      </c>
      <c r="W43" s="59">
        <v>2.4</v>
      </c>
    </row>
    <row r="44" spans="1:24" s="230" customFormat="1" ht="17.399999999999999" x14ac:dyDescent="0.35">
      <c r="G44" s="23"/>
      <c r="L44" s="12"/>
      <c r="T44" s="238"/>
      <c r="U44" s="59" t="s">
        <v>161</v>
      </c>
      <c r="V44" s="300">
        <v>395.37</v>
      </c>
    </row>
    <row r="45" spans="1:24" s="230" customFormat="1" ht="17.399999999999999" x14ac:dyDescent="0.35">
      <c r="B45"/>
      <c r="C45" s="228"/>
      <c r="D45" s="22"/>
      <c r="E45" s="22"/>
      <c r="F45" s="21"/>
      <c r="G45" s="23"/>
      <c r="L45" s="12"/>
      <c r="T45" s="238"/>
      <c r="U45" s="59" t="s">
        <v>156</v>
      </c>
      <c r="V45" s="59">
        <v>474.45</v>
      </c>
    </row>
    <row r="46" spans="1:24" ht="14.4" customHeight="1" x14ac:dyDescent="0.3">
      <c r="L46" s="12"/>
      <c r="U46" s="59"/>
      <c r="V46" s="59"/>
    </row>
    <row r="47" spans="1:24" x14ac:dyDescent="0.3">
      <c r="L47" s="250"/>
    </row>
    <row r="48" spans="1:24" x14ac:dyDescent="0.3">
      <c r="L48" s="250"/>
      <c r="T48" s="270"/>
    </row>
    <row r="49" spans="12:20" x14ac:dyDescent="0.3">
      <c r="L49" s="250"/>
    </row>
    <row r="50" spans="12:20" ht="15" customHeight="1" x14ac:dyDescent="0.3"/>
    <row r="52" spans="12:20" x14ac:dyDescent="0.3">
      <c r="O52">
        <v>40935</v>
      </c>
      <c r="P52" t="s">
        <v>16</v>
      </c>
      <c r="Q52" t="s">
        <v>26</v>
      </c>
    </row>
    <row r="54" spans="12:20" x14ac:dyDescent="0.3">
      <c r="O54" s="54"/>
      <c r="P54" s="54"/>
    </row>
    <row r="55" spans="12:20" x14ac:dyDescent="0.3">
      <c r="S55" s="18"/>
      <c r="T55" s="18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6" spans="3:15" x14ac:dyDescent="0.3">
      <c r="O66" s="43"/>
    </row>
    <row r="67" spans="3:15" x14ac:dyDescent="0.3">
      <c r="O67" s="43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148</v>
      </c>
    </row>
    <row r="78" spans="3:15" x14ac:dyDescent="0.3">
      <c r="C78" t="s">
        <v>147</v>
      </c>
    </row>
    <row r="81" spans="3:3" x14ac:dyDescent="0.3">
      <c r="C81" t="s">
        <v>147</v>
      </c>
    </row>
    <row r="158" spans="3:3" x14ac:dyDescent="0.3">
      <c r="C158" t="s">
        <v>147</v>
      </c>
    </row>
    <row r="159" spans="3:3" x14ac:dyDescent="0.3">
      <c r="C159" t="s">
        <v>149</v>
      </c>
    </row>
    <row r="160" spans="3:3" x14ac:dyDescent="0.3">
      <c r="C160" t="s">
        <v>150</v>
      </c>
    </row>
    <row r="585" spans="3:3" x14ac:dyDescent="0.3">
      <c r="C585" t="s">
        <v>147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 t="str">
        <f>'2229'!G10</f>
        <v>30/12/024</v>
      </c>
    </row>
    <row r="6" spans="2:31" ht="16.2" thickBot="1" x14ac:dyDescent="0.35">
      <c r="B6" s="140" t="s">
        <v>2</v>
      </c>
      <c r="C6" s="139" t="str">
        <f>'2229'!C10</f>
        <v>JACOB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1" t="s">
        <v>98</v>
      </c>
      <c r="I7" s="342"/>
      <c r="J7" s="342"/>
      <c r="K7" s="343"/>
      <c r="N7" s="75"/>
      <c r="O7" s="340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11225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0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-88289.801700120777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'2229'!H28</f>
        <v>735853</v>
      </c>
      <c r="E11" s="132">
        <f>D11*0.19</f>
        <v>139812.07</v>
      </c>
      <c r="F11" s="131">
        <f>E11+D11</f>
        <v>875665.07000000007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17700.198299879223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124917.69078743961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-299.80170012077724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610935.30921256042</v>
      </c>
      <c r="E13" s="221">
        <f>(D11/D12)-1</f>
        <v>4.8907028729191779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-9299.8017001207772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-48299.801700120777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206114.18979927534</v>
      </c>
      <c r="F15" s="216">
        <f>E15-D12</f>
        <v>81196.499011835724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-48299.801700120777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-8299.8017001207772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'2229'!O35</f>
        <v>62500</v>
      </c>
      <c r="E19" s="123">
        <f>D19*0.19</f>
        <v>11875</v>
      </c>
      <c r="F19" s="120">
        <f>SUM(D19:E19)</f>
        <v>74375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'2229'!O34</f>
        <v>32583.599999999999</v>
      </c>
      <c r="E20" s="121">
        <f>D20*0.19</f>
        <v>6190.884</v>
      </c>
      <c r="F20" s="120">
        <f>SUM(D20:E20)</f>
        <v>38774.483999999997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95083.6</v>
      </c>
      <c r="E21" s="116">
        <f>SUM(E18:E20)</f>
        <v>18065.883999999998</v>
      </c>
      <c r="F21" s="115">
        <f>SUM(F18:F20)</f>
        <v>113149.484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121746.18600000002</v>
      </c>
    </row>
    <row r="41" spans="2:16" ht="15" thickBot="1" x14ac:dyDescent="0.35">
      <c r="H41" s="344" t="s">
        <v>60</v>
      </c>
      <c r="I41" s="345"/>
      <c r="J41" s="345"/>
      <c r="K41" s="345"/>
      <c r="L41" s="345"/>
      <c r="M41" s="346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735853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95083.6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610935.30921256042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610935.30921256042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2024-11-15T12:18:00Z</cp:lastPrinted>
  <dcterms:created xsi:type="dcterms:W3CDTF">2013-03-18T13:35:42Z</dcterms:created>
  <dcterms:modified xsi:type="dcterms:W3CDTF">2024-12-30T20:11:07Z</dcterms:modified>
</cp:coreProperties>
</file>