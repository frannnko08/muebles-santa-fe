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5EC84FF2-BB7A-4AE8-980F-C42AF3271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 l="1"/>
  <c r="H22" i="1"/>
  <c r="N21" i="1"/>
  <c r="M21" i="1" l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D11" i="3" l="1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<sst xmlns="http://schemas.openxmlformats.org/spreadsheetml/2006/main" count="232" uniqueCount="176">
  <si>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</si>
  <si>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</si>
  <si>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</si>
  <si>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</si>
  <si>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</si>
  <si>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</si>
  <si>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</si>
  <si>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</si>
  <si>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</si>
  <si>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</si>
  <si>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</si>
  <si>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</si>
  <si>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</si>
  <si>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</si>
  <si>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</si>
  <si>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</si>
  <si>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</si>
  <si>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</si>
  <si>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</si>
  <si>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</si>
  <si>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</si>
  <si>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</si>
  <si>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</si>
  <si>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</si>
  <si>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</si>
  <si>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</si>
  <si>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</si>
  <si>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</si>
  <si>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</si>
  <si>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</si>
  <si>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</si>
  <si>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</si>
  <si>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</si>
  <si>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</si>
  <si>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</si>
  <si>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</si>
  <si>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</si>
  <si>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</si>
  <si>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</si>
  <si>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</si>
  <si>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</si>
  <si>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</si>
  <si>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</si>
  <si>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</si>
  <si>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</si>
  <si>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</si>
  <si>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</si>
  <si>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</si>
  <si>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</si>
  <si>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</si>
  <si>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</si>
  <si>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</si>
  <si>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</si>
  <si>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</si>
  <si>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</si>
  <si>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</si>
  <si>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</si>
  <si>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</si>
  <si>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</si>
  <si>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</si>
  <si>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</si>
  <si>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</si>
  <si>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</si>
  <si>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</si>
  <si>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</si>
  <si>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</si>
  <si>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</si>
  <si>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</si>
  <si>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</si>
  <si>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</si>
  <si>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</si>
  <si>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</si>
  <si>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</si>
  <si>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</si>
  <si>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</si>
  <si>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</si>
  <si>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</si>
  <si>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</si>
  <si>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</si>
  <si>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</si>
  <si>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</si>
  <si>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</si>
  <si>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</si>
  <si>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</si>
  <si>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</si>
  <si>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</si>
  <si>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</si>
  <si>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</si>
  <si>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</si>
  <si>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</si>
  <si>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</si>
  <si>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</si>
  <si>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</si>
  <si>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</si>
  <si>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</si>
  <si>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</si>
  <si>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</si>
  <si>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</si>
  <si>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</si>
  <si>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</si>
  <si>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</si>
  <si>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</si>
  <si>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</si>
  <si>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</si>
  <si>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</si>
  <si>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</si>
  <si>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</si>
  <si>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</si>
  <si>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</si>
  <si>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</si>
  <si>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</si>
  <si>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</si>
  <si>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</si>
  <si>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</si>
  <si>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</si>
  <si>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</si>
  <si>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</si>
  <si>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</si>
  <si>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</si>
  <si>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</si>
  <si>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</si>
  <si>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</si>
  <si>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</si>
  <si>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</si>
  <si>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</si>
  <si>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</si>
  <si>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</si>
  <si>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</si>
  <si>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</si>
  <si>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</si>
  <si>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</si>
  <si>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</si>
  <si>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</si>
  <si>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</si>
  <si>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</si>
  <si>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</si>
  <si>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</si>
  <si>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</si>
  <si>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</si>
  <si>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</si>
  <si>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</si>
  <si>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</si>
  <si>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</si>
  <si>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</si>
  <si>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</si>
  <si>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</si>
  <si>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</si>
  <si>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</si>
  <si>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</si>
  <si>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</si>
  <si>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</si>
  <si>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</si>
  <si>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</si>
  <si>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</si>
  <si>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</si>
  <si>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</si>
  <si>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</si>
  <si>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</si>
  <si>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</si>
  <si>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</si>
  <si>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</si>
  <si>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</si>
  <si>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</si>
  <si>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</si>
  <si>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</si>
  <si>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</si>
  <si>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</si>
  <si>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</si>
  <si>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11185</t>
  </si>
  <si>
    <t>569 6769 8985</t>
  </si>
  <si>
    <t>SI</t>
  </si>
  <si>
    <t>CUB S/R 90° R8</t>
  </si>
  <si>
    <t>VALORES MAS IVA</t>
  </si>
  <si>
    <t>CLASSIC 3111 PF8 BR</t>
  </si>
  <si>
    <t>BIRDS MAPLE 1514 MT</t>
  </si>
  <si>
    <t>JORGE VILLALON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</si>
</sst>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CORTADA A LA MEDIDA</a:t>
          </a:r>
          <a:r>
            <a:rPr lang="es-CL" sz="1200" b="1" baseline="0"/>
            <a:t> Y ENCHAPADA MISMA LAMINA SIN REGRUESO LADO DERECHO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7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175</v>
      </c>
      <c r="D10" s="243"/>
      <c r="E10" s="243"/>
      <c r="F10" s="244" t="s">
        <v>0</v>
      </c>
      <c r="G10" s="276">
        <v>45623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170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65392.542372881355</v>
      </c>
      <c r="R20" s="258">
        <v>5000</v>
      </c>
      <c r="S20" s="38"/>
      <c r="T20" s="14" t="s">
        <v>128</v>
      </c>
      <c r="U20" s="9"/>
      <c r="X20" s="4"/>
    </row>
    <row r="21" spans="1:25" ht="18" thickBot="1" x14ac:dyDescent="0.35">
      <c r="B21" s="329">
        <v>1</v>
      </c>
      <c r="C21" s="330" t="s">
        <v>171</v>
      </c>
      <c r="D21" s="331">
        <v>2.2799999999999998</v>
      </c>
      <c r="E21" s="331">
        <v>0.55000000000000004</v>
      </c>
      <c r="F21" s="330" t="s">
        <v>173</v>
      </c>
      <c r="G21" s="332">
        <v>142702</v>
      </c>
      <c r="H21" s="333">
        <f>G21*B21</f>
        <v>142702</v>
      </c>
      <c r="I21" s="320"/>
      <c r="J21" s="265"/>
      <c r="K21" s="47"/>
      <c r="L21" s="335">
        <f>B21</f>
        <v>1</v>
      </c>
      <c r="M21" s="336">
        <f>D21+M$19</f>
        <v>2.36</v>
      </c>
      <c r="N21" s="336">
        <f>E21+$N$19</f>
        <v>0.55000000000000004</v>
      </c>
      <c r="O21" s="261">
        <f t="shared" ref="O21" si="1">M21*N21</f>
        <v>1.298</v>
      </c>
      <c r="P21" s="259">
        <f t="shared" ref="P21" si="2">O21*L21</f>
        <v>1.298</v>
      </c>
      <c r="Q21" s="252">
        <f t="shared" ref="Q21" si="3">Q$20*O21</f>
        <v>84879.52</v>
      </c>
      <c r="R21" s="319">
        <f t="shared" ref="R21" si="4">Q21+R$20</f>
        <v>89879.52</v>
      </c>
      <c r="S21" s="297">
        <f>L21*M21*2</f>
        <v>4.72</v>
      </c>
      <c r="T21" s="46">
        <f>N21*2*L21*2</f>
        <v>2.2000000000000002</v>
      </c>
      <c r="U21" s="9"/>
      <c r="X21" s="4"/>
    </row>
    <row r="22" spans="1:25" ht="17.399999999999999" x14ac:dyDescent="0.3">
      <c r="B22" s="329">
        <v>1</v>
      </c>
      <c r="C22" s="330" t="s">
        <v>171</v>
      </c>
      <c r="D22" s="331">
        <v>2.2799999999999998</v>
      </c>
      <c r="E22" s="331">
        <v>0.55000000000000004</v>
      </c>
      <c r="F22" s="330" t="s">
        <v>174</v>
      </c>
      <c r="G22" s="332">
        <v>162766</v>
      </c>
      <c r="H22" s="333">
        <f t="shared" ref="H22" si="5">G22*B22</f>
        <v>162766</v>
      </c>
      <c r="I22" s="320"/>
      <c r="J22" s="265"/>
      <c r="K22" s="47"/>
      <c r="L22" s="335">
        <f>B22</f>
        <v>1</v>
      </c>
      <c r="M22" s="336">
        <f>D22+M$19</f>
        <v>2.36</v>
      </c>
      <c r="N22" s="336">
        <f>E22+$N$19</f>
        <v>0.55000000000000004</v>
      </c>
      <c r="O22" s="261">
        <f t="shared" ref="O22" si="6">M22*N22</f>
        <v>1.298</v>
      </c>
      <c r="P22" s="259">
        <f t="shared" ref="P22" si="7">O22*L22</f>
        <v>1.298</v>
      </c>
      <c r="Q22" s="252">
        <f t="shared" ref="Q22" si="8">Q$20*O22</f>
        <v>84879.52</v>
      </c>
      <c r="R22" s="319">
        <f t="shared" ref="R22" si="9">Q22+R$20</f>
        <v>89879.52</v>
      </c>
      <c r="S22" s="297">
        <f t="shared" ref="S22" si="10">L22*M22*2</f>
        <v>4.72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 t="s">
        <v>172</v>
      </c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/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2.2000000000000002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2"/>
      <c r="J26" s="265"/>
      <c r="K26" s="47"/>
      <c r="L26" s="47"/>
      <c r="M26" s="39">
        <f>SUM(M21:M22)</f>
        <v>4.72</v>
      </c>
      <c r="N26" s="12"/>
      <c r="O26" s="12"/>
      <c r="P26" s="253">
        <f>SUM(P21:P22)</f>
        <v>2.5960000000000001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/>
      <c r="I27" s="322"/>
      <c r="J27" s="265"/>
      <c r="K27" s="47"/>
      <c r="L27" s="47"/>
      <c r="M27" s="39"/>
      <c r="N27" s="12"/>
      <c r="O27" s="12"/>
      <c r="P27" s="253">
        <f>P26</f>
        <v>2.5960000000000001</v>
      </c>
      <c r="Q27" s="14"/>
      <c r="R27" s="12"/>
      <c r="S27" s="239">
        <f>SUM(S21:S26)</f>
        <v>9.44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0.51919999999999999</v>
      </c>
      <c r="Q28" s="39" t="s">
        <v>130</v>
      </c>
      <c r="R28" s="42"/>
      <c r="S28" s="240">
        <f>S27+T25</f>
        <v>11.64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3.1152000000000002</v>
      </c>
      <c r="Q29" s="14"/>
      <c r="R29" s="14"/>
      <c r="S29" s="238">
        <f>S28*20%</f>
        <v>2.3280000000000003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13.968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3.1152000000000002</v>
      </c>
      <c r="N31" s="12">
        <v>3500</v>
      </c>
      <c r="O31" s="12">
        <f t="shared" ref="O31:O36" si="11">M31*N31</f>
        <v>10903.2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25000</v>
      </c>
      <c r="O32" s="12">
        <f t="shared" si="11"/>
        <v>12500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71000</v>
      </c>
      <c r="O33" s="12">
        <f t="shared" si="11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50220</v>
      </c>
      <c r="O34" s="12">
        <f t="shared" si="11"/>
        <v>50220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1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2.36</v>
      </c>
      <c r="N36" s="12">
        <v>1500</v>
      </c>
      <c r="O36" s="12">
        <f t="shared" si="11"/>
        <v>3540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77163.199999999997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169759.04</v>
      </c>
      <c r="P38" s="14" t="s">
        <v>140</v>
      </c>
      <c r="Q38" s="14"/>
      <c r="R38" s="40">
        <f>P29/R37</f>
        <v>0.83994823123382234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59760</v>
      </c>
      <c r="L39" s="250"/>
      <c r="M39" s="14"/>
      <c r="N39" s="12"/>
      <c r="O39" s="12">
        <f>O38/P27</f>
        <v>65392.542372881355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50218.487394957985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45623</v>
      </c>
    </row>
    <row r="6" spans="2:31" ht="16.2" thickBot="1" x14ac:dyDescent="0.35">
      <c r="B6" s="140" t="s">
        <v>2</v>
      </c>
      <c r="C6" s="139" t="str">
        <f>'2229'!C10</f>
        <v>JORGE VILLALON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14640.254966545894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120630.25496654589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53237.290787439619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102630.25496654589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-53237.290787439619</v>
      </c>
      <c r="E13" s="221">
        <f>(D11/D12)-1</f>
        <v>-1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93630.254966545894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54630.254966545894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87841.529799275362</v>
      </c>
      <c r="F15" s="216">
        <f>E15-D12</f>
        <v>34604.239011835743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54630.254966545894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94630.254966545894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10903.2</v>
      </c>
      <c r="E20" s="121">
        <f>D20*0.19</f>
        <v>2071.6080000000002</v>
      </c>
      <c r="F20" s="120">
        <f>SUM(D20:E20)</f>
        <v>12974.808000000001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23403.200000000001</v>
      </c>
      <c r="E21" s="116">
        <f>SUM(E18:E20)</f>
        <v>4446.6080000000002</v>
      </c>
      <c r="F21" s="115">
        <f>SUM(F18:F20)</f>
        <v>27849.808000000001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-4446.6080000000002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23403.200000000001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-53237.290787439619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-53237.290787439619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2024-11-28T20:51:14Z</cp:lastPrinted>
  <dcterms:created xsi:type="dcterms:W3CDTF">2013-03-18T13:35:42Z</dcterms:created>
  <dcterms:modified xsi:type="dcterms:W3CDTF">2024-11-28T20:54:38Z</dcterms:modified>
</cp:coreProperties>
</file>