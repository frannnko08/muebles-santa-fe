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C8928397-4242-4CC5-832A-2E50C2066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L23" i="1" l="1"/>
  <c r="M23" i="1"/>
  <c r="N23" i="1"/>
  <c r="O23" i="1"/>
  <c r="P23" i="1" s="1"/>
  <c r="S23" i="1"/>
  <c r="L24" i="1"/>
  <c r="M24" i="1"/>
  <c r="N24" i="1"/>
  <c r="O24" i="1" s="1"/>
  <c r="M25" i="1"/>
  <c r="O25" i="1" s="1"/>
  <c r="P25" i="1" s="1"/>
  <c r="N25" i="1"/>
  <c r="S25" i="1"/>
  <c r="N22" i="1"/>
  <c r="N21" i="1"/>
  <c r="H26" i="1"/>
  <c r="L22" i="1"/>
  <c r="M22" i="1"/>
  <c r="S24" i="1" l="1"/>
  <c r="P24" i="1"/>
  <c r="T22" i="1"/>
  <c r="S22" i="1"/>
  <c r="O22" i="1"/>
  <c r="P22" i="1" s="1"/>
  <c r="M21" i="1"/>
  <c r="M31" i="1" s="1"/>
  <c r="L21" i="1"/>
  <c r="T21" i="1" l="1"/>
  <c r="T30" i="1" s="1"/>
  <c r="S21" i="1"/>
  <c r="S32" i="1" s="1"/>
  <c r="O21" i="1"/>
  <c r="P21" i="1" s="1"/>
  <c r="P31" i="1" s="1"/>
  <c r="K45" i="1"/>
  <c r="S33" i="1" l="1"/>
  <c r="S34" i="1" s="1"/>
  <c r="S35" i="1" s="1"/>
  <c r="V38" i="1"/>
  <c r="V39" i="1" s="1"/>
  <c r="O37" i="1" l="1"/>
  <c r="P32" i="1" l="1"/>
  <c r="P33" i="1" s="1"/>
  <c r="P34" i="1" s="1"/>
  <c r="M36" i="1" s="1"/>
  <c r="N20" i="1"/>
  <c r="L20" i="1"/>
  <c r="O38" i="1" l="1"/>
  <c r="R42" i="1"/>
  <c r="R43" i="1" s="1"/>
  <c r="O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D20" i="3" l="1"/>
  <c r="E20" i="3" s="1"/>
  <c r="E21" i="3" s="1"/>
  <c r="O44" i="1" l="1"/>
  <c r="Q20" i="1" s="1"/>
  <c r="D21" i="3"/>
  <c r="M43" i="3" s="1"/>
  <c r="D12" i="3" s="1"/>
  <c r="F20" i="3"/>
  <c r="F21" i="3" s="1"/>
  <c r="Q25" i="1" l="1"/>
  <c r="R25" i="1" s="1"/>
  <c r="H25" i="1" s="1"/>
  <c r="Q23" i="1"/>
  <c r="R23" i="1" s="1"/>
  <c r="H23" i="1" s="1"/>
  <c r="Q24" i="1"/>
  <c r="R24" i="1" s="1"/>
  <c r="H24" i="1" s="1"/>
  <c r="Q22" i="1"/>
  <c r="R22" i="1" s="1"/>
  <c r="H22" i="1" s="1"/>
  <c r="O45" i="1"/>
  <c r="E15" i="3"/>
  <c r="Q21" i="1" l="1"/>
  <c r="F15" i="3"/>
  <c r="R21" i="1" l="1"/>
  <c r="H21" i="1" s="1"/>
  <c r="H30" i="1" s="1"/>
  <c r="H32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<sst xmlns="http://schemas.openxmlformats.org/spreadsheetml/2006/main" count="239" uniqueCount="178">
  <si>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</si>
  <si>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</si>
  <si>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</si>
  <si>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</si>
  <si>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</si>
  <si>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</si>
  <si>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</si>
  <si>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</si>
  <si>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</si>
  <si>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</si>
  <si>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</si>
  <si>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</si>
  <si>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</si>
  <si>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</si>
  <si>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</si>
  <si>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</si>
  <si>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</si>
  <si>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</si>
  <si>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</si>
  <si>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</si>
  <si>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</si>
  <si>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</si>
  <si>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</si>
  <si>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</si>
  <si>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</si>
  <si>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</si>
  <si>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</si>
  <si>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</si>
  <si>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</si>
  <si>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</si>
  <si>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</si>
  <si>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</si>
  <si>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</si>
  <si>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</si>
  <si>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</si>
  <si>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</si>
  <si>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</si>
  <si>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</si>
  <si>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</si>
  <si>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</si>
  <si>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</si>
  <si>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</si>
  <si>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</si>
  <si>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</si>
  <si>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</si>
  <si>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</si>
  <si>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</si>
  <si>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</si>
  <si>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</si>
  <si>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</si>
  <si>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</si>
  <si>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</si>
  <si>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</si>
  <si>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</si>
  <si>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</si>
  <si>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</si>
  <si>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</si>
  <si>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</si>
  <si>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</si>
  <si>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</si>
  <si>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</si>
  <si>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</si>
  <si>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</si>
  <si>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</si>
  <si>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</si>
  <si>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</si>
  <si>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</si>
  <si>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</si>
  <si>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</si>
  <si>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</si>
  <si>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</si>
  <si>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</si>
  <si>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</si>
  <si>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</si>
  <si>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</si>
  <si>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</si>
  <si>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</si>
  <si>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</si>
  <si>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</si>
  <si>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</si>
  <si>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</si>
  <si>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</si>
  <si>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</si>
  <si>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</si>
  <si>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</si>
  <si>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</si>
  <si>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</si>
  <si>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</si>
  <si>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</si>
  <si>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</si>
  <si>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</si>
  <si>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</si>
  <si>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</si>
  <si>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</si>
  <si>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</si>
  <si>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</si>
  <si>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</si>
  <si>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</si>
  <si>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</si>
  <si>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</si>
  <si>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</si>
  <si>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</si>
  <si>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</si>
  <si>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</si>
  <si>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</si>
  <si>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</si>
  <si>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</si>
  <si>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</si>
  <si>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</si>
  <si>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</si>
  <si>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</si>
  <si>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</si>
  <si>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</si>
  <si>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</si>
  <si>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</si>
  <si>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</si>
  <si>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</si>
  <si>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</si>
  <si>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</si>
  <si>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</si>
  <si>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</si>
  <si>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</si>
  <si>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</si>
  <si>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</si>
  <si>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</si>
  <si>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</si>
  <si>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</si>
  <si>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</si>
  <si>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</si>
  <si>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</si>
  <si>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</si>
  <si>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</si>
  <si>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</si>
  <si>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</si>
  <si>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</si>
  <si>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</si>
  <si>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</si>
  <si>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</si>
  <si>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</si>
  <si>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</si>
  <si>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</si>
  <si>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</si>
  <si>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</si>
  <si>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</si>
  <si>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</si>
  <si>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</si>
  <si>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</si>
  <si>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</si>
  <si>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</si>
  <si>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</si>
  <si>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</si>
  <si>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</si>
  <si>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</si>
  <si>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</si>
  <si>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</si>
  <si>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</si>
  <si>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</si>
  <si>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</si>
  <si>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</si>
  <si>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</si>
  <si>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</si>
  <si>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</si>
  <si>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</si>
  <si>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</si>
  <si>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</si>
  <si>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</si>
  <si>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5 DIAS HABILES</t>
  </si>
  <si>
    <t>*</t>
  </si>
  <si>
    <t>569 78611428</t>
  </si>
  <si>
    <t>SANTIAGO</t>
  </si>
  <si>
    <t>N° 11164</t>
  </si>
  <si>
    <t>VERONICA JORQUERA</t>
  </si>
  <si>
    <t>PR6</t>
  </si>
  <si>
    <t>NATURAL ELM 1499 MT</t>
  </si>
  <si>
    <t>PR6 / 3 FTES</t>
  </si>
  <si>
    <t>BISAGRAS CIERRE SUAVE</t>
  </si>
  <si>
    <t>INSTALACION</t>
  </si>
  <si>
    <t>TIRADORES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</si>
</sst>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34</xdr:row>
      <xdr:rowOff>26670</xdr:rowOff>
    </xdr:from>
    <xdr:to>
      <xdr:col>8</xdr:col>
      <xdr:colOff>8193</xdr:colOff>
      <xdr:row>37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7"/>
  <sheetViews>
    <sheetView tabSelected="1" topLeftCell="A3" zoomScale="93" zoomScaleNormal="93" workbookViewId="0">
      <selection activeCell="G28" sqref="G2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171</v>
      </c>
      <c r="D10" s="243"/>
      <c r="E10" s="243"/>
      <c r="F10" s="244" t="s">
        <v>0</v>
      </c>
      <c r="G10" s="277">
        <v>45610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166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168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169</v>
      </c>
      <c r="D17" s="314"/>
      <c r="E17" s="119"/>
      <c r="F17" s="339" t="s">
        <v>165</v>
      </c>
      <c r="G17" s="339"/>
      <c r="H17" s="340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O44</f>
        <v>88601.500653830561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2</v>
      </c>
      <c r="C21" s="329" t="s">
        <v>172</v>
      </c>
      <c r="D21" s="330">
        <v>0.67</v>
      </c>
      <c r="E21" s="330">
        <v>0.49</v>
      </c>
      <c r="F21" s="329" t="s">
        <v>173</v>
      </c>
      <c r="G21" s="331">
        <v>34179</v>
      </c>
      <c r="H21" s="332">
        <f>G21*B21</f>
        <v>68358</v>
      </c>
      <c r="I21" s="322"/>
      <c r="J21" s="265"/>
      <c r="K21" s="47"/>
      <c r="L21" s="47">
        <f>B21</f>
        <v>2</v>
      </c>
      <c r="M21" s="39">
        <f>D21+M$19</f>
        <v>0.69000000000000006</v>
      </c>
      <c r="N21" s="39">
        <f>E21+$N19</f>
        <v>0.51</v>
      </c>
      <c r="O21" s="261">
        <f t="shared" ref="O21" si="1">M21*N21</f>
        <v>0.35190000000000005</v>
      </c>
      <c r="P21" s="259">
        <f t="shared" ref="P21" si="2">O21*L21</f>
        <v>0.70380000000000009</v>
      </c>
      <c r="Q21" s="252">
        <f t="shared" ref="Q21" si="3">Q$20*O21</f>
        <v>31178.868080082979</v>
      </c>
      <c r="R21" s="321">
        <f t="shared" ref="R21" si="4">Q21+R$20</f>
        <v>34178.868080082975</v>
      </c>
      <c r="S21" s="298">
        <f>L21*M21*2</f>
        <v>2.7600000000000002</v>
      </c>
      <c r="T21" s="46">
        <f>N21*2*L21*2</f>
        <v>4.08</v>
      </c>
      <c r="U21" s="9"/>
      <c r="X21" s="4"/>
    </row>
    <row r="22" spans="2:25" ht="17.399999999999999" x14ac:dyDescent="0.3">
      <c r="B22" s="328">
        <v>5</v>
      </c>
      <c r="C22" s="329" t="s">
        <v>172</v>
      </c>
      <c r="D22" s="330">
        <v>0.67</v>
      </c>
      <c r="E22" s="330">
        <v>0.35</v>
      </c>
      <c r="F22" s="329" t="s">
        <v>173</v>
      </c>
      <c r="G22" s="331">
        <v>25620</v>
      </c>
      <c r="H22" s="332">
        <f t="shared" ref="H22:H27" si="5">G22*B22</f>
        <v>128100</v>
      </c>
      <c r="I22" s="322"/>
      <c r="J22" s="265"/>
      <c r="K22" s="47"/>
      <c r="L22" s="47">
        <f>B22</f>
        <v>5</v>
      </c>
      <c r="M22" s="39">
        <f>D22+M$19</f>
        <v>0.69000000000000006</v>
      </c>
      <c r="N22" s="39">
        <f>E22+N$19</f>
        <v>0.37</v>
      </c>
      <c r="O22" s="261">
        <f t="shared" ref="O22" si="6">M22*N22</f>
        <v>0.25530000000000003</v>
      </c>
      <c r="P22" s="259">
        <f t="shared" ref="P22" si="7">O22*L22</f>
        <v>1.2765000000000002</v>
      </c>
      <c r="Q22" s="252">
        <f t="shared" ref="Q22" si="8">Q$20*O22</f>
        <v>22619.963116922943</v>
      </c>
      <c r="R22" s="321">
        <f t="shared" ref="R22" si="9">Q22+R$20</f>
        <v>25619.963116922943</v>
      </c>
      <c r="S22" s="298">
        <f t="shared" ref="S22" si="10">L22*M22*2</f>
        <v>6.9</v>
      </c>
      <c r="T22" s="46">
        <f t="shared" ref="T22" si="11">N22*2*L22*2</f>
        <v>7.4</v>
      </c>
      <c r="U22" s="9"/>
      <c r="X22" s="4"/>
    </row>
    <row r="23" spans="2:25" ht="17.399999999999999" x14ac:dyDescent="0.3">
      <c r="B23" s="328">
        <v>1</v>
      </c>
      <c r="C23" s="329" t="s">
        <v>174</v>
      </c>
      <c r="D23" s="330">
        <v>0.67</v>
      </c>
      <c r="E23" s="330">
        <v>0.35</v>
      </c>
      <c r="F23" s="329" t="s">
        <v>173</v>
      </c>
      <c r="G23" s="331">
        <v>31230</v>
      </c>
      <c r="H23" s="332">
        <f t="shared" si="5"/>
        <v>31230</v>
      </c>
      <c r="I23" s="322"/>
      <c r="J23" s="265"/>
      <c r="K23" s="47"/>
      <c r="L23" s="47">
        <f t="shared" ref="L23:L27" si="12">B23</f>
        <v>1</v>
      </c>
      <c r="M23" s="39">
        <f t="shared" ref="M23:M25" si="13">D23+M$19</f>
        <v>0.69000000000000006</v>
      </c>
      <c r="N23" s="39">
        <f t="shared" ref="N23:N25" si="14">E23+N$19</f>
        <v>0.37</v>
      </c>
      <c r="O23" s="261">
        <f t="shared" ref="O23:O25" si="15">M23*N23</f>
        <v>0.25530000000000003</v>
      </c>
      <c r="P23" s="259">
        <f t="shared" ref="P23:P25" si="16">O23*L23</f>
        <v>0.25530000000000003</v>
      </c>
      <c r="Q23" s="252">
        <f t="shared" ref="Q23:Q25" si="17">Q$20*O23</f>
        <v>22619.963116922943</v>
      </c>
      <c r="R23" s="321">
        <f t="shared" ref="R23:R25" si="18">Q23+R$20</f>
        <v>25619.963116922943</v>
      </c>
      <c r="S23" s="298">
        <f t="shared" ref="S23:S25" si="19">L23*M23*2</f>
        <v>1.3800000000000001</v>
      </c>
      <c r="T23" s="46"/>
      <c r="U23" s="9"/>
      <c r="X23" s="4"/>
    </row>
    <row r="24" spans="2:25" ht="17.399999999999999" x14ac:dyDescent="0.3">
      <c r="B24" s="328">
        <v>8</v>
      </c>
      <c r="C24" s="329" t="s">
        <v>172</v>
      </c>
      <c r="D24" s="330">
        <v>0.59</v>
      </c>
      <c r="E24" s="330">
        <v>0.249</v>
      </c>
      <c r="F24" s="329" t="s">
        <v>173</v>
      </c>
      <c r="G24" s="331">
        <v>17539</v>
      </c>
      <c r="H24" s="332">
        <f t="shared" si="5"/>
        <v>140312</v>
      </c>
      <c r="I24" s="322"/>
      <c r="J24" s="265"/>
      <c r="K24" s="47"/>
      <c r="L24" s="47">
        <f t="shared" si="12"/>
        <v>8</v>
      </c>
      <c r="M24" s="39">
        <f t="shared" si="13"/>
        <v>0.61</v>
      </c>
      <c r="N24" s="39">
        <f t="shared" si="14"/>
        <v>0.26900000000000002</v>
      </c>
      <c r="O24" s="261">
        <f t="shared" si="15"/>
        <v>0.16409000000000001</v>
      </c>
      <c r="P24" s="259">
        <f t="shared" si="16"/>
        <v>1.3127200000000001</v>
      </c>
      <c r="Q24" s="252">
        <f t="shared" si="17"/>
        <v>14538.620242287057</v>
      </c>
      <c r="R24" s="321">
        <f t="shared" si="18"/>
        <v>17538.620242287056</v>
      </c>
      <c r="S24" s="298">
        <f t="shared" si="19"/>
        <v>9.76</v>
      </c>
      <c r="T24" s="46"/>
      <c r="U24" s="9"/>
      <c r="X24" s="4"/>
    </row>
    <row r="25" spans="2:25" ht="17.399999999999999" x14ac:dyDescent="0.3">
      <c r="B25" s="328">
        <v>19</v>
      </c>
      <c r="C25" s="329" t="s">
        <v>177</v>
      </c>
      <c r="D25" s="330"/>
      <c r="E25" s="330"/>
      <c r="F25" s="329"/>
      <c r="G25" s="331">
        <v>1500</v>
      </c>
      <c r="H25" s="332">
        <f t="shared" si="5"/>
        <v>28500</v>
      </c>
      <c r="I25" s="322"/>
      <c r="J25" s="265"/>
      <c r="K25" s="47"/>
      <c r="L25" s="47"/>
      <c r="M25" s="39">
        <f t="shared" si="13"/>
        <v>0.02</v>
      </c>
      <c r="N25" s="39">
        <f t="shared" si="14"/>
        <v>0.02</v>
      </c>
      <c r="O25" s="261">
        <f t="shared" si="15"/>
        <v>4.0000000000000002E-4</v>
      </c>
      <c r="P25" s="259">
        <f t="shared" si="16"/>
        <v>0</v>
      </c>
      <c r="Q25" s="252">
        <f t="shared" si="17"/>
        <v>35.440600261532225</v>
      </c>
      <c r="R25" s="321">
        <f t="shared" si="18"/>
        <v>3035.4406002615324</v>
      </c>
      <c r="S25" s="298">
        <f t="shared" si="19"/>
        <v>0</v>
      </c>
      <c r="T25" s="46"/>
      <c r="U25" s="9"/>
      <c r="X25" s="4"/>
    </row>
    <row r="26" spans="2:25" ht="17.399999999999999" x14ac:dyDescent="0.3">
      <c r="B26" s="336">
        <v>28</v>
      </c>
      <c r="C26" s="336" t="s">
        <v>175</v>
      </c>
      <c r="D26" s="337"/>
      <c r="E26" s="337"/>
      <c r="F26" s="336"/>
      <c r="G26" s="338">
        <v>2000</v>
      </c>
      <c r="H26" s="332">
        <f t="shared" si="5"/>
        <v>56000</v>
      </c>
      <c r="I26" s="322"/>
      <c r="J26" s="265"/>
      <c r="K26" s="47"/>
      <c r="L26" s="47"/>
      <c r="M26" s="39"/>
      <c r="N26" s="39"/>
      <c r="O26" s="261"/>
      <c r="P26" s="259"/>
      <c r="Q26" s="252"/>
      <c r="R26" s="321"/>
      <c r="S26" s="298"/>
      <c r="T26" s="46"/>
      <c r="U26" s="9"/>
      <c r="X26" s="4"/>
    </row>
    <row r="27" spans="2:25" ht="17.399999999999999" x14ac:dyDescent="0.3">
      <c r="B27" s="336">
        <v>1</v>
      </c>
      <c r="C27" s="336" t="s">
        <v>176</v>
      </c>
      <c r="D27" s="337"/>
      <c r="E27" s="337"/>
      <c r="F27" s="336"/>
      <c r="G27" s="338">
        <v>60000</v>
      </c>
      <c r="H27" s="338">
        <f t="shared" si="5"/>
        <v>60000</v>
      </c>
      <c r="I27" s="322"/>
      <c r="J27" s="265"/>
      <c r="K27" s="47"/>
      <c r="L27" s="47"/>
      <c r="M27" s="39"/>
      <c r="N27" s="39"/>
      <c r="O27" s="261"/>
      <c r="P27" s="259"/>
      <c r="Q27" s="252"/>
      <c r="R27" s="321"/>
      <c r="S27" s="298"/>
      <c r="T27" s="46"/>
      <c r="U27" s="9"/>
      <c r="X27" s="4"/>
    </row>
    <row r="28" spans="2:25" ht="17.399999999999999" x14ac:dyDescent="0.3">
      <c r="B28" s="286"/>
      <c r="C28" s="286"/>
      <c r="D28" s="287"/>
      <c r="E28" s="287"/>
      <c r="F28" s="286"/>
      <c r="G28" s="322"/>
      <c r="H28" s="322"/>
      <c r="I28" s="322"/>
      <c r="J28" s="265"/>
      <c r="K28" s="47"/>
      <c r="L28" s="47"/>
      <c r="M28" s="39"/>
      <c r="N28" s="39"/>
      <c r="O28" s="261"/>
      <c r="P28" s="259"/>
      <c r="Q28" s="252"/>
      <c r="R28" s="321"/>
      <c r="S28" s="298"/>
      <c r="T28" s="46"/>
      <c r="U28" s="9"/>
      <c r="X28" s="4"/>
    </row>
    <row r="29" spans="2:25" ht="18" thickBot="1" x14ac:dyDescent="0.35">
      <c r="B29" s="286"/>
      <c r="C29" s="286"/>
      <c r="D29" s="287"/>
      <c r="E29" s="287"/>
      <c r="F29" s="286"/>
      <c r="G29" s="265"/>
      <c r="H29" s="323"/>
      <c r="I29" s="325"/>
      <c r="J29" s="233"/>
      <c r="K29" s="47"/>
      <c r="L29" s="47"/>
      <c r="M29" s="39"/>
      <c r="N29" s="39"/>
      <c r="O29" s="261"/>
      <c r="P29" s="259"/>
      <c r="Q29" s="252"/>
      <c r="R29" s="258"/>
      <c r="S29" s="298"/>
      <c r="T29" s="14"/>
      <c r="U29" s="9"/>
      <c r="X29" s="4"/>
    </row>
    <row r="30" spans="2:25" ht="17.399999999999999" x14ac:dyDescent="0.3">
      <c r="B30" s="286"/>
      <c r="C30" s="286"/>
      <c r="D30" s="287"/>
      <c r="E30" s="287"/>
      <c r="F30" s="286"/>
      <c r="G30" s="326" t="s">
        <v>28</v>
      </c>
      <c r="H30" s="327">
        <f>SUM(H21:H29)</f>
        <v>512500</v>
      </c>
      <c r="I30" s="324"/>
      <c r="J30" s="265"/>
      <c r="K30" s="47">
        <v>2600000</v>
      </c>
      <c r="L30" s="47"/>
      <c r="M30" s="39"/>
      <c r="N30" s="39"/>
      <c r="O30" s="261"/>
      <c r="P30" s="259"/>
      <c r="Q30" s="252"/>
      <c r="R30" s="258"/>
      <c r="S30" s="298"/>
      <c r="T30" s="46">
        <f>SUM(T21:T29)</f>
        <v>11.48</v>
      </c>
      <c r="U30" s="9"/>
      <c r="X30" s="4"/>
    </row>
    <row r="31" spans="2:25" ht="17.399999999999999" x14ac:dyDescent="0.3">
      <c r="B31" s="280"/>
      <c r="C31" s="283"/>
      <c r="D31" s="284"/>
      <c r="E31" s="284"/>
      <c r="F31" s="285"/>
      <c r="G31" s="297" t="s">
        <v>51</v>
      </c>
      <c r="H31" s="295"/>
      <c r="I31" s="324" t="s">
        <v>167</v>
      </c>
      <c r="J31" s="265"/>
      <c r="K31" s="47"/>
      <c r="L31" s="47"/>
      <c r="M31" s="39">
        <f>SUM(M21:M30)</f>
        <v>2.7</v>
      </c>
      <c r="N31" s="12"/>
      <c r="O31" s="12"/>
      <c r="P31" s="253">
        <f>SUM(P21:P25)</f>
        <v>3.5483200000000004</v>
      </c>
      <c r="Q31" s="14"/>
      <c r="R31" s="12"/>
      <c r="S31" s="239"/>
      <c r="T31" s="46"/>
      <c r="U31" s="9"/>
      <c r="X31" s="4"/>
    </row>
    <row r="32" spans="2:25" ht="18" thickBot="1" x14ac:dyDescent="0.35">
      <c r="B32" s="276"/>
      <c r="C32" s="282"/>
      <c r="D32" s="272"/>
      <c r="E32" s="272"/>
      <c r="F32" s="273"/>
      <c r="G32" s="281" t="s">
        <v>6</v>
      </c>
      <c r="H32" s="296">
        <f>H30+H31</f>
        <v>512500</v>
      </c>
      <c r="I32" s="324"/>
      <c r="J32" s="265"/>
      <c r="K32" s="47"/>
      <c r="L32" s="47"/>
      <c r="M32" s="39"/>
      <c r="N32" s="12"/>
      <c r="O32" s="12"/>
      <c r="P32" s="253">
        <f>P31</f>
        <v>3.5483200000000004</v>
      </c>
      <c r="Q32" s="14"/>
      <c r="R32" s="12"/>
      <c r="S32" s="239">
        <f>SUM(S21:S31)</f>
        <v>20.8</v>
      </c>
      <c r="T32" s="46"/>
      <c r="U32" s="9"/>
      <c r="X32" s="4"/>
    </row>
    <row r="33" spans="2:24" ht="17.399999999999999" x14ac:dyDescent="0.3">
      <c r="B33" s="276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0.70966400000000007</v>
      </c>
      <c r="Q33" s="39" t="s">
        <v>130</v>
      </c>
      <c r="R33" s="42"/>
      <c r="S33" s="240">
        <f>S32+T30</f>
        <v>32.28</v>
      </c>
      <c r="T33" s="14"/>
      <c r="U33" s="9"/>
      <c r="X33" s="4"/>
    </row>
    <row r="34" spans="2:24" ht="17.399999999999999" x14ac:dyDescent="0.3">
      <c r="B34" s="271"/>
      <c r="C34" s="271"/>
      <c r="D34" s="272"/>
      <c r="E34" s="272"/>
      <c r="F34" s="273"/>
      <c r="G34" s="274"/>
      <c r="H34" s="275"/>
      <c r="I34" s="275"/>
      <c r="J34" s="265"/>
      <c r="K34" s="47"/>
      <c r="L34" s="47"/>
      <c r="M34" s="14"/>
      <c r="N34" s="12"/>
      <c r="O34" s="12"/>
      <c r="P34" s="46">
        <f>P32+P33</f>
        <v>4.2579840000000004</v>
      </c>
      <c r="Q34" s="14"/>
      <c r="R34" s="14"/>
      <c r="S34" s="238">
        <f>S33*20%</f>
        <v>6.4560000000000004</v>
      </c>
      <c r="T34" s="14"/>
      <c r="U34" s="9"/>
      <c r="X34" s="4"/>
    </row>
    <row r="35" spans="2:24" ht="17.399999999999999" x14ac:dyDescent="0.35">
      <c r="B35" s="269"/>
      <c r="C35" s="230"/>
      <c r="D35" s="230"/>
      <c r="E35" s="233"/>
      <c r="F35" s="234"/>
      <c r="G35" s="230"/>
      <c r="H35" s="275"/>
      <c r="I35" s="275"/>
      <c r="J35" s="265"/>
      <c r="K35" s="47"/>
      <c r="L35" s="47"/>
      <c r="M35" s="14"/>
      <c r="N35" s="14"/>
      <c r="O35" s="14"/>
      <c r="P35" s="14"/>
      <c r="Q35" s="14"/>
      <c r="R35" s="14"/>
      <c r="S35" s="240">
        <f>S33+S34</f>
        <v>38.736000000000004</v>
      </c>
      <c r="T35" s="14"/>
      <c r="U35" s="303" t="s">
        <v>21</v>
      </c>
      <c r="V35" s="300" t="s">
        <v>152</v>
      </c>
      <c r="W35" s="304">
        <v>44971</v>
      </c>
      <c r="X35" s="305"/>
    </row>
    <row r="36" spans="2:24" ht="17.399999999999999" x14ac:dyDescent="0.35">
      <c r="B36" s="235"/>
      <c r="C36" s="236"/>
      <c r="D36" s="237"/>
      <c r="E36" s="235"/>
      <c r="F36" s="230"/>
      <c r="G36" s="230"/>
      <c r="J36" s="265"/>
      <c r="K36" s="47"/>
      <c r="L36" s="47"/>
      <c r="M36" s="39">
        <f>P34</f>
        <v>4.2579840000000004</v>
      </c>
      <c r="N36" s="12">
        <v>3500</v>
      </c>
      <c r="O36" s="12">
        <f t="shared" ref="O36:O41" si="20">M36*N36</f>
        <v>14902.944000000001</v>
      </c>
      <c r="P36" s="14" t="s">
        <v>21</v>
      </c>
      <c r="Q36" s="14"/>
      <c r="R36" s="14"/>
      <c r="S36" s="241"/>
      <c r="T36" s="14"/>
      <c r="U36" s="303" t="s">
        <v>153</v>
      </c>
      <c r="V36" s="300">
        <v>3625</v>
      </c>
      <c r="W36" s="59" t="s">
        <v>154</v>
      </c>
      <c r="X36" s="305"/>
    </row>
    <row r="37" spans="2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249">
        <v>1.2</v>
      </c>
      <c r="N37" s="12">
        <v>40000</v>
      </c>
      <c r="O37" s="12">
        <f t="shared" si="20"/>
        <v>48000</v>
      </c>
      <c r="P37" s="39" t="s">
        <v>31</v>
      </c>
      <c r="Q37" s="42"/>
      <c r="R37" s="14"/>
      <c r="S37" s="240"/>
      <c r="T37" s="14"/>
      <c r="U37" s="303"/>
      <c r="V37" s="59">
        <v>906.25</v>
      </c>
      <c r="W37" s="59" t="s">
        <v>155</v>
      </c>
      <c r="X37" s="305"/>
    </row>
    <row r="38" spans="2:24" s="230" customFormat="1" ht="17.399999999999999" x14ac:dyDescent="0.35">
      <c r="J38" s="262"/>
      <c r="K38" s="232"/>
      <c r="L38" s="250"/>
      <c r="M38" s="14"/>
      <c r="N38" s="250">
        <v>61840</v>
      </c>
      <c r="O38" s="12">
        <f t="shared" si="20"/>
        <v>0</v>
      </c>
      <c r="P38" s="39" t="s">
        <v>30</v>
      </c>
      <c r="Q38" s="42"/>
      <c r="S38" s="240"/>
      <c r="T38" s="256"/>
      <c r="U38" s="59"/>
      <c r="V38" s="59">
        <f>V37*20%</f>
        <v>181.25</v>
      </c>
      <c r="W38" s="305" t="s">
        <v>156</v>
      </c>
      <c r="X38" s="59"/>
    </row>
    <row r="39" spans="2:24" s="230" customFormat="1" ht="17.399999999999999" x14ac:dyDescent="0.35">
      <c r="B39" s="24" t="s">
        <v>151</v>
      </c>
      <c r="J39" s="262"/>
      <c r="K39" s="232"/>
      <c r="L39" s="250"/>
      <c r="M39" s="14">
        <v>2</v>
      </c>
      <c r="N39" s="250">
        <v>40000</v>
      </c>
      <c r="O39" s="12">
        <f t="shared" si="20"/>
        <v>80000</v>
      </c>
      <c r="P39" s="14" t="s">
        <v>141</v>
      </c>
      <c r="Q39" s="17"/>
      <c r="S39" s="238"/>
      <c r="T39" s="256"/>
      <c r="U39" s="59"/>
      <c r="V39" s="59">
        <f>V37+V38</f>
        <v>1087.5</v>
      </c>
      <c r="W39" s="305" t="s">
        <v>157</v>
      </c>
      <c r="X39" s="59"/>
    </row>
    <row r="40" spans="2:24" s="230" customFormat="1" ht="17.399999999999999" x14ac:dyDescent="0.35">
      <c r="B40" s="24" t="s">
        <v>144</v>
      </c>
      <c r="C40"/>
      <c r="D40"/>
      <c r="E40"/>
      <c r="F40"/>
      <c r="J40" s="262"/>
      <c r="L40" s="250"/>
      <c r="M40" s="249"/>
      <c r="N40" s="250">
        <v>900</v>
      </c>
      <c r="O40" s="12">
        <f t="shared" si="20"/>
        <v>0</v>
      </c>
      <c r="P40" s="14" t="s">
        <v>32</v>
      </c>
      <c r="Q40" s="14"/>
      <c r="R40" s="230">
        <v>1.52</v>
      </c>
      <c r="S40" s="238"/>
      <c r="T40" s="238"/>
    </row>
    <row r="41" spans="2:24" s="230" customFormat="1" ht="17.399999999999999" x14ac:dyDescent="0.35">
      <c r="B41" s="29" t="s">
        <v>125</v>
      </c>
      <c r="C41"/>
      <c r="D41"/>
      <c r="E41"/>
      <c r="F41" s="229" t="s">
        <v>15</v>
      </c>
      <c r="J41" s="294"/>
      <c r="L41" s="250"/>
      <c r="M41" s="266"/>
      <c r="N41" s="12">
        <v>1500</v>
      </c>
      <c r="O41" s="12">
        <f t="shared" si="20"/>
        <v>0</v>
      </c>
      <c r="P41" s="14" t="s">
        <v>22</v>
      </c>
      <c r="Q41" s="14"/>
      <c r="R41">
        <v>2.44</v>
      </c>
      <c r="S41"/>
      <c r="T41" s="238"/>
      <c r="X41" s="231"/>
    </row>
    <row r="42" spans="2:24" s="230" customFormat="1" ht="17.399999999999999" x14ac:dyDescent="0.35">
      <c r="L42" s="250"/>
      <c r="M42" s="14"/>
      <c r="N42" s="12"/>
      <c r="O42" s="12">
        <f>SUM(O36:O41)</f>
        <v>142902.94400000002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2:24" s="230" customFormat="1" ht="17.399999999999999" x14ac:dyDescent="0.35">
      <c r="L43" s="250"/>
      <c r="M43" s="254" t="s">
        <v>33</v>
      </c>
      <c r="N43" s="12"/>
      <c r="O43" s="255">
        <f>O42*2.2</f>
        <v>314386.47680000006</v>
      </c>
      <c r="P43" s="14" t="s">
        <v>140</v>
      </c>
      <c r="Q43" s="14"/>
      <c r="R43" s="40">
        <f>P34/R42</f>
        <v>1.1480759275237273</v>
      </c>
      <c r="S43"/>
      <c r="T43" s="257"/>
    </row>
    <row r="44" spans="2:24" s="230" customFormat="1" ht="17.399999999999999" x14ac:dyDescent="0.35">
      <c r="G44"/>
      <c r="H44" s="260"/>
      <c r="I44" s="260"/>
      <c r="J44" s="260"/>
      <c r="K44" s="230">
        <v>67392</v>
      </c>
      <c r="L44" s="250"/>
      <c r="M44" s="14"/>
      <c r="N44" s="12"/>
      <c r="O44" s="12">
        <f>O43/P32</f>
        <v>88601.500653830561</v>
      </c>
      <c r="P44" s="45" t="s">
        <v>24</v>
      </c>
      <c r="Q44" s="14"/>
      <c r="R44" s="14"/>
      <c r="S44"/>
      <c r="T44" s="238"/>
      <c r="U44" s="59" t="s">
        <v>158</v>
      </c>
      <c r="V44" s="300">
        <v>43650</v>
      </c>
    </row>
    <row r="45" spans="2:24" s="230" customFormat="1" ht="17.399999999999999" x14ac:dyDescent="0.35">
      <c r="G45"/>
      <c r="K45" s="230">
        <f>K44/1.19</f>
        <v>56631.932773109249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160</v>
      </c>
      <c r="V45" s="301" t="s">
        <v>159</v>
      </c>
      <c r="W45" s="59">
        <v>2.4</v>
      </c>
    </row>
    <row r="46" spans="2:24" s="230" customFormat="1" ht="17.399999999999999" x14ac:dyDescent="0.35">
      <c r="G46" s="23"/>
      <c r="L46" s="12"/>
      <c r="T46" s="238"/>
      <c r="U46" s="59" t="s">
        <v>161</v>
      </c>
      <c r="V46" s="302">
        <v>395.37</v>
      </c>
    </row>
    <row r="47" spans="2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156</v>
      </c>
      <c r="V47" s="59">
        <v>474.45</v>
      </c>
    </row>
    <row r="48" spans="2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148</v>
      </c>
    </row>
    <row r="80" spans="3:20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45610</v>
      </c>
    </row>
    <row r="6" spans="2:31" ht="16.2" thickBot="1" x14ac:dyDescent="0.35">
      <c r="B6" s="140" t="s">
        <v>2</v>
      </c>
      <c r="C6" s="139" t="str">
        <f>'2229'!C10</f>
        <v>VERONICA JORQUERA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-59913.982100120767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512500</v>
      </c>
      <c r="E11" s="132">
        <f>D11*0.19</f>
        <v>97375</v>
      </c>
      <c r="F11" s="131">
        <f>E11+D11</f>
        <v>609875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46076.017899879233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92737.034787439625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28076.017899879233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419762.96521256038</v>
      </c>
      <c r="E13" s="221">
        <f>(D11/D12)-1</f>
        <v>4.5263789830534176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19076.017899879233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-19923.982100120767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153016.10739927538</v>
      </c>
      <c r="F15" s="216">
        <f>E15-D12</f>
        <v>60279.072611835756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-19923.982100120767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20076.017899879233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48000</v>
      </c>
      <c r="E19" s="123">
        <f>D19*0.19</f>
        <v>9120</v>
      </c>
      <c r="F19" s="120">
        <f>SUM(D19:E19)</f>
        <v>57120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14902.944000000001</v>
      </c>
      <c r="E20" s="121">
        <f>D20*0.19</f>
        <v>2831.5593600000002</v>
      </c>
      <c r="F20" s="120">
        <f>SUM(D20:E20)</f>
        <v>17734.503360000002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62902.944000000003</v>
      </c>
      <c r="E21" s="116">
        <f>SUM(E18:E20)</f>
        <v>11951.559359999999</v>
      </c>
      <c r="F21" s="115">
        <f>SUM(F18:F20)</f>
        <v>74854.503360000002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85423.440640000001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512500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62902.944000000003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419762.96521256038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419762.96521256038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2024-11-14T13:03:29Z</dcterms:modified>
</cp:coreProperties>
</file>