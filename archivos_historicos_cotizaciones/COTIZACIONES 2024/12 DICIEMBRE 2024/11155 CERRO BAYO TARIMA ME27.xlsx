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31A7B5C9-F066-4516-94A5-7EA4316F2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K30" i="1"/>
  <c r="L30" i="1"/>
  <c r="M30" i="1"/>
  <c r="N30" i="1"/>
  <c r="O30" i="1" s="1"/>
  <c r="R30" i="1"/>
  <c r="K29" i="1"/>
  <c r="L29" i="1"/>
  <c r="M29" i="1"/>
  <c r="N29" i="1"/>
  <c r="O29" i="1" s="1"/>
  <c r="R29" i="1"/>
  <c r="L24" i="1"/>
  <c r="M24" i="1"/>
  <c r="L25" i="1"/>
  <c r="M25" i="1"/>
  <c r="L26" i="1"/>
  <c r="M26" i="1"/>
  <c r="L27" i="1"/>
  <c r="M27" i="1"/>
  <c r="L28" i="1"/>
  <c r="M28" i="1"/>
  <c r="K28" i="1"/>
  <c r="K27" i="1"/>
  <c r="R27" i="1" s="1"/>
  <c r="K26" i="1"/>
  <c r="R26" i="1" s="1"/>
  <c r="K25" i="1"/>
  <c r="K24" i="1"/>
  <c r="K21" i="1"/>
  <c r="K22" i="1"/>
  <c r="K23" i="1"/>
  <c r="L23" i="1"/>
  <c r="M23" i="1"/>
  <c r="L22" i="1"/>
  <c r="M22" i="1"/>
  <c r="W49" i="1"/>
  <c r="W45" i="1"/>
  <c r="V42" i="1"/>
  <c r="X32" i="1"/>
  <c r="N26" i="1" l="1"/>
  <c r="N28" i="1"/>
  <c r="O28" i="1" s="1"/>
  <c r="R24" i="1"/>
  <c r="O26" i="1"/>
  <c r="N27" i="1"/>
  <c r="O27" i="1" s="1"/>
  <c r="N24" i="1"/>
  <c r="O24" i="1" s="1"/>
  <c r="N25" i="1"/>
  <c r="O25" i="1"/>
  <c r="R28" i="1"/>
  <c r="R25" i="1"/>
  <c r="R23" i="1"/>
  <c r="N23" i="1"/>
  <c r="O23" i="1" s="1"/>
  <c r="N22" i="1"/>
  <c r="O22" i="1" s="1"/>
  <c r="R22" i="1"/>
  <c r="K10" i="1"/>
  <c r="J48" i="1" l="1"/>
  <c r="L21" i="1" l="1"/>
  <c r="L34" i="1" s="1"/>
  <c r="M21" i="1"/>
  <c r="N21" i="1" l="1"/>
  <c r="R21" i="1"/>
  <c r="U21" i="1" s="1"/>
  <c r="N41" i="1"/>
  <c r="O21" i="1" l="1"/>
  <c r="S53" i="1"/>
  <c r="O34" i="1" l="1"/>
  <c r="O35" i="1" s="1"/>
  <c r="M20" i="1"/>
  <c r="K20" i="1"/>
  <c r="N42" i="1" l="1"/>
  <c r="Q46" i="1"/>
  <c r="Q47" i="1" s="1"/>
  <c r="N43" i="1" l="1"/>
  <c r="S46" i="1" l="1"/>
  <c r="S4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5" i="1"/>
  <c r="N44" i="1"/>
  <c r="F18" i="3" l="1"/>
  <c r="O36" i="1" l="1"/>
  <c r="L40" i="1" s="1"/>
  <c r="N40" i="1" l="1"/>
  <c r="S54" i="1"/>
  <c r="N46" i="1" l="1"/>
  <c r="N47" i="1" s="1"/>
  <c r="D20" i="3"/>
  <c r="E20" i="3" s="1"/>
  <c r="E21" i="3" s="1"/>
  <c r="N49" i="1" l="1"/>
  <c r="D21" i="3"/>
  <c r="M43" i="3" s="1"/>
  <c r="D12" i="3" s="1"/>
  <c r="F20" i="3"/>
  <c r="F21" i="3" s="1"/>
  <c r="N48" i="1" l="1"/>
  <c r="E15" i="3"/>
  <c r="P20" i="1" l="1"/>
  <c r="F15" i="3"/>
  <c r="P30" i="1" l="1"/>
  <c r="Q30" i="1" s="1"/>
  <c r="P29" i="1"/>
  <c r="Q29" i="1" s="1"/>
  <c r="G29" i="1" s="1"/>
  <c r="H29" i="1" s="1"/>
  <c r="P24" i="1"/>
  <c r="Q24" i="1" s="1"/>
  <c r="G24" i="1" s="1"/>
  <c r="H24" i="1" s="1"/>
  <c r="P27" i="1"/>
  <c r="Q27" i="1" s="1"/>
  <c r="G27" i="1" s="1"/>
  <c r="H27" i="1" s="1"/>
  <c r="P28" i="1"/>
  <c r="Q28" i="1" s="1"/>
  <c r="G28" i="1" s="1"/>
  <c r="H28" i="1" s="1"/>
  <c r="P25" i="1"/>
  <c r="Q25" i="1" s="1"/>
  <c r="G25" i="1" s="1"/>
  <c r="H25" i="1" s="1"/>
  <c r="P26" i="1"/>
  <c r="Q26" i="1" s="1"/>
  <c r="G26" i="1" s="1"/>
  <c r="H26" i="1" s="1"/>
  <c r="P22" i="1"/>
  <c r="Q22" i="1" s="1"/>
  <c r="G22" i="1" s="1"/>
  <c r="H22" i="1" s="1"/>
  <c r="P23" i="1"/>
  <c r="Q23" i="1" s="1"/>
  <c r="G23" i="1" s="1"/>
  <c r="H23" i="1" s="1"/>
  <c r="P21" i="1"/>
  <c r="R36" i="1"/>
  <c r="T20" i="1" l="1"/>
  <c r="Q21" i="1"/>
  <c r="G21" i="1" s="1"/>
  <c r="H21" i="1" l="1"/>
  <c r="H34" i="1" s="1"/>
  <c r="H35" i="1" l="1"/>
  <c r="H36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<sst xmlns="http://schemas.openxmlformats.org/spreadsheetml/2006/main" count="239" uniqueCount="168">
  <si>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</si>
  <si>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</si>
  <si>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</si>
  <si>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</si>
  <si>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</si>
  <si>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</si>
  <si>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</si>
  <si>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</si>
  <si>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</si>
  <si>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</si>
  <si>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</si>
  <si>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</si>
  <si>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</si>
  <si>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</si>
  <si>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</si>
  <si>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</si>
  <si>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</si>
  <si>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</si>
  <si>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</si>
  <si>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</si>
  <si>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</si>
  <si>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</si>
  <si>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</si>
  <si>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</si>
  <si>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</si>
  <si>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</si>
  <si>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</si>
  <si>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</si>
  <si>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</si>
  <si>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</si>
  <si>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</si>
  <si>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</si>
  <si>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</si>
  <si>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</si>
  <si>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</si>
  <si>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</si>
  <si>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</si>
  <si>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</si>
  <si>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</si>
  <si>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</si>
  <si>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</si>
  <si>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</si>
  <si>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</si>
  <si>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</si>
  <si>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</si>
  <si>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</si>
  <si>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</si>
  <si>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</si>
  <si>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</si>
  <si>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</si>
  <si>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</si>
  <si>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</si>
  <si>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</si>
  <si>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</si>
  <si>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</si>
  <si>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</si>
  <si>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</si>
  <si>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</si>
  <si>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</si>
  <si>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</si>
  <si>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</si>
  <si>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</si>
  <si>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</si>
  <si>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</si>
  <si>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</si>
  <si>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</si>
  <si>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</si>
  <si>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</si>
  <si>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</si>
  <si>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</si>
  <si>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</si>
  <si>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</si>
  <si>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</si>
  <si>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</si>
  <si>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</si>
  <si>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</si>
  <si>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</si>
  <si>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</si>
  <si>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</si>
  <si>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</si>
  <si>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</si>
  <si>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</si>
  <si>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</si>
  <si>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</si>
  <si>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</si>
  <si>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</si>
  <si>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</si>
  <si>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</si>
  <si>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</si>
  <si>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</si>
  <si>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</si>
  <si>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</si>
  <si>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</si>
  <si>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</si>
  <si>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</si>
  <si>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</si>
  <si>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</si>
  <si>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</si>
  <si>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</si>
  <si>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</si>
  <si>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</si>
  <si>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</si>
  <si>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</si>
  <si>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</si>
  <si>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</si>
  <si>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</si>
  <si>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</si>
  <si>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</si>
  <si>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</si>
  <si>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</si>
  <si>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</si>
  <si>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</si>
  <si>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</si>
  <si>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</si>
  <si>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</si>
  <si>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</si>
  <si>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</si>
  <si>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</si>
  <si>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</si>
  <si>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</si>
  <si>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</si>
  <si>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</si>
  <si>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</si>
  <si>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</si>
  <si>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</si>
  <si>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</si>
  <si>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</si>
  <si>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</si>
  <si>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</si>
  <si>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</si>
  <si>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</si>
  <si>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</si>
  <si>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</si>
  <si>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</si>
  <si>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</si>
  <si>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</si>
  <si>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</si>
  <si>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</si>
  <si>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</si>
  <si>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</si>
  <si>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</si>
  <si>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</si>
  <si>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</si>
  <si>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</si>
  <si>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</si>
  <si>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</si>
  <si>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</si>
  <si>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</si>
  <si>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</si>
  <si>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</si>
  <si>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</si>
  <si>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</si>
  <si>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</si>
  <si>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</si>
  <si>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</si>
  <si>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</si>
  <si>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</si>
  <si>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</si>
  <si>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</si>
  <si>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SANTIAGO</t>
  </si>
  <si>
    <t>CONSTRUCTORA CERRO BAYO</t>
  </si>
  <si>
    <t>IGNACIO INOSTROZA</t>
  </si>
  <si>
    <t>569 9559 0055</t>
  </si>
  <si>
    <t>10 DIAS HABILES</t>
  </si>
  <si>
    <t>SI</t>
  </si>
  <si>
    <t xml:space="preserve">ENCHAPE RECTO </t>
  </si>
  <si>
    <t>N° 11155</t>
  </si>
  <si>
    <t>NOCE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</si>
</sst>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11" fillId="0" borderId="15" xfId="2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38</xdr:row>
      <xdr:rowOff>13024</xdr:rowOff>
    </xdr:from>
    <xdr:to>
      <xdr:col>8</xdr:col>
      <xdr:colOff>31102</xdr:colOff>
      <xdr:row>41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1714500</xdr:colOff>
      <xdr:row>41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32</xdr:row>
      <xdr:rowOff>84014</xdr:rowOff>
    </xdr:from>
    <xdr:to>
      <xdr:col>5</xdr:col>
      <xdr:colOff>1849560</xdr:colOff>
      <xdr:row>36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5,5MM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1"/>
  <sheetViews>
    <sheetView tabSelected="1" topLeftCell="D20" zoomScale="98" zoomScaleNormal="98" workbookViewId="0">
      <selection activeCell="L41" sqref="L4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45595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164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162</v>
      </c>
      <c r="D15" s="295"/>
      <c r="E15" s="247"/>
      <c r="F15" s="247" t="s">
        <v>136</v>
      </c>
      <c r="G15" s="296" t="s">
        <v>164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159</v>
      </c>
      <c r="D17" s="299"/>
      <c r="E17" s="300"/>
      <c r="F17" s="330" t="s">
        <v>154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N48</f>
        <v>96286.534262082336</v>
      </c>
      <c r="Q20" s="258">
        <v>5000</v>
      </c>
      <c r="R20" s="38"/>
      <c r="S20" s="14" t="s">
        <v>130</v>
      </c>
      <c r="T20" s="9">
        <f>P21/3</f>
        <v>98607.039737798506</v>
      </c>
      <c r="W20" s="44">
        <v>2.44</v>
      </c>
      <c r="X20">
        <v>1.52</v>
      </c>
    </row>
    <row r="21" spans="2:24" ht="17.399999999999999" x14ac:dyDescent="0.3">
      <c r="B21" s="325">
        <v>2</v>
      </c>
      <c r="C21" s="309" t="s">
        <v>165</v>
      </c>
      <c r="D21" s="326">
        <v>2.0699999999999998</v>
      </c>
      <c r="E21" s="326">
        <v>1.45</v>
      </c>
      <c r="F21" s="309" t="s">
        <v>167</v>
      </c>
      <c r="G21" s="310">
        <f>Q21</f>
        <v>300821.11921339552</v>
      </c>
      <c r="H21" s="311">
        <f>G21*B21</f>
        <v>601642.23842679104</v>
      </c>
      <c r="I21" s="265"/>
      <c r="J21" s="47"/>
      <c r="K21" s="323">
        <f>B21</f>
        <v>2</v>
      </c>
      <c r="L21" s="318">
        <f t="shared" ref="L21:M23" si="0">D21+L$19</f>
        <v>2.09</v>
      </c>
      <c r="M21" s="318">
        <f t="shared" si="0"/>
        <v>1.47</v>
      </c>
      <c r="N21" s="261">
        <f>L21*M21</f>
        <v>3.0722999999999998</v>
      </c>
      <c r="O21" s="259">
        <f>N21*K21</f>
        <v>6.1445999999999996</v>
      </c>
      <c r="P21" s="252">
        <f>P$20*N21</f>
        <v>295821.11921339552</v>
      </c>
      <c r="Q21" s="258">
        <f>P21+Q$20</f>
        <v>300821.11921339552</v>
      </c>
      <c r="R21" s="308">
        <f>K21*L21</f>
        <v>4.18</v>
      </c>
      <c r="S21" s="14"/>
      <c r="T21" s="9"/>
      <c r="U21" s="319">
        <f>R21*U19</f>
        <v>62699.999999999993</v>
      </c>
      <c r="W21" s="4"/>
      <c r="X21">
        <v>19.8</v>
      </c>
    </row>
    <row r="22" spans="2:24" ht="17.399999999999999" x14ac:dyDescent="0.3">
      <c r="B22" s="325">
        <v>2</v>
      </c>
      <c r="C22" s="309" t="s">
        <v>165</v>
      </c>
      <c r="D22" s="326">
        <v>2.0699999999999998</v>
      </c>
      <c r="E22" s="326">
        <v>0.4</v>
      </c>
      <c r="F22" s="309" t="s">
        <v>167</v>
      </c>
      <c r="G22" s="310">
        <f t="shared" ref="G22:G28" si="1">Q22</f>
        <v>89520.319775255877</v>
      </c>
      <c r="H22" s="311">
        <f t="shared" ref="H22:H28" si="2">G22*B22</f>
        <v>179040.63955051175</v>
      </c>
      <c r="I22" s="265"/>
      <c r="J22" s="47"/>
      <c r="K22" s="323">
        <f t="shared" ref="K22:K28" si="3">B22</f>
        <v>2</v>
      </c>
      <c r="L22" s="318">
        <f t="shared" si="0"/>
        <v>2.09</v>
      </c>
      <c r="M22" s="318">
        <f t="shared" si="0"/>
        <v>0.42000000000000004</v>
      </c>
      <c r="N22" s="261">
        <f>L22*M22</f>
        <v>0.87780000000000002</v>
      </c>
      <c r="O22" s="259">
        <f>N22*K22</f>
        <v>1.7556</v>
      </c>
      <c r="P22" s="252">
        <f>P$20*N22</f>
        <v>84520.319775255877</v>
      </c>
      <c r="Q22" s="258">
        <f>P22+Q$20</f>
        <v>89520.319775255877</v>
      </c>
      <c r="R22" s="308">
        <f>K22*L22</f>
        <v>4.18</v>
      </c>
      <c r="S22" s="14"/>
      <c r="T22" s="9"/>
      <c r="U22" s="319"/>
      <c r="W22" s="4"/>
    </row>
    <row r="23" spans="2:24" ht="17.399999999999999" x14ac:dyDescent="0.3">
      <c r="B23" s="325">
        <v>2</v>
      </c>
      <c r="C23" s="309" t="s">
        <v>165</v>
      </c>
      <c r="D23" s="326">
        <v>1.45</v>
      </c>
      <c r="E23" s="326">
        <v>0.4</v>
      </c>
      <c r="F23" s="309" t="s">
        <v>167</v>
      </c>
      <c r="G23" s="310">
        <f t="shared" si="1"/>
        <v>64447.306253409639</v>
      </c>
      <c r="H23" s="311">
        <f t="shared" si="2"/>
        <v>128894.61250681928</v>
      </c>
      <c r="I23" s="265"/>
      <c r="J23" s="47"/>
      <c r="K23" s="323">
        <f t="shared" si="3"/>
        <v>2</v>
      </c>
      <c r="L23" s="318">
        <f t="shared" si="0"/>
        <v>1.47</v>
      </c>
      <c r="M23" s="318">
        <f t="shared" si="0"/>
        <v>0.42000000000000004</v>
      </c>
      <c r="N23" s="261">
        <f>L23*M23</f>
        <v>0.61740000000000006</v>
      </c>
      <c r="O23" s="259">
        <f>N23*K23</f>
        <v>1.2348000000000001</v>
      </c>
      <c r="P23" s="252">
        <f>P$20*N23</f>
        <v>59447.306253409639</v>
      </c>
      <c r="Q23" s="258">
        <f>P23+Q$20</f>
        <v>64447.306253409639</v>
      </c>
      <c r="R23" s="308">
        <f>K23*L23</f>
        <v>2.94</v>
      </c>
      <c r="S23" s="14"/>
      <c r="T23" s="9"/>
      <c r="U23" s="319"/>
      <c r="W23" s="4"/>
    </row>
    <row r="24" spans="2:24" ht="17.399999999999999" x14ac:dyDescent="0.3">
      <c r="B24" s="342">
        <v>2</v>
      </c>
      <c r="C24" s="309" t="s">
        <v>165</v>
      </c>
      <c r="D24" s="343">
        <v>0.61</v>
      </c>
      <c r="E24" s="343">
        <v>0.4</v>
      </c>
      <c r="F24" s="309" t="s">
        <v>167</v>
      </c>
      <c r="G24" s="310">
        <f t="shared" si="1"/>
        <v>30477.416965746987</v>
      </c>
      <c r="H24" s="311">
        <f t="shared" si="2"/>
        <v>60954.833931493973</v>
      </c>
      <c r="I24" s="265"/>
      <c r="J24" s="47"/>
      <c r="K24" s="323">
        <f t="shared" si="3"/>
        <v>2</v>
      </c>
      <c r="L24" s="318">
        <f t="shared" ref="L24:L28" si="4">D24+L$19</f>
        <v>0.63</v>
      </c>
      <c r="M24" s="318">
        <f t="shared" ref="M24:M28" si="5">E24+M$19</f>
        <v>0.42000000000000004</v>
      </c>
      <c r="N24" s="261">
        <f t="shared" ref="N24:N28" si="6">L24*M24</f>
        <v>0.2646</v>
      </c>
      <c r="O24" s="259">
        <f t="shared" ref="O24:O28" si="7">N24*K24</f>
        <v>0.5292</v>
      </c>
      <c r="P24" s="252">
        <f t="shared" ref="P24:P28" si="8">P$20*N24</f>
        <v>25477.416965746987</v>
      </c>
      <c r="Q24" s="258">
        <f t="shared" ref="Q24:Q30" si="9">P24+Q$20</f>
        <v>30477.416965746987</v>
      </c>
      <c r="R24" s="308">
        <f t="shared" ref="R24:R28" si="10">K24*L24</f>
        <v>1.26</v>
      </c>
      <c r="S24" s="14"/>
      <c r="T24" s="9"/>
      <c r="U24" s="319"/>
      <c r="W24" s="4"/>
    </row>
    <row r="25" spans="2:24" ht="17.399999999999999" x14ac:dyDescent="0.3">
      <c r="B25" s="342">
        <v>2</v>
      </c>
      <c r="C25" s="309" t="s">
        <v>165</v>
      </c>
      <c r="D25" s="343">
        <v>2.0699999999999998</v>
      </c>
      <c r="E25" s="343">
        <v>0.4</v>
      </c>
      <c r="F25" s="309" t="s">
        <v>167</v>
      </c>
      <c r="G25" s="310">
        <f t="shared" si="1"/>
        <v>89520.319775255877</v>
      </c>
      <c r="H25" s="311">
        <f t="shared" si="2"/>
        <v>179040.63955051175</v>
      </c>
      <c r="I25" s="265"/>
      <c r="J25" s="47"/>
      <c r="K25" s="323">
        <f t="shared" si="3"/>
        <v>2</v>
      </c>
      <c r="L25" s="318">
        <f t="shared" si="4"/>
        <v>2.09</v>
      </c>
      <c r="M25" s="318">
        <f t="shared" si="5"/>
        <v>0.42000000000000004</v>
      </c>
      <c r="N25" s="261">
        <f t="shared" si="6"/>
        <v>0.87780000000000002</v>
      </c>
      <c r="O25" s="259">
        <f t="shared" si="7"/>
        <v>1.7556</v>
      </c>
      <c r="P25" s="252">
        <f t="shared" si="8"/>
        <v>84520.319775255877</v>
      </c>
      <c r="Q25" s="258">
        <f t="shared" si="9"/>
        <v>89520.319775255877</v>
      </c>
      <c r="R25" s="308">
        <f t="shared" si="10"/>
        <v>4.18</v>
      </c>
      <c r="S25" s="14"/>
      <c r="T25" s="9"/>
      <c r="U25" s="319"/>
      <c r="W25" s="4"/>
    </row>
    <row r="26" spans="2:24" ht="17.399999999999999" x14ac:dyDescent="0.3">
      <c r="B26" s="342">
        <v>2</v>
      </c>
      <c r="C26" s="309" t="s">
        <v>165</v>
      </c>
      <c r="D26" s="343">
        <v>1.45</v>
      </c>
      <c r="E26" s="343">
        <v>0.4</v>
      </c>
      <c r="F26" s="309" t="s">
        <v>167</v>
      </c>
      <c r="G26" s="310">
        <f t="shared" si="1"/>
        <v>64447.306253409639</v>
      </c>
      <c r="H26" s="311">
        <f t="shared" si="2"/>
        <v>128894.61250681928</v>
      </c>
      <c r="I26" s="265"/>
      <c r="J26" s="47"/>
      <c r="K26" s="323">
        <f t="shared" si="3"/>
        <v>2</v>
      </c>
      <c r="L26" s="318">
        <f t="shared" si="4"/>
        <v>1.47</v>
      </c>
      <c r="M26" s="318">
        <f t="shared" si="5"/>
        <v>0.42000000000000004</v>
      </c>
      <c r="N26" s="261">
        <f t="shared" si="6"/>
        <v>0.61740000000000006</v>
      </c>
      <c r="O26" s="259">
        <f t="shared" si="7"/>
        <v>1.2348000000000001</v>
      </c>
      <c r="P26" s="252">
        <f t="shared" si="8"/>
        <v>59447.306253409639</v>
      </c>
      <c r="Q26" s="258">
        <f t="shared" si="9"/>
        <v>64447.306253409639</v>
      </c>
      <c r="R26" s="308">
        <f t="shared" si="10"/>
        <v>2.94</v>
      </c>
      <c r="S26" s="14"/>
      <c r="T26" s="9"/>
      <c r="U26" s="319"/>
      <c r="W26" s="4"/>
    </row>
    <row r="27" spans="2:24" ht="17.399999999999999" x14ac:dyDescent="0.3">
      <c r="B27" s="342">
        <v>1</v>
      </c>
      <c r="C27" s="309" t="s">
        <v>165</v>
      </c>
      <c r="D27" s="343">
        <v>2.0699999999999998</v>
      </c>
      <c r="E27" s="343">
        <v>0.61</v>
      </c>
      <c r="F27" s="309" t="s">
        <v>167</v>
      </c>
      <c r="G27" s="310">
        <f t="shared" si="1"/>
        <v>131780.47966288379</v>
      </c>
      <c r="H27" s="311">
        <f t="shared" si="2"/>
        <v>131780.47966288379</v>
      </c>
      <c r="I27" s="265"/>
      <c r="J27" s="47"/>
      <c r="K27" s="323">
        <f t="shared" si="3"/>
        <v>1</v>
      </c>
      <c r="L27" s="318">
        <f t="shared" si="4"/>
        <v>2.09</v>
      </c>
      <c r="M27" s="318">
        <f t="shared" si="5"/>
        <v>0.63</v>
      </c>
      <c r="N27" s="261">
        <f t="shared" si="6"/>
        <v>1.3167</v>
      </c>
      <c r="O27" s="259">
        <f t="shared" si="7"/>
        <v>1.3167</v>
      </c>
      <c r="P27" s="252">
        <f t="shared" si="8"/>
        <v>126780.47966288381</v>
      </c>
      <c r="Q27" s="258">
        <f t="shared" si="9"/>
        <v>131780.47966288379</v>
      </c>
      <c r="R27" s="308">
        <f t="shared" si="10"/>
        <v>2.09</v>
      </c>
      <c r="S27" s="14"/>
      <c r="T27" s="9"/>
      <c r="U27" s="319"/>
      <c r="W27" s="4"/>
    </row>
    <row r="28" spans="2:24" ht="17.399999999999999" x14ac:dyDescent="0.3">
      <c r="B28" s="342">
        <v>1</v>
      </c>
      <c r="C28" s="346" t="s">
        <v>165</v>
      </c>
      <c r="D28" s="343">
        <v>1.45</v>
      </c>
      <c r="E28" s="343">
        <v>0.61</v>
      </c>
      <c r="F28" s="346" t="s">
        <v>167</v>
      </c>
      <c r="G28" s="310">
        <f t="shared" si="1"/>
        <v>94170.959380114451</v>
      </c>
      <c r="H28" s="311">
        <f t="shared" si="2"/>
        <v>94170.959380114451</v>
      </c>
      <c r="I28" s="265"/>
      <c r="J28" s="47"/>
      <c r="K28" s="323">
        <f t="shared" si="3"/>
        <v>1</v>
      </c>
      <c r="L28" s="318">
        <f t="shared" si="4"/>
        <v>1.47</v>
      </c>
      <c r="M28" s="318">
        <f t="shared" si="5"/>
        <v>0.63</v>
      </c>
      <c r="N28" s="261">
        <f t="shared" si="6"/>
        <v>0.92610000000000003</v>
      </c>
      <c r="O28" s="259">
        <f t="shared" si="7"/>
        <v>0.92610000000000003</v>
      </c>
      <c r="P28" s="252">
        <f t="shared" si="8"/>
        <v>89170.959380114451</v>
      </c>
      <c r="Q28" s="258">
        <f t="shared" si="9"/>
        <v>94170.959380114451</v>
      </c>
      <c r="R28" s="308">
        <f t="shared" si="10"/>
        <v>1.47</v>
      </c>
      <c r="S28" s="14"/>
      <c r="T28" s="9"/>
      <c r="U28" s="319"/>
      <c r="W28" s="4"/>
    </row>
    <row r="29" spans="2:24" ht="17.399999999999999" x14ac:dyDescent="0.3">
      <c r="B29" s="342">
        <v>2</v>
      </c>
      <c r="C29" s="325" t="s">
        <v>165</v>
      </c>
      <c r="D29" s="347">
        <v>1.45</v>
      </c>
      <c r="E29" s="347">
        <v>0.13200000000000001</v>
      </c>
      <c r="F29" s="325" t="s">
        <v>167</v>
      </c>
      <c r="G29" s="345">
        <f t="shared" ref="G29" si="11">Q29</f>
        <v>26514.263215519677</v>
      </c>
      <c r="H29" s="311">
        <f t="shared" ref="H29" si="12">G29*B29</f>
        <v>53028.526431039354</v>
      </c>
      <c r="I29" s="265"/>
      <c r="J29" s="47"/>
      <c r="K29" s="323">
        <f t="shared" ref="K29" si="13">B29</f>
        <v>2</v>
      </c>
      <c r="L29" s="318">
        <f t="shared" ref="L29" si="14">D29+L$19</f>
        <v>1.47</v>
      </c>
      <c r="M29" s="318">
        <f t="shared" ref="M29" si="15">E29+M$19</f>
        <v>0.152</v>
      </c>
      <c r="N29" s="261">
        <f t="shared" ref="N29" si="16">L29*M29</f>
        <v>0.22344</v>
      </c>
      <c r="O29" s="259">
        <f t="shared" ref="O29" si="17">N29*K29</f>
        <v>0.44688</v>
      </c>
      <c r="P29" s="252">
        <f t="shared" ref="P29" si="18">P$20*N29</f>
        <v>21514.263215519677</v>
      </c>
      <c r="Q29" s="258">
        <f t="shared" si="9"/>
        <v>26514.263215519677</v>
      </c>
      <c r="R29" s="308">
        <f t="shared" ref="R29" si="19">K29*L29</f>
        <v>2.94</v>
      </c>
      <c r="S29" s="14"/>
      <c r="T29" s="9"/>
      <c r="U29" s="319"/>
      <c r="W29" s="4"/>
    </row>
    <row r="30" spans="2:24" ht="17.399999999999999" x14ac:dyDescent="0.3">
      <c r="B30" s="342">
        <v>2</v>
      </c>
      <c r="C30" s="325" t="s">
        <v>165</v>
      </c>
      <c r="D30" s="347">
        <v>0.3</v>
      </c>
      <c r="E30" s="347">
        <v>0.13200000000000001</v>
      </c>
      <c r="F30" s="325"/>
      <c r="G30" s="344"/>
      <c r="H30" s="344"/>
      <c r="I30" s="265"/>
      <c r="J30" s="47"/>
      <c r="K30" s="323">
        <f t="shared" ref="K30" si="20">B30</f>
        <v>2</v>
      </c>
      <c r="L30" s="318">
        <f t="shared" ref="L30" si="21">D30+L$19</f>
        <v>0.32</v>
      </c>
      <c r="M30" s="318">
        <f t="shared" ref="M30" si="22">E30+M$19</f>
        <v>0.152</v>
      </c>
      <c r="N30" s="261">
        <f t="shared" ref="N30" si="23">L30*M30</f>
        <v>4.8640000000000003E-2</v>
      </c>
      <c r="O30" s="259">
        <f t="shared" ref="O30" si="24">N30*K30</f>
        <v>9.7280000000000005E-2</v>
      </c>
      <c r="P30" s="252">
        <f t="shared" ref="P30" si="25">P$20*N30</f>
        <v>4683.3770265076855</v>
      </c>
      <c r="Q30" s="258">
        <f t="shared" si="9"/>
        <v>9683.3770265076855</v>
      </c>
      <c r="R30" s="308">
        <f t="shared" ref="R30" si="26">K30*L30</f>
        <v>0.64</v>
      </c>
      <c r="S30" s="14"/>
      <c r="T30" s="9"/>
      <c r="U30" s="319"/>
      <c r="W30" s="4"/>
    </row>
    <row r="31" spans="2:24" ht="17.399999999999999" x14ac:dyDescent="0.3">
      <c r="B31" s="342"/>
      <c r="C31" s="342"/>
      <c r="D31" s="343"/>
      <c r="E31" s="343"/>
      <c r="F31" s="342"/>
      <c r="G31" s="344"/>
      <c r="H31" s="344"/>
      <c r="I31" s="265"/>
      <c r="J31" s="47"/>
      <c r="K31" s="323"/>
      <c r="L31" s="318"/>
      <c r="M31" s="318"/>
      <c r="N31" s="261"/>
      <c r="O31" s="259"/>
      <c r="P31" s="252"/>
      <c r="Q31" s="258"/>
      <c r="R31" s="308"/>
      <c r="S31" s="14"/>
      <c r="T31" s="9"/>
      <c r="U31" s="319"/>
      <c r="W31" s="4"/>
    </row>
    <row r="32" spans="2:24" ht="17.399999999999999" x14ac:dyDescent="0.3">
      <c r="B32" s="286"/>
      <c r="C32" s="286"/>
      <c r="D32" s="287"/>
      <c r="E32" s="287"/>
      <c r="F32" s="286"/>
      <c r="G32" s="52"/>
      <c r="H32" s="327"/>
      <c r="I32" s="265"/>
      <c r="J32" s="47"/>
      <c r="K32" s="47"/>
      <c r="L32" s="39"/>
      <c r="M32" s="39"/>
      <c r="N32" s="261"/>
      <c r="O32" s="259"/>
      <c r="P32" s="252"/>
      <c r="Q32" s="258"/>
      <c r="R32" s="308"/>
      <c r="S32" s="14"/>
      <c r="T32" s="9"/>
      <c r="W32" s="4"/>
      <c r="X32">
        <f>SUM(X21:X21)</f>
        <v>19.8</v>
      </c>
    </row>
    <row r="33" spans="2:23" ht="18" x14ac:dyDescent="0.3">
      <c r="B33" s="286"/>
      <c r="C33" s="286"/>
      <c r="D33" s="287"/>
      <c r="E33" s="287"/>
      <c r="F33" s="286"/>
      <c r="G33" s="265"/>
      <c r="H33" s="328"/>
      <c r="I33" s="232"/>
      <c r="J33" s="47"/>
      <c r="K33" s="47"/>
      <c r="L33" s="39"/>
      <c r="M33" s="39"/>
      <c r="N33" s="261"/>
      <c r="O33" s="253">
        <f>SUM(O21:O30)</f>
        <v>15.441559999999999</v>
      </c>
      <c r="P33" s="252"/>
      <c r="Q33" s="258"/>
      <c r="R33" s="308"/>
      <c r="S33" s="14"/>
      <c r="T33" s="9"/>
      <c r="W33" s="4"/>
    </row>
    <row r="34" spans="2:23" ht="18" x14ac:dyDescent="0.35">
      <c r="B34" s="286"/>
      <c r="C34" s="286"/>
      <c r="D34" s="287"/>
      <c r="E34" s="287"/>
      <c r="F34" s="286"/>
      <c r="G34" s="329" t="s">
        <v>30</v>
      </c>
      <c r="H34" s="324">
        <f>SUM(H21:H33)</f>
        <v>1557447.5419469846</v>
      </c>
      <c r="I34" s="265"/>
      <c r="J34" s="47">
        <v>8698974</v>
      </c>
      <c r="K34" s="47"/>
      <c r="L34" s="39">
        <f>SUM(L21:L33)</f>
        <v>15.190000000000001</v>
      </c>
      <c r="M34" s="39"/>
      <c r="N34" s="261"/>
      <c r="O34" s="253">
        <f>O33</f>
        <v>15.441559999999999</v>
      </c>
      <c r="P34" s="252"/>
      <c r="Q34" s="258"/>
      <c r="R34" s="308"/>
      <c r="S34" s="14"/>
      <c r="T34" s="9"/>
      <c r="W34" s="4"/>
    </row>
    <row r="35" spans="2:23" ht="17.399999999999999" x14ac:dyDescent="0.3">
      <c r="B35" s="280"/>
      <c r="C35" s="283"/>
      <c r="D35" s="284"/>
      <c r="E35" s="284"/>
      <c r="F35" s="285"/>
      <c r="G35" s="307" t="s">
        <v>53</v>
      </c>
      <c r="H35" s="304">
        <f>H34*19%</f>
        <v>295915.03296992707</v>
      </c>
      <c r="I35" s="265"/>
      <c r="J35" s="47"/>
      <c r="K35" s="47"/>
      <c r="L35" s="39"/>
      <c r="M35" s="12"/>
      <c r="N35" s="12"/>
      <c r="O35" s="39">
        <f>O34*20%</f>
        <v>3.0883120000000002</v>
      </c>
      <c r="P35" s="14"/>
      <c r="Q35" s="12"/>
      <c r="R35" s="238"/>
      <c r="S35" s="14"/>
      <c r="T35" s="9"/>
      <c r="W35" s="4"/>
    </row>
    <row r="36" spans="2:23" ht="18" thickBot="1" x14ac:dyDescent="0.35">
      <c r="B36" s="276"/>
      <c r="C36" s="282"/>
      <c r="D36" s="272"/>
      <c r="E36" s="272"/>
      <c r="F36" s="273"/>
      <c r="G36" s="281" t="s">
        <v>6</v>
      </c>
      <c r="H36" s="305">
        <f>H34+H35</f>
        <v>1853362.5749169118</v>
      </c>
      <c r="I36" s="265"/>
      <c r="J36" s="47"/>
      <c r="K36" s="47"/>
      <c r="L36" s="39"/>
      <c r="M36" s="12"/>
      <c r="N36" s="12"/>
      <c r="O36" s="46">
        <f>O34+O35</f>
        <v>18.529871999999997</v>
      </c>
      <c r="P36" s="14"/>
      <c r="Q36" s="12"/>
      <c r="R36" s="238">
        <f>SUM(R21:R35)</f>
        <v>26.82</v>
      </c>
      <c r="S36" s="14"/>
      <c r="T36" s="9"/>
      <c r="W36" s="4"/>
    </row>
    <row r="37" spans="2:23" ht="17.399999999999999" x14ac:dyDescent="0.3">
      <c r="B37" s="276"/>
      <c r="C37" s="271"/>
      <c r="D37" s="272"/>
      <c r="E37" s="272"/>
      <c r="F37" s="273"/>
      <c r="H37" s="47"/>
      <c r="I37" s="265"/>
      <c r="J37" s="47"/>
      <c r="K37" s="47"/>
      <c r="L37" s="39"/>
      <c r="M37" s="12"/>
      <c r="N37" s="12"/>
      <c r="P37" s="39" t="s">
        <v>132</v>
      </c>
      <c r="Q37" s="42"/>
      <c r="R37" s="239"/>
      <c r="S37" s="14"/>
      <c r="T37" s="9"/>
      <c r="W37" s="4"/>
    </row>
    <row r="38" spans="2:23" ht="17.399999999999999" x14ac:dyDescent="0.3">
      <c r="B38" s="271"/>
      <c r="C38" s="271"/>
      <c r="D38" s="272"/>
      <c r="E38" s="272"/>
      <c r="F38" s="273"/>
      <c r="G38" s="274"/>
      <c r="H38" s="275"/>
      <c r="I38" s="265"/>
      <c r="J38" s="315"/>
      <c r="K38" s="47"/>
      <c r="L38" s="14"/>
      <c r="M38" s="12"/>
      <c r="N38" s="12"/>
      <c r="P38" s="14"/>
      <c r="Q38" s="14"/>
      <c r="R38" s="237">
        <v>40</v>
      </c>
      <c r="S38" s="14"/>
      <c r="T38" s="9"/>
      <c r="W38" s="4"/>
    </row>
    <row r="39" spans="2:23" ht="17.399999999999999" x14ac:dyDescent="0.35">
      <c r="B39" s="269"/>
      <c r="C39" s="230"/>
      <c r="D39" s="230"/>
      <c r="E39" s="232"/>
      <c r="F39" s="233"/>
      <c r="G39" s="230"/>
      <c r="H39" s="275"/>
      <c r="I39" s="265"/>
      <c r="J39" s="315"/>
      <c r="K39" s="47"/>
      <c r="L39" s="14"/>
      <c r="M39" s="14"/>
      <c r="N39" s="14"/>
      <c r="O39" s="14"/>
      <c r="P39" s="14"/>
      <c r="Q39" s="14"/>
      <c r="R39" s="237"/>
      <c r="S39" s="14"/>
      <c r="T39" s="9"/>
      <c r="W39" s="4"/>
    </row>
    <row r="40" spans="2:23" ht="17.399999999999999" x14ac:dyDescent="0.35">
      <c r="B40" s="234"/>
      <c r="C40" s="235"/>
      <c r="D40" s="236"/>
      <c r="E40" s="234"/>
      <c r="F40" s="230"/>
      <c r="G40" s="230"/>
      <c r="I40" s="265"/>
      <c r="J40" s="47"/>
      <c r="K40" s="47"/>
      <c r="L40" s="39">
        <f>O36</f>
        <v>18.529871999999997</v>
      </c>
      <c r="M40" s="12">
        <v>2500</v>
      </c>
      <c r="N40" s="12">
        <f t="shared" ref="N40:N45" si="27">L40*M40</f>
        <v>46324.679999999993</v>
      </c>
      <c r="O40" s="14" t="s">
        <v>22</v>
      </c>
      <c r="P40" s="14" t="s">
        <v>23</v>
      </c>
      <c r="Q40" s="14"/>
      <c r="R40" s="240"/>
      <c r="S40" s="14"/>
      <c r="T40" s="9"/>
      <c r="W40" s="4"/>
    </row>
    <row r="41" spans="2:23" ht="17.399999999999999" x14ac:dyDescent="0.35">
      <c r="B41" s="230"/>
      <c r="C41" s="230"/>
      <c r="D41" s="230"/>
      <c r="E41" s="230"/>
      <c r="F41" s="230"/>
      <c r="G41" s="230"/>
      <c r="I41" s="265"/>
      <c r="J41" s="47"/>
      <c r="K41" s="47"/>
      <c r="L41" s="249">
        <v>5</v>
      </c>
      <c r="M41" s="12">
        <v>25100</v>
      </c>
      <c r="N41" s="12">
        <f t="shared" si="27"/>
        <v>125500</v>
      </c>
      <c r="O41" s="39" t="s">
        <v>155</v>
      </c>
      <c r="P41" s="42"/>
      <c r="Q41" s="14"/>
      <c r="R41" s="239"/>
      <c r="S41" s="14"/>
      <c r="T41" s="9"/>
      <c r="V41">
        <v>1520</v>
      </c>
      <c r="W41" s="9" t="s">
        <v>157</v>
      </c>
    </row>
    <row r="42" spans="2:23" s="230" customFormat="1" ht="17.399999999999999" x14ac:dyDescent="0.35">
      <c r="I42" s="262"/>
      <c r="J42" s="47"/>
      <c r="K42" s="250"/>
      <c r="L42" s="14"/>
      <c r="M42" s="250">
        <v>55000</v>
      </c>
      <c r="N42" s="12">
        <f t="shared" si="27"/>
        <v>0</v>
      </c>
      <c r="O42" s="39" t="s">
        <v>32</v>
      </c>
      <c r="P42" s="42"/>
      <c r="R42" s="239"/>
      <c r="S42" s="256"/>
      <c r="V42" s="231">
        <f>V41/33</f>
        <v>46.060606060606062</v>
      </c>
      <c r="W42" s="230">
        <v>112.24</v>
      </c>
    </row>
    <row r="43" spans="2:23" s="230" customFormat="1" ht="17.399999999999999" x14ac:dyDescent="0.35">
      <c r="B43" s="24" t="s">
        <v>153</v>
      </c>
      <c r="I43" s="262"/>
      <c r="J43" s="314"/>
      <c r="K43" s="250"/>
      <c r="L43" s="14">
        <v>8</v>
      </c>
      <c r="M43" s="250">
        <v>63000</v>
      </c>
      <c r="N43" s="12">
        <f t="shared" si="27"/>
        <v>504000</v>
      </c>
      <c r="O43" s="14" t="s">
        <v>143</v>
      </c>
      <c r="P43" s="17"/>
      <c r="R43" s="237"/>
      <c r="S43" s="256"/>
      <c r="V43" s="231"/>
      <c r="W43" s="230">
        <v>112.24</v>
      </c>
    </row>
    <row r="44" spans="2:23" s="230" customFormat="1" ht="17.399999999999999" x14ac:dyDescent="0.35">
      <c r="B44" s="24" t="s">
        <v>146</v>
      </c>
      <c r="C44"/>
      <c r="D44"/>
      <c r="E44"/>
      <c r="F44"/>
      <c r="I44" s="262"/>
      <c r="J44" s="314"/>
      <c r="K44" s="250"/>
      <c r="L44" s="249"/>
      <c r="M44" s="250">
        <v>800</v>
      </c>
      <c r="N44" s="12">
        <f t="shared" si="27"/>
        <v>0</v>
      </c>
      <c r="O44" s="14" t="s">
        <v>34</v>
      </c>
      <c r="P44" s="14"/>
      <c r="Q44" s="230">
        <v>1.52</v>
      </c>
      <c r="R44" s="237"/>
      <c r="S44" s="237"/>
      <c r="W44" s="230">
        <v>112.24</v>
      </c>
    </row>
    <row r="45" spans="2:23" s="230" customFormat="1" ht="17.399999999999999" x14ac:dyDescent="0.35">
      <c r="B45" s="29" t="s">
        <v>127</v>
      </c>
      <c r="C45"/>
      <c r="D45"/>
      <c r="E45"/>
      <c r="F45" s="229" t="s">
        <v>16</v>
      </c>
      <c r="I45" s="303"/>
      <c r="J45" s="47"/>
      <c r="K45" s="250"/>
      <c r="L45" s="266"/>
      <c r="M45" s="12">
        <v>3500</v>
      </c>
      <c r="N45" s="12">
        <f t="shared" si="27"/>
        <v>0</v>
      </c>
      <c r="O45" s="14" t="s">
        <v>24</v>
      </c>
      <c r="P45" s="14"/>
      <c r="Q45">
        <v>2.44</v>
      </c>
      <c r="R45"/>
      <c r="S45" s="237">
        <v>1500</v>
      </c>
      <c r="W45" s="231">
        <f>SUM(W42:W44)</f>
        <v>336.71999999999997</v>
      </c>
    </row>
    <row r="46" spans="2:23" s="230" customFormat="1" ht="17.399999999999999" x14ac:dyDescent="0.35">
      <c r="J46" s="47"/>
      <c r="K46" s="250"/>
      <c r="L46" s="14"/>
      <c r="M46" s="12"/>
      <c r="N46" s="12">
        <f>SUM(N40:N45)</f>
        <v>675824.67999999993</v>
      </c>
      <c r="O46" s="39" t="s">
        <v>25</v>
      </c>
      <c r="P46" s="14"/>
      <c r="Q46">
        <f>Q44*Q45</f>
        <v>3.7088000000000001</v>
      </c>
      <c r="R46"/>
      <c r="S46" s="237">
        <f>R38*S45</f>
        <v>60000</v>
      </c>
      <c r="W46" s="231"/>
    </row>
    <row r="47" spans="2:23" s="230" customFormat="1" ht="17.399999999999999" x14ac:dyDescent="0.35">
      <c r="J47" s="47">
        <v>74960</v>
      </c>
      <c r="K47" s="250"/>
      <c r="L47" s="254" t="s">
        <v>35</v>
      </c>
      <c r="M47" s="12"/>
      <c r="N47" s="255">
        <f>N46*2.2</f>
        <v>1486814.2960000001</v>
      </c>
      <c r="O47" s="14" t="s">
        <v>142</v>
      </c>
      <c r="P47" s="14"/>
      <c r="Q47" s="46">
        <f>O34/Q46</f>
        <v>4.1634922346850729</v>
      </c>
      <c r="R47"/>
      <c r="S47" s="257" t="e">
        <f>S46/#REF!</f>
        <v>#REF!</v>
      </c>
      <c r="V47" s="230" t="s">
        <v>158</v>
      </c>
      <c r="W47" s="230">
        <v>4</v>
      </c>
    </row>
    <row r="48" spans="2:23" s="230" customFormat="1" ht="17.399999999999999" x14ac:dyDescent="0.35">
      <c r="G48"/>
      <c r="H48" s="260"/>
      <c r="I48" s="260"/>
      <c r="J48" s="47">
        <f>J47/1.19</f>
        <v>62991.596638655465</v>
      </c>
      <c r="K48" s="250"/>
      <c r="L48" s="14"/>
      <c r="M48" s="12"/>
      <c r="N48" s="12">
        <f>N47/O34</f>
        <v>96286.534262082336</v>
      </c>
      <c r="O48" s="45" t="s">
        <v>26</v>
      </c>
      <c r="P48" s="14"/>
      <c r="Q48" s="14"/>
      <c r="R48"/>
      <c r="S48" s="237"/>
      <c r="V48" s="230">
        <v>48000</v>
      </c>
    </row>
    <row r="49" spans="2:23" s="230" customFormat="1" ht="17.399999999999999" x14ac:dyDescent="0.35">
      <c r="G49"/>
      <c r="J49" s="47"/>
      <c r="K49" s="250"/>
      <c r="L49" s="13"/>
      <c r="M49" s="14"/>
      <c r="N49" s="17">
        <f>N47/N46</f>
        <v>2.2000000000000002</v>
      </c>
      <c r="O49" s="15"/>
      <c r="P49"/>
      <c r="Q49"/>
      <c r="R49"/>
      <c r="S49" s="237"/>
      <c r="W49" s="230">
        <f>V48*W47</f>
        <v>192000</v>
      </c>
    </row>
    <row r="50" spans="2:23" s="230" customFormat="1" ht="17.399999999999999" x14ac:dyDescent="0.35">
      <c r="G50" s="23"/>
      <c r="J50" s="47"/>
      <c r="K50" s="12"/>
      <c r="S50" s="237"/>
    </row>
    <row r="51" spans="2:23" s="230" customFormat="1" ht="17.399999999999999" x14ac:dyDescent="0.35">
      <c r="B51"/>
      <c r="C51" s="228"/>
      <c r="D51" s="22"/>
      <c r="E51" s="22"/>
      <c r="F51" s="21"/>
      <c r="G51" s="23"/>
      <c r="J51" s="47"/>
      <c r="K51" s="12"/>
      <c r="S51" s="237">
        <v>1.83</v>
      </c>
    </row>
    <row r="52" spans="2:23" ht="14.4" customHeight="1" x14ac:dyDescent="0.3">
      <c r="J52" s="47"/>
      <c r="K52" s="12"/>
      <c r="S52">
        <v>2.5</v>
      </c>
    </row>
    <row r="53" spans="2:23" x14ac:dyDescent="0.3">
      <c r="J53" s="47"/>
      <c r="K53" s="250"/>
      <c r="S53">
        <f>S51*S52</f>
        <v>4.5750000000000002</v>
      </c>
    </row>
    <row r="54" spans="2:23" x14ac:dyDescent="0.3">
      <c r="K54" s="250"/>
      <c r="S54" s="270">
        <f>O36/S53</f>
        <v>4.0502452459016389</v>
      </c>
    </row>
    <row r="55" spans="2:23" x14ac:dyDescent="0.3">
      <c r="K55" s="250"/>
    </row>
    <row r="56" spans="2:23" ht="15" customHeight="1" x14ac:dyDescent="0.3"/>
    <row r="58" spans="2:23" x14ac:dyDescent="0.3">
      <c r="N58">
        <v>40935</v>
      </c>
      <c r="O58" t="s">
        <v>17</v>
      </c>
      <c r="P58" t="s">
        <v>28</v>
      </c>
    </row>
    <row r="60" spans="2:23" x14ac:dyDescent="0.3">
      <c r="N60" s="54"/>
      <c r="O60" s="54"/>
    </row>
    <row r="61" spans="2:23" x14ac:dyDescent="0.3">
      <c r="R61" s="18"/>
      <c r="S61" s="18"/>
    </row>
    <row r="62" spans="2:23" x14ac:dyDescent="0.3">
      <c r="R62" s="18"/>
      <c r="S62" s="18"/>
    </row>
    <row r="63" spans="2:23" x14ac:dyDescent="0.3">
      <c r="R63" s="18"/>
      <c r="S63" s="18"/>
    </row>
    <row r="64" spans="2:23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2" spans="14:19" x14ac:dyDescent="0.3">
      <c r="N72" s="43"/>
    </row>
    <row r="73" spans="14:19" x14ac:dyDescent="0.3">
      <c r="N73" s="43"/>
    </row>
    <row r="74" spans="14:19" x14ac:dyDescent="0.3">
      <c r="N74" s="6"/>
    </row>
    <row r="75" spans="14:19" x14ac:dyDescent="0.3">
      <c r="N75" s="6"/>
    </row>
    <row r="83" spans="3:3" x14ac:dyDescent="0.3">
      <c r="C83" t="s">
        <v>150</v>
      </c>
    </row>
    <row r="84" spans="3:3" x14ac:dyDescent="0.3">
      <c r="C84" t="s">
        <v>149</v>
      </c>
    </row>
    <row r="87" spans="3:3" x14ac:dyDescent="0.3">
      <c r="C87" t="s">
        <v>149</v>
      </c>
    </row>
    <row r="164" spans="3:3" x14ac:dyDescent="0.3">
      <c r="C164" t="s">
        <v>149</v>
      </c>
    </row>
    <row r="165" spans="3:3" x14ac:dyDescent="0.3">
      <c r="C165" t="s">
        <v>151</v>
      </c>
    </row>
    <row r="166" spans="3:3" x14ac:dyDescent="0.3">
      <c r="C166" t="s">
        <v>152</v>
      </c>
    </row>
    <row r="591" spans="3:3" x14ac:dyDescent="0.3">
      <c r="C591" t="s">
        <v>149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45595</v>
      </c>
    </row>
    <row r="6" spans="2:31" ht="16.2" thickBot="1" x14ac:dyDescent="0.35">
      <c r="B6" s="140" t="s">
        <v>2</v>
      </c>
      <c r="C6" s="139" t="str">
        <f>'2229'!C10</f>
        <v>CONSTRUCTORA CERRO BAYO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11155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55456.161966545886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'2229'!H32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161446.16196654589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201658.7707874396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143446.16196654589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-201658.7707874396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134446.16196654589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95446.161966545886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332736.97179927531</v>
      </c>
      <c r="F15" s="216">
        <f>E15-D12</f>
        <v>131078.20101183571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95446.161966545886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135446.16196654589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'2229'!N41</f>
        <v>125500</v>
      </c>
      <c r="E19" s="123">
        <f>D19*0.19</f>
        <v>23845</v>
      </c>
      <c r="F19" s="120">
        <f>SUM(D19:E19)</f>
        <v>149345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'2229'!N40</f>
        <v>46324.679999999993</v>
      </c>
      <c r="E20" s="121">
        <f>D20*0.19</f>
        <v>8801.6891999999989</v>
      </c>
      <c r="F20" s="120">
        <f>SUM(D20:E20)</f>
        <v>55126.369199999994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171824.68</v>
      </c>
      <c r="E21" s="116">
        <f>SUM(E18:E20)</f>
        <v>32646.689200000001</v>
      </c>
      <c r="F21" s="115">
        <f>SUM(F18:F20)</f>
        <v>204471.36919999999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-32646.689200000001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171824.68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-201658.7707874396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-201658.7707874396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2024-11-07T20:16:07Z</dcterms:modified>
</cp:coreProperties>
</file>