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1F24A4B6-F043-48DA-BA1C-54EE10B9F4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7" i="1" l="1"/>
  <c r="L22" i="1"/>
  <c r="M22" i="1"/>
  <c r="S22" i="1" s="1"/>
  <c r="N22" i="1"/>
  <c r="O22" i="1"/>
  <c r="P22" i="1" s="1"/>
  <c r="L23" i="1"/>
  <c r="M23" i="1"/>
  <c r="N23" i="1"/>
  <c r="H22" i="1"/>
  <c r="H23" i="1"/>
  <c r="K33" i="1"/>
  <c r="K35" i="1"/>
  <c r="K36" i="1" s="1"/>
  <c r="N21" i="1"/>
  <c r="O23" i="1" l="1"/>
  <c r="P23" i="1" s="1"/>
  <c r="S23" i="1"/>
  <c r="K37" i="1"/>
  <c r="K38" i="1" s="1"/>
  <c r="M21" i="1"/>
  <c r="M27" i="1" s="1"/>
  <c r="L21" i="1"/>
  <c r="T21" i="1" l="1"/>
  <c r="T26" i="1" s="1"/>
  <c r="S21" i="1"/>
  <c r="S28" i="1" s="1"/>
  <c r="O21" i="1"/>
  <c r="P21" i="1" s="1"/>
  <c r="K41" i="1"/>
  <c r="S29" i="1" l="1"/>
  <c r="S30" i="1" s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3" i="1" l="1"/>
  <c r="R23" i="1" s="1"/>
  <c r="Q22" i="1"/>
  <c r="R22" i="1" s="1"/>
  <c r="O41" i="1"/>
  <c r="E15" i="3"/>
  <c r="Q21" i="1" l="1"/>
  <c r="F15" i="3"/>
  <c r="R21" i="1" l="1"/>
  <c r="H21" i="1" l="1"/>
  <c r="H26" i="1" s="1"/>
  <c r="H27" i="1" l="1"/>
  <c r="H28" i="1" s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<sst xmlns="http://schemas.openxmlformats.org/spreadsheetml/2006/main" count="233" uniqueCount="173">
  <si>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</si>
  <si>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</si>
  <si>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</si>
  <si>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</si>
  <si>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</si>
  <si>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</si>
  <si>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</si>
  <si>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</si>
  <si>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</si>
  <si>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</si>
  <si>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</si>
  <si>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</si>
  <si>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</si>
  <si>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</si>
  <si>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</si>
  <si>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</si>
  <si>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</si>
  <si>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</si>
  <si>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</si>
  <si>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</si>
  <si>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</si>
  <si>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</si>
  <si>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</si>
  <si>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</si>
  <si>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</si>
  <si>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</si>
  <si>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</si>
  <si>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</si>
  <si>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</si>
  <si>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</si>
  <si>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</si>
  <si>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</si>
  <si>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</si>
  <si>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</si>
  <si>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</si>
  <si>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</si>
  <si>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</si>
  <si>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</si>
  <si>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</si>
  <si>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</si>
  <si>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</si>
  <si>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</si>
  <si>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</si>
  <si>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</si>
  <si>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</si>
  <si>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</si>
  <si>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</si>
  <si>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</si>
  <si>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</si>
  <si>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</si>
  <si>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</si>
  <si>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</si>
  <si>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</si>
  <si>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</si>
  <si>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</si>
  <si>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</si>
  <si>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</si>
  <si>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</si>
  <si>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</si>
  <si>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</si>
  <si>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</si>
  <si>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</si>
  <si>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</si>
  <si>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</si>
  <si>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</si>
  <si>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</si>
  <si>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</si>
  <si>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</si>
  <si>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</si>
  <si>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</si>
  <si>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</si>
  <si>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</si>
  <si>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</si>
  <si>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</si>
  <si>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</si>
  <si>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</si>
  <si>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</si>
  <si>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</si>
  <si>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</si>
  <si>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</si>
  <si>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</si>
  <si>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</si>
  <si>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</si>
  <si>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</si>
  <si>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</si>
  <si>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</si>
  <si>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</si>
  <si>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</si>
  <si>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</si>
  <si>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</si>
  <si>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</si>
  <si>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</si>
  <si>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</si>
  <si>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</si>
  <si>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</si>
  <si>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</si>
  <si>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</si>
  <si>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</si>
  <si>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</si>
  <si>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</si>
  <si>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</si>
  <si>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</si>
  <si>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</si>
  <si>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</si>
  <si>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</si>
  <si>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</si>
  <si>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</si>
  <si>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</si>
  <si>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</si>
  <si>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</si>
  <si>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</si>
  <si>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</si>
  <si>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</si>
  <si>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</si>
  <si>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</si>
  <si>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</si>
  <si>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</si>
  <si>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</si>
  <si>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</si>
  <si>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</si>
  <si>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</si>
  <si>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</si>
  <si>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</si>
  <si>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</si>
  <si>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</si>
  <si>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</si>
  <si>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</si>
  <si>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</si>
  <si>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</si>
  <si>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</si>
  <si>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</si>
  <si>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</si>
  <si>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</si>
  <si>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</si>
  <si>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</si>
  <si>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</si>
  <si>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</si>
  <si>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</si>
  <si>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</si>
  <si>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</si>
  <si>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</si>
  <si>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</si>
  <si>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</si>
  <si>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</si>
  <si>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</si>
  <si>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</si>
  <si>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</si>
  <si>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</si>
  <si>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</si>
  <si>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</si>
  <si>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</si>
  <si>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</si>
  <si>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</si>
  <si>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</si>
  <si>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</si>
  <si>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</si>
  <si>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</si>
  <si>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</si>
  <si>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</si>
  <si>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</si>
  <si>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</si>
  <si>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</si>
  <si>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</si>
  <si>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</si>
  <si>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</si>
  <si>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</si>
  <si>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</si>
  <si>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5 DIAS HABILES</t>
  </si>
  <si>
    <t>N° 11169</t>
  </si>
  <si>
    <t>MATIAS CONTRERAS</t>
  </si>
  <si>
    <t>+569 8207 6592</t>
  </si>
  <si>
    <t>CENEFA 1 VUELTA (RESPALDO)</t>
  </si>
  <si>
    <t>BLANCO 2112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</si>
</sst>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1745226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CUBIERTAS SE ENTREGAN SOBREMEDIDAS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topLeftCell="A6" zoomScale="93" zoomScaleNormal="93" workbookViewId="0">
      <selection activeCell="F21" sqref="F21:F23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34" t="s">
        <v>168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169</v>
      </c>
      <c r="D10" s="243"/>
      <c r="E10" s="243"/>
      <c r="F10" s="244" t="s">
        <v>0</v>
      </c>
      <c r="G10" s="276">
        <v>45614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146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170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5" t="s">
        <v>165</v>
      </c>
      <c r="G17" s="335"/>
      <c r="H17" s="336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75522.051282051281</v>
      </c>
      <c r="R20" s="258">
        <v>3000</v>
      </c>
      <c r="S20" s="38"/>
      <c r="T20" s="14" t="s">
        <v>128</v>
      </c>
      <c r="U20" s="9"/>
      <c r="X20" s="4"/>
    </row>
    <row r="21" spans="2:25" ht="18" thickBot="1" x14ac:dyDescent="0.35">
      <c r="B21" s="329">
        <v>1</v>
      </c>
      <c r="C21" s="330" t="s">
        <v>171</v>
      </c>
      <c r="D21" s="331">
        <v>0.56000000000000005</v>
      </c>
      <c r="E21" s="331">
        <v>0.1</v>
      </c>
      <c r="F21" s="330" t="s">
        <v>172</v>
      </c>
      <c r="G21" s="332">
        <v>7833</v>
      </c>
      <c r="H21" s="333">
        <f>G21*B21</f>
        <v>7833</v>
      </c>
      <c r="I21" s="320"/>
      <c r="J21" s="265"/>
      <c r="K21" s="47"/>
      <c r="L21" s="47">
        <f>B21</f>
        <v>1</v>
      </c>
      <c r="M21" s="39">
        <f>D21+M$19</f>
        <v>0.64</v>
      </c>
      <c r="N21" s="39">
        <f>E21+$N$19</f>
        <v>0.1</v>
      </c>
      <c r="O21" s="261">
        <f t="shared" ref="O21" si="1">M21*N21</f>
        <v>6.4000000000000001E-2</v>
      </c>
      <c r="P21" s="259">
        <f t="shared" ref="P21" si="2">O21*L21</f>
        <v>6.4000000000000001E-2</v>
      </c>
      <c r="Q21" s="252">
        <f t="shared" ref="Q21" si="3">Q$20*O21</f>
        <v>4833.4112820512819</v>
      </c>
      <c r="R21" s="319">
        <f t="shared" ref="R21" si="4">Q21+R$20</f>
        <v>7833.4112820512819</v>
      </c>
      <c r="S21" s="297">
        <f>L21*M21*2</f>
        <v>1.28</v>
      </c>
      <c r="T21" s="46">
        <f>N21*2*L21*2</f>
        <v>0.4</v>
      </c>
      <c r="U21" s="9"/>
      <c r="X21" s="4"/>
    </row>
    <row r="22" spans="2:25" ht="18" thickBot="1" x14ac:dyDescent="0.35">
      <c r="B22" s="329">
        <v>1</v>
      </c>
      <c r="C22" s="330" t="s">
        <v>171</v>
      </c>
      <c r="D22" s="331">
        <v>1.54</v>
      </c>
      <c r="E22" s="331">
        <v>0.1</v>
      </c>
      <c r="F22" s="330" t="s">
        <v>172</v>
      </c>
      <c r="G22" s="332">
        <v>15235</v>
      </c>
      <c r="H22" s="333">
        <f t="shared" ref="H22:H23" si="5">G22*B22</f>
        <v>15235</v>
      </c>
      <c r="I22" s="320"/>
      <c r="J22" s="265"/>
      <c r="K22" s="47"/>
      <c r="L22" s="47">
        <f t="shared" ref="L22:L23" si="6">B22</f>
        <v>1</v>
      </c>
      <c r="M22" s="39">
        <f t="shared" ref="M22:M23" si="7">D22+M$19</f>
        <v>1.62</v>
      </c>
      <c r="N22" s="39">
        <f t="shared" ref="N22:N23" si="8">E22+$N$19</f>
        <v>0.1</v>
      </c>
      <c r="O22" s="261">
        <f t="shared" ref="O22:O23" si="9">M22*N22</f>
        <v>0.16200000000000003</v>
      </c>
      <c r="P22" s="259">
        <f t="shared" ref="P22:P23" si="10">O22*L22</f>
        <v>0.16200000000000003</v>
      </c>
      <c r="Q22" s="252">
        <f t="shared" ref="Q22:Q23" si="11">Q$20*O22</f>
        <v>12234.57230769231</v>
      </c>
      <c r="R22" s="319">
        <f t="shared" ref="R22:R23" si="12">Q22+R$20</f>
        <v>15234.57230769231</v>
      </c>
      <c r="S22" s="297">
        <f t="shared" ref="S22:S23" si="13">L22*M22*2</f>
        <v>3.24</v>
      </c>
      <c r="T22" s="46"/>
      <c r="U22" s="9"/>
      <c r="X22" s="4"/>
    </row>
    <row r="23" spans="2:25" ht="17.399999999999999" x14ac:dyDescent="0.3">
      <c r="B23" s="329">
        <v>1</v>
      </c>
      <c r="C23" s="330" t="s">
        <v>171</v>
      </c>
      <c r="D23" s="331">
        <v>1.56</v>
      </c>
      <c r="E23" s="331">
        <v>0.1</v>
      </c>
      <c r="F23" s="330" t="s">
        <v>172</v>
      </c>
      <c r="G23" s="332">
        <v>15386</v>
      </c>
      <c r="H23" s="333">
        <f t="shared" si="5"/>
        <v>15386</v>
      </c>
      <c r="I23" s="320"/>
      <c r="J23" s="265"/>
      <c r="K23" s="47"/>
      <c r="L23" s="47">
        <f t="shared" si="6"/>
        <v>1</v>
      </c>
      <c r="M23" s="39">
        <f t="shared" si="7"/>
        <v>1.6400000000000001</v>
      </c>
      <c r="N23" s="39">
        <f t="shared" si="8"/>
        <v>0.1</v>
      </c>
      <c r="O23" s="261">
        <f t="shared" si="9"/>
        <v>0.16400000000000003</v>
      </c>
      <c r="P23" s="259">
        <f t="shared" si="10"/>
        <v>0.16400000000000003</v>
      </c>
      <c r="Q23" s="252">
        <f t="shared" si="11"/>
        <v>12385.616410256413</v>
      </c>
      <c r="R23" s="319">
        <f t="shared" si="12"/>
        <v>15385.616410256413</v>
      </c>
      <c r="S23" s="297">
        <f t="shared" si="13"/>
        <v>3.2800000000000002</v>
      </c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47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38454</v>
      </c>
      <c r="I26" s="322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7"/>
      <c r="T26" s="46">
        <f>SUM(T21:T25)</f>
        <v>0.4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7306.26</v>
      </c>
      <c r="I27" s="322"/>
      <c r="J27" s="265"/>
      <c r="K27" s="47"/>
      <c r="L27" s="47"/>
      <c r="M27" s="39">
        <f>SUM(M21:M26)</f>
        <v>3.9000000000000004</v>
      </c>
      <c r="N27" s="12"/>
      <c r="O27" s="12"/>
      <c r="P27" s="253">
        <f>SUM(P21:P23)</f>
        <v>0.39000000000000007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45760.26</v>
      </c>
      <c r="I28" s="322"/>
      <c r="J28" s="265"/>
      <c r="K28" s="47"/>
      <c r="L28" s="47"/>
      <c r="M28" s="39"/>
      <c r="N28" s="12"/>
      <c r="O28" s="12"/>
      <c r="P28" s="253">
        <f>P27</f>
        <v>0.39000000000000007</v>
      </c>
      <c r="Q28" s="14"/>
      <c r="R28" s="12"/>
      <c r="S28" s="239">
        <f>SUM(S21:S27)</f>
        <v>7.8000000000000007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7.8000000000000014E-2</v>
      </c>
      <c r="Q29" s="39" t="s">
        <v>130</v>
      </c>
      <c r="R29" s="42"/>
      <c r="S29" s="240">
        <f>S28+T26</f>
        <v>8.2000000000000011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0.46800000000000008</v>
      </c>
      <c r="Q30" s="14"/>
      <c r="R30" s="14"/>
      <c r="S30" s="238">
        <f>S29*20%</f>
        <v>1.6400000000000003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9.8400000000000016</v>
      </c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0.46800000000000008</v>
      </c>
      <c r="N32" s="12">
        <v>3500</v>
      </c>
      <c r="O32" s="12">
        <f t="shared" ref="O32:O37" si="14">M32*N32</f>
        <v>1638.0000000000002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>
        <f>23500*1.19</f>
        <v>27965</v>
      </c>
      <c r="L33" s="47"/>
      <c r="M33" s="249">
        <v>0.2</v>
      </c>
      <c r="N33" s="12">
        <v>25000</v>
      </c>
      <c r="O33" s="12">
        <f t="shared" si="14"/>
        <v>5000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61840</v>
      </c>
      <c r="O34" s="12">
        <f t="shared" si="14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>
        <f>N35*1.19</f>
        <v>26775</v>
      </c>
      <c r="L35" s="250"/>
      <c r="M35" s="14">
        <v>0.3</v>
      </c>
      <c r="N35" s="250">
        <v>22500</v>
      </c>
      <c r="O35" s="12">
        <f t="shared" si="14"/>
        <v>6750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>
        <f>SUM(K33:K35)</f>
        <v>54740</v>
      </c>
      <c r="L36" s="250"/>
      <c r="M36" s="249"/>
      <c r="N36" s="250">
        <v>900</v>
      </c>
      <c r="O36" s="12">
        <f t="shared" si="14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>
        <f>K36/1.19</f>
        <v>46000</v>
      </c>
      <c r="L37" s="250"/>
      <c r="M37" s="266"/>
      <c r="N37" s="12">
        <v>1500</v>
      </c>
      <c r="O37" s="12">
        <f t="shared" si="14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>
        <f>K36-K37</f>
        <v>8740</v>
      </c>
      <c r="L38" s="250"/>
      <c r="M38" s="14"/>
      <c r="N38" s="12"/>
      <c r="O38" s="12">
        <f>SUM(O32:O37)</f>
        <v>13388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O38*2.2</f>
        <v>29453.600000000002</v>
      </c>
      <c r="P39" s="14" t="s">
        <v>140</v>
      </c>
      <c r="Q39" s="14"/>
      <c r="R39" s="40">
        <f>P30/R38</f>
        <v>0.12618636755823989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91700</v>
      </c>
      <c r="L40" s="250"/>
      <c r="M40" s="14"/>
      <c r="N40" s="12"/>
      <c r="O40" s="12">
        <f>O39/P28</f>
        <v>75522.051282051281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77058.823529411762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45614</v>
      </c>
    </row>
    <row r="6" spans="2:31" ht="16.2" thickBot="1" x14ac:dyDescent="0.35">
      <c r="B6" s="140" t="s">
        <v>2</v>
      </c>
      <c r="C6" s="139" t="str">
        <f>'2229'!C10</f>
        <v>MATIAS CONTRERAS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11169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3620.8249665458934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38454</v>
      </c>
      <c r="E11" s="132">
        <f>D11*0.19</f>
        <v>7306.26</v>
      </c>
      <c r="F11" s="131">
        <f>E11+D11</f>
        <v>45760.26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109610.82496654589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36472.090787439614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91610.824966545886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1981.9092125603856</v>
      </c>
      <c r="E13" s="221">
        <f>(D11/D12)-1</f>
        <v>5.4340433185226633E-2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82610.824966545886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43610.824966545893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60178.94979927536</v>
      </c>
      <c r="F15" s="216">
        <f>E15-D12</f>
        <v>23706.859011835746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43610.824966545893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83610.824966545886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1638.0000000000002</v>
      </c>
      <c r="E20" s="121">
        <f>D20*0.19</f>
        <v>311.22000000000003</v>
      </c>
      <c r="F20" s="120">
        <f>SUM(D20:E20)</f>
        <v>1949.2200000000003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6638</v>
      </c>
      <c r="E21" s="116">
        <f>SUM(E18:E20)</f>
        <v>1261.22</v>
      </c>
      <c r="F21" s="115">
        <f>SUM(F18:F20)</f>
        <v>7899.22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6045.04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38454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6638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1981.9092125603856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1981.9092125603856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2024-11-15T12:18:00Z</cp:lastPrinted>
  <dcterms:created xsi:type="dcterms:W3CDTF">2013-03-18T13:35:42Z</dcterms:created>
  <dcterms:modified xsi:type="dcterms:W3CDTF">2024-11-25T14:42:32Z</dcterms:modified>
</cp:coreProperties>
</file>