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3A69E1DB-1351-47B0-B5C2-1F31CBA0D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P28" i="1"/>
  <c r="L23" i="1"/>
  <c r="M23" i="1"/>
  <c r="N23" i="1"/>
  <c r="O23" i="1"/>
  <c r="P23" i="1" s="1"/>
  <c r="H23" i="1"/>
  <c r="H24" i="1"/>
  <c r="L22" i="1" l="1"/>
  <c r="M22" i="1"/>
  <c r="N22" i="1"/>
  <c r="H22" i="1"/>
  <c r="L21" i="1"/>
  <c r="N21" i="1"/>
  <c r="S22" i="1" l="1"/>
  <c r="O22" i="1"/>
  <c r="P22" i="1" s="1"/>
  <c r="M21" i="1"/>
  <c r="M28" i="1" l="1"/>
  <c r="S21" i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3" i="1" s="1"/>
  <c r="R23" i="1" s="1"/>
  <c r="D21" i="3"/>
  <c r="M43" i="3" s="1"/>
  <c r="D12" i="3" s="1"/>
  <c r="F20" i="3"/>
  <c r="F21" i="3" s="1"/>
  <c r="Q22" i="1" l="1"/>
  <c r="R22" i="1" s="1"/>
  <c r="O42" i="1"/>
  <c r="E15" i="3"/>
  <c r="Q21" i="1" l="1"/>
  <c r="F15" i="3"/>
  <c r="R21" i="1" l="1"/>
  <c r="H21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<sst xmlns="http://schemas.openxmlformats.org/spreadsheetml/2006/main" count="235" uniqueCount="177">
  <si>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</si>
  <si>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</si>
  <si>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</si>
  <si>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</si>
  <si>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</si>
  <si>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</si>
  <si>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</si>
  <si>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</si>
  <si>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</si>
  <si>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</si>
  <si>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</si>
  <si>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</si>
  <si>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</si>
  <si>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</si>
  <si>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</si>
  <si>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</si>
  <si>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</si>
  <si>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</si>
  <si>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</si>
  <si>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</si>
  <si>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</si>
  <si>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</si>
  <si>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</si>
  <si>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</si>
  <si>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</si>
  <si>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</si>
  <si>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</si>
  <si>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</si>
  <si>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</si>
  <si>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</si>
  <si>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</si>
  <si>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</si>
  <si>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</si>
  <si>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</si>
  <si>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</si>
  <si>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</si>
  <si>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</si>
  <si>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</si>
  <si>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</si>
  <si>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</si>
  <si>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</si>
  <si>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</si>
  <si>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</si>
  <si>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</si>
  <si>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</si>
  <si>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</si>
  <si>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</si>
  <si>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</si>
  <si>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</si>
  <si>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</si>
  <si>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</si>
  <si>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</si>
  <si>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</si>
  <si>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</si>
  <si>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</si>
  <si>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</si>
  <si>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</si>
  <si>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</si>
  <si>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</si>
  <si>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</si>
  <si>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</si>
  <si>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</si>
  <si>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</si>
  <si>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</si>
  <si>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</si>
  <si>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</si>
  <si>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</si>
  <si>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</si>
  <si>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</si>
  <si>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</si>
  <si>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</si>
  <si>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</si>
  <si>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</si>
  <si>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</si>
  <si>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</si>
  <si>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</si>
  <si>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</si>
  <si>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</si>
  <si>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</si>
  <si>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</si>
  <si>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</si>
  <si>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</si>
  <si>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</si>
  <si>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</si>
  <si>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</si>
  <si>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</si>
  <si>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</si>
  <si>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</si>
  <si>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</si>
  <si>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</si>
  <si>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</si>
  <si>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</si>
  <si>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</si>
  <si>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</si>
  <si>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</si>
  <si>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</si>
  <si>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</si>
  <si>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</si>
  <si>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</si>
  <si>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</si>
  <si>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</si>
  <si>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</si>
  <si>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</si>
  <si>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</si>
  <si>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</si>
  <si>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</si>
  <si>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</si>
  <si>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</si>
  <si>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</si>
  <si>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</si>
  <si>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</si>
  <si>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</si>
  <si>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</si>
  <si>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</si>
  <si>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</si>
  <si>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</si>
  <si>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</si>
  <si>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</si>
  <si>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</si>
  <si>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</si>
  <si>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</si>
  <si>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</si>
  <si>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</si>
  <si>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</si>
  <si>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</si>
  <si>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</si>
  <si>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</si>
  <si>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</si>
  <si>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</si>
  <si>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</si>
  <si>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</si>
  <si>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</si>
  <si>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</si>
  <si>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</si>
  <si>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</si>
  <si>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</si>
  <si>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</si>
  <si>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</si>
  <si>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</si>
  <si>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</si>
  <si>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</si>
  <si>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</si>
  <si>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</si>
  <si>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</si>
  <si>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</si>
  <si>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</si>
  <si>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</si>
  <si>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</si>
  <si>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</si>
  <si>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</si>
  <si>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</si>
  <si>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</si>
  <si>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</si>
  <si>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</si>
  <si>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</si>
  <si>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</si>
  <si>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</si>
  <si>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</si>
  <si>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</si>
  <si>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</si>
  <si>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</si>
  <si>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</si>
  <si>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</si>
  <si>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</si>
  <si>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</si>
  <si>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</si>
  <si>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CUB C/R FRENTE 90° R8</t>
  </si>
  <si>
    <t>7 DIAS HABILES</t>
  </si>
  <si>
    <t>N° 11207</t>
  </si>
  <si>
    <t>PAULA PIZARRO</t>
  </si>
  <si>
    <t>+569 2027 8960</t>
  </si>
  <si>
    <t>SANTIAGO</t>
  </si>
  <si>
    <t>ZENTENO</t>
  </si>
  <si>
    <t>GALAXIA GRAFITO 0491 MT</t>
  </si>
  <si>
    <t>CUB MESA 90° R8 3 LADOS</t>
  </si>
  <si>
    <t>SERVICIO DE DESMONTAJE E INSTALACION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</si>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</sst>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DESPACHO, NO INCLUYE GASFITERIA, SE DEBE CONSULTAR EN CASO DE NECESITAR ESTE SERVICIO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176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176</v>
      </c>
      <c r="H15" s="289"/>
    </row>
    <row r="16" spans="2:24" ht="16.8" x14ac:dyDescent="0.4">
      <c r="B16" s="316" t="s">
        <v>3</v>
      </c>
      <c r="C16" s="306" t="s">
        <v>172</v>
      </c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171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95821.171237954026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166</v>
      </c>
      <c r="D21" s="331">
        <v>1.38</v>
      </c>
      <c r="E21" s="331">
        <v>0.55000000000000004</v>
      </c>
      <c r="F21" s="330" t="s">
        <v>173</v>
      </c>
      <c r="G21" s="332">
        <v>79944</v>
      </c>
      <c r="H21" s="332">
        <f>G21*B21</f>
        <v>79944</v>
      </c>
      <c r="I21" s="320"/>
      <c r="J21" s="265"/>
      <c r="K21" s="47"/>
      <c r="L21" s="47">
        <f>B21</f>
        <v>1</v>
      </c>
      <c r="M21" s="39">
        <f>D21+M$19</f>
        <v>1.46</v>
      </c>
      <c r="N21" s="39">
        <f>E21+$N$19</f>
        <v>0.55000000000000004</v>
      </c>
      <c r="O21" s="261">
        <f t="shared" ref="O21" si="1">M21*N21</f>
        <v>0.80300000000000005</v>
      </c>
      <c r="P21" s="259">
        <f t="shared" ref="P21" si="2">O21*L21</f>
        <v>0.80300000000000005</v>
      </c>
      <c r="Q21" s="252">
        <f t="shared" ref="Q21" si="3">Q$20*O21</f>
        <v>76944.400504077086</v>
      </c>
      <c r="R21" s="319">
        <f t="shared" ref="R21" si="4">Q21+R$20</f>
        <v>79944.400504077086</v>
      </c>
      <c r="S21" s="297">
        <f>M21*L21</f>
        <v>1.46</v>
      </c>
      <c r="T21" s="46">
        <f>N21*2*L21*2</f>
        <v>2.2000000000000002</v>
      </c>
      <c r="U21" s="9"/>
      <c r="X21" s="4"/>
    </row>
    <row r="22" spans="2:25" ht="17.399999999999999" x14ac:dyDescent="0.3">
      <c r="B22" s="330">
        <v>1</v>
      </c>
      <c r="C22" s="330" t="s">
        <v>166</v>
      </c>
      <c r="D22" s="331">
        <v>1.42</v>
      </c>
      <c r="E22" s="331">
        <v>0.55000000000000004</v>
      </c>
      <c r="F22" s="330" t="s">
        <v>173</v>
      </c>
      <c r="G22" s="332">
        <v>82052</v>
      </c>
      <c r="H22" s="332">
        <f t="shared" ref="H22:H24" si="5">G22*B22</f>
        <v>82052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1.5</v>
      </c>
      <c r="N22" s="39">
        <f t="shared" ref="N22" si="8">E22+$N$19</f>
        <v>0.55000000000000004</v>
      </c>
      <c r="O22" s="261">
        <f t="shared" ref="O22" si="9">M22*N22</f>
        <v>0.82500000000000007</v>
      </c>
      <c r="P22" s="259">
        <f t="shared" ref="P22" si="10">O22*L22</f>
        <v>0.82500000000000007</v>
      </c>
      <c r="Q22" s="252">
        <f t="shared" ref="Q22" si="11">Q$20*O22</f>
        <v>79052.466271312078</v>
      </c>
      <c r="R22" s="319">
        <f t="shared" ref="R22" si="12">Q22+R$20</f>
        <v>82052.466271312078</v>
      </c>
      <c r="S22" s="297">
        <f>M22*L22</f>
        <v>1.5</v>
      </c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1">
        <v>1.05</v>
      </c>
      <c r="E23" s="331">
        <v>0.35</v>
      </c>
      <c r="F23" s="330" t="s">
        <v>173</v>
      </c>
      <c r="G23" s="332">
        <v>40897</v>
      </c>
      <c r="H23" s="332">
        <f t="shared" si="5"/>
        <v>40897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1.1300000000000001</v>
      </c>
      <c r="N23" s="39">
        <f t="shared" ref="N23" si="15">E23+$N$19</f>
        <v>0.35</v>
      </c>
      <c r="O23" s="261">
        <f t="shared" ref="O23" si="16">M23*N23</f>
        <v>0.39550000000000002</v>
      </c>
      <c r="P23" s="259">
        <f t="shared" ref="P23" si="17">O23*L23</f>
        <v>0.39550000000000002</v>
      </c>
      <c r="Q23" s="252">
        <f t="shared" ref="Q23" si="18">Q$20*O23</f>
        <v>37897.273224610821</v>
      </c>
      <c r="R23" s="319">
        <f t="shared" ref="R23" si="19">Q23+R$20</f>
        <v>40897.273224610821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175</v>
      </c>
      <c r="D24" s="331"/>
      <c r="E24" s="331"/>
      <c r="F24" s="330"/>
      <c r="G24" s="332">
        <v>135000</v>
      </c>
      <c r="H24" s="332">
        <f t="shared" si="5"/>
        <v>135000</v>
      </c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337893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2.2000000000000002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64199.67</v>
      </c>
      <c r="I28" s="322"/>
      <c r="J28" s="265"/>
      <c r="K28" s="47"/>
      <c r="L28" s="47"/>
      <c r="M28" s="39">
        <f>SUM(M21:M27)</f>
        <v>4.09</v>
      </c>
      <c r="N28" s="12"/>
      <c r="O28" s="12"/>
      <c r="P28" s="253">
        <f>SUM(P21:P26)</f>
        <v>2.0235000000000003</v>
      </c>
      <c r="Q28" s="14"/>
      <c r="R28" s="12"/>
      <c r="S28" s="239">
        <f>SUM(S21:S27)</f>
        <v>2.96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402092.67</v>
      </c>
      <c r="I29" s="322"/>
      <c r="J29" s="265"/>
      <c r="K29" s="47"/>
      <c r="L29" s="47"/>
      <c r="M29" s="39"/>
      <c r="N29" s="12"/>
      <c r="O29" s="12"/>
      <c r="P29" s="253">
        <f>P28</f>
        <v>2.0235000000000003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0.40470000000000006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2.4282000000000004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2.4282000000000004</v>
      </c>
      <c r="N33" s="12">
        <v>3500</v>
      </c>
      <c r="O33" s="12">
        <f t="shared" ref="O33:O38" si="20">M33*N33</f>
        <v>8498.7000000000007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25000</v>
      </c>
      <c r="O34" s="12">
        <f t="shared" si="20"/>
        <v>25000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20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1</v>
      </c>
      <c r="N36" s="250">
        <v>51200</v>
      </c>
      <c r="O36" s="12">
        <f t="shared" si="20"/>
        <v>51200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0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2.29</v>
      </c>
      <c r="N38" s="12">
        <v>1500</v>
      </c>
      <c r="O38" s="12">
        <f t="shared" si="20"/>
        <v>3435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88133.7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193894.14</v>
      </c>
      <c r="P40" s="14" t="s">
        <v>140</v>
      </c>
      <c r="Q40" s="14"/>
      <c r="R40" s="40">
        <f>P31/R39</f>
        <v>0.65471311475409844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60910</v>
      </c>
      <c r="L41" s="250"/>
      <c r="M41" s="14"/>
      <c r="N41" s="12"/>
      <c r="O41" s="12">
        <f>O40/P29</f>
        <v>95821.171237954026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51184.873949579836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45637</v>
      </c>
    </row>
    <row r="6" spans="2:31" ht="16.2" thickBot="1" x14ac:dyDescent="0.35">
      <c r="B6" s="140" t="s">
        <v>2</v>
      </c>
      <c r="C6" s="139" t="str">
        <f>'2229'!C10</f>
        <v>PAULA PIZARRO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-38898.982533454109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337893</v>
      </c>
      <c r="E11" s="132">
        <f>D11*0.19</f>
        <v>64199.67</v>
      </c>
      <c r="F11" s="131">
        <f>E11+D11</f>
        <v>402092.67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67091.017466545891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63332.790787439611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49091.017466545891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274560.20921256038</v>
      </c>
      <c r="E13" s="221">
        <f>(D11/D12)-1</f>
        <v>4.3351983356307766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40091.017466545891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1091.0174665458908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104499.10479927536</v>
      </c>
      <c r="F15" s="216">
        <f>E15-D12</f>
        <v>41166.314011835748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1091.0174665458908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41091.017466545891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8498.7000000000007</v>
      </c>
      <c r="E20" s="121">
        <f>D20*0.19</f>
        <v>1614.7530000000002</v>
      </c>
      <c r="F20" s="120">
        <f>SUM(D20:E20)</f>
        <v>10113.453000000001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33498.699999999997</v>
      </c>
      <c r="E21" s="116">
        <f>SUM(E18:E20)</f>
        <v>6364.7530000000006</v>
      </c>
      <c r="F21" s="115">
        <f>SUM(F18:F20)</f>
        <v>39863.453000000001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57834.917000000001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337893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33498.699999999997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274560.20921256038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274560.20921256038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2024-12-11T20:30:54Z</dcterms:modified>
</cp:coreProperties>
</file>