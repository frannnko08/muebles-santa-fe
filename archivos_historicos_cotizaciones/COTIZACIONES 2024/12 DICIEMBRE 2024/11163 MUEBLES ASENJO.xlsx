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33E1B5C7-C17C-434E-B3CB-FCE0563C5C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N32" i="1"/>
  <c r="J33" i="1"/>
  <c r="L21" i="1"/>
  <c r="M21" i="1"/>
  <c r="L25" i="1"/>
  <c r="R21" i="1" l="1"/>
  <c r="N21" i="1"/>
  <c r="O21" i="1" s="1"/>
  <c r="R27" i="1" l="1"/>
  <c r="O26" i="1"/>
  <c r="J39" i="1"/>
  <c r="O27" i="1" l="1"/>
  <c r="O28" i="1" s="1"/>
  <c r="O29" i="1" s="1"/>
  <c r="L31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G21" i="1"/>
  <c r="H21" i="1" s="1"/>
  <c r="H23" i="1" l="1"/>
  <c r="D11" i="3"/>
  <c r="X9" i="3" s="1"/>
  <c r="X15" i="3" s="1"/>
  <c r="H24" i="1" l="1"/>
  <c r="H25" i="1" s="1"/>
  <c r="K15" i="1"/>
  <c r="D13" i="3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<sst xmlns="http://schemas.openxmlformats.org/spreadsheetml/2006/main" count="220" uniqueCount="166">
  <si>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</si>
  <si>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</si>
  <si>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</si>
  <si>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</si>
  <si>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</si>
  <si>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</si>
  <si>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</si>
  <si>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</si>
  <si>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</si>
  <si>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</si>
  <si>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</si>
  <si>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</si>
  <si>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</si>
  <si>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</si>
  <si>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</si>
  <si>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</si>
  <si>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</si>
  <si>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</si>
  <si>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</si>
  <si>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</si>
  <si>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</si>
  <si>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</si>
  <si>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</si>
  <si>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</si>
  <si>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</si>
  <si>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</si>
  <si>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</si>
  <si>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</si>
  <si>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</si>
  <si>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</si>
  <si>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</si>
  <si>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</si>
  <si>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</si>
  <si>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</si>
  <si>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</si>
  <si>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</si>
  <si>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</si>
  <si>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</si>
  <si>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</si>
  <si>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</si>
  <si>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</si>
  <si>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</si>
  <si>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</si>
  <si>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</si>
  <si>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</si>
  <si>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</si>
  <si>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</si>
  <si>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</si>
  <si>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</si>
  <si>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</si>
  <si>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</si>
  <si>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</si>
  <si>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</si>
  <si>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</si>
  <si>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</si>
  <si>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</si>
  <si>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</si>
  <si>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</si>
  <si>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</si>
  <si>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</si>
  <si>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</si>
  <si>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</si>
  <si>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</si>
  <si>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</si>
  <si>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</si>
  <si>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</si>
  <si>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</si>
  <si>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</si>
  <si>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</si>
  <si>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</si>
  <si>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</si>
  <si>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</si>
  <si>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</si>
  <si>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</si>
  <si>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</si>
  <si>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</si>
  <si>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</si>
  <si>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</si>
  <si>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</si>
  <si>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</si>
  <si>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</si>
  <si>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</si>
  <si>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</si>
  <si>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</si>
  <si>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</si>
  <si>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</si>
  <si>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</si>
  <si>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</si>
  <si>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</si>
  <si>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</si>
  <si>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</si>
  <si>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</si>
  <si>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</si>
  <si>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</si>
  <si>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</si>
  <si>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</si>
  <si>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</si>
  <si>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</si>
  <si>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</si>
  <si>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</si>
  <si>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</si>
  <si>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</si>
  <si>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</si>
  <si>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</si>
  <si>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</si>
  <si>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</si>
  <si>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</si>
  <si>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</si>
  <si>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</si>
  <si>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</si>
  <si>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</si>
  <si>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</si>
  <si>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</si>
  <si>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</si>
  <si>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</si>
  <si>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</si>
  <si>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</si>
  <si>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</si>
  <si>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</si>
  <si>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</si>
  <si>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</si>
  <si>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</si>
  <si>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</si>
  <si>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</si>
  <si>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</si>
  <si>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</si>
  <si>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</si>
  <si>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</si>
  <si>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</si>
  <si>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</si>
  <si>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</si>
  <si>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</si>
  <si>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</si>
  <si>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</si>
  <si>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</si>
  <si>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</si>
  <si>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</si>
  <si>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</si>
  <si>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</si>
  <si>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</si>
  <si>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</si>
  <si>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</si>
  <si>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</si>
  <si>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</si>
  <si>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</si>
  <si>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</si>
  <si>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</si>
  <si>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</si>
  <si>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</si>
  <si>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</si>
  <si>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</si>
  <si>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</si>
  <si>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</si>
  <si>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</si>
  <si>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</si>
  <si>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</si>
  <si>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</si>
  <si>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 xml:space="preserve">+569 </t>
  </si>
  <si>
    <t>MUEBLES ASENJO</t>
  </si>
  <si>
    <t>MDF30MM</t>
  </si>
  <si>
    <t>BLANCO MERINO</t>
  </si>
  <si>
    <t>SI</t>
  </si>
  <si>
    <t>3 DIAS HABILES</t>
  </si>
  <si>
    <t>MIGUEL ASENJO</t>
  </si>
  <si>
    <t>CUB MESA 2L MDF 25MM</t>
  </si>
  <si>
    <t>N° 11163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</si>
</sst>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37" fillId="0" borderId="0" xfId="0" applyFont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57" xfId="2" applyNumberFormat="1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7776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26</xdr:row>
      <xdr:rowOff>9525</xdr:rowOff>
    </xdr:from>
    <xdr:to>
      <xdr:col>5</xdr:col>
      <xdr:colOff>1679511</xdr:colOff>
      <xdr:row>29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0</xdr:rowOff>
    </xdr:from>
    <xdr:to>
      <xdr:col>5</xdr:col>
      <xdr:colOff>1656183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3" zoomScale="98" zoomScaleNormal="98" workbookViewId="0">
      <selection activeCell="D15" sqref="D15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1" t="s">
        <v>165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45610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8"/>
      <c r="F11" t="s">
        <v>125</v>
      </c>
      <c r="G11" s="288" t="s">
        <v>162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08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163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2" t="s">
        <v>157</v>
      </c>
      <c r="D15" s="294"/>
      <c r="E15" s="247"/>
      <c r="F15" s="247" t="s">
        <v>136</v>
      </c>
      <c r="G15" s="295" t="s">
        <v>161</v>
      </c>
      <c r="H15" s="248"/>
      <c r="K15" s="18">
        <f>H23/L13</f>
        <v>2630.7944208611284</v>
      </c>
    </row>
    <row r="16" spans="2:23" ht="16.8" x14ac:dyDescent="0.4">
      <c r="B16" s="291" t="s">
        <v>3</v>
      </c>
      <c r="C16" s="308"/>
      <c r="F16" s="292" t="s">
        <v>131</v>
      </c>
      <c r="G16" s="293" t="s">
        <v>156</v>
      </c>
      <c r="H16" s="289"/>
    </row>
    <row r="17" spans="1:24" ht="15" thickBot="1" x14ac:dyDescent="0.35">
      <c r="B17" s="296" t="s">
        <v>13</v>
      </c>
      <c r="C17" s="297" t="s">
        <v>152</v>
      </c>
      <c r="D17" s="298"/>
      <c r="E17" s="299"/>
      <c r="F17" s="327" t="s">
        <v>153</v>
      </c>
      <c r="G17" s="327"/>
      <c r="H17" s="328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9" t="s">
        <v>148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3" t="s">
        <v>7</v>
      </c>
      <c r="C20" s="314" t="s">
        <v>1</v>
      </c>
      <c r="D20" s="314" t="s">
        <v>10</v>
      </c>
      <c r="E20" s="314" t="s">
        <v>11</v>
      </c>
      <c r="F20" s="314" t="s">
        <v>8</v>
      </c>
      <c r="G20" s="314" t="s">
        <v>5</v>
      </c>
      <c r="H20" s="315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54568.301886792462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24">
        <v>1</v>
      </c>
      <c r="C21" s="325" t="s">
        <v>164</v>
      </c>
      <c r="D21" s="326">
        <v>2.6</v>
      </c>
      <c r="E21" s="326">
        <v>0.6</v>
      </c>
      <c r="F21" s="316" t="s">
        <v>160</v>
      </c>
      <c r="G21" s="317">
        <f>P21</f>
        <v>86763.6</v>
      </c>
      <c r="H21" s="318">
        <f t="shared" ref="H21" si="1">G21*B21</f>
        <v>86763.6</v>
      </c>
      <c r="I21" s="265"/>
      <c r="J21" s="47"/>
      <c r="K21" s="47">
        <f>B21</f>
        <v>1</v>
      </c>
      <c r="L21" s="39">
        <f t="shared" ref="L21" si="2">D21+L$19</f>
        <v>2.65</v>
      </c>
      <c r="M21" s="39">
        <f t="shared" ref="M21" si="3">E21+M$19</f>
        <v>0.6</v>
      </c>
      <c r="N21" s="261">
        <f t="shared" ref="N21" si="4">L21*M21</f>
        <v>1.5899999999999999</v>
      </c>
      <c r="O21" s="259">
        <f t="shared" ref="O21" si="5">N21*K21</f>
        <v>1.5899999999999999</v>
      </c>
      <c r="P21" s="252">
        <f t="shared" ref="P21" si="6">P$20*N21</f>
        <v>86763.6</v>
      </c>
      <c r="Q21" s="258">
        <f t="shared" ref="Q21" si="7">P21+Q$20</f>
        <v>89763.6</v>
      </c>
      <c r="R21" s="307">
        <f>K21*L21</f>
        <v>2.65</v>
      </c>
      <c r="S21" s="14"/>
      <c r="T21" s="9"/>
      <c r="W21" s="4"/>
    </row>
    <row r="22" spans="1:24" ht="17.399999999999999" x14ac:dyDescent="0.3">
      <c r="B22" s="285"/>
      <c r="C22" s="321"/>
      <c r="D22" s="286"/>
      <c r="E22" s="286"/>
      <c r="F22" s="285"/>
      <c r="G22" s="322"/>
      <c r="H22" s="323"/>
      <c r="I22" s="265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19" t="s">
        <v>30</v>
      </c>
      <c r="H23" s="320">
        <f>SUM(H21:H22)</f>
        <v>86763.6</v>
      </c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H23*19%</f>
        <v>16485.084000000003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103248.68400000001</v>
      </c>
      <c r="I25" s="265"/>
      <c r="J25" s="47"/>
      <c r="K25" s="47"/>
      <c r="L25" s="39" t="e">
        <f>SUM(#REF!)*2</f>
        <v>#REF!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39"/>
      <c r="M26" s="12"/>
      <c r="N26" s="12"/>
      <c r="O26" s="253">
        <f>SUM(O21:O22)</f>
        <v>1.5899999999999999</v>
      </c>
      <c r="P26" s="14"/>
      <c r="Q26" s="12"/>
      <c r="R26" s="238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4"/>
      <c r="I27" s="265"/>
      <c r="J27" s="47"/>
      <c r="K27" s="47"/>
      <c r="L27" s="39"/>
      <c r="M27" s="12"/>
      <c r="N27" s="12"/>
      <c r="O27" s="253">
        <f>O26</f>
        <v>1.5899999999999999</v>
      </c>
      <c r="P27" s="14"/>
      <c r="Q27" s="12"/>
      <c r="R27" s="238">
        <f>SUM(R21:R26)</f>
        <v>2.65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47"/>
      <c r="K28" s="47"/>
      <c r="L28" s="14"/>
      <c r="M28" s="12"/>
      <c r="N28" s="12"/>
      <c r="O28" s="39">
        <f>O27*0.2</f>
        <v>0.318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0"/>
      <c r="K29" s="47"/>
      <c r="L29" s="14"/>
      <c r="M29" s="12"/>
      <c r="N29" s="12"/>
      <c r="O29" s="46">
        <f>O27+O28</f>
        <v>1.9079999999999999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310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A31" s="230"/>
      <c r="B31" s="24" t="s">
        <v>154</v>
      </c>
      <c r="C31" s="230"/>
      <c r="D31" s="230"/>
      <c r="E31" s="230"/>
      <c r="F31" s="230"/>
      <c r="G31" s="230"/>
      <c r="H31" s="230"/>
      <c r="I31" s="265"/>
      <c r="J31" s="47">
        <v>123</v>
      </c>
      <c r="K31" s="47"/>
      <c r="L31" s="39">
        <f>O29</f>
        <v>1.9079999999999999</v>
      </c>
      <c r="M31" s="12">
        <v>2000</v>
      </c>
      <c r="N31" s="12">
        <f t="shared" ref="N31:N36" si="8">L31*M31</f>
        <v>3816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4" t="s">
        <v>155</v>
      </c>
      <c r="G32" s="230"/>
      <c r="H32" s="230"/>
      <c r="I32" s="265"/>
      <c r="J32" s="47">
        <v>76</v>
      </c>
      <c r="K32" s="47"/>
      <c r="L32" s="249">
        <v>0.5</v>
      </c>
      <c r="M32" s="12">
        <v>40000</v>
      </c>
      <c r="N32" s="12">
        <f t="shared" si="8"/>
        <v>20000</v>
      </c>
      <c r="O32" s="39" t="s">
        <v>159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47">
        <f>J31-J32</f>
        <v>47</v>
      </c>
      <c r="K33" s="250"/>
      <c r="L33" s="14"/>
      <c r="M33" s="250">
        <v>35108</v>
      </c>
      <c r="N33" s="12">
        <f t="shared" si="8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I34" s="262"/>
      <c r="J34" s="309"/>
      <c r="K34" s="250"/>
      <c r="L34" s="14">
        <v>0.5</v>
      </c>
      <c r="M34" s="250">
        <v>35000</v>
      </c>
      <c r="N34" s="12">
        <f t="shared" si="8"/>
        <v>17500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I35" s="262"/>
      <c r="J35" s="309"/>
      <c r="K35" s="250"/>
      <c r="L35" s="249"/>
      <c r="M35" s="250">
        <v>800</v>
      </c>
      <c r="N35" s="12">
        <f t="shared" si="8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/>
      <c r="M36" s="12">
        <v>500</v>
      </c>
      <c r="N36" s="12">
        <f t="shared" si="8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41316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40820</v>
      </c>
      <c r="K38" s="250"/>
      <c r="L38" s="254" t="s">
        <v>35</v>
      </c>
      <c r="M38" s="12"/>
      <c r="N38" s="255">
        <f>N37*2.1</f>
        <v>86763.6</v>
      </c>
      <c r="O38" s="14" t="s">
        <v>142</v>
      </c>
      <c r="P38" s="14"/>
      <c r="Q38" s="46">
        <f>O29/Q37</f>
        <v>0.51445211389128553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34302.521008403361</v>
      </c>
      <c r="K39" s="250"/>
      <c r="L39" s="14"/>
      <c r="M39" s="12"/>
      <c r="N39" s="12">
        <f>N38/O27</f>
        <v>54568.301886792462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2.1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0.41704918032786881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11163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293.17496654589195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86763.6</v>
      </c>
      <c r="E11" s="132">
        <f>D11*0.19</f>
        <v>16485.084000000003</v>
      </c>
      <c r="F11" s="131">
        <f>E11+D11</f>
        <v>103248.68400000001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106283.17496654589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53650.090787439614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88283.174966545892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33113.509212560391</v>
      </c>
      <c r="E13" s="221">
        <f>(D11/D12)-1</f>
        <v>0.61721254757527499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79283.174966545892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40283.174966545892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88522.649799275358</v>
      </c>
      <c r="F15" s="216">
        <f>E15-D12</f>
        <v>34872.559011835743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40283.174966545892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80283.174966545892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3816</v>
      </c>
      <c r="E20" s="121">
        <f>D20*0.19</f>
        <v>725.04</v>
      </c>
      <c r="F20" s="120">
        <f>SUM(D20:E20)</f>
        <v>4541.04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23816</v>
      </c>
      <c r="E21" s="116">
        <f>SUM(E18:E20)</f>
        <v>4525.04</v>
      </c>
      <c r="F21" s="115">
        <f>SUM(F18:F20)</f>
        <v>28341.040000000001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11960.044000000002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86763.6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23816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33113.509212560391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33113.509212560391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2024-09-27T18:52:53Z</cp:lastPrinted>
  <dcterms:created xsi:type="dcterms:W3CDTF">2013-03-18T13:35:42Z</dcterms:created>
  <dcterms:modified xsi:type="dcterms:W3CDTF">2024-11-14T11:58:53Z</dcterms:modified>
</cp:coreProperties>
</file>