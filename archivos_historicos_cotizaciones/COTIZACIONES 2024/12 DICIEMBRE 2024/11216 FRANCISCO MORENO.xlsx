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005FA700-4352-4682-A194-B73E6AC70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23" i="1" s="1"/>
  <c r="T22" i="1"/>
  <c r="T23" i="1"/>
  <c r="P27" i="1"/>
  <c r="L23" i="1"/>
  <c r="M23" i="1"/>
  <c r="N23" i="1"/>
  <c r="O23" i="1"/>
  <c r="P23" i="1" s="1"/>
  <c r="L22" i="1"/>
  <c r="M22" i="1"/>
  <c r="N22" i="1"/>
  <c r="S22" i="1"/>
  <c r="L21" i="1"/>
  <c r="N21" i="1"/>
  <c r="O22" i="1" l="1"/>
  <c r="P22" i="1" s="1"/>
  <c r="M21" i="1"/>
  <c r="M27" i="1" l="1"/>
  <c r="S21" i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G22" i="1" s="1"/>
  <c r="H22" i="1" s="1"/>
  <c r="Q23" i="1"/>
  <c r="R23" i="1" s="1"/>
  <c r="O41" i="1"/>
  <c r="E15" i="3"/>
  <c r="Q21" i="1" l="1"/>
  <c r="F15" i="3"/>
  <c r="R21" i="1" l="1"/>
  <c r="G21" i="1" s="1"/>
  <c r="H21" i="1" l="1"/>
  <c r="H26" i="1" l="1"/>
  <c r="H27" i="1" s="1"/>
  <c r="D11" i="3" l="1"/>
  <c r="X9" i="3" s="1"/>
  <c r="X15" i="3" s="1"/>
  <c r="H28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<sst xmlns="http://schemas.openxmlformats.org/spreadsheetml/2006/main" count="233" uniqueCount="173">
  <si>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</si>
  <si>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</si>
  <si>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</si>
  <si>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</si>
  <si>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</si>
  <si>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</si>
  <si>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</si>
  <si>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</si>
  <si>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</si>
  <si>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</si>
  <si>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</si>
  <si>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</si>
  <si>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</si>
  <si>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</si>
  <si>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</si>
  <si>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</si>
  <si>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</si>
  <si>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</si>
  <si>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</si>
  <si>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</si>
  <si>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</si>
  <si>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</si>
  <si>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</si>
  <si>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</si>
  <si>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</si>
  <si>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</si>
  <si>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</si>
  <si>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</si>
  <si>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</si>
  <si>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</si>
  <si>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</si>
  <si>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</si>
  <si>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</si>
  <si>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</si>
  <si>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</si>
  <si>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</si>
  <si>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</si>
  <si>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</si>
  <si>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</si>
  <si>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</si>
  <si>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</si>
  <si>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</si>
  <si>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</si>
  <si>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</si>
  <si>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</si>
  <si>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</si>
  <si>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</si>
  <si>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</si>
  <si>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</si>
  <si>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</si>
  <si>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</si>
  <si>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</si>
  <si>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</si>
  <si>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</si>
  <si>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</si>
  <si>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</si>
  <si>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</si>
  <si>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</si>
  <si>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</si>
  <si>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</si>
  <si>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</si>
  <si>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</si>
  <si>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</si>
  <si>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</si>
  <si>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</si>
  <si>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</si>
  <si>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</si>
  <si>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</si>
  <si>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</si>
  <si>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</si>
  <si>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</si>
  <si>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</si>
  <si>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</si>
  <si>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</si>
  <si>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</si>
  <si>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</si>
  <si>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</si>
  <si>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</si>
  <si>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</si>
  <si>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</si>
  <si>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</si>
  <si>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</si>
  <si>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</si>
  <si>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</si>
  <si>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</si>
  <si>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</si>
  <si>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</si>
  <si>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</si>
  <si>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</si>
  <si>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</si>
  <si>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</si>
  <si>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</si>
  <si>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</si>
  <si>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</si>
  <si>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</si>
  <si>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</si>
  <si>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</si>
  <si>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</si>
  <si>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</si>
  <si>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</si>
  <si>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</si>
  <si>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</si>
  <si>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</si>
  <si>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</si>
  <si>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</si>
  <si>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</si>
  <si>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</si>
  <si>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</si>
  <si>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</si>
  <si>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</si>
  <si>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</si>
  <si>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</si>
  <si>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</si>
  <si>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</si>
  <si>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</si>
  <si>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</si>
  <si>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</si>
  <si>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</si>
  <si>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</si>
  <si>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</si>
  <si>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</si>
  <si>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</si>
  <si>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</si>
  <si>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</si>
  <si>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</si>
  <si>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</si>
  <si>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</si>
  <si>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</si>
  <si>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</si>
  <si>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</si>
  <si>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</si>
  <si>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</si>
  <si>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</si>
  <si>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</si>
  <si>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</si>
  <si>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</si>
  <si>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</si>
  <si>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</si>
  <si>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</si>
  <si>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</si>
  <si>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</si>
  <si>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</si>
  <si>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</si>
  <si>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</si>
  <si>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</si>
  <si>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</si>
  <si>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</si>
  <si>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</si>
  <si>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</si>
  <si>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</si>
  <si>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</si>
  <si>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</si>
  <si>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</si>
  <si>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</si>
  <si>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</si>
  <si>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</si>
  <si>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</si>
  <si>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</si>
  <si>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</si>
  <si>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</si>
  <si>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</si>
  <si>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</si>
  <si>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</si>
  <si>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</si>
  <si>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</si>
  <si>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</si>
  <si>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</si>
  <si>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FRANCISCO MORENO</t>
  </si>
  <si>
    <t>+569 9004 4098</t>
  </si>
  <si>
    <t>CUB C/R FRENTE 180°</t>
  </si>
  <si>
    <t>PLATINUM 21059 SF</t>
  </si>
  <si>
    <t>N° 11216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</si>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</sst>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CON SOBRE MEDIDA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45643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58350.422132124986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2</v>
      </c>
      <c r="C21" s="330" t="s">
        <v>169</v>
      </c>
      <c r="D21" s="331">
        <v>3</v>
      </c>
      <c r="E21" s="331">
        <v>0.7</v>
      </c>
      <c r="F21" s="330" t="s">
        <v>170</v>
      </c>
      <c r="G21" s="332">
        <f>R21</f>
        <v>128803.51011686145</v>
      </c>
      <c r="H21" s="332">
        <f>G21*B21</f>
        <v>257607.0202337229</v>
      </c>
      <c r="I21" s="320"/>
      <c r="J21" s="265"/>
      <c r="K21" s="47"/>
      <c r="L21" s="47">
        <f>B21</f>
        <v>2</v>
      </c>
      <c r="M21" s="39">
        <f>D21+M$19</f>
        <v>3.08</v>
      </c>
      <c r="N21" s="39">
        <f>E21+$N$19</f>
        <v>0.7</v>
      </c>
      <c r="O21" s="261">
        <f t="shared" ref="O21" si="1">M21*N21</f>
        <v>2.1559999999999997</v>
      </c>
      <c r="P21" s="259">
        <f t="shared" ref="P21" si="2">O21*L21</f>
        <v>4.3119999999999994</v>
      </c>
      <c r="Q21" s="252">
        <f t="shared" ref="Q21" si="3">Q$20*O21</f>
        <v>125803.51011686145</v>
      </c>
      <c r="R21" s="319">
        <f t="shared" ref="R21" si="4">Q21+R$20</f>
        <v>128803.51011686145</v>
      </c>
      <c r="S21" s="297">
        <f>M21*L21</f>
        <v>6.16</v>
      </c>
      <c r="T21" s="46">
        <f>N21*2*L21*2</f>
        <v>5.6</v>
      </c>
      <c r="U21" s="9"/>
      <c r="X21" s="4"/>
    </row>
    <row r="22" spans="2:25" ht="17.399999999999999" x14ac:dyDescent="0.3">
      <c r="B22" s="330">
        <v>2</v>
      </c>
      <c r="C22" s="330" t="s">
        <v>169</v>
      </c>
      <c r="D22" s="331">
        <v>1.2</v>
      </c>
      <c r="E22" s="331">
        <v>0.7</v>
      </c>
      <c r="F22" s="330" t="s">
        <v>170</v>
      </c>
      <c r="G22" s="332">
        <f>R22</f>
        <v>55281.978230383982</v>
      </c>
      <c r="H22" s="332">
        <f>G22*B22</f>
        <v>110563.95646076796</v>
      </c>
      <c r="I22" s="320"/>
      <c r="J22" s="265"/>
      <c r="K22" s="47"/>
      <c r="L22" s="47">
        <f>B22</f>
        <v>2</v>
      </c>
      <c r="M22" s="39">
        <f>D22+M$19</f>
        <v>1.28</v>
      </c>
      <c r="N22" s="39">
        <f>E22+$N$19</f>
        <v>0.7</v>
      </c>
      <c r="O22" s="261">
        <f t="shared" ref="O22" si="5">M22*N22</f>
        <v>0.89599999999999991</v>
      </c>
      <c r="P22" s="259">
        <f t="shared" ref="P22" si="6">O22*L22</f>
        <v>1.7919999999999998</v>
      </c>
      <c r="Q22" s="252">
        <f t="shared" ref="Q22" si="7">Q$20*O22</f>
        <v>52281.978230383982</v>
      </c>
      <c r="R22" s="319">
        <f t="shared" ref="R22" si="8">Q22+R$20</f>
        <v>55281.978230383982</v>
      </c>
      <c r="S22" s="297">
        <f>M22*L22</f>
        <v>2.56</v>
      </c>
      <c r="T22" s="46">
        <f t="shared" ref="T22:T23" si="9">N22*2*L22*2</f>
        <v>5.6</v>
      </c>
      <c r="U22" s="9"/>
      <c r="X22" s="4"/>
    </row>
    <row r="23" spans="2:25" ht="17.399999999999999" x14ac:dyDescent="0.3">
      <c r="B23" s="330">
        <v>2</v>
      </c>
      <c r="C23" s="330" t="s">
        <v>169</v>
      </c>
      <c r="D23" s="331">
        <v>1.55</v>
      </c>
      <c r="E23" s="331">
        <v>0.7</v>
      </c>
      <c r="F23" s="330" t="s">
        <v>170</v>
      </c>
      <c r="G23" s="332">
        <f>R23</f>
        <v>69577.831652754612</v>
      </c>
      <c r="H23" s="332">
        <f>G23*B23</f>
        <v>139155.66330550922</v>
      </c>
      <c r="I23" s="320"/>
      <c r="J23" s="265"/>
      <c r="K23" s="47"/>
      <c r="L23" s="47">
        <f>B23</f>
        <v>2</v>
      </c>
      <c r="M23" s="39">
        <f>D23+M$19</f>
        <v>1.6300000000000001</v>
      </c>
      <c r="N23" s="39">
        <f>E23+$N$19</f>
        <v>0.7</v>
      </c>
      <c r="O23" s="261">
        <f t="shared" ref="O23" si="10">M23*N23</f>
        <v>1.141</v>
      </c>
      <c r="P23" s="259">
        <f t="shared" ref="P23" si="11">O23*L23</f>
        <v>2.282</v>
      </c>
      <c r="Q23" s="252">
        <f t="shared" ref="Q23" si="12">Q$20*O23</f>
        <v>66577.831652754612</v>
      </c>
      <c r="R23" s="319">
        <f t="shared" ref="R23" si="13">Q23+R$20</f>
        <v>69577.831652754612</v>
      </c>
      <c r="S23" s="297"/>
      <c r="T23" s="46">
        <f t="shared" si="9"/>
        <v>5.6</v>
      </c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507326.64000000013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16.799999999999997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96392.06160000003</v>
      </c>
      <c r="I27" s="322"/>
      <c r="J27" s="265"/>
      <c r="K27" s="47"/>
      <c r="L27" s="47"/>
      <c r="M27" s="39">
        <f>SUM(M21:M26)</f>
        <v>5.99</v>
      </c>
      <c r="N27" s="12"/>
      <c r="O27" s="12"/>
      <c r="P27" s="253">
        <f>SUM(P21:P25)</f>
        <v>8.3859999999999992</v>
      </c>
      <c r="Q27" s="14"/>
      <c r="R27" s="12"/>
      <c r="S27" s="239">
        <f>SUM(S21:S26)</f>
        <v>8.7200000000000006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603718.70160000015</v>
      </c>
      <c r="I28" s="322"/>
      <c r="J28" s="265"/>
      <c r="K28" s="47"/>
      <c r="L28" s="47"/>
      <c r="M28" s="39"/>
      <c r="N28" s="12"/>
      <c r="O28" s="12"/>
      <c r="P28" s="253">
        <f>P27</f>
        <v>8.3859999999999992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1.6772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10.063199999999998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10.063199999999998</v>
      </c>
      <c r="N32" s="12">
        <v>3500</v>
      </c>
      <c r="O32" s="12">
        <f t="shared" ref="O32:O37" si="14">M32*N32</f>
        <v>35221.199999999997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3</v>
      </c>
      <c r="N33" s="12">
        <v>25000</v>
      </c>
      <c r="O33" s="12">
        <f t="shared" si="14"/>
        <v>75000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1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3</v>
      </c>
      <c r="N35" s="250">
        <v>29000</v>
      </c>
      <c r="O35" s="12">
        <f t="shared" si="14"/>
        <v>87000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16.8</v>
      </c>
      <c r="N37" s="12">
        <v>1500</v>
      </c>
      <c r="O37" s="12">
        <f t="shared" si="14"/>
        <v>25200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222421.2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489326.64000000007</v>
      </c>
      <c r="P39" s="14" t="s">
        <v>140</v>
      </c>
      <c r="Q39" s="14"/>
      <c r="R39" s="40">
        <f>P30/R38</f>
        <v>2.7133304572907675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60910</v>
      </c>
      <c r="L40" s="250"/>
      <c r="M40" s="14"/>
      <c r="N40" s="12"/>
      <c r="O40" s="12">
        <f>O39/P28</f>
        <v>58350.422132124986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51184.873949579836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45643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11216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-46039.235033454133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507326.64000000013</v>
      </c>
      <c r="E11" s="132">
        <f>D11*0.19</f>
        <v>96392.06160000003</v>
      </c>
      <c r="F11" s="131">
        <f>E11+D11</f>
        <v>603718.70160000015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59950.764966545867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140055.29078743962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41950.764966545867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367271.34921256051</v>
      </c>
      <c r="E13" s="221">
        <f>(D11/D12)-1</f>
        <v>2.6223311318525213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32950.764966545867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-6049.2350334541334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231091.22979927534</v>
      </c>
      <c r="F15" s="216">
        <f>E15-D12</f>
        <v>91035.939011835726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-6049.2350334541334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33950.764966545867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35221.199999999997</v>
      </c>
      <c r="E20" s="121">
        <f>D20*0.19</f>
        <v>6692.0279999999993</v>
      </c>
      <c r="F20" s="120">
        <f>SUM(D20:E20)</f>
        <v>41913.227999999996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110221.2</v>
      </c>
      <c r="E21" s="116">
        <f>SUM(E18:E20)</f>
        <v>20942.027999999998</v>
      </c>
      <c r="F21" s="115">
        <f>SUM(F18:F20)</f>
        <v>131163.228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75450.033600000024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507326.64000000013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110221.2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367271.34921256051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367271.34921256051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2024-12-17T20:29:48Z</dcterms:modified>
</cp:coreProperties>
</file>