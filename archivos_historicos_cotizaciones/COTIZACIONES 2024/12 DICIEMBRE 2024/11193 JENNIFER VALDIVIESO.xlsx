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86423614-61DB-466D-9AD0-4E59A2FC87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N21" i="1"/>
  <c r="M21" i="1" l="1"/>
  <c r="M24" i="1" s="1"/>
  <c r="L21" i="1"/>
  <c r="T21" i="1" l="1"/>
  <c r="T23" i="1" s="1"/>
  <c r="S21" i="1"/>
  <c r="S25" i="1" s="1"/>
  <c r="O21" i="1"/>
  <c r="P21" i="1" s="1"/>
  <c r="P24" i="1" s="1"/>
  <c r="K38" i="1"/>
  <c r="S26" i="1" l="1"/>
  <c r="S27" i="1" s="1"/>
  <c r="S28" i="1" s="1"/>
  <c r="V31" i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O38" i="1"/>
  <c r="E15" i="3"/>
  <c r="F15" i="3" l="1"/>
  <c r="R21" i="1" l="1"/>
  <c r="H21" i="1" l="1"/>
  <c r="H23" i="1" s="1"/>
  <c r="H25" i="1" l="1"/>
  <c r="D11" i="3"/>
  <c r="X9" i="3" s="1"/>
  <c r="X15" i="3" s="1"/>
  <c r="M42" i="3" l="1"/>
  <c r="M46" i="3" s="1"/>
  <c r="M49" i="3" s="1"/>
  <c r="E11" i="3"/>
  <c r="D40" i="3" s="1"/>
  <c r="E13" i="3"/>
  <c r="X12" i="3"/>
  <c r="X11" i="3"/>
  <c r="X16" i="3"/>
  <c r="X13" i="3"/>
  <c r="X14" i="3"/>
  <c r="D13" i="3"/>
  <c r="F11" i="3" l="1"/>
</calcChain>
</file>

<file path=xl/sharedStrings.xml><?xml version="1.0" encoding="utf-8"?>
<sst xmlns="http://schemas.openxmlformats.org/spreadsheetml/2006/main" count="230" uniqueCount="173">
  <si>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</si>
  <si>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</si>
  <si>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</si>
  <si>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</si>
  <si>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</si>
  <si>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</si>
  <si>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</si>
  <si>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</si>
  <si>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</si>
  <si>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</si>
  <si>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</si>
  <si>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</si>
  <si>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</si>
  <si>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</si>
  <si>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</si>
  <si>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</si>
  <si>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</si>
  <si>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</si>
  <si>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</si>
  <si>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</si>
  <si>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</si>
  <si>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</si>
  <si>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</si>
  <si>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</si>
  <si>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</si>
  <si>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</si>
  <si>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</si>
  <si>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</si>
  <si>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</si>
  <si>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</si>
  <si>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</si>
  <si>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</si>
  <si>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</si>
  <si>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</si>
  <si>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</si>
  <si>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</si>
  <si>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</si>
  <si>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</si>
  <si>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</si>
  <si>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</si>
  <si>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</si>
  <si>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</si>
  <si>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</si>
  <si>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</si>
  <si>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</si>
  <si>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</si>
  <si>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</si>
  <si>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</si>
  <si>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</si>
  <si>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</si>
  <si>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</si>
  <si>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</si>
  <si>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</si>
  <si>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</si>
  <si>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</si>
  <si>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</si>
  <si>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</si>
  <si>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</si>
  <si>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</si>
  <si>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</si>
  <si>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</si>
  <si>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</si>
  <si>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</si>
  <si>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</si>
  <si>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</si>
  <si>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</si>
  <si>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</si>
  <si>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</si>
  <si>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</si>
  <si>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</si>
  <si>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</si>
  <si>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</si>
  <si>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</si>
  <si>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</si>
  <si>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</si>
  <si>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</si>
  <si>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</si>
  <si>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</si>
  <si>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</si>
  <si>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</si>
  <si>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</si>
  <si>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</si>
  <si>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</si>
  <si>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</si>
  <si>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</si>
  <si>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</si>
  <si>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</si>
  <si>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</si>
  <si>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</si>
  <si>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</si>
  <si>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</si>
  <si>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</si>
  <si>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</si>
  <si>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</si>
  <si>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</si>
  <si>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</si>
  <si>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</si>
  <si>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</si>
  <si>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</si>
  <si>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</si>
  <si>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</si>
  <si>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</si>
  <si>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</si>
  <si>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</si>
  <si>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</si>
  <si>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</si>
  <si>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</si>
  <si>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</si>
  <si>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</si>
  <si>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</si>
  <si>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</si>
  <si>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</si>
  <si>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</si>
  <si>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</si>
  <si>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</si>
  <si>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</si>
  <si>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</si>
  <si>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</si>
  <si>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</si>
  <si>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</si>
  <si>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</si>
  <si>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</si>
  <si>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</si>
  <si>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</si>
  <si>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</si>
  <si>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</si>
  <si>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</si>
  <si>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</si>
  <si>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</si>
  <si>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</si>
  <si>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</si>
  <si>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</si>
  <si>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</si>
  <si>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</si>
  <si>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</si>
  <si>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</si>
  <si>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</si>
  <si>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</si>
  <si>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</si>
  <si>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</si>
  <si>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</si>
  <si>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</si>
  <si>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</si>
  <si>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</si>
  <si>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</si>
  <si>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</si>
  <si>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</si>
  <si>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</si>
  <si>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</si>
  <si>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</si>
  <si>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</si>
  <si>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</si>
  <si>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</si>
  <si>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</si>
  <si>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</si>
  <si>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</si>
  <si>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</si>
  <si>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</si>
  <si>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</si>
  <si>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</si>
  <si>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</si>
  <si>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</si>
  <si>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</si>
  <si>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</si>
  <si>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</si>
  <si>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</si>
  <si>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</si>
  <si>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</si>
  <si>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569 73715305</t>
  </si>
  <si>
    <t>CUB C/R FRENTE RECTO</t>
  </si>
  <si>
    <t>COLOR POR DEFINIR</t>
  </si>
  <si>
    <t>JENIFFER VALDIVIESO</t>
  </si>
  <si>
    <t>N° 11193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</si>
</sst>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</a:t>
          </a:r>
          <a:r>
            <a:rPr lang="es-CL" sz="1200" b="1" baseline="0"/>
            <a:t> EL LARGO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45630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91997.385200350996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2">
        <v>1</v>
      </c>
      <c r="C21" s="332" t="s">
        <v>169</v>
      </c>
      <c r="D21" s="333">
        <v>2.5499999999999998</v>
      </c>
      <c r="E21" s="333">
        <v>0.52</v>
      </c>
      <c r="F21" s="332" t="s">
        <v>170</v>
      </c>
      <c r="G21" s="334">
        <v>125815</v>
      </c>
      <c r="H21" s="334">
        <f>G21*B21</f>
        <v>125815</v>
      </c>
      <c r="I21" s="320"/>
      <c r="J21" s="265"/>
      <c r="K21" s="47"/>
      <c r="L21" s="330">
        <f>B21</f>
        <v>1</v>
      </c>
      <c r="M21" s="331">
        <f>D21+M$19</f>
        <v>2.63</v>
      </c>
      <c r="N21" s="331">
        <f>E21+$N$19</f>
        <v>0.52</v>
      </c>
      <c r="O21" s="261">
        <f t="shared" ref="O21" si="1">M21*N21</f>
        <v>1.3675999999999999</v>
      </c>
      <c r="P21" s="259">
        <f t="shared" ref="P21" si="2">O21*L21</f>
        <v>1.3675999999999999</v>
      </c>
      <c r="Q21" s="252">
        <f t="shared" ref="Q21" si="3">Q$20*O21</f>
        <v>125815.62400000001</v>
      </c>
      <c r="R21" s="319">
        <f t="shared" ref="R21" si="4">Q21+R$20</f>
        <v>128815.62400000001</v>
      </c>
      <c r="S21" s="297">
        <f>L21*M21*2</f>
        <v>5.26</v>
      </c>
      <c r="T21" s="46">
        <f>N21*2*L21*2</f>
        <v>2.08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 t="s">
        <v>147</v>
      </c>
      <c r="H22" s="321"/>
      <c r="I22" s="323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4" t="s">
        <v>28</v>
      </c>
      <c r="H23" s="325">
        <f>SUM(H21:H22)</f>
        <v>125815</v>
      </c>
      <c r="I23" s="322"/>
      <c r="J23" s="265"/>
      <c r="K23" s="47">
        <v>2600000</v>
      </c>
      <c r="L23" s="47"/>
      <c r="M23" s="39"/>
      <c r="N23" s="39"/>
      <c r="O23" s="261"/>
      <c r="P23" s="259"/>
      <c r="Q23" s="252"/>
      <c r="R23" s="258"/>
      <c r="S23" s="297"/>
      <c r="T23" s="46">
        <f>SUM(T21:T22)</f>
        <v>2.08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51</v>
      </c>
      <c r="H24" s="294">
        <f>H23*19%</f>
        <v>23904.85</v>
      </c>
      <c r="I24" s="322"/>
      <c r="J24" s="265"/>
      <c r="K24" s="47"/>
      <c r="L24" s="47"/>
      <c r="M24" s="39">
        <f>SUM(M21:M21)</f>
        <v>2.63</v>
      </c>
      <c r="N24" s="12"/>
      <c r="O24" s="12"/>
      <c r="P24" s="253">
        <f>SUM(P21:P21)</f>
        <v>1.3675999999999999</v>
      </c>
      <c r="Q24" s="14"/>
      <c r="R24" s="12"/>
      <c r="S24" s="239"/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149719.85</v>
      </c>
      <c r="I25" s="322"/>
      <c r="J25" s="265"/>
      <c r="K25" s="47"/>
      <c r="L25" s="47"/>
      <c r="M25" s="39"/>
      <c r="N25" s="12"/>
      <c r="O25" s="12"/>
      <c r="P25" s="253">
        <f>P24</f>
        <v>1.3675999999999999</v>
      </c>
      <c r="Q25" s="14"/>
      <c r="R25" s="12"/>
      <c r="S25" s="239">
        <f>SUM(S21:S24)</f>
        <v>5.26</v>
      </c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0.27351999999999999</v>
      </c>
      <c r="Q26" s="39" t="s">
        <v>130</v>
      </c>
      <c r="R26" s="42"/>
      <c r="S26" s="240">
        <f>S25+T23</f>
        <v>7.34</v>
      </c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1.6411199999999999</v>
      </c>
      <c r="Q27" s="14"/>
      <c r="R27" s="14"/>
      <c r="S27" s="238">
        <f>S26*20%</f>
        <v>1.468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>
        <f>S26+S27</f>
        <v>8.8079999999999998</v>
      </c>
      <c r="T28" s="14"/>
      <c r="U28" s="302" t="s">
        <v>21</v>
      </c>
      <c r="V28" s="299" t="s">
        <v>152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1.6411199999999999</v>
      </c>
      <c r="N29" s="12">
        <v>3500</v>
      </c>
      <c r="O29" s="12">
        <f t="shared" ref="O29:O34" si="5">M29*N29</f>
        <v>5743.92</v>
      </c>
      <c r="P29" s="14" t="s">
        <v>21</v>
      </c>
      <c r="Q29" s="14"/>
      <c r="R29" s="14"/>
      <c r="S29" s="241"/>
      <c r="T29" s="14"/>
      <c r="U29" s="302" t="s">
        <v>153</v>
      </c>
      <c r="V29" s="299">
        <v>3625</v>
      </c>
      <c r="W29" s="59" t="s">
        <v>154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0.5</v>
      </c>
      <c r="N30" s="12">
        <v>25000</v>
      </c>
      <c r="O30" s="12">
        <f t="shared" si="5"/>
        <v>12500</v>
      </c>
      <c r="P30" s="39" t="s">
        <v>31</v>
      </c>
      <c r="Q30" s="42"/>
      <c r="R30" s="14"/>
      <c r="S30" s="240"/>
      <c r="T30" s="14"/>
      <c r="U30" s="302"/>
      <c r="V30" s="59">
        <v>906.25</v>
      </c>
      <c r="W30" s="59" t="s">
        <v>155</v>
      </c>
      <c r="X30" s="304"/>
    </row>
    <row r="31" spans="1:25" s="230" customFormat="1" ht="17.399999999999999" x14ac:dyDescent="0.35">
      <c r="B31" s="24" t="s">
        <v>151</v>
      </c>
      <c r="J31" s="262"/>
      <c r="K31" s="232"/>
      <c r="L31" s="250"/>
      <c r="M31" s="14"/>
      <c r="N31" s="250">
        <v>86100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4" t="s">
        <v>156</v>
      </c>
      <c r="X31" s="59"/>
    </row>
    <row r="32" spans="1:25" s="230" customFormat="1" ht="17.399999999999999" x14ac:dyDescent="0.35">
      <c r="B32" s="24" t="s">
        <v>144</v>
      </c>
      <c r="C32"/>
      <c r="D32"/>
      <c r="E32"/>
      <c r="F32"/>
      <c r="J32" s="262"/>
      <c r="K32" s="232"/>
      <c r="L32" s="250"/>
      <c r="M32" s="14">
        <v>1</v>
      </c>
      <c r="N32" s="250">
        <v>35000</v>
      </c>
      <c r="O32" s="12">
        <f t="shared" si="5"/>
        <v>35000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4" t="s">
        <v>157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/>
      <c r="K34" s="260"/>
      <c r="L34" s="250"/>
      <c r="M34" s="266">
        <v>2.63</v>
      </c>
      <c r="N34" s="12">
        <v>1500</v>
      </c>
      <c r="O34" s="12">
        <f t="shared" si="5"/>
        <v>3945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60"/>
      <c r="L35" s="250"/>
      <c r="M35" s="14"/>
      <c r="N35" s="12"/>
      <c r="O35" s="12">
        <f>SUM(O29:O34)</f>
        <v>57188.92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33</v>
      </c>
      <c r="N36" s="12"/>
      <c r="O36" s="255">
        <f>O35*2.2</f>
        <v>125815.62400000001</v>
      </c>
      <c r="P36" s="14" t="s">
        <v>140</v>
      </c>
      <c r="Q36" s="14"/>
      <c r="R36" s="40">
        <f>P27/R35</f>
        <v>0.44249352890422777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30570</v>
      </c>
      <c r="L37" s="250"/>
      <c r="M37" s="14"/>
      <c r="N37" s="12"/>
      <c r="O37" s="12">
        <f>O36/P25</f>
        <v>91997.385200350996</v>
      </c>
      <c r="P37" s="45" t="s">
        <v>24</v>
      </c>
      <c r="Q37" s="14"/>
      <c r="R37" s="14"/>
      <c r="S37"/>
      <c r="T37" s="238"/>
      <c r="U37" s="59" t="s">
        <v>158</v>
      </c>
      <c r="V37" s="299">
        <v>43650</v>
      </c>
    </row>
    <row r="38" spans="2:24" s="230" customFormat="1" ht="17.399999999999999" x14ac:dyDescent="0.35">
      <c r="G38"/>
      <c r="K38" s="230">
        <f>K37/1.19</f>
        <v>25689.0756302521</v>
      </c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160</v>
      </c>
      <c r="V38" s="300" t="s">
        <v>159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161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156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148</v>
      </c>
    </row>
    <row r="73" spans="3:3" x14ac:dyDescent="0.3">
      <c r="C73" t="s">
        <v>147</v>
      </c>
    </row>
    <row r="76" spans="3:3" x14ac:dyDescent="0.3">
      <c r="C76" t="s">
        <v>147</v>
      </c>
    </row>
    <row r="153" spans="3:3" x14ac:dyDescent="0.3">
      <c r="C153" t="s">
        <v>147</v>
      </c>
    </row>
    <row r="154" spans="3:3" x14ac:dyDescent="0.3">
      <c r="C154" t="s">
        <v>149</v>
      </c>
    </row>
    <row r="155" spans="3:3" x14ac:dyDescent="0.3">
      <c r="C155" t="s">
        <v>150</v>
      </c>
    </row>
    <row r="580" spans="3:3" x14ac:dyDescent="0.3">
      <c r="C580" t="s">
        <v>147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45630</v>
      </c>
    </row>
    <row r="6" spans="2:31" ht="16.2" thickBot="1" x14ac:dyDescent="0.35">
      <c r="B6" s="140" t="s">
        <v>2</v>
      </c>
      <c r="C6" s="139" t="str">
        <f>'2229'!C10</f>
        <v>JENIFFER VALDIVIESO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11193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-7747.7137001207739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125815</v>
      </c>
      <c r="E11" s="132">
        <f>D11*0.19</f>
        <v>23904.85</v>
      </c>
      <c r="F11" s="131">
        <f>E11+D11</f>
        <v>149719.85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98242.286299879226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48078.010787439613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80242.286299879226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77736.98921256038</v>
      </c>
      <c r="E13" s="221">
        <f>(D11/D12)-1</f>
        <v>1.6168927944262865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71242.286299879226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32242.286299879226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79328.717799275357</v>
      </c>
      <c r="F15" s="216">
        <f>E15-D12</f>
        <v>31250.707011835744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32242.286299879226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72242.286299879226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5743.92</v>
      </c>
      <c r="E20" s="121">
        <f>D20*0.19</f>
        <v>1091.3448000000001</v>
      </c>
      <c r="F20" s="120">
        <f>SUM(D20:E20)</f>
        <v>6835.2647999999999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18243.919999999998</v>
      </c>
      <c r="E21" s="116">
        <f>SUM(E18:E20)</f>
        <v>3466.3447999999999</v>
      </c>
      <c r="F21" s="115">
        <f>SUM(F18:F20)</f>
        <v>21710.264800000001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20438.5052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125815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18243.919999999998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77736.98921256038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77736.98921256038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2024-12-05T12:22:41Z</cp:lastPrinted>
  <dcterms:created xsi:type="dcterms:W3CDTF">2013-03-18T13:35:42Z</dcterms:created>
  <dcterms:modified xsi:type="dcterms:W3CDTF">2024-12-05T12:22:58Z</dcterms:modified>
</cp:coreProperties>
</file>