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E83CE3C4-65A6-4035-A3B0-B2AFEE928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6" i="1" l="1"/>
  <c r="S21" i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l="1"/>
  <c r="D11" i="3" l="1"/>
  <c r="X9" i="3" s="1"/>
  <c r="X15" i="3" s="1"/>
  <c r="H27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<sst xmlns="http://schemas.openxmlformats.org/spreadsheetml/2006/main" count="229" uniqueCount="173">
  <si>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</si>
  <si>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</si>
  <si>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</si>
  <si>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</si>
  <si>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</si>
  <si>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</si>
  <si>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</si>
  <si>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</si>
  <si>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</si>
  <si>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</si>
  <si>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</si>
  <si>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</si>
  <si>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</si>
  <si>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</si>
  <si>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</si>
  <si>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</si>
  <si>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</si>
  <si>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</si>
  <si>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</si>
  <si>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</si>
  <si>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</si>
  <si>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</si>
  <si>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</si>
  <si>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</si>
  <si>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</si>
  <si>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</si>
  <si>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</si>
  <si>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</si>
  <si>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</si>
  <si>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</si>
  <si>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</si>
  <si>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</si>
  <si>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</si>
  <si>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</si>
  <si>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</si>
  <si>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</si>
  <si>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</si>
  <si>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</si>
  <si>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</si>
  <si>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</si>
  <si>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</si>
  <si>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</si>
  <si>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</si>
  <si>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</si>
  <si>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</si>
  <si>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</si>
  <si>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</si>
  <si>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</si>
  <si>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</si>
  <si>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</si>
  <si>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</si>
  <si>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</si>
  <si>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</si>
  <si>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</si>
  <si>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</si>
  <si>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</si>
  <si>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</si>
  <si>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</si>
  <si>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</si>
  <si>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</si>
  <si>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</si>
  <si>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</si>
  <si>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</si>
  <si>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</si>
  <si>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</si>
  <si>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</si>
  <si>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</si>
  <si>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</si>
  <si>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</si>
  <si>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</si>
  <si>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</si>
  <si>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</si>
  <si>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</si>
  <si>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</si>
  <si>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</si>
  <si>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</si>
  <si>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</si>
  <si>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</si>
  <si>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</si>
  <si>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</si>
  <si>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</si>
  <si>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</si>
  <si>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</si>
  <si>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</si>
  <si>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</si>
  <si>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</si>
  <si>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</si>
  <si>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</si>
  <si>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</si>
  <si>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</si>
  <si>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</si>
  <si>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</si>
  <si>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</si>
  <si>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</si>
  <si>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</si>
  <si>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</si>
  <si>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</si>
  <si>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</si>
  <si>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</si>
  <si>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</si>
  <si>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</si>
  <si>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</si>
  <si>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</si>
  <si>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</si>
  <si>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</si>
  <si>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</si>
  <si>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</si>
  <si>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</si>
  <si>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</si>
  <si>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</si>
  <si>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</si>
  <si>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</si>
  <si>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</si>
  <si>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</si>
  <si>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</si>
  <si>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</si>
  <si>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</si>
  <si>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</si>
  <si>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</si>
  <si>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</si>
  <si>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</si>
  <si>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</si>
  <si>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</si>
  <si>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</si>
  <si>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</si>
  <si>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</si>
  <si>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</si>
  <si>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</si>
  <si>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</si>
  <si>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</si>
  <si>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</si>
  <si>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</si>
  <si>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</si>
  <si>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</si>
  <si>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</si>
  <si>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</si>
  <si>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</si>
  <si>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</si>
  <si>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</si>
  <si>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</si>
  <si>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</si>
  <si>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</si>
  <si>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</si>
  <si>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</si>
  <si>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</si>
  <si>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</si>
  <si>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</si>
  <si>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</si>
  <si>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</si>
  <si>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</si>
  <si>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</si>
  <si>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</si>
  <si>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</si>
  <si>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</si>
  <si>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</si>
  <si>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</si>
  <si>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</si>
  <si>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</si>
  <si>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</si>
  <si>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</si>
  <si>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</si>
  <si>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</si>
  <si>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</si>
  <si>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</si>
  <si>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</si>
  <si>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</si>
  <si>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</si>
  <si>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</t>
  </si>
  <si>
    <t>MARIA EUGENIA CABEZAS</t>
  </si>
  <si>
    <t>569 9336659</t>
  </si>
  <si>
    <t>EDIFICIO FAMILY QUINTA</t>
  </si>
  <si>
    <t>NEO LUNA 42003 GL</t>
  </si>
  <si>
    <t>N° 11221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</si>
</sst>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  <a:endParaRPr lang="es-CL" sz="1200" b="1" baseline="0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6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304" t="s">
        <v>162</v>
      </c>
      <c r="C10" s="278" t="s">
        <v>168</v>
      </c>
      <c r="D10" s="329"/>
      <c r="E10" s="243"/>
      <c r="F10" s="244" t="s">
        <v>0</v>
      </c>
      <c r="G10" s="276">
        <v>45652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D11" s="330"/>
      <c r="F11" t="s">
        <v>123</v>
      </c>
      <c r="G11" s="288">
        <v>45657</v>
      </c>
      <c r="H11" s="289"/>
      <c r="Q11" s="19"/>
      <c r="R11" s="25" t="s">
        <v>18</v>
      </c>
      <c r="S11" s="19"/>
    </row>
    <row r="12" spans="2:24" ht="16.2" thickBot="1" x14ac:dyDescent="0.35">
      <c r="B12" s="246" t="s">
        <v>145</v>
      </c>
      <c r="C12" s="332"/>
      <c r="D12" s="331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ht="15.6" x14ac:dyDescent="0.3">
      <c r="B13" s="287" t="s">
        <v>146</v>
      </c>
      <c r="C13" s="278"/>
      <c r="D13" s="331"/>
      <c r="G13" s="306"/>
      <c r="H13" s="289"/>
      <c r="Q13" s="19"/>
      <c r="R13" s="25"/>
      <c r="S13" s="19"/>
    </row>
    <row r="14" spans="2:24" ht="15.6" x14ac:dyDescent="0.3">
      <c r="B14" s="246" t="s">
        <v>139</v>
      </c>
      <c r="D14" s="334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8"/>
      <c r="F15" t="s">
        <v>134</v>
      </c>
      <c r="G15" s="307" t="s">
        <v>167</v>
      </c>
      <c r="H15" s="289"/>
    </row>
    <row r="16" spans="2:24" ht="16.8" x14ac:dyDescent="0.4">
      <c r="B16" s="313" t="s">
        <v>3</v>
      </c>
      <c r="C16" s="305" t="s">
        <v>170</v>
      </c>
      <c r="D16" s="247"/>
      <c r="E16" s="247"/>
      <c r="F16" s="314" t="s">
        <v>129</v>
      </c>
      <c r="G16" s="315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9240.0288656708253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7">
        <v>1</v>
      </c>
      <c r="C21" s="327" t="s">
        <v>35</v>
      </c>
      <c r="D21" s="347">
        <v>2540</v>
      </c>
      <c r="E21" s="347">
        <v>600</v>
      </c>
      <c r="F21" s="327" t="s">
        <v>171</v>
      </c>
      <c r="G21" s="328">
        <v>95000</v>
      </c>
      <c r="H21" s="328">
        <f>G21*B21</f>
        <v>95000</v>
      </c>
      <c r="I21" s="317"/>
      <c r="J21" s="265"/>
      <c r="K21" s="47"/>
      <c r="L21" s="47">
        <f>B21</f>
        <v>1</v>
      </c>
      <c r="M21" s="39">
        <f>D21+M$19</f>
        <v>2540.08</v>
      </c>
      <c r="N21" s="39">
        <f>E21+$N$19</f>
        <v>600.1</v>
      </c>
      <c r="O21" s="261">
        <f t="shared" ref="O21" si="0">M21*N21</f>
        <v>1524302.0079999999</v>
      </c>
      <c r="P21" s="259">
        <f t="shared" ref="P21" si="1">O21*L21</f>
        <v>1524302.0079999999</v>
      </c>
      <c r="Q21" s="252">
        <f t="shared" ref="Q21" si="2">Q$20*O21</f>
        <v>14084594553.92</v>
      </c>
      <c r="R21" s="316">
        <f t="shared" ref="R21" si="3">Q21+R$20</f>
        <v>14084597553.92</v>
      </c>
      <c r="S21" s="297">
        <f>M21*L21</f>
        <v>2540.08</v>
      </c>
      <c r="T21" s="46">
        <f>N21*2*L21*2</f>
        <v>2400.4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7"/>
      <c r="H22" s="317"/>
      <c r="I22" s="317"/>
      <c r="J22" s="265"/>
      <c r="K22" s="47"/>
      <c r="L22" s="47"/>
      <c r="M22" s="39"/>
      <c r="N22" s="39"/>
      <c r="O22" s="261"/>
      <c r="P22" s="259"/>
      <c r="Q22" s="252"/>
      <c r="R22" s="316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7"/>
      <c r="H23" s="317"/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8"/>
      <c r="I24" s="320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1" t="s">
        <v>28</v>
      </c>
      <c r="H25" s="322">
        <f>SUM(H21:H24)</f>
        <v>95000</v>
      </c>
      <c r="I25" s="319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2400.4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19"/>
      <c r="J26" s="265"/>
      <c r="K26" s="47"/>
      <c r="L26" s="47"/>
      <c r="M26" s="39">
        <f>SUM(M21:M25)</f>
        <v>2540.08</v>
      </c>
      <c r="N26" s="12"/>
      <c r="O26" s="12"/>
      <c r="P26" s="253">
        <f>SUM(P21:P24)</f>
        <v>1524302.0079999999</v>
      </c>
      <c r="Q26" s="14"/>
      <c r="R26" s="12"/>
      <c r="S26" s="239">
        <f>SUM(S21:S25)</f>
        <v>2540.08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95000</v>
      </c>
      <c r="I27" s="319"/>
      <c r="J27" s="265"/>
      <c r="K27" s="47"/>
      <c r="L27" s="47"/>
      <c r="M27" s="39"/>
      <c r="N27" s="12"/>
      <c r="O27" s="12"/>
      <c r="P27" s="253">
        <f>P26</f>
        <v>1524302.0079999999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304860.40159999998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1829162.4095999999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1" t="s">
        <v>21</v>
      </c>
      <c r="V30" s="298" t="s">
        <v>152</v>
      </c>
      <c r="W30" s="302">
        <v>44971</v>
      </c>
      <c r="X30" s="303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1829162.4095999999</v>
      </c>
      <c r="N31" s="12">
        <v>3500</v>
      </c>
      <c r="O31" s="12">
        <f t="shared" ref="O31:O36" si="4">M31*N31</f>
        <v>6402068433.5999994</v>
      </c>
      <c r="P31" s="14" t="s">
        <v>21</v>
      </c>
      <c r="Q31" s="14"/>
      <c r="R31" s="14"/>
      <c r="S31" s="241"/>
      <c r="T31" s="14"/>
      <c r="U31" s="301" t="s">
        <v>153</v>
      </c>
      <c r="V31" s="298">
        <v>3625</v>
      </c>
      <c r="W31" s="59" t="s">
        <v>154</v>
      </c>
      <c r="X31" s="303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0.3</v>
      </c>
      <c r="N32" s="12">
        <v>25000</v>
      </c>
      <c r="O32" s="12">
        <f t="shared" si="4"/>
        <v>7500</v>
      </c>
      <c r="P32" s="39" t="s">
        <v>31</v>
      </c>
      <c r="Q32" s="42"/>
      <c r="R32" s="14"/>
      <c r="S32" s="240"/>
      <c r="T32" s="14"/>
      <c r="U32" s="301"/>
      <c r="V32" s="59">
        <v>906.25</v>
      </c>
      <c r="W32" s="59" t="s">
        <v>155</v>
      </c>
      <c r="X32" s="303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4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3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0.5</v>
      </c>
      <c r="N34" s="250">
        <v>25000</v>
      </c>
      <c r="O34" s="12">
        <f t="shared" si="4"/>
        <v>12500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3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6402088433.5999994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14084594553.92</v>
      </c>
      <c r="P38" s="14" t="s">
        <v>140</v>
      </c>
      <c r="Q38" s="14"/>
      <c r="R38" s="40">
        <f>P29/R37</f>
        <v>493195.2139775668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49480</v>
      </c>
      <c r="L39" s="250"/>
      <c r="M39" s="14"/>
      <c r="N39" s="12"/>
      <c r="O39" s="12">
        <f>O38/P27</f>
        <v>9240.0288656708253</v>
      </c>
      <c r="P39" s="45" t="s">
        <v>24</v>
      </c>
      <c r="Q39" s="14"/>
      <c r="R39" s="14"/>
      <c r="S39"/>
      <c r="T39" s="238"/>
      <c r="U39" s="59" t="s">
        <v>158</v>
      </c>
      <c r="V39" s="298">
        <v>43650</v>
      </c>
    </row>
    <row r="40" spans="2:24" s="230" customFormat="1" ht="17.399999999999999" x14ac:dyDescent="0.35">
      <c r="G40"/>
      <c r="K40" s="230">
        <f>K39/1.19</f>
        <v>41579.831932773108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299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0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45652</v>
      </c>
    </row>
    <row r="6" spans="2:31" ht="16.2" thickBot="1" x14ac:dyDescent="0.35">
      <c r="B6" s="140" t="s">
        <v>2</v>
      </c>
      <c r="C6" s="139" t="str">
        <f>'2229'!C10</f>
        <v>MARIA EUGENIA CABEZAS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1760563252.7816327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95000</v>
      </c>
      <c r="E11" s="132">
        <f>D11*0.19</f>
        <v>18050</v>
      </c>
      <c r="F11" s="131">
        <f>E11+D11</f>
        <v>113050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1760669242.7816327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6402105767.6907864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1760651242.7816327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-6402010767.6907864</v>
      </c>
      <c r="E13" s="221">
        <f>(D11/D12)-1</f>
        <v>-0.99998516113237623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1760642242.7816327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1760603242.7816327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10563474516.689796</v>
      </c>
      <c r="F15" s="216">
        <f>E15-D12</f>
        <v>4161368748.9990101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1760603242.7816327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1760643242.7816327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6402068433.5999994</v>
      </c>
      <c r="E20" s="121">
        <f>D20*0.19</f>
        <v>1216393002.3839998</v>
      </c>
      <c r="F20" s="120">
        <f>SUM(D20:E20)</f>
        <v>7618461435.9839993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6402075933.5999994</v>
      </c>
      <c r="E21" s="116">
        <f>SUM(E18:E20)</f>
        <v>1216394427.3839998</v>
      </c>
      <c r="F21" s="115">
        <f>SUM(F18:F20)</f>
        <v>7618470360.9839993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-1216376377.3839998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95000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6402075933.5999994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-6402010767.6907864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-6402010767.6907864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2024-12-26T20:00:45Z</dcterms:modified>
</cp:coreProperties>
</file>