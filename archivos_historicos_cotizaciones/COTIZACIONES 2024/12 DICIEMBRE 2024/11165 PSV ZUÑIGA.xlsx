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75EFB4EE-F52C-4655-868F-C87D7DCF59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L23" i="1" l="1"/>
  <c r="M23" i="1"/>
  <c r="S23" i="1" s="1"/>
  <c r="N23" i="1"/>
  <c r="O23" i="1"/>
  <c r="P23" i="1" s="1"/>
  <c r="N22" i="1"/>
  <c r="N21" i="1"/>
  <c r="L22" i="1"/>
  <c r="M22" i="1"/>
  <c r="T22" i="1" l="1"/>
  <c r="S22" i="1"/>
  <c r="O22" i="1"/>
  <c r="P22" i="1" s="1"/>
  <c r="M21" i="1"/>
  <c r="M27" i="1" s="1"/>
  <c r="L21" i="1"/>
  <c r="T21" i="1" l="1"/>
  <c r="T26" i="1" s="1"/>
  <c r="S21" i="1"/>
  <c r="S28" i="1" s="1"/>
  <c r="O21" i="1"/>
  <c r="P21" i="1" s="1"/>
  <c r="P27" i="1" s="1"/>
  <c r="K41" i="1"/>
  <c r="S29" i="1" l="1"/>
  <c r="S30" i="1" s="1"/>
  <c r="S31" i="1" s="1"/>
  <c r="V34" i="1"/>
  <c r="V35" i="1" s="1"/>
  <c r="O33" i="1" l="1"/>
  <c r="P28" i="1" l="1"/>
  <c r="P29" i="1" s="1"/>
  <c r="P30" i="1" s="1"/>
  <c r="M32" i="1" s="1"/>
  <c r="N20" i="1"/>
  <c r="L20" i="1"/>
  <c r="O34" i="1" l="1"/>
  <c r="R38" i="1"/>
  <c r="R39" i="1" s="1"/>
  <c r="O3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3" i="1" l="1"/>
  <c r="R23" i="1" s="1"/>
  <c r="H23" i="1" s="1"/>
  <c r="Q22" i="1"/>
  <c r="R22" i="1" s="1"/>
  <c r="H22" i="1" s="1"/>
  <c r="O41" i="1"/>
  <c r="E15" i="3"/>
  <c r="Q21" i="1" l="1"/>
  <c r="F15" i="3"/>
  <c r="R21" i="1" l="1"/>
  <c r="H21" i="1" s="1"/>
  <c r="H26" i="1" s="1"/>
  <c r="H28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<sst xmlns="http://schemas.openxmlformats.org/spreadsheetml/2006/main" count="234" uniqueCount="174">
  <si>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</si>
  <si>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</si>
  <si>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</si>
  <si>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</si>
  <si>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</si>
  <si>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</si>
  <si>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</si>
  <si>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</si>
  <si>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</si>
  <si>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</si>
  <si>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</si>
  <si>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</si>
  <si>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</si>
  <si>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</si>
  <si>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</si>
  <si>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</si>
  <si>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</si>
  <si>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</si>
  <si>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</si>
  <si>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</si>
  <si>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</si>
  <si>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</si>
  <si>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</si>
  <si>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</si>
  <si>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</si>
  <si>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</si>
  <si>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</si>
  <si>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</si>
  <si>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</si>
  <si>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</si>
  <si>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</si>
  <si>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</si>
  <si>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</si>
  <si>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</si>
  <si>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</si>
  <si>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</si>
  <si>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</si>
  <si>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</si>
  <si>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</si>
  <si>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</si>
  <si>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</si>
  <si>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</si>
  <si>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</si>
  <si>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</si>
  <si>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</si>
  <si>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</si>
  <si>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</si>
  <si>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</si>
  <si>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</si>
  <si>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</si>
  <si>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</si>
  <si>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</si>
  <si>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</si>
  <si>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</si>
  <si>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</si>
  <si>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</si>
  <si>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</si>
  <si>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</si>
  <si>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</si>
  <si>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</si>
  <si>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</si>
  <si>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</si>
  <si>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</si>
  <si>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</si>
  <si>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</si>
  <si>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</si>
  <si>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</si>
  <si>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</si>
  <si>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</si>
  <si>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</si>
  <si>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</si>
  <si>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</si>
  <si>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</si>
  <si>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</si>
  <si>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</si>
  <si>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</si>
  <si>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</si>
  <si>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</si>
  <si>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</si>
  <si>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</si>
  <si>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</si>
  <si>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</si>
  <si>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</si>
  <si>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</si>
  <si>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</si>
  <si>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</si>
  <si>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</si>
  <si>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</si>
  <si>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</si>
  <si>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</si>
  <si>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</si>
  <si>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</si>
  <si>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</si>
  <si>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</si>
  <si>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</si>
  <si>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</si>
  <si>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</si>
  <si>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</si>
  <si>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</si>
  <si>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</si>
  <si>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</si>
  <si>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</si>
  <si>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</si>
  <si>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</si>
  <si>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</si>
  <si>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</si>
  <si>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</si>
  <si>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</si>
  <si>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</si>
  <si>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</si>
  <si>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</si>
  <si>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</si>
  <si>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</si>
  <si>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</si>
  <si>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</si>
  <si>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</si>
  <si>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</si>
  <si>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</si>
  <si>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</si>
  <si>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</si>
  <si>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</si>
  <si>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</si>
  <si>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</si>
  <si>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</si>
  <si>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</si>
  <si>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</si>
  <si>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</si>
  <si>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</si>
  <si>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</si>
  <si>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</si>
  <si>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</si>
  <si>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</si>
  <si>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</si>
  <si>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</si>
  <si>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</si>
  <si>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</si>
  <si>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</si>
  <si>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</si>
  <si>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</si>
  <si>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</si>
  <si>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</si>
  <si>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</si>
  <si>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</si>
  <si>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</si>
  <si>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</si>
  <si>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</si>
  <si>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</si>
  <si>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</si>
  <si>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</si>
  <si>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</si>
  <si>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</si>
  <si>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</si>
  <si>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</si>
  <si>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</si>
  <si>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</si>
  <si>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</si>
  <si>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</si>
  <si>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</si>
  <si>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</si>
  <si>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</si>
  <si>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</si>
  <si>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</si>
  <si>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</si>
  <si>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</si>
  <si>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</si>
  <si>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</si>
  <si>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5 DIAS HABILES</t>
  </si>
  <si>
    <t>*</t>
  </si>
  <si>
    <t>SANTIAGO</t>
  </si>
  <si>
    <t>N° 11165</t>
  </si>
  <si>
    <t>PSV ZUÑIGA</t>
  </si>
  <si>
    <t>569 7909 2938</t>
  </si>
  <si>
    <t>CUB C/R R6</t>
  </si>
  <si>
    <t>GRANITO METALIZADO 5030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</si>
</sst>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3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8</xdr:col>
      <xdr:colOff>8193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328269" y="6180025"/>
          <a:ext cx="201237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5032170"/>
          <a:ext cx="6325420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583"/>
  <sheetViews>
    <sheetView tabSelected="1" zoomScale="93" zoomScaleNormal="93" workbookViewId="0">
      <selection activeCell="A28" sqref="A28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2" t="s">
        <v>126</v>
      </c>
      <c r="C8" s="293"/>
      <c r="D8" s="320" t="s">
        <v>169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6" t="s">
        <v>162</v>
      </c>
      <c r="C10" s="279" t="s">
        <v>170</v>
      </c>
      <c r="D10" s="243"/>
      <c r="E10" s="243"/>
      <c r="F10" s="244" t="s">
        <v>0</v>
      </c>
      <c r="G10" s="277">
        <v>45610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8" t="s">
        <v>12</v>
      </c>
      <c r="C11" s="299"/>
      <c r="F11" t="s">
        <v>123</v>
      </c>
      <c r="G11" s="289" t="s">
        <v>166</v>
      </c>
      <c r="H11" s="290"/>
      <c r="Q11" s="19"/>
      <c r="R11" s="25" t="s">
        <v>18</v>
      </c>
      <c r="S11" s="19"/>
    </row>
    <row r="12" spans="2:24" ht="16.8" x14ac:dyDescent="0.4">
      <c r="B12" s="246" t="s">
        <v>145</v>
      </c>
      <c r="C12" s="307"/>
      <c r="D12" s="247"/>
      <c r="E12" s="247"/>
      <c r="F12" s="247" t="s">
        <v>127</v>
      </c>
      <c r="G12" s="278" t="s">
        <v>135</v>
      </c>
      <c r="H12" s="248"/>
      <c r="Q12" s="19"/>
      <c r="R12" s="25"/>
      <c r="S12" s="19"/>
    </row>
    <row r="13" spans="2:24" x14ac:dyDescent="0.3">
      <c r="B13" s="288" t="s">
        <v>146</v>
      </c>
      <c r="G13" s="308"/>
      <c r="H13" s="290"/>
      <c r="Q13" s="19"/>
      <c r="R13" s="25"/>
      <c r="S13" s="19"/>
    </row>
    <row r="14" spans="2:24" x14ac:dyDescent="0.3">
      <c r="B14" s="246" t="s">
        <v>139</v>
      </c>
      <c r="C14" s="315"/>
      <c r="D14" s="247"/>
      <c r="E14" s="247"/>
      <c r="F14" s="316" t="s">
        <v>136</v>
      </c>
      <c r="G14" s="291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8" t="s">
        <v>4</v>
      </c>
      <c r="C15" s="310" t="s">
        <v>171</v>
      </c>
      <c r="D15" s="311"/>
      <c r="F15" t="s">
        <v>134</v>
      </c>
      <c r="G15" s="309" t="s">
        <v>135</v>
      </c>
      <c r="H15" s="290"/>
    </row>
    <row r="16" spans="2:24" ht="16.8" x14ac:dyDescent="0.4">
      <c r="B16" s="317" t="s">
        <v>3</v>
      </c>
      <c r="C16" s="307"/>
      <c r="D16" s="247"/>
      <c r="E16" s="247"/>
      <c r="F16" s="318" t="s">
        <v>129</v>
      </c>
      <c r="G16" s="319" t="s">
        <v>163</v>
      </c>
      <c r="H16" s="248"/>
    </row>
    <row r="17" spans="2:25" ht="15" thickBot="1" x14ac:dyDescent="0.35">
      <c r="B17" s="312" t="s">
        <v>13</v>
      </c>
      <c r="C17" s="313" t="s">
        <v>168</v>
      </c>
      <c r="D17" s="314"/>
      <c r="E17" s="119"/>
      <c r="F17" s="336" t="s">
        <v>165</v>
      </c>
      <c r="G17" s="336"/>
      <c r="H17" s="337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8" t="s">
        <v>95</v>
      </c>
      <c r="C19" s="339"/>
      <c r="D19" s="339"/>
      <c r="E19" s="339"/>
      <c r="F19" s="339"/>
      <c r="G19" s="339"/>
      <c r="H19" s="340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33" t="s">
        <v>7</v>
      </c>
      <c r="C20" s="334" t="s">
        <v>1</v>
      </c>
      <c r="D20" s="334" t="s">
        <v>10</v>
      </c>
      <c r="E20" s="334" t="s">
        <v>11</v>
      </c>
      <c r="F20" s="334" t="s">
        <v>8</v>
      </c>
      <c r="G20" s="334" t="s">
        <v>5</v>
      </c>
      <c r="H20" s="335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O40</f>
        <v>81931.403580702477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28">
        <v>1</v>
      </c>
      <c r="C21" s="329" t="s">
        <v>172</v>
      </c>
      <c r="D21" s="330">
        <v>3</v>
      </c>
      <c r="E21" s="330">
        <v>0.37</v>
      </c>
      <c r="F21" s="329" t="s">
        <v>173</v>
      </c>
      <c r="G21" s="331">
        <v>99499</v>
      </c>
      <c r="H21" s="332">
        <f>G21*B21</f>
        <v>99499</v>
      </c>
      <c r="I21" s="322"/>
      <c r="J21" s="265"/>
      <c r="K21" s="47"/>
      <c r="L21" s="47">
        <f>B21</f>
        <v>1</v>
      </c>
      <c r="M21" s="39">
        <f>D21+M$19</f>
        <v>3.02</v>
      </c>
      <c r="N21" s="39">
        <f>E21+$N19</f>
        <v>0.39</v>
      </c>
      <c r="O21" s="261">
        <f t="shared" ref="O21" si="1">M21*N21</f>
        <v>1.1778</v>
      </c>
      <c r="P21" s="259">
        <f t="shared" ref="P21" si="2">O21*L21</f>
        <v>1.1778</v>
      </c>
      <c r="Q21" s="252">
        <f t="shared" ref="Q21" si="3">Q$20*O21</f>
        <v>96498.807137351381</v>
      </c>
      <c r="R21" s="321">
        <f t="shared" ref="R21" si="4">Q21+R$20</f>
        <v>99498.807137351381</v>
      </c>
      <c r="S21" s="298">
        <f>L21*M21*2</f>
        <v>6.04</v>
      </c>
      <c r="T21" s="46">
        <f>N21*2*L21*2</f>
        <v>1.56</v>
      </c>
      <c r="U21" s="9"/>
      <c r="X21" s="4"/>
    </row>
    <row r="22" spans="2:25" ht="17.399999999999999" x14ac:dyDescent="0.3">
      <c r="B22" s="328">
        <v>1</v>
      </c>
      <c r="C22" s="329" t="s">
        <v>172</v>
      </c>
      <c r="D22" s="330">
        <v>1.85</v>
      </c>
      <c r="E22" s="330">
        <v>0.51</v>
      </c>
      <c r="F22" s="329" t="s">
        <v>173</v>
      </c>
      <c r="G22" s="331">
        <v>84202</v>
      </c>
      <c r="H22" s="332">
        <f t="shared" ref="H22:H23" si="5">G22*B22</f>
        <v>84202</v>
      </c>
      <c r="I22" s="322"/>
      <c r="J22" s="265"/>
      <c r="K22" s="47"/>
      <c r="L22" s="47">
        <f>B22</f>
        <v>1</v>
      </c>
      <c r="M22" s="39">
        <f>D22+M$19</f>
        <v>1.87</v>
      </c>
      <c r="N22" s="39">
        <f>E22+N$19</f>
        <v>0.53</v>
      </c>
      <c r="O22" s="261">
        <f t="shared" ref="O22" si="6">M22*N22</f>
        <v>0.99110000000000009</v>
      </c>
      <c r="P22" s="259">
        <f t="shared" ref="P22" si="7">O22*L22</f>
        <v>0.99110000000000009</v>
      </c>
      <c r="Q22" s="252">
        <f t="shared" ref="Q22" si="8">Q$20*O22</f>
        <v>81202.21408883424</v>
      </c>
      <c r="R22" s="321">
        <f t="shared" ref="R22" si="9">Q22+R$20</f>
        <v>84202.21408883424</v>
      </c>
      <c r="S22" s="298">
        <f t="shared" ref="S22" si="10">L22*M22*2</f>
        <v>3.74</v>
      </c>
      <c r="T22" s="46">
        <f t="shared" ref="T22" si="11">N22*2*L22*2</f>
        <v>2.12</v>
      </c>
      <c r="U22" s="9"/>
      <c r="X22" s="4"/>
    </row>
    <row r="23" spans="2:25" ht="17.399999999999999" x14ac:dyDescent="0.3">
      <c r="B23" s="328">
        <v>1</v>
      </c>
      <c r="C23" s="329" t="s">
        <v>172</v>
      </c>
      <c r="D23" s="330">
        <v>1.41</v>
      </c>
      <c r="E23" s="330">
        <v>0.51</v>
      </c>
      <c r="F23" s="329" t="s">
        <v>173</v>
      </c>
      <c r="G23" s="331">
        <v>65096</v>
      </c>
      <c r="H23" s="332">
        <f t="shared" si="5"/>
        <v>65096</v>
      </c>
      <c r="I23" s="322"/>
      <c r="J23" s="265"/>
      <c r="K23" s="47"/>
      <c r="L23" s="47">
        <f t="shared" ref="L23" si="12">B23</f>
        <v>1</v>
      </c>
      <c r="M23" s="39">
        <f t="shared" ref="M23" si="13">D23+M$19</f>
        <v>1.43</v>
      </c>
      <c r="N23" s="39">
        <f t="shared" ref="N23" si="14">E23+N$19</f>
        <v>0.53</v>
      </c>
      <c r="O23" s="261">
        <f t="shared" ref="O23" si="15">M23*N23</f>
        <v>0.75790000000000002</v>
      </c>
      <c r="P23" s="259">
        <f t="shared" ref="P23" si="16">O23*L23</f>
        <v>0.75790000000000002</v>
      </c>
      <c r="Q23" s="252">
        <f t="shared" ref="Q23" si="17">Q$20*O23</f>
        <v>62095.81077381441</v>
      </c>
      <c r="R23" s="321">
        <f t="shared" ref="R23" si="18">Q23+R$20</f>
        <v>65095.81077381441</v>
      </c>
      <c r="S23" s="298">
        <f t="shared" ref="S23" si="19">L23*M23*2</f>
        <v>2.86</v>
      </c>
      <c r="T23" s="46"/>
      <c r="U23" s="9"/>
      <c r="X23" s="4"/>
    </row>
    <row r="24" spans="2:25" ht="17.399999999999999" x14ac:dyDescent="0.3">
      <c r="B24" s="286"/>
      <c r="C24" s="286"/>
      <c r="D24" s="287"/>
      <c r="E24" s="287"/>
      <c r="F24" s="286"/>
      <c r="G24" s="322"/>
      <c r="H24" s="322"/>
      <c r="I24" s="322"/>
      <c r="J24" s="265"/>
      <c r="K24" s="47"/>
      <c r="L24" s="47"/>
      <c r="M24" s="39"/>
      <c r="N24" s="39"/>
      <c r="O24" s="261"/>
      <c r="P24" s="259"/>
      <c r="Q24" s="252"/>
      <c r="R24" s="321"/>
      <c r="S24" s="298"/>
      <c r="T24" s="46"/>
      <c r="U24" s="9"/>
      <c r="X24" s="4"/>
    </row>
    <row r="25" spans="2:25" ht="18" thickBot="1" x14ac:dyDescent="0.35">
      <c r="B25" s="286"/>
      <c r="C25" s="286"/>
      <c r="D25" s="287"/>
      <c r="E25" s="287"/>
      <c r="F25" s="286"/>
      <c r="G25" s="265"/>
      <c r="H25" s="323"/>
      <c r="I25" s="325"/>
      <c r="J25" s="233"/>
      <c r="K25" s="47"/>
      <c r="L25" s="47"/>
      <c r="M25" s="39"/>
      <c r="N25" s="39"/>
      <c r="O25" s="261"/>
      <c r="P25" s="259"/>
      <c r="Q25" s="252"/>
      <c r="R25" s="258"/>
      <c r="S25" s="298"/>
      <c r="T25" s="14"/>
      <c r="U25" s="9"/>
      <c r="X25" s="4"/>
    </row>
    <row r="26" spans="2:25" ht="17.399999999999999" x14ac:dyDescent="0.3">
      <c r="B26" s="286"/>
      <c r="C26" s="286"/>
      <c r="D26" s="287"/>
      <c r="E26" s="287"/>
      <c r="F26" s="286"/>
      <c r="G26" s="326" t="s">
        <v>28</v>
      </c>
      <c r="H26" s="327">
        <f>SUM(H21:H25)</f>
        <v>248797</v>
      </c>
      <c r="I26" s="324"/>
      <c r="J26" s="265"/>
      <c r="K26" s="47">
        <v>2600000</v>
      </c>
      <c r="L26" s="47"/>
      <c r="M26" s="39"/>
      <c r="N26" s="39"/>
      <c r="O26" s="261"/>
      <c r="P26" s="259"/>
      <c r="Q26" s="252"/>
      <c r="R26" s="258"/>
      <c r="S26" s="298"/>
      <c r="T26" s="46">
        <f>SUM(T21:T25)</f>
        <v>3.68</v>
      </c>
      <c r="U26" s="9"/>
      <c r="X26" s="4"/>
    </row>
    <row r="27" spans="2:25" ht="17.399999999999999" x14ac:dyDescent="0.3">
      <c r="B27" s="280"/>
      <c r="C27" s="283"/>
      <c r="D27" s="284"/>
      <c r="E27" s="284"/>
      <c r="F27" s="285"/>
      <c r="G27" s="297" t="s">
        <v>51</v>
      </c>
      <c r="H27" s="295">
        <f>H26*19%</f>
        <v>47271.43</v>
      </c>
      <c r="I27" s="324" t="s">
        <v>167</v>
      </c>
      <c r="J27" s="265"/>
      <c r="K27" s="47"/>
      <c r="L27" s="47"/>
      <c r="M27" s="39">
        <f>SUM(M21:M26)</f>
        <v>6.32</v>
      </c>
      <c r="N27" s="12"/>
      <c r="O27" s="12"/>
      <c r="P27" s="253">
        <f>SUM(P21:P23)</f>
        <v>2.9268000000000001</v>
      </c>
      <c r="Q27" s="14"/>
      <c r="R27" s="12"/>
      <c r="S27" s="239"/>
      <c r="T27" s="46"/>
      <c r="U27" s="9"/>
      <c r="X27" s="4"/>
    </row>
    <row r="28" spans="2:25" ht="18" thickBot="1" x14ac:dyDescent="0.35">
      <c r="B28" s="276"/>
      <c r="C28" s="282"/>
      <c r="D28" s="272"/>
      <c r="E28" s="272"/>
      <c r="F28" s="273"/>
      <c r="G28" s="281" t="s">
        <v>6</v>
      </c>
      <c r="H28" s="296">
        <f>H26+H27</f>
        <v>296068.43</v>
      </c>
      <c r="I28" s="324"/>
      <c r="J28" s="265"/>
      <c r="K28" s="47"/>
      <c r="L28" s="47"/>
      <c r="M28" s="39"/>
      <c r="N28" s="12"/>
      <c r="O28" s="12"/>
      <c r="P28" s="253">
        <f>P27</f>
        <v>2.9268000000000001</v>
      </c>
      <c r="Q28" s="14"/>
      <c r="R28" s="12"/>
      <c r="S28" s="239">
        <f>SUM(S21:S27)</f>
        <v>12.64</v>
      </c>
      <c r="T28" s="46"/>
      <c r="U28" s="9"/>
      <c r="X28" s="4"/>
    </row>
    <row r="29" spans="2:25" ht="17.399999999999999" x14ac:dyDescent="0.3">
      <c r="B29" s="276"/>
      <c r="C29" s="271"/>
      <c r="D29" s="272"/>
      <c r="E29" s="272"/>
      <c r="F29" s="273"/>
      <c r="J29" s="265"/>
      <c r="K29" s="47"/>
      <c r="L29" s="47"/>
      <c r="M29" s="14"/>
      <c r="N29" s="12"/>
      <c r="O29" s="12"/>
      <c r="P29" s="39">
        <f>P28*20%</f>
        <v>0.58535999999999999</v>
      </c>
      <c r="Q29" s="39" t="s">
        <v>130</v>
      </c>
      <c r="R29" s="42"/>
      <c r="S29" s="240">
        <f>S28+T26</f>
        <v>16.32</v>
      </c>
      <c r="T29" s="14"/>
      <c r="U29" s="9"/>
      <c r="X29" s="4"/>
    </row>
    <row r="30" spans="2:25" ht="17.399999999999999" x14ac:dyDescent="0.3">
      <c r="B30" s="271"/>
      <c r="C30" s="271"/>
      <c r="D30" s="272"/>
      <c r="E30" s="272"/>
      <c r="F30" s="273"/>
      <c r="G30" s="274"/>
      <c r="H30" s="275"/>
      <c r="I30" s="275"/>
      <c r="J30" s="265"/>
      <c r="K30" s="47"/>
      <c r="L30" s="47"/>
      <c r="M30" s="14"/>
      <c r="N30" s="12"/>
      <c r="O30" s="12"/>
      <c r="P30" s="46">
        <f>P28+P29</f>
        <v>3.5121600000000002</v>
      </c>
      <c r="Q30" s="14"/>
      <c r="R30" s="14"/>
      <c r="S30" s="238">
        <f>S29*20%</f>
        <v>3.2640000000000002</v>
      </c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5"/>
      <c r="I31" s="275"/>
      <c r="J31" s="265"/>
      <c r="K31" s="47"/>
      <c r="L31" s="47"/>
      <c r="M31" s="14"/>
      <c r="N31" s="14"/>
      <c r="O31" s="14"/>
      <c r="P31" s="14"/>
      <c r="Q31" s="14"/>
      <c r="R31" s="14"/>
      <c r="S31" s="240">
        <f>S29+S30</f>
        <v>19.584</v>
      </c>
      <c r="T31" s="14"/>
      <c r="U31" s="303" t="s">
        <v>21</v>
      </c>
      <c r="V31" s="300" t="s">
        <v>152</v>
      </c>
      <c r="W31" s="304">
        <v>44971</v>
      </c>
      <c r="X31" s="305"/>
    </row>
    <row r="32" spans="2:25" ht="17.399999999999999" x14ac:dyDescent="0.35">
      <c r="B32" s="235"/>
      <c r="C32" s="236"/>
      <c r="D32" s="237"/>
      <c r="E32" s="235"/>
      <c r="F32" s="230"/>
      <c r="G32" s="230"/>
      <c r="J32" s="265"/>
      <c r="K32" s="47"/>
      <c r="L32" s="47"/>
      <c r="M32" s="39">
        <f>P30</f>
        <v>3.5121600000000002</v>
      </c>
      <c r="N32" s="12">
        <v>3500</v>
      </c>
      <c r="O32" s="12">
        <f t="shared" ref="O32:O37" si="20">M32*N32</f>
        <v>12292.560000000001</v>
      </c>
      <c r="P32" s="14" t="s">
        <v>21</v>
      </c>
      <c r="Q32" s="14"/>
      <c r="R32" s="14"/>
      <c r="S32" s="241"/>
      <c r="T32" s="14"/>
      <c r="U32" s="303" t="s">
        <v>153</v>
      </c>
      <c r="V32" s="300">
        <v>3625</v>
      </c>
      <c r="W32" s="59" t="s">
        <v>154</v>
      </c>
      <c r="X32" s="305"/>
    </row>
    <row r="33" spans="2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249">
        <v>1</v>
      </c>
      <c r="N33" s="12">
        <v>25000</v>
      </c>
      <c r="O33" s="12">
        <f t="shared" si="20"/>
        <v>25000</v>
      </c>
      <c r="P33" s="39" t="s">
        <v>31</v>
      </c>
      <c r="Q33" s="42"/>
      <c r="R33" s="14"/>
      <c r="S33" s="240"/>
      <c r="T33" s="14"/>
      <c r="U33" s="303"/>
      <c r="V33" s="59">
        <v>906.25</v>
      </c>
      <c r="W33" s="59" t="s">
        <v>155</v>
      </c>
      <c r="X33" s="305"/>
    </row>
    <row r="34" spans="2:24" s="230" customFormat="1" ht="17.399999999999999" x14ac:dyDescent="0.35">
      <c r="J34" s="262"/>
      <c r="K34" s="232"/>
      <c r="L34" s="250"/>
      <c r="M34" s="14"/>
      <c r="N34" s="250">
        <v>61840</v>
      </c>
      <c r="O34" s="12">
        <f t="shared" si="20"/>
        <v>0</v>
      </c>
      <c r="P34" s="39" t="s">
        <v>30</v>
      </c>
      <c r="Q34" s="42"/>
      <c r="S34" s="240"/>
      <c r="T34" s="256"/>
      <c r="U34" s="59"/>
      <c r="V34" s="59">
        <f>V33*20%</f>
        <v>181.25</v>
      </c>
      <c r="W34" s="305" t="s">
        <v>156</v>
      </c>
      <c r="X34" s="59"/>
    </row>
    <row r="35" spans="2:24" s="230" customFormat="1" ht="17.399999999999999" x14ac:dyDescent="0.35">
      <c r="B35" s="24" t="s">
        <v>151</v>
      </c>
      <c r="J35" s="262"/>
      <c r="K35" s="232"/>
      <c r="L35" s="250"/>
      <c r="M35" s="14">
        <v>1</v>
      </c>
      <c r="N35" s="250">
        <v>62226</v>
      </c>
      <c r="O35" s="12">
        <f t="shared" si="20"/>
        <v>62226</v>
      </c>
      <c r="P35" s="14" t="s">
        <v>141</v>
      </c>
      <c r="Q35" s="17"/>
      <c r="S35" s="238"/>
      <c r="T35" s="256"/>
      <c r="U35" s="59"/>
      <c r="V35" s="59">
        <f>V33+V34</f>
        <v>1087.5</v>
      </c>
      <c r="W35" s="305" t="s">
        <v>157</v>
      </c>
      <c r="X35" s="59"/>
    </row>
    <row r="36" spans="2:24" s="230" customFormat="1" ht="17.399999999999999" x14ac:dyDescent="0.35">
      <c r="B36" s="24" t="s">
        <v>144</v>
      </c>
      <c r="C36"/>
      <c r="D36"/>
      <c r="E36"/>
      <c r="F36"/>
      <c r="J36" s="262"/>
      <c r="L36" s="250"/>
      <c r="M36" s="249"/>
      <c r="N36" s="250">
        <v>900</v>
      </c>
      <c r="O36" s="12">
        <f t="shared" si="20"/>
        <v>0</v>
      </c>
      <c r="P36" s="14" t="s">
        <v>32</v>
      </c>
      <c r="Q36" s="14"/>
      <c r="R36" s="230">
        <v>1.52</v>
      </c>
      <c r="S36" s="238"/>
      <c r="T36" s="238"/>
    </row>
    <row r="37" spans="2:24" s="230" customFormat="1" ht="17.399999999999999" x14ac:dyDescent="0.35">
      <c r="B37" s="29" t="s">
        <v>125</v>
      </c>
      <c r="C37"/>
      <c r="D37"/>
      <c r="E37"/>
      <c r="F37" s="229" t="s">
        <v>15</v>
      </c>
      <c r="J37" s="294"/>
      <c r="L37" s="250"/>
      <c r="M37" s="266">
        <v>6.32</v>
      </c>
      <c r="N37" s="12">
        <v>1500</v>
      </c>
      <c r="O37" s="12">
        <f t="shared" si="20"/>
        <v>9480</v>
      </c>
      <c r="P37" s="14" t="s">
        <v>22</v>
      </c>
      <c r="Q37" s="14"/>
      <c r="R37">
        <v>2.44</v>
      </c>
      <c r="S37"/>
      <c r="T37" s="238"/>
      <c r="X37" s="231"/>
    </row>
    <row r="38" spans="2:24" s="230" customFormat="1" ht="17.399999999999999" x14ac:dyDescent="0.35">
      <c r="L38" s="250"/>
      <c r="M38" s="14"/>
      <c r="N38" s="12"/>
      <c r="O38" s="12">
        <f>SUM(O32:O37)</f>
        <v>108998.56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2:24" s="230" customFormat="1" ht="17.399999999999999" x14ac:dyDescent="0.35">
      <c r="L39" s="250"/>
      <c r="M39" s="254" t="s">
        <v>33</v>
      </c>
      <c r="N39" s="12"/>
      <c r="O39" s="255">
        <f>O38*2.2</f>
        <v>239796.83200000002</v>
      </c>
      <c r="P39" s="14" t="s">
        <v>140</v>
      </c>
      <c r="Q39" s="14"/>
      <c r="R39" s="40">
        <f>P30/R38</f>
        <v>0.94698015530629853</v>
      </c>
      <c r="S39"/>
      <c r="T39" s="257"/>
    </row>
    <row r="40" spans="2:24" s="230" customFormat="1" ht="17.399999999999999" x14ac:dyDescent="0.35">
      <c r="G40"/>
      <c r="H40" s="260"/>
      <c r="I40" s="260"/>
      <c r="J40" s="260"/>
      <c r="K40" s="230">
        <v>74050</v>
      </c>
      <c r="L40" s="250"/>
      <c r="M40" s="14"/>
      <c r="N40" s="12"/>
      <c r="O40" s="12">
        <f>O39/P28</f>
        <v>81931.403580702477</v>
      </c>
      <c r="P40" s="45" t="s">
        <v>24</v>
      </c>
      <c r="Q40" s="14"/>
      <c r="R40" s="14"/>
      <c r="S40"/>
      <c r="T40" s="238"/>
      <c r="U40" s="59" t="s">
        <v>158</v>
      </c>
      <c r="V40" s="300">
        <v>43650</v>
      </c>
    </row>
    <row r="41" spans="2:24" s="230" customFormat="1" ht="17.399999999999999" x14ac:dyDescent="0.35">
      <c r="G41"/>
      <c r="K41" s="230">
        <f>K40/1.19</f>
        <v>62226.89075630252</v>
      </c>
      <c r="L41" s="250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160</v>
      </c>
      <c r="V41" s="301" t="s">
        <v>159</v>
      </c>
      <c r="W41" s="59">
        <v>2.4</v>
      </c>
    </row>
    <row r="42" spans="2:24" s="230" customFormat="1" ht="17.399999999999999" x14ac:dyDescent="0.35">
      <c r="G42" s="23"/>
      <c r="L42" s="12"/>
      <c r="T42" s="238"/>
      <c r="U42" s="59" t="s">
        <v>161</v>
      </c>
      <c r="V42" s="302">
        <v>395.37</v>
      </c>
    </row>
    <row r="43" spans="2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156</v>
      </c>
      <c r="V43" s="59">
        <v>474.45</v>
      </c>
    </row>
    <row r="44" spans="2:24" ht="14.4" customHeight="1" x14ac:dyDescent="0.3">
      <c r="L44" s="12"/>
      <c r="U44" s="59"/>
      <c r="V44" s="59"/>
    </row>
    <row r="45" spans="2:24" x14ac:dyDescent="0.3">
      <c r="L45" s="250"/>
    </row>
    <row r="46" spans="2:24" x14ac:dyDescent="0.3">
      <c r="L46" s="250"/>
      <c r="T46" s="270"/>
    </row>
    <row r="47" spans="2:24" x14ac:dyDescent="0.3">
      <c r="L47" s="250"/>
    </row>
    <row r="48" spans="2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148</v>
      </c>
    </row>
    <row r="76" spans="3:15" x14ac:dyDescent="0.3">
      <c r="C76" t="s">
        <v>147</v>
      </c>
    </row>
    <row r="79" spans="3:15" x14ac:dyDescent="0.3">
      <c r="C79" t="s">
        <v>147</v>
      </c>
    </row>
    <row r="156" spans="3:3" x14ac:dyDescent="0.3">
      <c r="C156" t="s">
        <v>147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147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45610</v>
      </c>
    </row>
    <row r="6" spans="2:31" ht="16.2" thickBot="1" x14ac:dyDescent="0.35">
      <c r="B6" s="140" t="s">
        <v>2</v>
      </c>
      <c r="C6" s="139" t="str">
        <f>'2229'!C10</f>
        <v>PSV ZUÑIGA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2" t="s">
        <v>98</v>
      </c>
      <c r="I7" s="343"/>
      <c r="J7" s="343"/>
      <c r="K7" s="344"/>
      <c r="N7" s="75"/>
      <c r="O7" s="341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11165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1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-23006.337700120774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248797</v>
      </c>
      <c r="E11" s="132">
        <f>D11*0.19</f>
        <v>47271.43</v>
      </c>
      <c r="F11" s="131">
        <f>E11+D11</f>
        <v>296068.43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82983.66229987923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67126.650787439605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64983.66229987923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181670.3492125604</v>
      </c>
      <c r="E13" s="221">
        <f>(D11/D12)-1</f>
        <v>2.7063818480655319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55983.66229987923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16983.662299879226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110758.97379927534</v>
      </c>
      <c r="F15" s="216">
        <f>E15-D12</f>
        <v>43632.323011835731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16983.662299879226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56983.66229987923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12292.560000000001</v>
      </c>
      <c r="E20" s="121">
        <f>D20*0.19</f>
        <v>2335.5864000000001</v>
      </c>
      <c r="F20" s="120">
        <f>SUM(D20:E20)</f>
        <v>14628.146400000001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37292.559999999998</v>
      </c>
      <c r="E21" s="116">
        <f>SUM(E18:E20)</f>
        <v>7085.5864000000001</v>
      </c>
      <c r="F21" s="115">
        <f>SUM(F18:F20)</f>
        <v>44378.146399999998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40185.8436</v>
      </c>
    </row>
    <row r="41" spans="2:16" ht="15" thickBot="1" x14ac:dyDescent="0.35">
      <c r="H41" s="345" t="s">
        <v>60</v>
      </c>
      <c r="I41" s="346"/>
      <c r="J41" s="346"/>
      <c r="K41" s="346"/>
      <c r="L41" s="346"/>
      <c r="M41" s="347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248797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37292.559999999998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181670.3492125604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181670.3492125604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2024-10-22T15:23:29Z</cp:lastPrinted>
  <dcterms:created xsi:type="dcterms:W3CDTF">2013-03-18T13:35:42Z</dcterms:created>
  <dcterms:modified xsi:type="dcterms:W3CDTF">2024-11-14T14:23:11Z</dcterms:modified>
</cp:coreProperties>
</file>