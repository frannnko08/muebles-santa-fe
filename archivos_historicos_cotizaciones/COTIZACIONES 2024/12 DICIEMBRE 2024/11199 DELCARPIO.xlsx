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4\"/>
    </mc:Choice>
  </mc:AlternateContent>
  <xr:revisionPtr revIDLastSave="0" documentId="13_ncr:1_{2C02726D-CE6C-4C96-8531-621DEF1553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1" i="1" l="1"/>
  <c r="K33" i="1"/>
  <c r="N21" i="1"/>
  <c r="K34" i="1" l="1"/>
  <c r="K35" i="1" s="1"/>
  <c r="K36" i="1" s="1"/>
  <c r="M21" i="1"/>
  <c r="M25" i="1" s="1"/>
  <c r="T21" i="1" l="1"/>
  <c r="T24" i="1" s="1"/>
  <c r="S21" i="1"/>
  <c r="S26" i="1" s="1"/>
  <c r="O21" i="1"/>
  <c r="P21" i="1" s="1"/>
  <c r="P25" i="1" s="1"/>
  <c r="K39" i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l="1"/>
  <c r="H26" i="1" s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<sst xmlns="http://schemas.openxmlformats.org/spreadsheetml/2006/main" count="230" uniqueCount="175">
  <si>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</si>
  <si>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</si>
  <si>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</si>
  <si>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</si>
  <si>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</si>
  <si>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</si>
  <si>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</si>
  <si>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</si>
  <si>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</si>
  <si>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</si>
  <si>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</si>
  <si>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</si>
  <si>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</si>
  <si>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</si>
  <si>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</si>
  <si>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</si>
  <si>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</si>
  <si>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</si>
  <si>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</si>
  <si>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</si>
  <si>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</si>
  <si>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</si>
  <si>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</si>
  <si>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</si>
  <si>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</si>
  <si>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</si>
  <si>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</si>
  <si>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</si>
  <si>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</si>
  <si>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</si>
  <si>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</si>
  <si>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</si>
  <si>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</si>
  <si>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</si>
  <si>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</si>
  <si>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</si>
  <si>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</si>
  <si>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</si>
  <si>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</si>
  <si>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</si>
  <si>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</si>
  <si>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</si>
  <si>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</si>
  <si>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</si>
  <si>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</si>
  <si>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</si>
  <si>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</si>
  <si>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</si>
  <si>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</si>
  <si>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</si>
  <si>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</si>
  <si>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</si>
  <si>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</si>
  <si>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</si>
  <si>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</si>
  <si>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</si>
  <si>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</si>
  <si>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</si>
  <si>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</si>
  <si>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</si>
  <si>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</si>
  <si>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</si>
  <si>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</si>
  <si>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</si>
  <si>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</si>
  <si>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</si>
  <si>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</si>
  <si>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</si>
  <si>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</si>
  <si>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</si>
  <si>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</si>
  <si>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</si>
  <si>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</si>
  <si>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</si>
  <si>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</si>
  <si>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</si>
  <si>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</si>
  <si>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</si>
  <si>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</si>
  <si>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</si>
  <si>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</si>
  <si>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</si>
  <si>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</si>
  <si>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</si>
  <si>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</si>
  <si>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</si>
  <si>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</si>
  <si>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</si>
  <si>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</si>
  <si>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</si>
  <si>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</si>
  <si>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</si>
  <si>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</si>
  <si>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</si>
  <si>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</si>
  <si>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</si>
  <si>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</si>
  <si>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</si>
  <si>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</si>
  <si>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</si>
  <si>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</si>
  <si>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</si>
  <si>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</si>
  <si>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</si>
  <si>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</si>
  <si>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</si>
  <si>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</si>
  <si>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</si>
  <si>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</si>
  <si>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</si>
  <si>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</si>
  <si>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</si>
  <si>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</si>
  <si>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</si>
  <si>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</si>
  <si>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</si>
  <si>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</si>
  <si>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</si>
  <si>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</si>
  <si>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</si>
  <si>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</si>
  <si>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</si>
  <si>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</si>
  <si>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</si>
  <si>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</si>
  <si>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</si>
  <si>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</si>
  <si>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</si>
  <si>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</si>
  <si>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</si>
  <si>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</si>
  <si>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</si>
  <si>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</si>
  <si>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</si>
  <si>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</si>
  <si>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</si>
  <si>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</si>
  <si>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</si>
  <si>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</si>
  <si>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</si>
  <si>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</si>
  <si>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</si>
  <si>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</si>
  <si>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</si>
  <si>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</si>
  <si>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</si>
  <si>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</si>
  <si>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</si>
  <si>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</si>
  <si>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</si>
  <si>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</si>
  <si>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</si>
  <si>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</si>
  <si>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</si>
  <si>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</si>
  <si>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</si>
  <si>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</si>
  <si>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</si>
  <si>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</si>
  <si>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</si>
  <si>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</si>
  <si>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</si>
  <si>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</si>
  <si>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</si>
  <si>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</si>
  <si>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</si>
  <si>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</si>
  <si>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DELCARPIO</t>
  </si>
  <si>
    <t>CLAUDIA YAÑEZ</t>
  </si>
  <si>
    <t>+569 6677 4147</t>
  </si>
  <si>
    <t>ENCHAPE RECTO 1 CARA</t>
  </si>
  <si>
    <t>BLANCO OPACO</t>
  </si>
  <si>
    <t>N° 11199</t>
  </si>
  <si>
    <t>2 DIAS HABILES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</si>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</sst>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PIEZAS SE ENTREGAN ENCHAPADAS CON TAPACANTO PVC 0,4MM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3" zoomScale="93" zoomScaleNormal="93" workbookViewId="0">
      <selection activeCell="I18" sqref="I18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167</v>
      </c>
      <c r="D10" s="243"/>
      <c r="E10" s="243"/>
      <c r="F10" s="244" t="s">
        <v>0</v>
      </c>
      <c r="G10" s="276">
        <v>45635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173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C13" t="s">
        <v>168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174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169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3" t="s">
        <v>165</v>
      </c>
      <c r="G17" s="333"/>
      <c r="H17" s="334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0.05</v>
      </c>
      <c r="N19" s="14">
        <v>0.1</v>
      </c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 t="e">
        <f>O38</f>
        <v>#DIV/0!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2</v>
      </c>
      <c r="C21" s="330" t="s">
        <v>170</v>
      </c>
      <c r="D21" s="331">
        <v>0.88</v>
      </c>
      <c r="E21" s="331">
        <v>0.6</v>
      </c>
      <c r="F21" s="330" t="s">
        <v>171</v>
      </c>
      <c r="G21" s="332">
        <v>33585</v>
      </c>
      <c r="H21" s="332">
        <f>G21*B21</f>
        <v>67170</v>
      </c>
      <c r="I21" s="320"/>
      <c r="J21" s="265"/>
      <c r="K21" s="47"/>
      <c r="L21" s="47"/>
      <c r="M21" s="39">
        <f>D21+M$19</f>
        <v>0.93</v>
      </c>
      <c r="N21" s="39">
        <f>E21+$N$19</f>
        <v>0.7</v>
      </c>
      <c r="O21" s="261">
        <f t="shared" ref="O21" si="1">M21*N21</f>
        <v>0.65100000000000002</v>
      </c>
      <c r="P21" s="259">
        <f t="shared" ref="P21" si="2">O21*L21</f>
        <v>0</v>
      </c>
      <c r="Q21" s="252" t="e">
        <f t="shared" ref="Q21" si="3">Q$20*O21</f>
        <v>#DIV/0!</v>
      </c>
      <c r="R21" s="319" t="e">
        <f t="shared" ref="R21" si="4">Q21+R$20</f>
        <v>#DIV/0!</v>
      </c>
      <c r="S21" s="297">
        <f>L21*M21*2</f>
        <v>0</v>
      </c>
      <c r="T21" s="46">
        <f>N21*2*L21*2</f>
        <v>0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67170</v>
      </c>
      <c r="I24" s="322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0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12762.3</v>
      </c>
      <c r="I25" s="322"/>
      <c r="J25" s="265"/>
      <c r="K25" s="47"/>
      <c r="L25" s="47"/>
      <c r="M25" s="39">
        <f>SUM(M21:M24)</f>
        <v>0.93</v>
      </c>
      <c r="N25" s="12"/>
      <c r="O25" s="12"/>
      <c r="P25" s="253">
        <f>SUM(P21:P23)</f>
        <v>0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79932.3</v>
      </c>
      <c r="I26" s="322"/>
      <c r="J26" s="265"/>
      <c r="K26" s="47"/>
      <c r="L26" s="47"/>
      <c r="M26" s="39"/>
      <c r="N26" s="12"/>
      <c r="O26" s="12"/>
      <c r="P26" s="253">
        <f>P25</f>
        <v>0</v>
      </c>
      <c r="Q26" s="14"/>
      <c r="R26" s="12"/>
      <c r="S26" s="239">
        <f>SUM(S21:S25)</f>
        <v>0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</v>
      </c>
      <c r="Q27" s="39" t="s">
        <v>130</v>
      </c>
      <c r="R27" s="42"/>
      <c r="S27" s="240">
        <f>S26+T24</f>
        <v>0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0</v>
      </c>
      <c r="Q28" s="14"/>
      <c r="R28" s="14"/>
      <c r="S28" s="238">
        <f>S27*20%</f>
        <v>0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0</v>
      </c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0</v>
      </c>
      <c r="N30" s="12">
        <v>3500</v>
      </c>
      <c r="O30" s="12">
        <f t="shared" ref="O30:O35" si="5">M30*N30</f>
        <v>0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>
        <f>23500*1.19</f>
        <v>27965</v>
      </c>
      <c r="L31" s="47"/>
      <c r="M31" s="249">
        <v>0.1</v>
      </c>
      <c r="N31" s="12">
        <v>25000</v>
      </c>
      <c r="O31" s="12">
        <f t="shared" si="5"/>
        <v>2500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/>
      <c r="N32" s="250">
        <v>61840</v>
      </c>
      <c r="O32" s="12">
        <f t="shared" si="5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>
        <f>N33*1.19</f>
        <v>29750</v>
      </c>
      <c r="L33" s="250"/>
      <c r="M33" s="14">
        <v>0.3</v>
      </c>
      <c r="N33" s="250">
        <v>25000</v>
      </c>
      <c r="O33" s="12">
        <f t="shared" si="5"/>
        <v>7500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>
        <f>SUM(K31:K33)</f>
        <v>57715</v>
      </c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>
        <f>K34/1.19</f>
        <v>48500</v>
      </c>
      <c r="L35" s="250"/>
      <c r="M35" s="266"/>
      <c r="N35" s="12">
        <v>1500</v>
      </c>
      <c r="O35" s="12">
        <f t="shared" si="5"/>
        <v>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>
        <f>K34-K35</f>
        <v>9215</v>
      </c>
      <c r="L36" s="250"/>
      <c r="M36" s="14"/>
      <c r="N36" s="12"/>
      <c r="O36" s="12">
        <f>SUM(O30:O35)</f>
        <v>10000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O36*2.5</f>
        <v>25000</v>
      </c>
      <c r="P37" s="14" t="s">
        <v>140</v>
      </c>
      <c r="Q37" s="14"/>
      <c r="R37" s="40">
        <f>P28/R36</f>
        <v>0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67392</v>
      </c>
      <c r="L38" s="250"/>
      <c r="M38" s="14"/>
      <c r="N38" s="12"/>
      <c r="O38" s="12" t="e">
        <f>O37/P26</f>
        <v>#DIV/0!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K39" s="230">
        <f>K38/1.19</f>
        <v>56631.932773109249</v>
      </c>
      <c r="L39" s="250"/>
      <c r="M39" s="13"/>
      <c r="N39" s="14"/>
      <c r="O39" s="17">
        <f>O37/O36</f>
        <v>2.5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45635</v>
      </c>
    </row>
    <row r="6" spans="2:31" ht="16.2" thickBot="1" x14ac:dyDescent="0.35">
      <c r="B6" s="140" t="s">
        <v>2</v>
      </c>
      <c r="C6" s="139" t="str">
        <f>'2229'!C10</f>
        <v>DELCARPIO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11199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-2303.125033454106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67170</v>
      </c>
      <c r="E11" s="132">
        <f>D11*0.19</f>
        <v>12762.3</v>
      </c>
      <c r="F11" s="131">
        <f>E11+D11</f>
        <v>79932.3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103686.87496654589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32334.090787439614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85686.874966545889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34835.909212560386</v>
      </c>
      <c r="E13" s="221">
        <f>(D11/D12)-1</f>
        <v>1.0773740149852187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76686.874966545889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37686.874966545896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53351.249799275363</v>
      </c>
      <c r="F15" s="216">
        <f>E15-D12</f>
        <v>21017.159011835749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37686.874966545896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77686.874966545889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2500</v>
      </c>
      <c r="E19" s="123">
        <f>D19*0.19</f>
        <v>475</v>
      </c>
      <c r="F19" s="120">
        <f>SUM(D19:E19)</f>
        <v>2975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0</v>
      </c>
      <c r="E20" s="121">
        <f>D20*0.19</f>
        <v>0</v>
      </c>
      <c r="F20" s="120">
        <f>SUM(D20:E20)</f>
        <v>0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2500</v>
      </c>
      <c r="E21" s="116">
        <f>SUM(E18:E20)</f>
        <v>475</v>
      </c>
      <c r="F21" s="115">
        <f>SUM(F18:F20)</f>
        <v>2975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12287.3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67170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2500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34835.909212560386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34835.909212560386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2024-11-15T12:18:00Z</cp:lastPrinted>
  <dcterms:created xsi:type="dcterms:W3CDTF">2013-03-18T13:35:42Z</dcterms:created>
  <dcterms:modified xsi:type="dcterms:W3CDTF">2024-12-09T13:34:16Z</dcterms:modified>
</cp:coreProperties>
</file>