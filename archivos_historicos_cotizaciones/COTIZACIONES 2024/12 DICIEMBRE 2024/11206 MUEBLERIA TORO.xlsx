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1616F99C-72A3-40F8-BF96-43ED1308A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1" l="1"/>
  <c r="S22" i="1"/>
  <c r="S21" i="1"/>
  <c r="L22" i="1" l="1"/>
  <c r="M22" i="1"/>
  <c r="N22" i="1"/>
  <c r="H22" i="1"/>
  <c r="L21" i="1"/>
  <c r="K32" i="1"/>
  <c r="K34" i="1"/>
  <c r="N21" i="1"/>
  <c r="O22" i="1" l="1"/>
  <c r="P22" i="1" s="1"/>
  <c r="K35" i="1"/>
  <c r="K36" i="1" s="1"/>
  <c r="K37" i="1" s="1"/>
  <c r="M21" i="1"/>
  <c r="M26" i="1" s="1"/>
  <c r="T21" i="1" l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<sst xmlns="http://schemas.openxmlformats.org/spreadsheetml/2006/main" count="231" uniqueCount="173">
  <si>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</si>
  <si>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</si>
  <si>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</si>
  <si>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</si>
  <si>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</si>
  <si>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</si>
  <si>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</si>
  <si>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</si>
  <si>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</si>
  <si>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</si>
  <si>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</si>
  <si>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</si>
  <si>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</si>
  <si>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</si>
  <si>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</si>
  <si>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</si>
  <si>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</si>
  <si>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</si>
  <si>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</si>
  <si>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</si>
  <si>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</si>
  <si>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</si>
  <si>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</si>
  <si>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</si>
  <si>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</si>
  <si>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</si>
  <si>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</si>
  <si>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</si>
  <si>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</si>
  <si>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</si>
  <si>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</si>
  <si>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</si>
  <si>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</si>
  <si>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</si>
  <si>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</si>
  <si>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</si>
  <si>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</si>
  <si>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</si>
  <si>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</si>
  <si>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</si>
  <si>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</si>
  <si>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</si>
  <si>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</si>
  <si>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</si>
  <si>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</si>
  <si>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</si>
  <si>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</si>
  <si>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</si>
  <si>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</si>
  <si>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</si>
  <si>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</si>
  <si>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</si>
  <si>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</si>
  <si>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</si>
  <si>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</si>
  <si>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</si>
  <si>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</si>
  <si>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</si>
  <si>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</si>
  <si>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</si>
  <si>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</si>
  <si>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</si>
  <si>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</si>
  <si>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</si>
  <si>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</si>
  <si>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</si>
  <si>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</si>
  <si>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</si>
  <si>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</si>
  <si>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</si>
  <si>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</si>
  <si>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</si>
  <si>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</si>
  <si>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</si>
  <si>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</si>
  <si>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</si>
  <si>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</si>
  <si>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</si>
  <si>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</si>
  <si>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</si>
  <si>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</si>
  <si>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</si>
  <si>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</si>
  <si>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</si>
  <si>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</si>
  <si>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</si>
  <si>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</si>
  <si>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</si>
  <si>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</si>
  <si>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</si>
  <si>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</si>
  <si>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</si>
  <si>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</si>
  <si>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</si>
  <si>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</si>
  <si>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</si>
  <si>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</si>
  <si>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</si>
  <si>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</si>
  <si>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</si>
  <si>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</si>
  <si>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</si>
  <si>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</si>
  <si>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</si>
  <si>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</si>
  <si>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</si>
  <si>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</si>
  <si>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</si>
  <si>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</si>
  <si>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</si>
  <si>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</si>
  <si>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</si>
  <si>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</si>
  <si>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</si>
  <si>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</si>
  <si>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</si>
  <si>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</si>
  <si>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</si>
  <si>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</si>
  <si>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</si>
  <si>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</si>
  <si>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</si>
  <si>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</si>
  <si>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</si>
  <si>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</si>
  <si>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</si>
  <si>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</si>
  <si>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</si>
  <si>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</si>
  <si>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</si>
  <si>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</si>
  <si>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</si>
  <si>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</si>
  <si>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</si>
  <si>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</si>
  <si>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</si>
  <si>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</si>
  <si>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</si>
  <si>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</si>
  <si>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</si>
  <si>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</si>
  <si>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</si>
  <si>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</si>
  <si>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</si>
  <si>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</si>
  <si>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</si>
  <si>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</si>
  <si>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</si>
  <si>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</si>
  <si>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</si>
  <si>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</si>
  <si>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</si>
  <si>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</si>
  <si>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</si>
  <si>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</si>
  <si>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</si>
  <si>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</si>
  <si>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</si>
  <si>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</si>
  <si>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</si>
  <si>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</si>
  <si>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</si>
  <si>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</si>
  <si>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</si>
  <si>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</si>
  <si>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</si>
  <si>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CUB C/R FRENTE 90° R8</t>
  </si>
  <si>
    <t>7 DIAS HABILES</t>
  </si>
  <si>
    <t>N° 11206</t>
  </si>
  <si>
    <t>MUEBLERIA TORO</t>
  </si>
  <si>
    <t>SAN FERNANDO</t>
  </si>
  <si>
    <t>+569 7598 9388</t>
  </si>
  <si>
    <t>ASHES GRANITE 40265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</si>
</sst>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45637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170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97624.392265193383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166</v>
      </c>
      <c r="D21" s="331">
        <v>3</v>
      </c>
      <c r="E21" s="331">
        <v>0.6</v>
      </c>
      <c r="F21" s="330" t="s">
        <v>172</v>
      </c>
      <c r="G21" s="332">
        <v>183410</v>
      </c>
      <c r="H21" s="332">
        <f>G21*B21</f>
        <v>183410</v>
      </c>
      <c r="I21" s="320"/>
      <c r="J21" s="265"/>
      <c r="K21" s="47"/>
      <c r="L21" s="47">
        <f>B21</f>
        <v>1</v>
      </c>
      <c r="M21" s="39">
        <f>D21+M$19</f>
        <v>3.08</v>
      </c>
      <c r="N21" s="39">
        <f>E21+$N$19</f>
        <v>0.6</v>
      </c>
      <c r="O21" s="261">
        <f t="shared" ref="O21" si="1">M21*N21</f>
        <v>1.8479999999999999</v>
      </c>
      <c r="P21" s="259">
        <f t="shared" ref="P21" si="2">O21*L21</f>
        <v>1.8479999999999999</v>
      </c>
      <c r="Q21" s="252">
        <f t="shared" ref="Q21" si="3">Q$20*O21</f>
        <v>180409.87690607735</v>
      </c>
      <c r="R21" s="319">
        <f t="shared" ref="R21" si="4">Q21+R$20</f>
        <v>183409.87690607735</v>
      </c>
      <c r="S21" s="297">
        <f>M21*L21</f>
        <v>3.08</v>
      </c>
      <c r="T21" s="46">
        <f>N21*2*L21*2</f>
        <v>2.4</v>
      </c>
      <c r="U21" s="9"/>
      <c r="X21" s="4"/>
    </row>
    <row r="22" spans="1:25" ht="17.399999999999999" x14ac:dyDescent="0.3">
      <c r="B22" s="330">
        <v>2</v>
      </c>
      <c r="C22" s="330" t="s">
        <v>166</v>
      </c>
      <c r="D22" s="331">
        <v>2</v>
      </c>
      <c r="E22" s="331">
        <v>0.6</v>
      </c>
      <c r="F22" s="330" t="s">
        <v>172</v>
      </c>
      <c r="G22" s="332">
        <v>124835</v>
      </c>
      <c r="H22" s="332">
        <f t="shared" ref="H22" si="5">G22*B22</f>
        <v>249670</v>
      </c>
      <c r="I22" s="320"/>
      <c r="J22" s="265"/>
      <c r="K22" s="47"/>
      <c r="L22" s="47">
        <f t="shared" ref="L22" si="6">B22</f>
        <v>2</v>
      </c>
      <c r="M22" s="39">
        <f t="shared" ref="M22" si="7">D22+M$19</f>
        <v>2.08</v>
      </c>
      <c r="N22" s="39">
        <f t="shared" ref="N22" si="8">E22+$N$19</f>
        <v>0.6</v>
      </c>
      <c r="O22" s="261">
        <f t="shared" ref="O22" si="9">M22*N22</f>
        <v>1.248</v>
      </c>
      <c r="P22" s="259">
        <f t="shared" ref="P22" si="10">O22*L22</f>
        <v>2.496</v>
      </c>
      <c r="Q22" s="252">
        <f t="shared" ref="Q22" si="11">Q$20*O22</f>
        <v>121835.24154696135</v>
      </c>
      <c r="R22" s="319">
        <f t="shared" ref="R22" si="12">Q22+R$20</f>
        <v>124835.24154696135</v>
      </c>
      <c r="S22" s="297">
        <f>M22*L22</f>
        <v>4.16</v>
      </c>
      <c r="T22" s="46"/>
      <c r="U22" s="9"/>
      <c r="X22" s="4"/>
    </row>
    <row r="23" spans="1:25" ht="17.399999999999999" x14ac:dyDescent="0.3">
      <c r="B23" s="345"/>
      <c r="C23" s="345"/>
      <c r="D23" s="346"/>
      <c r="E23" s="346"/>
      <c r="F23" s="34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433080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82285.2</v>
      </c>
      <c r="I26" s="322"/>
      <c r="J26" s="265"/>
      <c r="K26" s="47"/>
      <c r="L26" s="47"/>
      <c r="M26" s="39">
        <f>SUM(M21:M25)</f>
        <v>5.16</v>
      </c>
      <c r="N26" s="12"/>
      <c r="O26" s="12"/>
      <c r="P26" s="253">
        <f>SUM(P21:P24)</f>
        <v>4.3439999999999994</v>
      </c>
      <c r="Q26" s="14"/>
      <c r="R26" s="12"/>
      <c r="S26" s="239">
        <f>SUM(S21:S25)</f>
        <v>7.24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515365.2</v>
      </c>
      <c r="I27" s="322"/>
      <c r="J27" s="265"/>
      <c r="K27" s="47"/>
      <c r="L27" s="47"/>
      <c r="M27" s="39"/>
      <c r="N27" s="12"/>
      <c r="O27" s="12"/>
      <c r="P27" s="253">
        <f>P26</f>
        <v>4.3439999999999994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0.86879999999999991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5.2127999999999997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5.2127999999999997</v>
      </c>
      <c r="N31" s="12">
        <v>3500</v>
      </c>
      <c r="O31" s="12">
        <f t="shared" ref="O31:O36" si="13">M31*N31</f>
        <v>18244.8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1.5</v>
      </c>
      <c r="N32" s="12">
        <v>25000</v>
      </c>
      <c r="O32" s="12">
        <f t="shared" si="13"/>
        <v>37500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50043.07</v>
      </c>
      <c r="L34" s="250"/>
      <c r="M34" s="14">
        <v>3</v>
      </c>
      <c r="N34" s="250">
        <v>42053</v>
      </c>
      <c r="O34" s="12">
        <f t="shared" si="13"/>
        <v>126159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78008.070000000007</v>
      </c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65553.000000000015</v>
      </c>
      <c r="L36" s="250"/>
      <c r="M36" s="266">
        <v>7.24</v>
      </c>
      <c r="N36" s="12">
        <v>1500</v>
      </c>
      <c r="O36" s="12">
        <f t="shared" si="13"/>
        <v>10860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12455.069999999992</v>
      </c>
      <c r="L37" s="250"/>
      <c r="M37" s="14"/>
      <c r="N37" s="12"/>
      <c r="O37" s="12">
        <f>SUM(O31:O36)</f>
        <v>192763.8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424080.36</v>
      </c>
      <c r="P38" s="14" t="s">
        <v>140</v>
      </c>
      <c r="Q38" s="14"/>
      <c r="R38" s="40">
        <f>P29/R37</f>
        <v>1.4055220017256254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97624.392265193383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45637</v>
      </c>
    </row>
    <row r="6" spans="2:31" ht="16.2" thickBot="1" x14ac:dyDescent="0.35">
      <c r="B6" s="140" t="s">
        <v>2</v>
      </c>
      <c r="C6" s="139" t="str">
        <f>'2229'!C10</f>
        <v>MUEBLERIA TORO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-48645.805033454111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433080</v>
      </c>
      <c r="E11" s="132">
        <f>D11*0.19</f>
        <v>82285.2</v>
      </c>
      <c r="F11" s="131">
        <f>E11+D11</f>
        <v>515365.2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57344.194966545889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85578.890787439625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39344.194966545889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347501.10921256035</v>
      </c>
      <c r="E13" s="221">
        <f>(D11/D12)-1</f>
        <v>4.0605937517428421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30344.194966545889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-8655.8050334541113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141205.16979927538</v>
      </c>
      <c r="F15" s="216">
        <f>E15-D12</f>
        <v>55626.279011835752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-8655.8050334541113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31344.194966545889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18244.8</v>
      </c>
      <c r="E20" s="121">
        <f>D20*0.19</f>
        <v>3466.5119999999997</v>
      </c>
      <c r="F20" s="120">
        <f>SUM(D20:E20)</f>
        <v>21711.311999999998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55744.800000000003</v>
      </c>
      <c r="E21" s="116">
        <f>SUM(E18:E20)</f>
        <v>10591.511999999999</v>
      </c>
      <c r="F21" s="115">
        <f>SUM(F18:F20)</f>
        <v>66336.312000000005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71693.687999999995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433080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55744.800000000003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347501.10921256035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347501.10921256035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2024-12-11T20:22:30Z</dcterms:modified>
</cp:coreProperties>
</file>