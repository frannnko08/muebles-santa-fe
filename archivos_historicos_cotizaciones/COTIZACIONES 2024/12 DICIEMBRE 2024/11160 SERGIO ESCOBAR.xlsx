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48D227C5-3675-4DE1-B1CC-042594FB8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H24" i="1" s="1"/>
  <c r="G23" i="1"/>
  <c r="H23" i="1" s="1"/>
  <c r="G22" i="1"/>
  <c r="H22" i="1" s="1"/>
  <c r="G21" i="1"/>
  <c r="P30" i="1"/>
  <c r="P28" i="1"/>
  <c r="L22" i="1"/>
  <c r="M22" i="1"/>
  <c r="O22" i="1" s="1"/>
  <c r="N22" i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N21" i="1"/>
  <c r="P22" i="1" l="1"/>
  <c r="M21" i="1"/>
  <c r="M28" i="1" s="1"/>
  <c r="L21" i="1"/>
  <c r="T21" i="1" l="1"/>
  <c r="T27" i="1" s="1"/>
  <c r="S21" i="1"/>
  <c r="S29" i="1" s="1"/>
  <c r="O21" i="1"/>
  <c r="P21" i="1" s="1"/>
  <c r="K42" i="1"/>
  <c r="S30" i="1" l="1"/>
  <c r="S31" i="1" s="1"/>
  <c r="S32" i="1" s="1"/>
  <c r="V35" i="1"/>
  <c r="V36" i="1" s="1"/>
  <c r="O34" i="1" l="1"/>
  <c r="P29" i="1" l="1"/>
  <c r="P31" i="1" s="1"/>
  <c r="M33" i="1" s="1"/>
  <c r="N20" i="1"/>
  <c r="L20" i="1"/>
  <c r="O35" i="1" l="1"/>
  <c r="R39" i="1"/>
  <c r="R40" i="1" s="1"/>
  <c r="O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Q24" i="1"/>
  <c r="R24" i="1" s="1"/>
  <c r="O42" i="1"/>
  <c r="E15" i="3"/>
  <c r="Q21" i="1" l="1"/>
  <c r="F15" i="3"/>
  <c r="R21" i="1" l="1"/>
  <c r="H21" i="1" l="1"/>
  <c r="H27" i="1" s="1"/>
  <c r="H28" i="1" l="1"/>
  <c r="H29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<sst xmlns="http://schemas.openxmlformats.org/spreadsheetml/2006/main" count="235" uniqueCount="174">
  <si>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</si>
  <si>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</si>
  <si>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</si>
  <si>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</si>
  <si>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</si>
  <si>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</si>
  <si>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</si>
  <si>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</si>
  <si>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</si>
  <si>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</si>
  <si>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</si>
  <si>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</si>
  <si>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</si>
  <si>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</si>
  <si>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</si>
  <si>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</si>
  <si>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</si>
  <si>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</si>
  <si>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</si>
  <si>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</si>
  <si>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</si>
  <si>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</si>
  <si>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</si>
  <si>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</si>
  <si>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</si>
  <si>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</si>
  <si>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</si>
  <si>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</si>
  <si>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</si>
  <si>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</si>
  <si>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</si>
  <si>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</si>
  <si>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</si>
  <si>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</si>
  <si>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</si>
  <si>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</si>
  <si>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</si>
  <si>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</si>
  <si>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</si>
  <si>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</si>
  <si>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</si>
  <si>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</si>
  <si>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</si>
  <si>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</si>
  <si>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</si>
  <si>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</si>
  <si>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</si>
  <si>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</si>
  <si>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</si>
  <si>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</si>
  <si>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</si>
  <si>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</si>
  <si>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</si>
  <si>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</si>
  <si>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</si>
  <si>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</si>
  <si>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</si>
  <si>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</si>
  <si>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</si>
  <si>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</si>
  <si>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</si>
  <si>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</si>
  <si>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</si>
  <si>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</si>
  <si>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</si>
  <si>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</si>
  <si>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</si>
  <si>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</si>
  <si>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</si>
  <si>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</si>
  <si>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</si>
  <si>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</si>
  <si>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</si>
  <si>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</si>
  <si>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</si>
  <si>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</si>
  <si>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</si>
  <si>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</si>
  <si>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</si>
  <si>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</si>
  <si>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</si>
  <si>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</si>
  <si>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</si>
  <si>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</si>
  <si>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</si>
  <si>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</si>
  <si>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</si>
  <si>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</si>
  <si>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</si>
  <si>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</si>
  <si>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</si>
  <si>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</si>
  <si>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</si>
  <si>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</si>
  <si>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</si>
  <si>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</si>
  <si>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</si>
  <si>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</si>
  <si>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</si>
  <si>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</si>
  <si>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</si>
  <si>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</si>
  <si>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</si>
  <si>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</si>
  <si>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</si>
  <si>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</si>
  <si>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</si>
  <si>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</si>
  <si>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</si>
  <si>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</si>
  <si>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</si>
  <si>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</si>
  <si>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</si>
  <si>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</si>
  <si>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</si>
  <si>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</si>
  <si>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</si>
  <si>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</si>
  <si>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</si>
  <si>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</si>
  <si>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</si>
  <si>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</si>
  <si>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</si>
  <si>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</si>
  <si>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</si>
  <si>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</si>
  <si>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</si>
  <si>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</si>
  <si>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</si>
  <si>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</si>
  <si>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</si>
  <si>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</si>
  <si>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</si>
  <si>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</si>
  <si>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</si>
  <si>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</si>
  <si>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</si>
  <si>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</si>
  <si>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</si>
  <si>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</si>
  <si>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</si>
  <si>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</si>
  <si>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</si>
  <si>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</si>
  <si>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</si>
  <si>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</si>
  <si>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</si>
  <si>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</si>
  <si>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</si>
  <si>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</si>
  <si>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</si>
  <si>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</si>
  <si>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</si>
  <si>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</si>
  <si>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</si>
  <si>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</si>
  <si>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</si>
  <si>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</si>
  <si>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</si>
  <si>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</si>
  <si>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</si>
  <si>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</si>
  <si>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</si>
  <si>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</si>
  <si>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</si>
  <si>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</si>
  <si>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</si>
  <si>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</si>
  <si>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SILVER LEGNO OAK 10879 SF</t>
  </si>
  <si>
    <t>JUAN IGNACIO GALVEZ</t>
  </si>
  <si>
    <t>+569 8419 4237</t>
  </si>
  <si>
    <t>N° 11159</t>
  </si>
  <si>
    <t>CUB CON RESPALDO R6</t>
  </si>
  <si>
    <t>CUB MESA 2 LADOS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</si>
</sst>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3" zoomScale="93" zoomScaleNormal="93" workbookViewId="0">
      <selection activeCell="K15" sqref="K1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44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45607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45" t="s">
        <v>165</v>
      </c>
      <c r="G17" s="345"/>
      <c r="H17" s="34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7" t="s">
        <v>95</v>
      </c>
      <c r="C19" s="348"/>
      <c r="D19" s="348"/>
      <c r="E19" s="348"/>
      <c r="F19" s="348"/>
      <c r="G19" s="348"/>
      <c r="H19" s="349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8" t="s">
        <v>7</v>
      </c>
      <c r="C20" s="329" t="s">
        <v>1</v>
      </c>
      <c r="D20" s="329" t="s">
        <v>10</v>
      </c>
      <c r="E20" s="329" t="s">
        <v>11</v>
      </c>
      <c r="F20" s="329" t="s">
        <v>8</v>
      </c>
      <c r="G20" s="329" t="s">
        <v>5</v>
      </c>
      <c r="H20" s="332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56134.77508421956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33">
        <v>1</v>
      </c>
      <c r="C21" s="334" t="s">
        <v>172</v>
      </c>
      <c r="D21" s="335">
        <v>6</v>
      </c>
      <c r="E21" s="335">
        <v>0.45</v>
      </c>
      <c r="F21" s="334" t="s">
        <v>168</v>
      </c>
      <c r="G21" s="336">
        <f>Q21</f>
        <v>158827.73262329082</v>
      </c>
      <c r="H21" s="337">
        <f>G21*B21</f>
        <v>158827.73262329082</v>
      </c>
      <c r="I21" s="320"/>
      <c r="J21" s="265"/>
      <c r="K21" s="47"/>
      <c r="L21" s="47">
        <f>B21</f>
        <v>1</v>
      </c>
      <c r="M21" s="39">
        <f>D21+M$19</f>
        <v>6.02</v>
      </c>
      <c r="N21" s="39">
        <f>E21+$N$19</f>
        <v>0.47000000000000003</v>
      </c>
      <c r="O21" s="261">
        <f t="shared" ref="O21" si="1">M21*N21</f>
        <v>2.8294000000000001</v>
      </c>
      <c r="P21" s="259">
        <f t="shared" ref="P21" si="2">O21*L21</f>
        <v>2.8294000000000001</v>
      </c>
      <c r="Q21" s="252">
        <f t="shared" ref="Q21" si="3">Q$20*O21</f>
        <v>158827.73262329082</v>
      </c>
      <c r="R21" s="319">
        <f t="shared" ref="R21" si="4">Q21+R$20</f>
        <v>163827.73262329082</v>
      </c>
      <c r="S21" s="297">
        <f>L21*M21*2</f>
        <v>12.04</v>
      </c>
      <c r="T21" s="46">
        <f>N21*2*L21*2</f>
        <v>1.8800000000000001</v>
      </c>
      <c r="U21" s="9"/>
      <c r="X21" s="4"/>
    </row>
    <row r="22" spans="2:25" ht="17.399999999999999" x14ac:dyDescent="0.3">
      <c r="B22" s="338">
        <v>1</v>
      </c>
      <c r="C22" s="330" t="s">
        <v>173</v>
      </c>
      <c r="D22" s="331">
        <v>1.2</v>
      </c>
      <c r="E22" s="331">
        <v>1.02</v>
      </c>
      <c r="F22" s="330" t="s">
        <v>168</v>
      </c>
      <c r="G22" s="326">
        <f>Q22</f>
        <v>71223.802626857767</v>
      </c>
      <c r="H22" s="327">
        <f t="shared" ref="H22:H24" si="5">G22*B22</f>
        <v>71223.802626857767</v>
      </c>
      <c r="I22" s="320"/>
      <c r="J22" s="265"/>
      <c r="K22" s="47"/>
      <c r="L22" s="47">
        <f t="shared" ref="L22:L24" si="6">B22</f>
        <v>1</v>
      </c>
      <c r="M22" s="39">
        <f t="shared" ref="M22:M24" si="7">D22+M$19</f>
        <v>1.22</v>
      </c>
      <c r="N22" s="39">
        <f t="shared" ref="N22:N24" si="8">E22+$N$19</f>
        <v>1.04</v>
      </c>
      <c r="O22" s="261">
        <f t="shared" ref="O22:O24" si="9">M22*N22</f>
        <v>1.2687999999999999</v>
      </c>
      <c r="P22" s="259">
        <f t="shared" ref="P22:P24" si="10">O22*L22</f>
        <v>1.2687999999999999</v>
      </c>
      <c r="Q22" s="252">
        <f t="shared" ref="Q22:Q24" si="11">Q$20*O22</f>
        <v>71223.802626857767</v>
      </c>
      <c r="R22" s="319">
        <f t="shared" ref="R22:R24" si="12">Q22+R$20</f>
        <v>76223.802626857767</v>
      </c>
      <c r="S22" s="297">
        <f t="shared" ref="S22:S24" si="13">L22*M22*2</f>
        <v>2.44</v>
      </c>
      <c r="T22" s="46"/>
      <c r="U22" s="9"/>
      <c r="X22" s="4"/>
    </row>
    <row r="23" spans="2:25" ht="17.399999999999999" x14ac:dyDescent="0.3">
      <c r="B23" s="338">
        <v>2</v>
      </c>
      <c r="C23" s="330" t="s">
        <v>173</v>
      </c>
      <c r="D23" s="331">
        <v>2.4</v>
      </c>
      <c r="E23" s="331">
        <v>0.65</v>
      </c>
      <c r="F23" s="330" t="s">
        <v>168</v>
      </c>
      <c r="G23" s="326">
        <f>Q23</f>
        <v>91016.924321553597</v>
      </c>
      <c r="H23" s="327">
        <f t="shared" si="5"/>
        <v>182033.84864310719</v>
      </c>
      <c r="I23" s="320"/>
      <c r="J23" s="265"/>
      <c r="K23" s="47"/>
      <c r="L23" s="47">
        <f t="shared" si="6"/>
        <v>2</v>
      </c>
      <c r="M23" s="39">
        <f t="shared" si="7"/>
        <v>2.42</v>
      </c>
      <c r="N23" s="39">
        <f t="shared" si="8"/>
        <v>0.67</v>
      </c>
      <c r="O23" s="261">
        <f t="shared" si="9"/>
        <v>1.6214</v>
      </c>
      <c r="P23" s="259">
        <f t="shared" si="10"/>
        <v>3.2427999999999999</v>
      </c>
      <c r="Q23" s="252">
        <f t="shared" si="11"/>
        <v>91016.924321553597</v>
      </c>
      <c r="R23" s="319">
        <f t="shared" si="12"/>
        <v>96016.924321553597</v>
      </c>
      <c r="S23" s="297">
        <f t="shared" si="13"/>
        <v>9.68</v>
      </c>
      <c r="T23" s="46"/>
      <c r="U23" s="9"/>
      <c r="X23" s="4"/>
    </row>
    <row r="24" spans="2:25" ht="18" thickBot="1" x14ac:dyDescent="0.35">
      <c r="B24" s="339">
        <v>2</v>
      </c>
      <c r="C24" s="340" t="s">
        <v>173</v>
      </c>
      <c r="D24" s="341">
        <v>2.4</v>
      </c>
      <c r="E24" s="341">
        <v>0.34</v>
      </c>
      <c r="F24" s="340" t="s">
        <v>168</v>
      </c>
      <c r="G24" s="342">
        <f>Q24</f>
        <v>48904.616053372083</v>
      </c>
      <c r="H24" s="343">
        <f t="shared" si="5"/>
        <v>97809.232106744166</v>
      </c>
      <c r="I24" s="320"/>
      <c r="J24" s="265"/>
      <c r="K24" s="47"/>
      <c r="L24" s="47">
        <f t="shared" si="6"/>
        <v>2</v>
      </c>
      <c r="M24" s="39">
        <f t="shared" si="7"/>
        <v>2.42</v>
      </c>
      <c r="N24" s="39">
        <f t="shared" si="8"/>
        <v>0.36000000000000004</v>
      </c>
      <c r="O24" s="261">
        <f t="shared" si="9"/>
        <v>0.87120000000000009</v>
      </c>
      <c r="P24" s="259">
        <f t="shared" si="10"/>
        <v>1.7424000000000002</v>
      </c>
      <c r="Q24" s="252">
        <f t="shared" si="11"/>
        <v>48904.616053372083</v>
      </c>
      <c r="R24" s="319">
        <f t="shared" si="12"/>
        <v>53904.616053372083</v>
      </c>
      <c r="S24" s="297">
        <f t="shared" si="13"/>
        <v>9.68</v>
      </c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509894.61599999992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1.8800000000000001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96879.977039999983</v>
      </c>
      <c r="I28" s="322"/>
      <c r="J28" s="265"/>
      <c r="K28" s="47"/>
      <c r="L28" s="47"/>
      <c r="M28" s="39">
        <f>SUM(M21:M27)</f>
        <v>12.08</v>
      </c>
      <c r="N28" s="12"/>
      <c r="O28" s="12"/>
      <c r="P28" s="253">
        <f>SUM(P21:P24)</f>
        <v>9.083400000000001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606774.59303999995</v>
      </c>
      <c r="I29" s="322"/>
      <c r="J29" s="265"/>
      <c r="K29" s="47"/>
      <c r="L29" s="47"/>
      <c r="M29" s="39"/>
      <c r="N29" s="12"/>
      <c r="O29" s="12"/>
      <c r="P29" s="253">
        <f>P28</f>
        <v>9.083400000000001</v>
      </c>
      <c r="Q29" s="14"/>
      <c r="R29" s="12"/>
      <c r="S29" s="239">
        <f>SUM(S21:S28)</f>
        <v>33.839999999999996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1.8166800000000003</v>
      </c>
      <c r="Q30" s="39" t="s">
        <v>130</v>
      </c>
      <c r="R30" s="42"/>
      <c r="S30" s="240">
        <f>S29+T27</f>
        <v>35.72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10.900080000000001</v>
      </c>
      <c r="Q31" s="14"/>
      <c r="R31" s="14"/>
      <c r="S31" s="238">
        <f>S30*20%</f>
        <v>7.1440000000000001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42.863999999999997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10.900080000000001</v>
      </c>
      <c r="N33" s="12">
        <v>3500</v>
      </c>
      <c r="O33" s="12">
        <f t="shared" ref="O33:O38" si="14">M33*N33</f>
        <v>38150.280000000006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3</v>
      </c>
      <c r="N34" s="12">
        <v>25000</v>
      </c>
      <c r="O34" s="12">
        <f t="shared" si="14"/>
        <v>75000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61840</v>
      </c>
      <c r="O35" s="12">
        <f t="shared" si="14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4</v>
      </c>
      <c r="N36" s="250">
        <v>29655</v>
      </c>
      <c r="O36" s="12">
        <f t="shared" si="14"/>
        <v>118620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L37" s="250"/>
      <c r="M37" s="249"/>
      <c r="N37" s="250">
        <v>900</v>
      </c>
      <c r="O37" s="12">
        <f t="shared" si="14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L38" s="250"/>
      <c r="M38" s="266"/>
      <c r="N38" s="12">
        <v>1500</v>
      </c>
      <c r="O38" s="12">
        <f t="shared" si="14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L39" s="250"/>
      <c r="M39" s="14"/>
      <c r="N39" s="12"/>
      <c r="O39" s="12">
        <f>SUM(O33:O38)</f>
        <v>231770.28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509894.61600000004</v>
      </c>
      <c r="P40" s="14" t="s">
        <v>140</v>
      </c>
      <c r="Q40" s="14"/>
      <c r="R40" s="40">
        <f>P31/R39</f>
        <v>2.9389775668679898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67392</v>
      </c>
      <c r="L41" s="250"/>
      <c r="M41" s="14"/>
      <c r="N41" s="12"/>
      <c r="O41" s="12">
        <f>O40/P29</f>
        <v>56134.77508421956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K42" s="230">
        <f>K41/1.19</f>
        <v>56631.932773109249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45607</v>
      </c>
    </row>
    <row r="6" spans="2:31" ht="16.2" thickBot="1" x14ac:dyDescent="0.35">
      <c r="B6" s="140" t="s">
        <v>2</v>
      </c>
      <c r="C6" s="139" t="str">
        <f>'2229'!C10</f>
        <v>JUAN IGNACIO GALVEZ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51" t="s">
        <v>98</v>
      </c>
      <c r="I7" s="352"/>
      <c r="J7" s="352"/>
      <c r="K7" s="353"/>
      <c r="N7" s="75"/>
      <c r="O7" s="35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5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-45661.734033454093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509894.61599999992</v>
      </c>
      <c r="E11" s="132">
        <f>D11*0.19</f>
        <v>96879.977039999983</v>
      </c>
      <c r="F11" s="131">
        <f>E11+D11</f>
        <v>606774.59303999995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60328.265966545907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142984.37078743961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42328.265966545907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366910.24521256029</v>
      </c>
      <c r="E13" s="221">
        <f>(D11/D12)-1</f>
        <v>2.566086371481878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33328.265966545907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-5671.7340334540932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235924.21179927533</v>
      </c>
      <c r="F15" s="216">
        <f>E15-D12</f>
        <v>92939.841011835728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-5671.7340334540932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34328.265966545907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75000</v>
      </c>
      <c r="E19" s="123">
        <f>D19*0.19</f>
        <v>14250</v>
      </c>
      <c r="F19" s="120">
        <f>SUM(D19:E19)</f>
        <v>89250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38150.280000000006</v>
      </c>
      <c r="E20" s="121">
        <f>D20*0.19</f>
        <v>7248.5532000000012</v>
      </c>
      <c r="F20" s="120">
        <f>SUM(D20:E20)</f>
        <v>45398.833200000008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113150.28</v>
      </c>
      <c r="E21" s="116">
        <f>SUM(E18:E20)</f>
        <v>21498.553200000002</v>
      </c>
      <c r="F21" s="115">
        <f>SUM(F18:F20)</f>
        <v>134648.83319999999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75381.423839999974</v>
      </c>
    </row>
    <row r="41" spans="2:16" ht="15" thickBot="1" x14ac:dyDescent="0.35">
      <c r="H41" s="354" t="s">
        <v>60</v>
      </c>
      <c r="I41" s="355"/>
      <c r="J41" s="355"/>
      <c r="K41" s="355"/>
      <c r="L41" s="355"/>
      <c r="M41" s="35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509894.61599999992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113150.28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366910.24521256029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366910.24521256029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2024-11-11T17:28:31Z</cp:lastPrinted>
  <dcterms:created xsi:type="dcterms:W3CDTF">2013-03-18T13:35:42Z</dcterms:created>
  <dcterms:modified xsi:type="dcterms:W3CDTF">2024-11-13T14:03:26Z</dcterms:modified>
</cp:coreProperties>
</file>