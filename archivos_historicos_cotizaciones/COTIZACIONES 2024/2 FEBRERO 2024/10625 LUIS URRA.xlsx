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08487AE9-C057-414D-AEB7-056D9A09B7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" l="1"/>
  <c r="L21" i="1"/>
  <c r="J38" i="1"/>
  <c r="L23" i="1" l="1"/>
  <c r="S21" i="1"/>
  <c r="R21" i="1"/>
  <c r="R25" i="1" s="1"/>
  <c r="N21" i="1"/>
  <c r="O21" i="1" s="1"/>
  <c r="O24" i="1" s="1"/>
  <c r="U31" i="1"/>
  <c r="U32" i="1" s="1"/>
  <c r="N30" i="1" l="1"/>
  <c r="O25" i="1" l="1"/>
  <c r="O26" i="1" s="1"/>
  <c r="O27" i="1" s="1"/>
  <c r="L29" i="1" s="1"/>
  <c r="M20" i="1"/>
  <c r="K20" i="1"/>
  <c r="N31" i="1" l="1"/>
  <c r="Q35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Q36" i="1"/>
  <c r="N35" i="1" l="1"/>
  <c r="D20" i="3"/>
  <c r="E20" i="3" s="1"/>
  <c r="E21" i="3" s="1"/>
  <c r="N36" i="1" l="1"/>
  <c r="N37" i="1" s="1"/>
  <c r="P20" i="1" s="1"/>
  <c r="P21" i="1" s="1"/>
  <c r="D21" i="3"/>
  <c r="M43" i="3" s="1"/>
  <c r="D12" i="3" s="1"/>
  <c r="F20" i="3"/>
  <c r="F21" i="3" s="1"/>
  <c r="N38" i="1" l="1"/>
  <c r="E15" i="3"/>
  <c r="F15" i="3" l="1"/>
  <c r="Q21" i="1" l="1"/>
  <c r="H21" i="1" l="1"/>
  <c r="H23" i="1" s="1"/>
  <c r="H24" i="1" l="1"/>
  <c r="H25" i="1" l="1"/>
  <c r="D11" i="3"/>
  <c r="X9" i="3" s="1"/>
  <c r="X15" i="3" s="1"/>
  <c r="D13" i="3" l="1"/>
  <c r="E13" i="3"/>
  <c r="X14" i="3"/>
  <c r="X11" i="3"/>
  <c r="X13" i="3"/>
  <c r="X12" i="3"/>
  <c r="M42" i="3"/>
  <c r="M46" i="3" s="1"/>
  <c r="M49" i="3" s="1"/>
  <c r="X16" i="3"/>
  <c r="E11" i="3"/>
  <c r="D40" i="3" s="1"/>
  <c r="F11" i="3" l="1"/>
</calcChain>
</file>

<file path=xl/sharedStrings.xml><?xml version="1.0" encoding="utf-8"?>
<sst xmlns="http://schemas.openxmlformats.org/spreadsheetml/2006/main" count="229" uniqueCount="173">
  <si>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</si>
  <si>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</si>
  <si>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</si>
  <si>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</si>
  <si>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</si>
  <si>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</si>
  <si>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</si>
  <si>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</si>
  <si>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</si>
  <si>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</si>
  <si>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</si>
  <si>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</si>
  <si>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</si>
  <si>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</si>
  <si>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</si>
  <si>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</si>
  <si>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</si>
  <si>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</si>
  <si>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</si>
  <si>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</si>
  <si>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</si>
  <si>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</si>
  <si>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</si>
  <si>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</si>
  <si>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</si>
  <si>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</si>
  <si>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</si>
  <si>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</si>
  <si>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</si>
  <si>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</si>
  <si>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</si>
  <si>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</si>
  <si>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</si>
  <si>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</si>
  <si>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</si>
  <si>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</si>
  <si>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</si>
  <si>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</si>
  <si>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</si>
  <si>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</si>
  <si>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</si>
  <si>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</si>
  <si>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</si>
  <si>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</si>
  <si>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</si>
  <si>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</si>
  <si>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</si>
  <si>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</si>
  <si>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</si>
  <si>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</si>
  <si>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</si>
  <si>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</si>
  <si>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</si>
  <si>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</si>
  <si>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</si>
  <si>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</si>
  <si>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</si>
  <si>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</si>
  <si>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</si>
  <si>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</si>
  <si>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</si>
  <si>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</si>
  <si>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</si>
  <si>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</si>
  <si>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</si>
  <si>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</si>
  <si>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</si>
  <si>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</si>
  <si>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</si>
  <si>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</si>
  <si>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</si>
  <si>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</si>
  <si>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</si>
  <si>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</si>
  <si>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</si>
  <si>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</si>
  <si>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</si>
  <si>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</si>
  <si>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</si>
  <si>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</si>
  <si>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</si>
  <si>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</si>
  <si>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</si>
  <si>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</si>
  <si>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</si>
  <si>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</si>
  <si>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</si>
  <si>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</si>
  <si>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</si>
  <si>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</si>
  <si>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</si>
  <si>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</si>
  <si>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</si>
  <si>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</si>
  <si>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</si>
  <si>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</si>
  <si>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</si>
  <si>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</si>
  <si>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</si>
  <si>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</si>
  <si>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</si>
  <si>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</si>
  <si>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</si>
  <si>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</si>
  <si>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</si>
  <si>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</si>
  <si>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</si>
  <si>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</si>
  <si>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</si>
  <si>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</si>
  <si>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</si>
  <si>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</si>
  <si>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</si>
  <si>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</si>
  <si>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</si>
  <si>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</si>
  <si>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</si>
  <si>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</si>
  <si>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</si>
  <si>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</si>
  <si>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</si>
  <si>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</si>
  <si>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</si>
  <si>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</si>
  <si>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</si>
  <si>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</si>
  <si>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</si>
  <si>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</si>
  <si>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</si>
  <si>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</si>
  <si>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</si>
  <si>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</si>
  <si>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</si>
  <si>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</si>
  <si>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</si>
  <si>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</si>
  <si>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</si>
  <si>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</si>
  <si>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</si>
  <si>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</si>
  <si>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</si>
  <si>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</si>
  <si>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</si>
  <si>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</si>
  <si>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</si>
  <si>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</si>
  <si>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</si>
  <si>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</si>
  <si>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</si>
  <si>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</si>
  <si>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</si>
  <si>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</si>
  <si>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</si>
  <si>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</si>
  <si>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</si>
  <si>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</si>
  <si>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</si>
  <si>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</si>
  <si>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</si>
  <si>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</si>
  <si>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</si>
  <si>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</si>
  <si>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</si>
  <si>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</si>
  <si>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</si>
  <si>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</si>
  <si>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</si>
  <si>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</si>
  <si>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LUIS URRA</t>
  </si>
  <si>
    <t>+569 8644 9734</t>
  </si>
  <si>
    <t>CUB CON RESPALDO FRENTE 90°</t>
  </si>
  <si>
    <t>MARMOL CARRARA BR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</si>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</sst>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22</xdr:row>
      <xdr:rowOff>9525</xdr:rowOff>
    </xdr:from>
    <xdr:to>
      <xdr:col>5</xdr:col>
      <xdr:colOff>1594096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 MDF 18MM 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0"/>
  <sheetViews>
    <sheetView tabSelected="1" topLeftCell="A3" zoomScale="93" zoomScaleNormal="93" workbookViewId="0">
      <selection activeCell="G15" sqref="G15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10625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168</v>
      </c>
      <c r="D10" s="243"/>
      <c r="E10" s="243"/>
      <c r="F10" s="244" t="s">
        <v>0</v>
      </c>
      <c r="G10" s="277">
        <v>45336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172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169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>
        <v>0.02</v>
      </c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N37</f>
        <v>97754.339622641521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13">
        <v>1</v>
      </c>
      <c r="C21" s="314" t="s">
        <v>170</v>
      </c>
      <c r="D21" s="315">
        <v>2.25</v>
      </c>
      <c r="E21" s="315">
        <v>0.53</v>
      </c>
      <c r="F21" s="314" t="s">
        <v>171</v>
      </c>
      <c r="G21" s="316">
        <v>119163</v>
      </c>
      <c r="H21" s="317">
        <f>G21*B21</f>
        <v>119163</v>
      </c>
      <c r="I21" s="265"/>
      <c r="J21" s="47"/>
      <c r="K21" s="47">
        <v>1</v>
      </c>
      <c r="L21" s="39">
        <f>D21+L19</f>
        <v>2.2999999999999998</v>
      </c>
      <c r="M21" s="39">
        <f>E21</f>
        <v>0.53</v>
      </c>
      <c r="N21" s="261">
        <f t="shared" ref="N21" si="1">L21*M21</f>
        <v>1.2189999999999999</v>
      </c>
      <c r="O21" s="259">
        <f t="shared" ref="O21" si="2">N21*K21</f>
        <v>1.2189999999999999</v>
      </c>
      <c r="P21" s="252">
        <f>O21*P$20</f>
        <v>119162.54</v>
      </c>
      <c r="Q21" s="258">
        <f t="shared" ref="Q21" si="3">P21+Q$20</f>
        <v>122162.54</v>
      </c>
      <c r="R21" s="299">
        <f>L21*K21*2</f>
        <v>4.5999999999999996</v>
      </c>
      <c r="S21" s="46">
        <f>M21*K21*2</f>
        <v>1.06</v>
      </c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29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00" t="s">
        <v>29</v>
      </c>
      <c r="H23" s="301">
        <f>SUM(H21:H21)</f>
        <v>119163</v>
      </c>
      <c r="I23" s="265"/>
      <c r="J23" s="47"/>
      <c r="K23" s="47"/>
      <c r="L23" s="39">
        <f>SUM(L21:L22)</f>
        <v>2.2999999999999998</v>
      </c>
      <c r="M23" s="39"/>
      <c r="N23" s="261"/>
      <c r="O23" s="259"/>
      <c r="P23" s="252"/>
      <c r="Q23" s="258"/>
      <c r="R23" s="29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298" t="s">
        <v>52</v>
      </c>
      <c r="H24" s="296">
        <f>H23*19%</f>
        <v>22640.97</v>
      </c>
      <c r="I24" s="265"/>
      <c r="J24" s="47"/>
      <c r="K24" s="47"/>
      <c r="L24" s="39"/>
      <c r="M24" s="12"/>
      <c r="N24" s="12"/>
      <c r="O24" s="253">
        <f>SUM(O21:O21)</f>
        <v>1.2189999999999999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297">
        <f>H23+H24</f>
        <v>141803.97</v>
      </c>
      <c r="I25" s="265"/>
      <c r="J25" s="47"/>
      <c r="K25" s="47"/>
      <c r="L25" s="39"/>
      <c r="M25" s="12"/>
      <c r="N25" s="12"/>
      <c r="O25" s="253">
        <f>O24</f>
        <v>1.2189999999999999</v>
      </c>
      <c r="P25" s="14"/>
      <c r="Q25" s="12"/>
      <c r="R25" s="239">
        <f>SUM(R21:R24)</f>
        <v>4.5999999999999996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0.24379999999999999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1.4627999999999999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06" t="s">
        <v>22</v>
      </c>
      <c r="U28" s="303" t="s">
        <v>153</v>
      </c>
      <c r="V28" s="307">
        <v>44971</v>
      </c>
      <c r="W28" s="308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1.4627999999999999</v>
      </c>
      <c r="M29" s="12">
        <v>3500</v>
      </c>
      <c r="N29" s="12">
        <f t="shared" ref="N29:N34" si="4">L29*M29</f>
        <v>5119.7999999999993</v>
      </c>
      <c r="O29" s="14" t="s">
        <v>22</v>
      </c>
      <c r="P29" s="14"/>
      <c r="Q29" s="14"/>
      <c r="R29" s="241"/>
      <c r="S29" s="14"/>
      <c r="T29" s="306" t="s">
        <v>154</v>
      </c>
      <c r="U29" s="303">
        <v>3625</v>
      </c>
      <c r="V29" s="59" t="s">
        <v>155</v>
      </c>
      <c r="W29" s="308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0.4</v>
      </c>
      <c r="M30" s="12">
        <v>23850</v>
      </c>
      <c r="N30" s="12">
        <f t="shared" si="4"/>
        <v>9540</v>
      </c>
      <c r="O30" s="39" t="s">
        <v>32</v>
      </c>
      <c r="P30" s="42"/>
      <c r="Q30" s="14"/>
      <c r="R30" s="240"/>
      <c r="S30" s="14"/>
      <c r="T30" s="306"/>
      <c r="U30" s="59">
        <v>906.25</v>
      </c>
      <c r="V30" s="59" t="s">
        <v>156</v>
      </c>
      <c r="W30" s="308"/>
    </row>
    <row r="31" spans="2:24" s="230" customFormat="1" ht="17.399999999999999" x14ac:dyDescent="0.35">
      <c r="I31" s="262"/>
      <c r="J31" s="232"/>
      <c r="K31" s="250"/>
      <c r="L31" s="14">
        <v>1</v>
      </c>
      <c r="M31" s="250"/>
      <c r="N31" s="12">
        <f t="shared" si="4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08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1</v>
      </c>
      <c r="M32" s="250">
        <v>33700</v>
      </c>
      <c r="N32" s="12">
        <f t="shared" si="4"/>
        <v>33700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08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4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295"/>
      <c r="K34" s="250"/>
      <c r="L34" s="266">
        <v>2.2999999999999998</v>
      </c>
      <c r="M34" s="12">
        <v>1500</v>
      </c>
      <c r="N34" s="12">
        <f t="shared" si="4"/>
        <v>3449.9999999999995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K35" s="250"/>
      <c r="L35" s="14"/>
      <c r="M35" s="12"/>
      <c r="N35" s="12">
        <f>SUM(N29:N34)</f>
        <v>51809.8</v>
      </c>
      <c r="O35" s="39" t="s">
        <v>24</v>
      </c>
      <c r="P35" s="14"/>
      <c r="Q35">
        <f>Q33*Q34</f>
        <v>3.7088000000000001</v>
      </c>
      <c r="R35"/>
      <c r="S35" s="238"/>
      <c r="W35" s="231"/>
    </row>
    <row r="36" spans="2:23" s="230" customFormat="1" ht="17.399999999999999" x14ac:dyDescent="0.35">
      <c r="K36" s="250"/>
      <c r="L36" s="254" t="s">
        <v>34</v>
      </c>
      <c r="M36" s="12"/>
      <c r="N36" s="255">
        <f>N35*2.3</f>
        <v>119162.54</v>
      </c>
      <c r="O36" s="14" t="s">
        <v>141</v>
      </c>
      <c r="P36" s="14"/>
      <c r="Q36" s="40">
        <f>O27/Q35</f>
        <v>0.39441328731665226</v>
      </c>
      <c r="R36"/>
      <c r="S36" s="257"/>
    </row>
    <row r="37" spans="2:23" s="230" customFormat="1" ht="17.399999999999999" x14ac:dyDescent="0.35">
      <c r="G37"/>
      <c r="H37" s="260"/>
      <c r="I37" s="260"/>
      <c r="J37" s="230">
        <v>40000</v>
      </c>
      <c r="K37" s="250"/>
      <c r="L37" s="14"/>
      <c r="M37" s="12"/>
      <c r="N37" s="12">
        <f>N36/O25</f>
        <v>97754.339622641521</v>
      </c>
      <c r="O37" s="45" t="s">
        <v>25</v>
      </c>
      <c r="P37" s="14"/>
      <c r="Q37" s="14"/>
      <c r="R37"/>
      <c r="S37" s="238"/>
      <c r="T37" s="59" t="s">
        <v>159</v>
      </c>
      <c r="U37" s="303">
        <v>43650</v>
      </c>
    </row>
    <row r="38" spans="2:23" s="230" customFormat="1" ht="17.399999999999999" x14ac:dyDescent="0.35">
      <c r="G38"/>
      <c r="H38" s="230" t="s">
        <v>165</v>
      </c>
      <c r="J38" s="230">
        <f>J37/1.19</f>
        <v>33613.445378151264</v>
      </c>
      <c r="K38" s="250"/>
      <c r="L38" s="13"/>
      <c r="M38" s="14"/>
      <c r="N38" s="17">
        <f>N36/N35</f>
        <v>2.2999999999999998</v>
      </c>
      <c r="O38" s="15"/>
      <c r="P38"/>
      <c r="Q38"/>
      <c r="R38"/>
      <c r="S38" s="238"/>
      <c r="T38" s="59" t="s">
        <v>161</v>
      </c>
      <c r="U38" s="304" t="s">
        <v>160</v>
      </c>
      <c r="V38" s="59">
        <v>2.4</v>
      </c>
    </row>
    <row r="39" spans="2:23" s="230" customFormat="1" ht="17.399999999999999" x14ac:dyDescent="0.35">
      <c r="G39" s="23"/>
      <c r="K39" s="12"/>
      <c r="S39" s="238"/>
      <c r="T39" s="59" t="s">
        <v>162</v>
      </c>
      <c r="U39" s="305">
        <v>395.37</v>
      </c>
    </row>
    <row r="40" spans="2:23" s="230" customFormat="1" ht="17.399999999999999" x14ac:dyDescent="0.35">
      <c r="B40"/>
      <c r="C40" s="228"/>
      <c r="D40" s="22"/>
      <c r="E40" s="22"/>
      <c r="F40" s="21"/>
      <c r="G40" s="23"/>
      <c r="K40" s="12"/>
      <c r="S40" s="238"/>
      <c r="T40" s="59" t="s">
        <v>157</v>
      </c>
      <c r="U40" s="59">
        <v>474.45</v>
      </c>
    </row>
    <row r="41" spans="2:23" ht="14.4" customHeight="1" x14ac:dyDescent="0.3">
      <c r="K41" s="12"/>
      <c r="T41" s="59"/>
      <c r="U41" s="59"/>
    </row>
    <row r="42" spans="2:23" x14ac:dyDescent="0.3">
      <c r="K42" s="250"/>
    </row>
    <row r="43" spans="2:23" x14ac:dyDescent="0.3">
      <c r="K43" s="250"/>
      <c r="S43" s="270"/>
    </row>
    <row r="44" spans="2:23" x14ac:dyDescent="0.3">
      <c r="K44" s="250"/>
    </row>
    <row r="45" spans="2:23" ht="15" customHeight="1" x14ac:dyDescent="0.3"/>
    <row r="47" spans="2:23" x14ac:dyDescent="0.3">
      <c r="N47">
        <v>40935</v>
      </c>
      <c r="O47" t="s">
        <v>17</v>
      </c>
      <c r="P47" t="s">
        <v>27</v>
      </c>
    </row>
    <row r="49" spans="14:19" x14ac:dyDescent="0.3">
      <c r="N49" s="54"/>
      <c r="O49" s="54"/>
    </row>
    <row r="50" spans="14:19" x14ac:dyDescent="0.3">
      <c r="R50" s="18"/>
      <c r="S50" s="18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61" spans="14:19" x14ac:dyDescent="0.3">
      <c r="N61" s="43"/>
    </row>
    <row r="62" spans="14:19" x14ac:dyDescent="0.3">
      <c r="N62" s="43"/>
    </row>
    <row r="63" spans="14:19" x14ac:dyDescent="0.3">
      <c r="N63" s="6"/>
    </row>
    <row r="64" spans="14:19" x14ac:dyDescent="0.3">
      <c r="N64" s="6"/>
    </row>
    <row r="72" spans="3:3" x14ac:dyDescent="0.3">
      <c r="C72" t="s">
        <v>149</v>
      </c>
    </row>
    <row r="73" spans="3:3" x14ac:dyDescent="0.3">
      <c r="C73" t="s">
        <v>148</v>
      </c>
    </row>
    <row r="76" spans="3:3" x14ac:dyDescent="0.3">
      <c r="C76" t="s">
        <v>148</v>
      </c>
    </row>
    <row r="153" spans="3:3" x14ac:dyDescent="0.3">
      <c r="C153" t="s">
        <v>148</v>
      </c>
    </row>
    <row r="154" spans="3:3" x14ac:dyDescent="0.3">
      <c r="C154" t="s">
        <v>150</v>
      </c>
    </row>
    <row r="155" spans="3:3" x14ac:dyDescent="0.3">
      <c r="C155" t="s">
        <v>151</v>
      </c>
    </row>
    <row r="580" spans="3:3" x14ac:dyDescent="0.3">
      <c r="C580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45336</v>
      </c>
    </row>
    <row r="6" spans="2:31" ht="16.2" thickBot="1" x14ac:dyDescent="0.35">
      <c r="B6" s="140" t="s">
        <v>2</v>
      </c>
      <c r="C6" s="139" t="str">
        <f>'2229'!C10</f>
        <v>LUIS URRA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10625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-7624.6800334541085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119163</v>
      </c>
      <c r="E11" s="132">
        <f>D11*0.19</f>
        <v>22640.97</v>
      </c>
      <c r="F11" s="131">
        <f>E11+D11</f>
        <v>141803.97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98365.319966545896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44493.89078743961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80365.319966545896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74669.10921256039</v>
      </c>
      <c r="E13" s="221">
        <f>(D11/D12)-1</f>
        <v>1.6781879015543204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71365.319966545896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32365.319966545892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73414.919799275347</v>
      </c>
      <c r="F15" s="216">
        <f>E15-D12</f>
        <v>28921.029011835737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32365.319966545892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72365.319966545896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9540</v>
      </c>
      <c r="E19" s="123">
        <f>D19*0.19</f>
        <v>1812.6</v>
      </c>
      <c r="F19" s="120">
        <f>SUM(D19:E19)</f>
        <v>11352.6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5119.7999999999993</v>
      </c>
      <c r="E20" s="121">
        <f>D20*0.19</f>
        <v>972.76199999999983</v>
      </c>
      <c r="F20" s="120">
        <f>SUM(D20:E20)</f>
        <v>6092.561999999999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14659.8</v>
      </c>
      <c r="E21" s="116">
        <f>SUM(E18:E20)</f>
        <v>2785.3619999999996</v>
      </c>
      <c r="F21" s="115">
        <f>SUM(F18:F20)</f>
        <v>17445.162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19855.608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119163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14659.8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74669.10921256039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74669.10921256039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2024-02-05T18:54:25Z</cp:lastPrinted>
  <dcterms:created xsi:type="dcterms:W3CDTF">2013-03-18T13:35:42Z</dcterms:created>
  <dcterms:modified xsi:type="dcterms:W3CDTF">2024-02-14T19:44:32Z</dcterms:modified>
</cp:coreProperties>
</file>