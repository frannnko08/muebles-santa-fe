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1B3DFA3D-07FE-45E2-BBDE-B60F00567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K25" i="1"/>
  <c r="L25" i="1"/>
  <c r="M25" i="1"/>
  <c r="N25" i="1"/>
  <c r="O25" i="1" s="1"/>
  <c r="R25" i="1"/>
  <c r="K26" i="1"/>
  <c r="L26" i="1"/>
  <c r="M26" i="1"/>
  <c r="N26" i="1"/>
  <c r="O26" i="1" s="1"/>
  <c r="R26" i="1"/>
  <c r="K27" i="1"/>
  <c r="L27" i="1"/>
  <c r="M27" i="1"/>
  <c r="N27" i="1"/>
  <c r="O27" i="1" s="1"/>
  <c r="R27" i="1"/>
  <c r="K28" i="1"/>
  <c r="L28" i="1"/>
  <c r="M28" i="1"/>
  <c r="N28" i="1"/>
  <c r="O28" i="1" s="1"/>
  <c r="R28" i="1"/>
  <c r="H28" i="1"/>
  <c r="L24" i="1"/>
  <c r="M24" i="1"/>
  <c r="H24" i="1"/>
  <c r="H25" i="1"/>
  <c r="H26" i="1"/>
  <c r="H27" i="1"/>
  <c r="L23" i="1"/>
  <c r="M23" i="1"/>
  <c r="H23" i="1"/>
  <c r="L22" i="1"/>
  <c r="M22" i="1"/>
  <c r="H22" i="1"/>
  <c r="J46" i="1"/>
  <c r="L21" i="1"/>
  <c r="M21" i="1"/>
  <c r="N24" i="1" l="1"/>
  <c r="O24" i="1" s="1"/>
  <c r="R24" i="1"/>
  <c r="N22" i="1"/>
  <c r="O22" i="1" s="1"/>
  <c r="R22" i="1"/>
  <c r="N23" i="1"/>
  <c r="O23" i="1" s="1"/>
  <c r="R23" i="1"/>
  <c r="L31" i="1"/>
  <c r="S21" i="1"/>
  <c r="R21" i="1"/>
  <c r="N21" i="1"/>
  <c r="O21" i="1" s="1"/>
  <c r="U39" i="1"/>
  <c r="U40" i="1" s="1"/>
  <c r="R33" i="1" l="1"/>
  <c r="N38" i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Q44" i="1"/>
  <c r="N43" i="1" l="1"/>
  <c r="N44" i="1" s="1"/>
  <c r="D20" i="3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4" i="1" l="1"/>
  <c r="Q24" i="1" s="1"/>
  <c r="P25" i="1"/>
  <c r="Q25" i="1" s="1"/>
  <c r="P26" i="1"/>
  <c r="Q26" i="1" s="1"/>
  <c r="P27" i="1"/>
  <c r="Q27" i="1" s="1"/>
  <c r="P28" i="1"/>
  <c r="Q28" i="1" s="1"/>
  <c r="P22" i="1"/>
  <c r="Q22" i="1" s="1"/>
  <c r="P23" i="1"/>
  <c r="Q23" i="1" s="1"/>
  <c r="P21" i="1"/>
  <c r="F15" i="3"/>
  <c r="Q21" i="1" l="1"/>
  <c r="H21" i="1" l="1"/>
  <c r="H31" i="1" s="1"/>
  <c r="H32" i="1" s="1"/>
  <c r="D11" i="3" l="1"/>
  <c r="X9" i="3" s="1"/>
  <c r="X15" i="3" s="1"/>
  <c r="H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<sst xmlns="http://schemas.openxmlformats.org/spreadsheetml/2006/main" count="243" uniqueCount="174">
  <si>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</si>
  <si>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</si>
  <si>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</si>
  <si>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</si>
  <si>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</si>
  <si>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</si>
  <si>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</si>
  <si>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</si>
  <si>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</si>
  <si>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</si>
  <si>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</si>
  <si>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</si>
  <si>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</si>
  <si>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</si>
  <si>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</si>
  <si>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</si>
  <si>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</si>
  <si>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</si>
  <si>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</si>
  <si>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</si>
  <si>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</si>
  <si>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</si>
  <si>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</si>
  <si>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</si>
  <si>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</si>
  <si>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</si>
  <si>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</si>
  <si>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</si>
  <si>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</si>
  <si>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</si>
  <si>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</si>
  <si>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</si>
  <si>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</si>
  <si>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</si>
  <si>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</si>
  <si>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</si>
  <si>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</si>
  <si>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</si>
  <si>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</si>
  <si>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</si>
  <si>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</si>
  <si>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</si>
  <si>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</si>
  <si>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</si>
  <si>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</si>
  <si>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</si>
  <si>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</si>
  <si>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</si>
  <si>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</si>
  <si>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</si>
  <si>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</si>
  <si>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</si>
  <si>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</si>
  <si>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</si>
  <si>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</si>
  <si>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</si>
  <si>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</si>
  <si>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</si>
  <si>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</si>
  <si>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</si>
  <si>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</si>
  <si>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</si>
  <si>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</si>
  <si>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</si>
  <si>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</si>
  <si>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</si>
  <si>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</si>
  <si>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</si>
  <si>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</si>
  <si>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</si>
  <si>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</si>
  <si>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</si>
  <si>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</si>
  <si>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</si>
  <si>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</si>
  <si>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</si>
  <si>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</si>
  <si>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</si>
  <si>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</si>
  <si>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</si>
  <si>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</si>
  <si>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</si>
  <si>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</si>
  <si>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</si>
  <si>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</si>
  <si>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</si>
  <si>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</si>
  <si>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</si>
  <si>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</si>
  <si>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</si>
  <si>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</si>
  <si>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</si>
  <si>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</si>
  <si>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</si>
  <si>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</si>
  <si>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</si>
  <si>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</si>
  <si>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</si>
  <si>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</si>
  <si>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</si>
  <si>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</si>
  <si>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</si>
  <si>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</si>
  <si>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</si>
  <si>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</si>
  <si>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</si>
  <si>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</si>
  <si>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</si>
  <si>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</si>
  <si>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</si>
  <si>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</si>
  <si>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</si>
  <si>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</si>
  <si>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</si>
  <si>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</si>
  <si>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</si>
  <si>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</si>
  <si>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</si>
  <si>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</si>
  <si>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</si>
  <si>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</si>
  <si>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</si>
  <si>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</si>
  <si>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</si>
  <si>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</si>
  <si>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</si>
  <si>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</si>
  <si>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</si>
  <si>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</si>
  <si>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</si>
  <si>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</si>
  <si>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</si>
  <si>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</si>
  <si>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</si>
  <si>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</si>
  <si>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</si>
  <si>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</si>
  <si>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</si>
  <si>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</si>
  <si>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</si>
  <si>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</si>
  <si>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</si>
  <si>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</si>
  <si>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</si>
  <si>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</si>
  <si>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</si>
  <si>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</si>
  <si>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</si>
  <si>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</si>
  <si>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</si>
  <si>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</si>
  <si>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</si>
  <si>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</si>
  <si>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</si>
  <si>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</si>
  <si>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</si>
  <si>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</si>
  <si>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</si>
  <si>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</si>
  <si>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</si>
  <si>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</si>
  <si>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</si>
  <si>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</si>
  <si>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</si>
  <si>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</si>
  <si>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</si>
  <si>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</si>
  <si>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</si>
  <si>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</si>
  <si>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DEBY CASTILLO</t>
  </si>
  <si>
    <t>+569 5055 7626</t>
  </si>
  <si>
    <t>PR6</t>
  </si>
  <si>
    <t>TAUPE 2165 MT</t>
  </si>
  <si>
    <t>BLANCO POLAR 2111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</si>
</sst>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30</xdr:row>
      <xdr:rowOff>9525</xdr:rowOff>
    </xdr:from>
    <xdr:to>
      <xdr:col>5</xdr:col>
      <xdr:colOff>1594096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C19" zoomScale="93" zoomScaleNormal="93" workbookViewId="0">
      <selection activeCell="G29" sqref="G29"/>
    </sheetView>
  </sheetViews>
  <sheetFormatPr baseColWidth="10" defaultRowHeight="14.4" x14ac:dyDescent="0.3"/>
  <cols>
    <col min="1" max="1" width="6" customWidth="1"/>
    <col min="2" max="2" width="10.5546875" customWidth="1"/>
    <col min="3" max="3" width="25.332031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45330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124756.6610568832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171</v>
      </c>
      <c r="D21" s="315">
        <v>0.1</v>
      </c>
      <c r="E21" s="315">
        <v>0.6</v>
      </c>
      <c r="F21" s="314" t="s">
        <v>172</v>
      </c>
      <c r="G21" s="316">
        <v>14177</v>
      </c>
      <c r="H21" s="317">
        <f>G21*B21</f>
        <v>14177</v>
      </c>
      <c r="I21" s="265"/>
      <c r="J21" s="47"/>
      <c r="K21" s="47"/>
      <c r="L21" s="39">
        <f t="shared" ref="L21" si="1">D21+L$19</f>
        <v>0.15000000000000002</v>
      </c>
      <c r="M21" s="39">
        <f t="shared" ref="M21" si="2">E21+M$19</f>
        <v>0.6</v>
      </c>
      <c r="N21" s="261">
        <f t="shared" ref="N21" si="3">L21*M21</f>
        <v>9.0000000000000011E-2</v>
      </c>
      <c r="O21" s="259">
        <f t="shared" ref="O21" si="4">N21*K21</f>
        <v>0</v>
      </c>
      <c r="P21" s="252">
        <f t="shared" ref="P21" si="5">P$20*N21</f>
        <v>11228.09949511949</v>
      </c>
      <c r="Q21" s="258">
        <f t="shared" ref="Q21" si="6">P21+Q$20</f>
        <v>14228.09949511949</v>
      </c>
      <c r="R21" s="299">
        <f>L21*K21*2</f>
        <v>0</v>
      </c>
      <c r="S21" s="46">
        <f>M21*K21*2</f>
        <v>0</v>
      </c>
      <c r="T21" s="9"/>
      <c r="W21" s="4"/>
    </row>
    <row r="22" spans="2:24" ht="18" thickBot="1" x14ac:dyDescent="0.35">
      <c r="B22" s="313">
        <v>1</v>
      </c>
      <c r="C22" s="314" t="s">
        <v>171</v>
      </c>
      <c r="D22" s="315">
        <v>0.75</v>
      </c>
      <c r="E22" s="315">
        <v>0.19</v>
      </c>
      <c r="F22" s="314" t="s">
        <v>172</v>
      </c>
      <c r="G22" s="316">
        <v>21876</v>
      </c>
      <c r="H22" s="317">
        <f>G22*B22</f>
        <v>21876</v>
      </c>
      <c r="I22" s="265"/>
      <c r="J22" s="47"/>
      <c r="K22" s="47"/>
      <c r="L22" s="39">
        <f t="shared" ref="L22" si="7">D22+L$19</f>
        <v>0.8</v>
      </c>
      <c r="M22" s="39">
        <f t="shared" ref="M22" si="8">E22+M$19</f>
        <v>0.19</v>
      </c>
      <c r="N22" s="261">
        <f t="shared" ref="N22" si="9">L22*M22</f>
        <v>0.15200000000000002</v>
      </c>
      <c r="O22" s="259">
        <f t="shared" ref="O22" si="10">N22*K22</f>
        <v>0</v>
      </c>
      <c r="P22" s="252">
        <f t="shared" ref="P22" si="11">P$20*N22</f>
        <v>18963.012480646248</v>
      </c>
      <c r="Q22" s="258">
        <f t="shared" ref="Q22" si="12">P22+Q$20</f>
        <v>21963.012480646248</v>
      </c>
      <c r="R22" s="299">
        <f>L22*K22*2</f>
        <v>0</v>
      </c>
      <c r="S22" s="46"/>
      <c r="T22" s="9"/>
      <c r="W22" s="4"/>
    </row>
    <row r="23" spans="2:24" ht="18" thickBot="1" x14ac:dyDescent="0.35">
      <c r="B23" s="313">
        <v>1</v>
      </c>
      <c r="C23" s="314" t="s">
        <v>171</v>
      </c>
      <c r="D23" s="315">
        <v>0.75</v>
      </c>
      <c r="E23" s="315">
        <v>0.5</v>
      </c>
      <c r="F23" s="314" t="s">
        <v>172</v>
      </c>
      <c r="G23" s="316">
        <v>52674</v>
      </c>
      <c r="H23" s="317">
        <f>G23*B23</f>
        <v>52674</v>
      </c>
      <c r="I23" s="265"/>
      <c r="J23" s="47"/>
      <c r="K23" s="47"/>
      <c r="L23" s="39">
        <f t="shared" ref="L23" si="13">D23+L$19</f>
        <v>0.8</v>
      </c>
      <c r="M23" s="39">
        <f t="shared" ref="M23" si="14">E23+M$19</f>
        <v>0.5</v>
      </c>
      <c r="N23" s="261">
        <f t="shared" ref="N23" si="15">L23*M23</f>
        <v>0.4</v>
      </c>
      <c r="O23" s="259">
        <f t="shared" ref="O23" si="16">N23*K23</f>
        <v>0</v>
      </c>
      <c r="P23" s="252">
        <f t="shared" ref="P23" si="17">P$20*N23</f>
        <v>49902.664422753282</v>
      </c>
      <c r="Q23" s="258">
        <f t="shared" ref="Q23" si="18">P23+Q$20</f>
        <v>52902.664422753282</v>
      </c>
      <c r="R23" s="299">
        <f>L23*K23*2</f>
        <v>0</v>
      </c>
      <c r="S23" s="46"/>
      <c r="T23" s="9"/>
      <c r="W23" s="4"/>
    </row>
    <row r="24" spans="2:24" ht="18" thickBot="1" x14ac:dyDescent="0.35">
      <c r="B24" s="313">
        <v>1</v>
      </c>
      <c r="C24" s="314" t="s">
        <v>171</v>
      </c>
      <c r="D24" s="315">
        <v>0.75</v>
      </c>
      <c r="E24" s="315">
        <v>0.56000000000000005</v>
      </c>
      <c r="F24" s="314" t="s">
        <v>172</v>
      </c>
      <c r="G24" s="316">
        <v>58635</v>
      </c>
      <c r="H24" s="317">
        <f t="shared" ref="H24:H27" si="19">G24*B24</f>
        <v>58635</v>
      </c>
      <c r="I24" s="265"/>
      <c r="J24" s="47"/>
      <c r="K24" s="47"/>
      <c r="L24" s="39">
        <f t="shared" ref="L24" si="20">D24+L$19</f>
        <v>0.8</v>
      </c>
      <c r="M24" s="39">
        <f t="shared" ref="M24" si="21">E24+M$19</f>
        <v>0.56000000000000005</v>
      </c>
      <c r="N24" s="261">
        <f t="shared" ref="N24" si="22">L24*M24</f>
        <v>0.44800000000000006</v>
      </c>
      <c r="O24" s="259">
        <f t="shared" ref="O24" si="23">N24*K24</f>
        <v>0</v>
      </c>
      <c r="P24" s="252">
        <f t="shared" ref="P24" si="24">P$20*N24</f>
        <v>55890.984153483681</v>
      </c>
      <c r="Q24" s="258">
        <f t="shared" ref="Q24" si="25">P24+Q$20</f>
        <v>58890.984153483681</v>
      </c>
      <c r="R24" s="299">
        <f>L24*K24*2</f>
        <v>0</v>
      </c>
      <c r="S24" s="46"/>
      <c r="T24" s="9"/>
      <c r="W24" s="4"/>
    </row>
    <row r="25" spans="2:24" ht="18" thickBot="1" x14ac:dyDescent="0.35">
      <c r="B25" s="313">
        <v>2</v>
      </c>
      <c r="C25" s="314" t="s">
        <v>171</v>
      </c>
      <c r="D25" s="315">
        <v>0.5</v>
      </c>
      <c r="E25" s="315">
        <v>0.29799999999999999</v>
      </c>
      <c r="F25" s="314" t="s">
        <v>173</v>
      </c>
      <c r="G25" s="316">
        <v>23448</v>
      </c>
      <c r="H25" s="317">
        <f t="shared" si="19"/>
        <v>46896</v>
      </c>
      <c r="I25" s="265"/>
      <c r="J25" s="47"/>
      <c r="K25" s="47">
        <f t="shared" ref="K25:K28" si="26">B25</f>
        <v>2</v>
      </c>
      <c r="L25" s="39">
        <f t="shared" ref="L25:L28" si="27">D25+L$19</f>
        <v>0.55000000000000004</v>
      </c>
      <c r="M25" s="39">
        <f t="shared" ref="M25:M28" si="28">E25+M$19</f>
        <v>0.29799999999999999</v>
      </c>
      <c r="N25" s="261">
        <f t="shared" ref="N25:N28" si="29">L25*M25</f>
        <v>0.16390000000000002</v>
      </c>
      <c r="O25" s="259">
        <f t="shared" ref="O25:O28" si="30">N25*K25</f>
        <v>0.32780000000000004</v>
      </c>
      <c r="P25" s="252">
        <f t="shared" ref="P25:P28" si="31">P$20*N25</f>
        <v>20447.616747223157</v>
      </c>
      <c r="Q25" s="258">
        <f t="shared" ref="Q25:Q28" si="32">P25+Q$20</f>
        <v>23447.616747223157</v>
      </c>
      <c r="R25" s="299">
        <f t="shared" ref="R25:R28" si="33">L25*K25*2</f>
        <v>2.2000000000000002</v>
      </c>
      <c r="S25" s="46"/>
      <c r="T25" s="9"/>
      <c r="W25" s="4"/>
    </row>
    <row r="26" spans="2:24" ht="18" thickBot="1" x14ac:dyDescent="0.35">
      <c r="B26" s="313">
        <v>2</v>
      </c>
      <c r="C26" s="314" t="s">
        <v>171</v>
      </c>
      <c r="D26" s="315">
        <v>0.85</v>
      </c>
      <c r="E26" s="315">
        <v>0.3</v>
      </c>
      <c r="F26" s="314" t="s">
        <v>173</v>
      </c>
      <c r="G26" s="316">
        <v>36684</v>
      </c>
      <c r="H26" s="317">
        <f t="shared" si="19"/>
        <v>73368</v>
      </c>
      <c r="I26" s="265"/>
      <c r="J26" s="47"/>
      <c r="K26" s="47">
        <f t="shared" si="26"/>
        <v>2</v>
      </c>
      <c r="L26" s="39">
        <f t="shared" si="27"/>
        <v>0.9</v>
      </c>
      <c r="M26" s="39">
        <f t="shared" si="28"/>
        <v>0.3</v>
      </c>
      <c r="N26" s="261">
        <f t="shared" si="29"/>
        <v>0.27</v>
      </c>
      <c r="O26" s="259">
        <f t="shared" si="30"/>
        <v>0.54</v>
      </c>
      <c r="P26" s="252">
        <f t="shared" si="31"/>
        <v>33684.298485358464</v>
      </c>
      <c r="Q26" s="258">
        <f t="shared" si="32"/>
        <v>36684.298485358464</v>
      </c>
      <c r="R26" s="299">
        <f t="shared" si="33"/>
        <v>3.6</v>
      </c>
      <c r="S26" s="46"/>
      <c r="T26" s="9"/>
      <c r="W26" s="4"/>
    </row>
    <row r="27" spans="2:24" ht="18" thickBot="1" x14ac:dyDescent="0.35">
      <c r="B27" s="313">
        <v>2</v>
      </c>
      <c r="C27" s="314" t="s">
        <v>171</v>
      </c>
      <c r="D27" s="315">
        <v>0.51</v>
      </c>
      <c r="E27" s="315">
        <v>0.3</v>
      </c>
      <c r="F27" s="314" t="s">
        <v>173</v>
      </c>
      <c r="G27" s="316">
        <v>23959</v>
      </c>
      <c r="H27" s="317">
        <f t="shared" si="19"/>
        <v>47918</v>
      </c>
      <c r="I27" s="265"/>
      <c r="J27" s="47"/>
      <c r="K27" s="47">
        <f t="shared" si="26"/>
        <v>2</v>
      </c>
      <c r="L27" s="39">
        <f t="shared" si="27"/>
        <v>0.56000000000000005</v>
      </c>
      <c r="M27" s="39">
        <f t="shared" si="28"/>
        <v>0.3</v>
      </c>
      <c r="N27" s="261">
        <f t="shared" si="29"/>
        <v>0.16800000000000001</v>
      </c>
      <c r="O27" s="259">
        <f t="shared" si="30"/>
        <v>0.33600000000000002</v>
      </c>
      <c r="P27" s="252">
        <f t="shared" si="31"/>
        <v>20959.119057556378</v>
      </c>
      <c r="Q27" s="258">
        <f t="shared" si="32"/>
        <v>23959.119057556378</v>
      </c>
      <c r="R27" s="299">
        <f t="shared" si="33"/>
        <v>2.2400000000000002</v>
      </c>
      <c r="S27" s="46"/>
      <c r="T27" s="9"/>
      <c r="W27" s="4"/>
    </row>
    <row r="28" spans="2:24" ht="17.399999999999999" x14ac:dyDescent="0.3">
      <c r="B28" s="313">
        <v>2</v>
      </c>
      <c r="C28" s="314" t="s">
        <v>171</v>
      </c>
      <c r="D28" s="315">
        <v>0.4</v>
      </c>
      <c r="E28" s="315">
        <v>0.313</v>
      </c>
      <c r="F28" s="314" t="s">
        <v>173</v>
      </c>
      <c r="G28" s="316">
        <v>20572</v>
      </c>
      <c r="H28" s="317">
        <f t="shared" ref="H28" si="34">G28*B28</f>
        <v>41144</v>
      </c>
      <c r="I28" s="265"/>
      <c r="J28" s="47"/>
      <c r="K28" s="47">
        <f t="shared" si="26"/>
        <v>2</v>
      </c>
      <c r="L28" s="39">
        <f t="shared" si="27"/>
        <v>0.45</v>
      </c>
      <c r="M28" s="39">
        <f t="shared" si="28"/>
        <v>0.313</v>
      </c>
      <c r="N28" s="261">
        <f t="shared" si="29"/>
        <v>0.14085</v>
      </c>
      <c r="O28" s="259">
        <f t="shared" si="30"/>
        <v>0.28170000000000001</v>
      </c>
      <c r="P28" s="252">
        <f t="shared" si="31"/>
        <v>17571.975709861999</v>
      </c>
      <c r="Q28" s="258">
        <f t="shared" si="32"/>
        <v>20571.975709861999</v>
      </c>
      <c r="R28" s="299">
        <f t="shared" si="33"/>
        <v>1.8</v>
      </c>
      <c r="S28" s="46"/>
      <c r="T28" s="9"/>
      <c r="W28" s="4"/>
    </row>
    <row r="29" spans="2:24" ht="17.399999999999999" x14ac:dyDescent="0.3">
      <c r="B29" s="344"/>
      <c r="C29" s="344"/>
      <c r="D29" s="345"/>
      <c r="E29" s="345"/>
      <c r="F29" s="344"/>
      <c r="G29" s="331"/>
      <c r="H29" s="331"/>
      <c r="I29" s="265"/>
      <c r="J29" s="47"/>
      <c r="K29" s="47"/>
      <c r="L29" s="39"/>
      <c r="M29" s="39"/>
      <c r="N29" s="261"/>
      <c r="O29" s="259"/>
      <c r="P29" s="252"/>
      <c r="Q29" s="258"/>
      <c r="R29" s="299"/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299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00" t="s">
        <v>29</v>
      </c>
      <c r="H31" s="301">
        <f>SUM(H21:H30)</f>
        <v>356688</v>
      </c>
      <c r="I31" s="265"/>
      <c r="J31" s="47"/>
      <c r="K31" s="47"/>
      <c r="L31" s="39">
        <f>SUM(L21:L30)</f>
        <v>5.01</v>
      </c>
      <c r="M31" s="39"/>
      <c r="N31" s="261"/>
      <c r="O31" s="259"/>
      <c r="P31" s="252"/>
      <c r="Q31" s="258"/>
      <c r="R31" s="299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8" t="s">
        <v>52</v>
      </c>
      <c r="H32" s="296">
        <f>H31*19%</f>
        <v>67770.720000000001</v>
      </c>
      <c r="I32" s="265"/>
      <c r="J32" s="47"/>
      <c r="K32" s="47"/>
      <c r="L32" s="39"/>
      <c r="M32" s="12"/>
      <c r="N32" s="12"/>
      <c r="O32" s="253">
        <f>SUM(O21:O30)</f>
        <v>1.4855000000000003</v>
      </c>
      <c r="P32" s="14"/>
      <c r="Q32" s="12"/>
      <c r="R32" s="239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7">
        <f>H31+H32</f>
        <v>424458.72</v>
      </c>
      <c r="I33" s="265"/>
      <c r="J33" s="47"/>
      <c r="K33" s="47"/>
      <c r="L33" s="39"/>
      <c r="M33" s="12"/>
      <c r="N33" s="12"/>
      <c r="O33" s="253">
        <f>O32</f>
        <v>1.4855000000000003</v>
      </c>
      <c r="P33" s="14"/>
      <c r="Q33" s="12"/>
      <c r="R33" s="239">
        <f>SUM(R21:R32)</f>
        <v>9.8400000000000016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0.29710000000000009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1.7826000000000004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06" t="s">
        <v>22</v>
      </c>
      <c r="U36" s="303" t="s">
        <v>153</v>
      </c>
      <c r="V36" s="307">
        <v>44971</v>
      </c>
      <c r="W36" s="308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1.7826000000000004</v>
      </c>
      <c r="M37" s="12">
        <v>3500</v>
      </c>
      <c r="N37" s="12">
        <f t="shared" ref="N37:N42" si="35">L37*M37</f>
        <v>6239.1000000000013</v>
      </c>
      <c r="O37" s="14" t="s">
        <v>22</v>
      </c>
      <c r="P37" s="14"/>
      <c r="Q37" s="14"/>
      <c r="R37" s="241"/>
      <c r="S37" s="14"/>
      <c r="T37" s="306" t="s">
        <v>154</v>
      </c>
      <c r="U37" s="303">
        <v>3625</v>
      </c>
      <c r="V37" s="59" t="s">
        <v>155</v>
      </c>
      <c r="W37" s="308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0.5</v>
      </c>
      <c r="M38" s="12">
        <v>45000</v>
      </c>
      <c r="N38" s="12">
        <f t="shared" si="35"/>
        <v>22500</v>
      </c>
      <c r="O38" s="39" t="s">
        <v>32</v>
      </c>
      <c r="P38" s="42"/>
      <c r="Q38" s="14"/>
      <c r="R38" s="240"/>
      <c r="S38" s="14"/>
      <c r="T38" s="306"/>
      <c r="U38" s="59">
        <v>906.25</v>
      </c>
      <c r="V38" s="59" t="s">
        <v>156</v>
      </c>
      <c r="W38" s="308"/>
    </row>
    <row r="39" spans="2:23" s="230" customFormat="1" ht="17.399999999999999" x14ac:dyDescent="0.35">
      <c r="I39" s="262"/>
      <c r="J39" s="232"/>
      <c r="K39" s="250"/>
      <c r="L39" s="14"/>
      <c r="M39" s="250">
        <v>70000</v>
      </c>
      <c r="N39" s="12">
        <f t="shared" si="35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8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1</v>
      </c>
      <c r="M40" s="250">
        <v>55500</v>
      </c>
      <c r="N40" s="12">
        <f t="shared" si="35"/>
        <v>55500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8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35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5"/>
      <c r="K42" s="250"/>
      <c r="L42" s="266"/>
      <c r="M42" s="12">
        <v>1500</v>
      </c>
      <c r="N42" s="12">
        <f t="shared" si="35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84239.1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185326.02000000002</v>
      </c>
      <c r="O44" s="14" t="s">
        <v>141</v>
      </c>
      <c r="P44" s="14"/>
      <c r="Q44" s="40">
        <f>O35/Q43</f>
        <v>0.48064063848144961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65980</v>
      </c>
      <c r="K45" s="250"/>
      <c r="L45" s="14"/>
      <c r="M45" s="12"/>
      <c r="N45" s="12">
        <f>N44/O33</f>
        <v>124756.6610568832</v>
      </c>
      <c r="O45" s="45" t="s">
        <v>25</v>
      </c>
      <c r="P45" s="14"/>
      <c r="Q45" s="14"/>
      <c r="R45"/>
      <c r="S45" s="238"/>
      <c r="T45" s="59" t="s">
        <v>159</v>
      </c>
      <c r="U45" s="303">
        <v>43650</v>
      </c>
    </row>
    <row r="46" spans="2:23" s="230" customFormat="1" ht="17.399999999999999" x14ac:dyDescent="0.35">
      <c r="G46"/>
      <c r="H46" s="230" t="s">
        <v>165</v>
      </c>
      <c r="J46" s="230">
        <f>J45/1.19</f>
        <v>55445.378151260506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04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5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45330</v>
      </c>
    </row>
    <row r="6" spans="2:31" ht="16.2" thickBot="1" x14ac:dyDescent="0.35">
      <c r="B6" s="140" t="s">
        <v>2</v>
      </c>
      <c r="C6" s="139" t="str">
        <f>'2229'!C10</f>
        <v>DEBY CASTILLO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-43340.372533454101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356688</v>
      </c>
      <c r="E11" s="132">
        <f>D11*0.19</f>
        <v>67770.720000000001</v>
      </c>
      <c r="F11" s="131">
        <f>E11+D11</f>
        <v>424458.72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62649.627466545899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58573.190787439613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44649.627466545899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298114.80921256042</v>
      </c>
      <c r="E13" s="221">
        <f>(D11/D12)-1</f>
        <v>5.0896119061433795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35649.627466545899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-3350.3725334541014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96645.764799275363</v>
      </c>
      <c r="F15" s="216">
        <f>E15-D12</f>
        <v>38072.57401183575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-3350.3725334541014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36649.627466545899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6239.1000000000013</v>
      </c>
      <c r="E20" s="121">
        <f>D20*0.19</f>
        <v>1185.4290000000003</v>
      </c>
      <c r="F20" s="120">
        <f>SUM(D20:E20)</f>
        <v>7424.5290000000014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28739.100000000002</v>
      </c>
      <c r="E21" s="116">
        <f>SUM(E18:E20)</f>
        <v>5460.4290000000001</v>
      </c>
      <c r="F21" s="115">
        <f>SUM(F18:F20)</f>
        <v>34199.529000000002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62310.290999999997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356688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28739.100000000002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298114.80921256042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298114.80921256042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2024-02-08T19:13:38Z</cp:lastPrinted>
  <dcterms:created xsi:type="dcterms:W3CDTF">2013-03-18T13:35:42Z</dcterms:created>
  <dcterms:modified xsi:type="dcterms:W3CDTF">2024-02-11T16:21:50Z</dcterms:modified>
</cp:coreProperties>
</file>