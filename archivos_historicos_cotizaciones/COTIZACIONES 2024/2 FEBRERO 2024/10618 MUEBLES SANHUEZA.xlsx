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F72733AE-BEE1-4250-98C1-560C912CE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/>
  <c r="L23" i="1" s="1"/>
  <c r="L34" i="1" s="1"/>
  <c r="M21" i="1"/>
  <c r="S21" i="1" l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7" i="1" l="1"/>
  <c r="D21" i="3"/>
  <c r="M43" i="3" s="1"/>
  <c r="D12" i="3" s="1"/>
  <c r="F20" i="3"/>
  <c r="F21" i="3" s="1"/>
  <c r="N38" i="1" l="1"/>
  <c r="P20" i="1"/>
  <c r="E15" i="3"/>
  <c r="P21" i="1" l="1"/>
  <c r="F15" i="3"/>
  <c r="Q21" i="1" l="1"/>
  <c r="H21" i="1" l="1"/>
  <c r="H23" i="1" s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<sst xmlns="http://schemas.openxmlformats.org/spreadsheetml/2006/main" count="229" uniqueCount="174">
  <si>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</si>
  <si>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</si>
  <si>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</si>
  <si>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</si>
  <si>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</si>
  <si>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</si>
  <si>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</si>
  <si>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</si>
  <si>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</si>
  <si>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</si>
  <si>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</si>
  <si>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</si>
  <si>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</si>
  <si>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</si>
  <si>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</si>
  <si>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</si>
  <si>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</si>
  <si>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</si>
  <si>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</si>
  <si>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</si>
  <si>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</si>
  <si>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</si>
  <si>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</si>
  <si>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</si>
  <si>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</si>
  <si>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</si>
  <si>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</si>
  <si>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</si>
  <si>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</si>
  <si>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</si>
  <si>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</si>
  <si>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</si>
  <si>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</si>
  <si>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</si>
  <si>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</si>
  <si>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</si>
  <si>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</si>
  <si>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</si>
  <si>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</si>
  <si>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</si>
  <si>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</si>
  <si>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</si>
  <si>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</si>
  <si>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</si>
  <si>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</si>
  <si>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</si>
  <si>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</si>
  <si>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</si>
  <si>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</si>
  <si>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</si>
  <si>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</si>
  <si>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</si>
  <si>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</si>
  <si>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</si>
  <si>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</si>
  <si>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</si>
  <si>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</si>
  <si>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</si>
  <si>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</si>
  <si>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</si>
  <si>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</si>
  <si>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</si>
  <si>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</si>
  <si>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</si>
  <si>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</si>
  <si>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</si>
  <si>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</si>
  <si>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</si>
  <si>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</si>
  <si>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</si>
  <si>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</si>
  <si>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</si>
  <si>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</si>
  <si>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</si>
  <si>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</si>
  <si>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</si>
  <si>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</si>
  <si>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</si>
  <si>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</si>
  <si>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</si>
  <si>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</si>
  <si>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</si>
  <si>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</si>
  <si>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</si>
  <si>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</si>
  <si>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</si>
  <si>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</si>
  <si>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</si>
  <si>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</si>
  <si>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</si>
  <si>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</si>
  <si>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</si>
  <si>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</si>
  <si>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</si>
  <si>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</si>
  <si>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</si>
  <si>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</si>
  <si>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</si>
  <si>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</si>
  <si>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</si>
  <si>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</si>
  <si>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</si>
  <si>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</si>
  <si>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</si>
  <si>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</si>
  <si>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</si>
  <si>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</si>
  <si>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</si>
  <si>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</si>
  <si>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</si>
  <si>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</si>
  <si>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</si>
  <si>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</si>
  <si>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</si>
  <si>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</si>
  <si>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</si>
  <si>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</si>
  <si>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</si>
  <si>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</si>
  <si>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</si>
  <si>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</si>
  <si>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</si>
  <si>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</si>
  <si>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</si>
  <si>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</si>
  <si>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</si>
  <si>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</si>
  <si>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</si>
  <si>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</si>
  <si>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</si>
  <si>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</si>
  <si>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</si>
  <si>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</si>
  <si>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</si>
  <si>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</si>
  <si>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</si>
  <si>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</si>
  <si>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</si>
  <si>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</si>
  <si>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</si>
  <si>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</si>
  <si>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</si>
  <si>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</si>
  <si>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</si>
  <si>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</si>
  <si>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</si>
  <si>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</si>
  <si>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</si>
  <si>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</si>
  <si>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</si>
  <si>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</si>
  <si>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</si>
  <si>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</si>
  <si>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</si>
  <si>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</si>
  <si>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</si>
  <si>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</si>
  <si>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</si>
  <si>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</si>
  <si>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</si>
  <si>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</si>
  <si>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</si>
  <si>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</si>
  <si>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</si>
  <si>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</si>
  <si>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</si>
  <si>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</si>
  <si>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</si>
  <si>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</si>
  <si>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MUEBLES SANHUEZA</t>
  </si>
  <si>
    <t>+569 6256 7896</t>
  </si>
  <si>
    <t xml:space="preserve">CUBIERTA CON RESPALDO  6CMS </t>
  </si>
  <si>
    <t>5 DIAS HABILES</t>
  </si>
  <si>
    <t>NEGRO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</si>
</sst>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109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10618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45330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168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76787.906976744198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171</v>
      </c>
      <c r="D21" s="315">
        <v>2.1</v>
      </c>
      <c r="E21" s="315">
        <v>0.6</v>
      </c>
      <c r="F21" s="314" t="s">
        <v>173</v>
      </c>
      <c r="G21" s="316">
        <v>99950</v>
      </c>
      <c r="H21" s="317">
        <f>G21*B21</f>
        <v>99950</v>
      </c>
      <c r="I21" s="265"/>
      <c r="J21" s="47"/>
      <c r="K21" s="47">
        <f>B21</f>
        <v>1</v>
      </c>
      <c r="L21" s="39">
        <f t="shared" ref="L21" si="1">D21+L$19</f>
        <v>2.15</v>
      </c>
      <c r="M21" s="39">
        <f t="shared" ref="M21" si="2">E21+M$19</f>
        <v>0.6</v>
      </c>
      <c r="N21" s="261">
        <f t="shared" ref="N21" si="3">L21*M21</f>
        <v>1.2899999999999998</v>
      </c>
      <c r="O21" s="259">
        <f t="shared" ref="O21" si="4">N21*K21</f>
        <v>1.2899999999999998</v>
      </c>
      <c r="P21" s="252">
        <f t="shared" ref="P21" si="5">P$20*N21</f>
        <v>99056.4</v>
      </c>
      <c r="Q21" s="258">
        <f t="shared" ref="Q21" si="6">P21+Q$20</f>
        <v>102056.4</v>
      </c>
      <c r="R21" s="299">
        <f>L21*K21*2</f>
        <v>4.3</v>
      </c>
      <c r="S21" s="46">
        <f>M21*K21*2</f>
        <v>1.2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SUM(H21:H22)</f>
        <v>99950</v>
      </c>
      <c r="I23" s="265"/>
      <c r="J23" s="47"/>
      <c r="K23" s="47"/>
      <c r="L23" s="39">
        <f>SUM(L21:L22)</f>
        <v>2.15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/>
      <c r="I24" s="265"/>
      <c r="J24" s="47"/>
      <c r="K24" s="47"/>
      <c r="L24" s="39"/>
      <c r="M24" s="12"/>
      <c r="N24" s="12"/>
      <c r="O24" s="253">
        <f>SUM(O21:O21)</f>
        <v>1.2899999999999998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99950</v>
      </c>
      <c r="I25" s="265"/>
      <c r="J25" s="47"/>
      <c r="K25" s="47"/>
      <c r="L25" s="39"/>
      <c r="M25" s="12"/>
      <c r="N25" s="12"/>
      <c r="O25" s="253">
        <f>O24</f>
        <v>1.2899999999999998</v>
      </c>
      <c r="P25" s="14"/>
      <c r="Q25" s="12"/>
      <c r="R25" s="239">
        <f>SUM(R21:R24)</f>
        <v>4.3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0.25799999999999995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1.5479999999999998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1.5479999999999998</v>
      </c>
      <c r="M29" s="12">
        <v>3500</v>
      </c>
      <c r="N29" s="12">
        <f t="shared" ref="N29:N34" si="7">L29*M29</f>
        <v>5417.9999999999991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23850</v>
      </c>
      <c r="N30" s="12">
        <f t="shared" si="7"/>
        <v>11925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/>
      <c r="M31" s="250">
        <v>70000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22500</v>
      </c>
      <c r="N32" s="12">
        <f t="shared" si="7"/>
        <v>22500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K34" s="250"/>
      <c r="L34" s="266">
        <f>L23</f>
        <v>2.15</v>
      </c>
      <c r="M34" s="12">
        <v>1500</v>
      </c>
      <c r="N34" s="12">
        <f t="shared" si="7"/>
        <v>3225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43068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99056.4</v>
      </c>
      <c r="O36" s="14" t="s">
        <v>141</v>
      </c>
      <c r="P36" s="14"/>
      <c r="Q36" s="40">
        <f>O27/Q35</f>
        <v>0.41738567730802412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46070</v>
      </c>
      <c r="K37" s="250"/>
      <c r="L37" s="14"/>
      <c r="M37" s="12"/>
      <c r="N37" s="12">
        <f>N36/O25</f>
        <v>76787.906976744198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38714.285714285717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45330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10618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-3684.6333667874401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99950</v>
      </c>
      <c r="E11" s="132">
        <f>D11*0.19</f>
        <v>18990.5</v>
      </c>
      <c r="F11" s="131">
        <f>E11+D11</f>
        <v>118940.5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102305.36663321256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47177.090787439614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84305.366633212558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52772.909212560386</v>
      </c>
      <c r="E13" s="221">
        <f>(D11/D12)-1</f>
        <v>1.1186130456906129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75305.366633212558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36305.366633212558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77842.19979927536</v>
      </c>
      <c r="F15" s="216">
        <f>E15-D12</f>
        <v>30665.109011835746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36305.366633212558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76305.366633212558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11925</v>
      </c>
      <c r="E19" s="123">
        <f>D19*0.19</f>
        <v>2265.75</v>
      </c>
      <c r="F19" s="120">
        <f>SUM(D19:E19)</f>
        <v>14190.75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5417.9999999999991</v>
      </c>
      <c r="E20" s="121">
        <f>D20*0.19</f>
        <v>1029.4199999999998</v>
      </c>
      <c r="F20" s="120">
        <f>SUM(D20:E20)</f>
        <v>6447.4199999999992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17343</v>
      </c>
      <c r="E21" s="116">
        <f>SUM(E18:E20)</f>
        <v>3295.17</v>
      </c>
      <c r="F21" s="115">
        <f>SUM(F18:F20)</f>
        <v>20638.169999999998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15695.33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99950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17343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52772.909212560386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52772.909212560386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2024-02-08T19:13:38Z</cp:lastPrinted>
  <dcterms:created xsi:type="dcterms:W3CDTF">2013-03-18T13:35:42Z</dcterms:created>
  <dcterms:modified xsi:type="dcterms:W3CDTF">2024-02-08T19:15:22Z</dcterms:modified>
</cp:coreProperties>
</file>