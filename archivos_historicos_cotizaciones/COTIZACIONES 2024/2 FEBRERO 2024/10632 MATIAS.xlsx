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4\"/>
    </mc:Choice>
  </mc:AlternateContent>
  <xr:revisionPtr revIDLastSave="0" documentId="13_ncr:1_{8C844F50-78B5-4E37-AF07-D5643D824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8" i="1" s="1"/>
  <c r="L24" i="1"/>
  <c r="M24" i="1"/>
  <c r="N24" i="1"/>
  <c r="O24" i="1"/>
  <c r="R24" i="1"/>
  <c r="K24" i="1"/>
  <c r="K22" i="1" l="1"/>
  <c r="L22" i="1"/>
  <c r="R22" i="1" s="1"/>
  <c r="M22" i="1"/>
  <c r="K23" i="1"/>
  <c r="L23" i="1"/>
  <c r="M23" i="1"/>
  <c r="K21" i="1"/>
  <c r="M21" i="1"/>
  <c r="L21" i="1"/>
  <c r="J43" i="1"/>
  <c r="N22" i="1" l="1"/>
  <c r="O22" i="1" s="1"/>
  <c r="N23" i="1"/>
  <c r="O23" i="1" s="1"/>
  <c r="R23" i="1"/>
  <c r="L28" i="1"/>
  <c r="N21" i="1"/>
  <c r="S21" i="1"/>
  <c r="R21" i="1"/>
  <c r="U36" i="1"/>
  <c r="U37" i="1" s="1"/>
  <c r="O21" i="1" l="1"/>
  <c r="O29" i="1" s="1"/>
  <c r="R30" i="1"/>
  <c r="N35" i="1"/>
  <c r="O30" i="1" l="1"/>
  <c r="O31" i="1" s="1"/>
  <c r="O32" i="1" s="1"/>
  <c r="M20" i="1"/>
  <c r="K20" i="1"/>
  <c r="L34" i="1" l="1"/>
  <c r="N36" i="1"/>
  <c r="Q40" i="1"/>
  <c r="Q41" i="1" s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N40" i="1" l="1"/>
  <c r="N41" i="1" s="1"/>
  <c r="N42" i="1" s="1"/>
  <c r="D20" i="3"/>
  <c r="E20" i="3" s="1"/>
  <c r="E21" i="3" s="1"/>
  <c r="P20" i="1" l="1"/>
  <c r="P24" i="1" s="1"/>
  <c r="Q24" i="1" s="1"/>
  <c r="G24" i="1" s="1"/>
  <c r="H24" i="1" s="1"/>
  <c r="D21" i="3"/>
  <c r="M43" i="3" s="1"/>
  <c r="D12" i="3" s="1"/>
  <c r="F20" i="3"/>
  <c r="F21" i="3" s="1"/>
  <c r="P22" i="1" l="1"/>
  <c r="G22" i="1" s="1"/>
  <c r="H22" i="1" s="1"/>
  <c r="P23" i="1"/>
  <c r="G23" i="1" s="1"/>
  <c r="H23" i="1" s="1"/>
  <c r="P21" i="1"/>
  <c r="G21" i="1" s="1"/>
  <c r="Q22" i="1"/>
  <c r="N43" i="1"/>
  <c r="E15" i="3"/>
  <c r="Q23" i="1" l="1"/>
  <c r="F15" i="3"/>
  <c r="H25" i="1" l="1"/>
  <c r="Q21" i="1"/>
  <c r="H21" i="1" l="1"/>
  <c r="H29" i="1" l="1"/>
  <c r="H30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<sst xmlns="http://schemas.openxmlformats.org/spreadsheetml/2006/main" count="235" uniqueCount="176">
  <si>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</si>
  <si>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</si>
  <si>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</si>
  <si>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</si>
  <si>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</si>
  <si>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</si>
  <si>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</si>
  <si>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</si>
  <si>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</si>
  <si>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</si>
  <si>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</si>
  <si>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</si>
  <si>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</si>
  <si>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</si>
  <si>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</si>
  <si>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</si>
  <si>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</si>
  <si>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</si>
  <si>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</si>
  <si>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</si>
  <si>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</si>
  <si>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</si>
  <si>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</si>
  <si>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</si>
  <si>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</si>
  <si>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</si>
  <si>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</si>
  <si>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</si>
  <si>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</si>
  <si>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</si>
  <si>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</si>
  <si>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</si>
  <si>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</si>
  <si>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</si>
  <si>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</si>
  <si>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</si>
  <si>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</si>
  <si>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</si>
  <si>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</si>
  <si>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</si>
  <si>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</si>
  <si>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</si>
  <si>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</si>
  <si>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</si>
  <si>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</si>
  <si>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</si>
  <si>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</si>
  <si>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</si>
  <si>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</si>
  <si>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</si>
  <si>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</si>
  <si>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</si>
  <si>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</si>
  <si>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</si>
  <si>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</si>
  <si>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</si>
  <si>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</si>
  <si>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</si>
  <si>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</si>
  <si>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</si>
  <si>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</si>
  <si>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</si>
  <si>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</si>
  <si>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</si>
  <si>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</si>
  <si>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</si>
  <si>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</si>
  <si>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</si>
  <si>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</si>
  <si>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</si>
  <si>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</si>
  <si>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</si>
  <si>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</si>
  <si>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</si>
  <si>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</si>
  <si>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</si>
  <si>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</si>
  <si>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</si>
  <si>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</si>
  <si>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</si>
  <si>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</si>
  <si>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</si>
  <si>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</si>
  <si>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</si>
  <si>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</si>
  <si>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</si>
  <si>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</si>
  <si>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</si>
  <si>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</si>
  <si>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</si>
  <si>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</si>
  <si>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</si>
  <si>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</si>
  <si>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</si>
  <si>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</si>
  <si>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</si>
  <si>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</si>
  <si>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</si>
  <si>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</si>
  <si>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</si>
  <si>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</si>
  <si>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</si>
  <si>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</si>
  <si>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</si>
  <si>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</si>
  <si>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</si>
  <si>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</si>
  <si>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</si>
  <si>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</si>
  <si>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</si>
  <si>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</si>
  <si>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</si>
  <si>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</si>
  <si>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</si>
  <si>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</si>
  <si>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</si>
  <si>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</si>
  <si>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</si>
  <si>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</si>
  <si>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</si>
  <si>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</si>
  <si>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</si>
  <si>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</si>
  <si>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</si>
  <si>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</si>
  <si>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</si>
  <si>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</si>
  <si>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</si>
  <si>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</si>
  <si>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</si>
  <si>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</si>
  <si>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</si>
  <si>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</si>
  <si>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</si>
  <si>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</si>
  <si>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</si>
  <si>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</si>
  <si>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</si>
  <si>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</si>
  <si>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</si>
  <si>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</si>
  <si>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</si>
  <si>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</si>
  <si>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</si>
  <si>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</si>
  <si>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</si>
  <si>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</si>
  <si>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</si>
  <si>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</si>
  <si>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</si>
  <si>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</si>
  <si>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</si>
  <si>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</si>
  <si>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</si>
  <si>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</si>
  <si>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</si>
  <si>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</si>
  <si>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</si>
  <si>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</si>
  <si>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</si>
  <si>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</si>
  <si>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</si>
  <si>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</si>
  <si>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</si>
  <si>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</si>
  <si>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</si>
  <si>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5 DIAS HABILES</t>
  </si>
  <si>
    <t>POR TRANSPORTES</t>
  </si>
  <si>
    <t>MATIAS</t>
  </si>
  <si>
    <t>+569 6895 8964</t>
  </si>
  <si>
    <t>CUBIERTA CON RESPALDO FRENTE 90°</t>
  </si>
  <si>
    <t>LATERAL</t>
  </si>
  <si>
    <t>EBANO 2110 MT</t>
  </si>
  <si>
    <t>BLANCO MT</t>
  </si>
  <si>
    <t>SERVICIO CORTE 45°</t>
  </si>
  <si>
    <t>CORTE A LA MEDIDA Y ENCHAPE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</si>
</sst>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406913</xdr:colOff>
      <xdr:row>32</xdr:row>
      <xdr:rowOff>9525</xdr:rowOff>
    </xdr:from>
    <xdr:to>
      <xdr:col>5</xdr:col>
      <xdr:colOff>1730888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06913" y="5728622"/>
          <a:ext cx="7043072" cy="67320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8196</xdr:colOff>
      <xdr:row>27</xdr:row>
      <xdr:rowOff>9525</xdr:rowOff>
    </xdr:from>
    <xdr:to>
      <xdr:col>5</xdr:col>
      <xdr:colOff>1635066</xdr:colOff>
      <xdr:row>30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3" y="4614299"/>
          <a:ext cx="6936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CORTADAS A LA MEDIDA Y ENCHAPADAS EN LOS COSTADOS.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16" zoomScale="93" zoomScaleNormal="93" workbookViewId="0">
      <selection activeCell="I28" sqref="I28"/>
    </sheetView>
  </sheetViews>
  <sheetFormatPr baseColWidth="10" defaultRowHeight="14.4" x14ac:dyDescent="0.3"/>
  <cols>
    <col min="1" max="1" width="6" customWidth="1"/>
    <col min="2" max="2" width="10.5546875" customWidth="1"/>
    <col min="3" max="3" width="45.218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10630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168</v>
      </c>
      <c r="D10" s="243"/>
      <c r="E10" s="243"/>
      <c r="F10" s="244" t="s">
        <v>0</v>
      </c>
      <c r="G10" s="277">
        <v>45341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5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6"/>
      <c r="H13" s="290"/>
      <c r="P13" s="19"/>
      <c r="Q13" s="25"/>
      <c r="R13" s="19"/>
    </row>
    <row r="14" spans="2:23" x14ac:dyDescent="0.3">
      <c r="B14" s="246" t="s">
        <v>140</v>
      </c>
      <c r="C14" s="323"/>
      <c r="D14" s="247"/>
      <c r="E14" s="247"/>
      <c r="F14" s="324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8" t="s">
        <v>169</v>
      </c>
      <c r="D15" s="319"/>
      <c r="F15" t="s">
        <v>135</v>
      </c>
      <c r="G15" s="317" t="s">
        <v>167</v>
      </c>
      <c r="H15" s="290"/>
    </row>
    <row r="16" spans="2:23" ht="16.8" x14ac:dyDescent="0.4">
      <c r="B16" s="325" t="s">
        <v>3</v>
      </c>
      <c r="C16" s="315"/>
      <c r="D16" s="247"/>
      <c r="E16" s="247"/>
      <c r="F16" s="326" t="s">
        <v>130</v>
      </c>
      <c r="G16" s="327" t="s">
        <v>164</v>
      </c>
      <c r="H16" s="248"/>
    </row>
    <row r="17" spans="2:24" ht="15" thickBot="1" x14ac:dyDescent="0.35">
      <c r="B17" s="320" t="s">
        <v>13</v>
      </c>
      <c r="C17" s="321"/>
      <c r="D17" s="322"/>
      <c r="E17" s="119"/>
      <c r="F17" s="333" t="s">
        <v>165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47" t="s">
        <v>148</v>
      </c>
      <c r="C19" s="348"/>
      <c r="D19" s="348"/>
      <c r="E19" s="348"/>
      <c r="F19" s="348"/>
      <c r="G19" s="348"/>
      <c r="H19" s="34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50" t="s">
        <v>7</v>
      </c>
      <c r="C20" s="351" t="s">
        <v>1</v>
      </c>
      <c r="D20" s="351" t="s">
        <v>10</v>
      </c>
      <c r="E20" s="351" t="s">
        <v>11</v>
      </c>
      <c r="F20" s="351" t="s">
        <v>8</v>
      </c>
      <c r="G20" s="351" t="s">
        <v>5</v>
      </c>
      <c r="H20" s="35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67194.299795581188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10">
        <v>1</v>
      </c>
      <c r="C21" s="311" t="s">
        <v>170</v>
      </c>
      <c r="D21" s="312">
        <v>3.21</v>
      </c>
      <c r="E21" s="312">
        <v>0.6</v>
      </c>
      <c r="F21" s="311" t="s">
        <v>172</v>
      </c>
      <c r="G21" s="313">
        <f>P21</f>
        <v>131432.05040015679</v>
      </c>
      <c r="H21" s="314">
        <f>G21*B21</f>
        <v>131432.05040015679</v>
      </c>
      <c r="I21" s="265"/>
      <c r="J21" s="47"/>
      <c r="K21" s="47">
        <f>B21</f>
        <v>1</v>
      </c>
      <c r="L21" s="39">
        <f>D21+L$19</f>
        <v>3.26</v>
      </c>
      <c r="M21" s="39">
        <f>E21</f>
        <v>0.6</v>
      </c>
      <c r="N21" s="261">
        <f>L21*M21</f>
        <v>1.9559999999999997</v>
      </c>
      <c r="O21" s="259">
        <f>N21*K21</f>
        <v>1.9559999999999997</v>
      </c>
      <c r="P21" s="252">
        <f>N21*$P$20</f>
        <v>131432.05040015679</v>
      </c>
      <c r="Q21" s="258">
        <f t="shared" ref="Q21" si="1">P21+Q$20</f>
        <v>134432.05040015679</v>
      </c>
      <c r="R21" s="299">
        <f>L21*K21*2</f>
        <v>6.52</v>
      </c>
      <c r="S21" s="46">
        <f>M21*K21*2</f>
        <v>1.2</v>
      </c>
      <c r="T21" s="9"/>
      <c r="W21" s="4"/>
    </row>
    <row r="22" spans="2:24" ht="17.399999999999999" x14ac:dyDescent="0.3">
      <c r="B22" s="345">
        <v>1</v>
      </c>
      <c r="C22" s="342" t="s">
        <v>170</v>
      </c>
      <c r="D22" s="343">
        <v>1.65</v>
      </c>
      <c r="E22" s="343">
        <v>0.55000000000000004</v>
      </c>
      <c r="F22" s="342" t="s">
        <v>172</v>
      </c>
      <c r="G22" s="344">
        <f t="shared" ref="G22:G23" si="2">P22</f>
        <v>62826.670308868415</v>
      </c>
      <c r="H22" s="346">
        <f t="shared" ref="H22:H23" si="3">G22*B22</f>
        <v>62826.670308868415</v>
      </c>
      <c r="I22" s="265"/>
      <c r="J22" s="47"/>
      <c r="K22" s="47">
        <f t="shared" ref="K22:K23" si="4">B22</f>
        <v>1</v>
      </c>
      <c r="L22" s="39">
        <f t="shared" ref="L22:L23" si="5">D22+L$19</f>
        <v>1.7</v>
      </c>
      <c r="M22" s="39">
        <f t="shared" ref="M22:M23" si="6">E22</f>
        <v>0.55000000000000004</v>
      </c>
      <c r="N22" s="261">
        <f t="shared" ref="N22:N23" si="7">L22*M22</f>
        <v>0.93500000000000005</v>
      </c>
      <c r="O22" s="259">
        <f t="shared" ref="O22:O23" si="8">N22*K22</f>
        <v>0.93500000000000005</v>
      </c>
      <c r="P22" s="252">
        <f t="shared" ref="P22:P23" si="9">N22*$P$20</f>
        <v>62826.670308868415</v>
      </c>
      <c r="Q22" s="258">
        <f t="shared" ref="Q22:Q23" si="10">P22+Q$20</f>
        <v>65826.670308868415</v>
      </c>
      <c r="R22" s="299">
        <f t="shared" ref="R22:R23" si="11">L22*K22*2</f>
        <v>3.4</v>
      </c>
      <c r="S22" s="46"/>
      <c r="T22" s="9"/>
      <c r="W22" s="4"/>
    </row>
    <row r="23" spans="2:24" ht="17.399999999999999" x14ac:dyDescent="0.3">
      <c r="B23" s="345">
        <v>1</v>
      </c>
      <c r="C23" s="342" t="s">
        <v>170</v>
      </c>
      <c r="D23" s="343">
        <v>0.73</v>
      </c>
      <c r="E23" s="343">
        <v>0.55000000000000004</v>
      </c>
      <c r="F23" s="342" t="s">
        <v>172</v>
      </c>
      <c r="G23" s="344">
        <f t="shared" si="2"/>
        <v>28826.354612304334</v>
      </c>
      <c r="H23" s="346">
        <f t="shared" si="3"/>
        <v>28826.354612304334</v>
      </c>
      <c r="I23" s="265"/>
      <c r="J23" s="47"/>
      <c r="K23" s="47">
        <f t="shared" si="4"/>
        <v>1</v>
      </c>
      <c r="L23" s="39">
        <f t="shared" si="5"/>
        <v>0.78</v>
      </c>
      <c r="M23" s="39">
        <f t="shared" si="6"/>
        <v>0.55000000000000004</v>
      </c>
      <c r="N23" s="261">
        <f t="shared" si="7"/>
        <v>0.42900000000000005</v>
      </c>
      <c r="O23" s="259">
        <f t="shared" si="8"/>
        <v>0.42900000000000005</v>
      </c>
      <c r="P23" s="252">
        <f t="shared" si="9"/>
        <v>28826.354612304334</v>
      </c>
      <c r="Q23" s="258">
        <f t="shared" si="10"/>
        <v>31826.354612304334</v>
      </c>
      <c r="R23" s="299">
        <f t="shared" si="11"/>
        <v>1.56</v>
      </c>
      <c r="S23" s="46"/>
      <c r="T23" s="9"/>
      <c r="W23" s="4"/>
    </row>
    <row r="24" spans="2:24" ht="17.399999999999999" x14ac:dyDescent="0.3">
      <c r="B24" s="345">
        <v>1</v>
      </c>
      <c r="C24" s="342" t="s">
        <v>171</v>
      </c>
      <c r="D24" s="343">
        <v>0.78700000000000003</v>
      </c>
      <c r="E24" s="343">
        <v>0.3</v>
      </c>
      <c r="F24" s="342" t="s">
        <v>173</v>
      </c>
      <c r="G24" s="344">
        <f>Q24</f>
        <v>19872.488678670437</v>
      </c>
      <c r="H24" s="346">
        <f>G24*B24</f>
        <v>19872.488678670437</v>
      </c>
      <c r="I24" s="265"/>
      <c r="J24" s="47"/>
      <c r="K24" s="47">
        <f>B24</f>
        <v>1</v>
      </c>
      <c r="L24" s="39">
        <f t="shared" ref="L24" si="12">D24+L$19</f>
        <v>0.83700000000000008</v>
      </c>
      <c r="M24" s="39">
        <f t="shared" ref="M24" si="13">E24</f>
        <v>0.3</v>
      </c>
      <c r="N24" s="261">
        <f t="shared" ref="N24" si="14">L24*M24</f>
        <v>0.25109999999999999</v>
      </c>
      <c r="O24" s="259">
        <f t="shared" ref="O24" si="15">N24*K24</f>
        <v>0.25109999999999999</v>
      </c>
      <c r="P24" s="252">
        <f t="shared" ref="P24" si="16">N24*$P$20</f>
        <v>16872.488678670437</v>
      </c>
      <c r="Q24" s="258">
        <f t="shared" ref="Q24" si="17">P24+Q$20</f>
        <v>19872.488678670437</v>
      </c>
      <c r="R24" s="299">
        <f t="shared" ref="R24" si="18">L24*K24*2</f>
        <v>1.6740000000000002</v>
      </c>
      <c r="S24" s="46"/>
      <c r="T24" s="9"/>
      <c r="W24" s="4"/>
    </row>
    <row r="25" spans="2:24" ht="17.399999999999999" x14ac:dyDescent="0.3">
      <c r="B25" s="345">
        <v>2</v>
      </c>
      <c r="C25" s="342" t="s">
        <v>174</v>
      </c>
      <c r="D25" s="343"/>
      <c r="E25" s="343"/>
      <c r="F25" s="342"/>
      <c r="G25" s="344">
        <v>7500</v>
      </c>
      <c r="H25" s="346">
        <f>G25*B25</f>
        <v>15000</v>
      </c>
      <c r="I25" s="265"/>
      <c r="J25" s="47"/>
      <c r="K25" s="47"/>
      <c r="L25" s="39"/>
      <c r="M25" s="39"/>
      <c r="N25" s="261"/>
      <c r="O25" s="259"/>
      <c r="P25" s="252"/>
      <c r="Q25" s="258"/>
      <c r="R25" s="299"/>
      <c r="S25" s="46"/>
      <c r="T25" s="9"/>
      <c r="W25" s="4"/>
    </row>
    <row r="26" spans="2:24" ht="18" thickBot="1" x14ac:dyDescent="0.35">
      <c r="B26" s="328">
        <v>4</v>
      </c>
      <c r="C26" s="332" t="s">
        <v>175</v>
      </c>
      <c r="D26" s="329"/>
      <c r="E26" s="329"/>
      <c r="F26" s="332"/>
      <c r="G26" s="330">
        <v>3000</v>
      </c>
      <c r="H26" s="331">
        <f>G26*B26</f>
        <v>12000</v>
      </c>
      <c r="I26" s="265"/>
      <c r="J26" s="47"/>
      <c r="K26" s="47"/>
      <c r="L26" s="39"/>
      <c r="M26" s="39"/>
      <c r="N26" s="261"/>
      <c r="O26" s="259"/>
      <c r="P26" s="252"/>
      <c r="Q26" s="258"/>
      <c r="R26" s="299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/>
      <c r="O27" s="259"/>
      <c r="P27" s="252"/>
      <c r="Q27" s="258"/>
      <c r="R27" s="299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0" t="s">
        <v>29</v>
      </c>
      <c r="H28" s="301">
        <f>SUM(H21:H26)</f>
        <v>269957.56400000001</v>
      </c>
      <c r="I28" s="265"/>
      <c r="J28" s="47"/>
      <c r="K28" s="47"/>
      <c r="L28" s="39">
        <f>SUM(L21:L27)</f>
        <v>6.577</v>
      </c>
      <c r="M28" s="39"/>
      <c r="N28" s="261"/>
      <c r="O28" s="259"/>
      <c r="P28" s="252"/>
      <c r="Q28" s="258"/>
      <c r="R28" s="299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298" t="s">
        <v>52</v>
      </c>
      <c r="H29" s="296">
        <f>H28*19%</f>
        <v>51291.937160000001</v>
      </c>
      <c r="I29" s="265"/>
      <c r="J29" s="47"/>
      <c r="K29" s="47"/>
      <c r="L29" s="39"/>
      <c r="M29" s="12"/>
      <c r="N29" s="12"/>
      <c r="O29" s="253">
        <f>SUM(O21:O25)</f>
        <v>3.5711000000000004</v>
      </c>
      <c r="P29" s="14"/>
      <c r="Q29" s="12"/>
      <c r="R29" s="239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297">
        <f>H28+H29</f>
        <v>321249.50115999999</v>
      </c>
      <c r="I30" s="265"/>
      <c r="J30" s="47"/>
      <c r="K30" s="47"/>
      <c r="L30" s="39"/>
      <c r="M30" s="12"/>
      <c r="N30" s="12"/>
      <c r="O30" s="253">
        <f>O29</f>
        <v>3.5711000000000004</v>
      </c>
      <c r="P30" s="14"/>
      <c r="Q30" s="12"/>
      <c r="R30" s="239">
        <f>SUM(R21:R29)</f>
        <v>13.154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0.71422000000000008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4.2853200000000005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06" t="s">
        <v>22</v>
      </c>
      <c r="U33" s="303" t="s">
        <v>153</v>
      </c>
      <c r="V33" s="307">
        <v>44971</v>
      </c>
      <c r="W33" s="308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4.2853200000000005</v>
      </c>
      <c r="M34" s="12">
        <v>3500</v>
      </c>
      <c r="N34" s="12">
        <f t="shared" ref="N34:N39" si="19">L34*M34</f>
        <v>14998.62</v>
      </c>
      <c r="O34" s="14" t="s">
        <v>22</v>
      </c>
      <c r="P34" s="14"/>
      <c r="Q34" s="14"/>
      <c r="R34" s="241"/>
      <c r="S34" s="14"/>
      <c r="T34" s="306" t="s">
        <v>154</v>
      </c>
      <c r="U34" s="303">
        <v>3625</v>
      </c>
      <c r="V34" s="59" t="s">
        <v>155</v>
      </c>
      <c r="W34" s="308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1.1599999999999999</v>
      </c>
      <c r="M35" s="12">
        <v>23850</v>
      </c>
      <c r="N35" s="12">
        <f t="shared" si="19"/>
        <v>27665.999999999996</v>
      </c>
      <c r="O35" s="39" t="s">
        <v>32</v>
      </c>
      <c r="P35" s="42"/>
      <c r="Q35" s="14"/>
      <c r="R35" s="240"/>
      <c r="S35" s="14"/>
      <c r="T35" s="306"/>
      <c r="U35" s="59">
        <v>906.25</v>
      </c>
      <c r="V35" s="59" t="s">
        <v>156</v>
      </c>
      <c r="W35" s="308"/>
    </row>
    <row r="36" spans="2:23" s="230" customFormat="1" ht="17.399999999999999" x14ac:dyDescent="0.35">
      <c r="I36" s="262"/>
      <c r="J36" s="232"/>
      <c r="K36" s="250"/>
      <c r="L36" s="14">
        <v>1</v>
      </c>
      <c r="M36" s="250">
        <v>57782</v>
      </c>
      <c r="N36" s="12">
        <f t="shared" si="19"/>
        <v>57782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08" t="s">
        <v>157</v>
      </c>
      <c r="W36" s="59"/>
    </row>
    <row r="37" spans="2:23" s="230" customFormat="1" ht="17.399999999999999" x14ac:dyDescent="0.35">
      <c r="B37" s="24" t="s">
        <v>152</v>
      </c>
      <c r="I37" s="262"/>
      <c r="J37" s="232"/>
      <c r="K37" s="250"/>
      <c r="L37" s="14"/>
      <c r="M37" s="250">
        <v>30120</v>
      </c>
      <c r="N37" s="12">
        <f t="shared" si="19"/>
        <v>0</v>
      </c>
      <c r="O37" s="14" t="s">
        <v>142</v>
      </c>
      <c r="P37" s="17"/>
      <c r="R37" s="238"/>
      <c r="S37" s="256"/>
      <c r="T37" s="59"/>
      <c r="U37" s="59">
        <f>U35+U36</f>
        <v>1087.5</v>
      </c>
      <c r="V37" s="308" t="s">
        <v>158</v>
      </c>
      <c r="W37" s="59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19"/>
        <v>0</v>
      </c>
      <c r="O38" s="14" t="s">
        <v>33</v>
      </c>
      <c r="P38" s="14"/>
      <c r="Q38" s="230">
        <v>1.52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295"/>
      <c r="K39" s="250"/>
      <c r="L39" s="266">
        <v>5.75</v>
      </c>
      <c r="M39" s="12">
        <v>1500</v>
      </c>
      <c r="N39" s="12">
        <f t="shared" si="19"/>
        <v>8625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109071.62</v>
      </c>
      <c r="O40" s="39" t="s">
        <v>24</v>
      </c>
      <c r="P40" s="14"/>
      <c r="Q40">
        <f>Q38*Q39</f>
        <v>3.7088000000000001</v>
      </c>
      <c r="R40"/>
      <c r="S40" s="238"/>
      <c r="W40" s="231"/>
    </row>
    <row r="41" spans="2:23" s="230" customFormat="1" ht="17.399999999999999" x14ac:dyDescent="0.35">
      <c r="K41" s="250"/>
      <c r="L41" s="254" t="s">
        <v>34</v>
      </c>
      <c r="M41" s="12"/>
      <c r="N41" s="255">
        <f>N40*2.2</f>
        <v>239957.56400000001</v>
      </c>
      <c r="O41" s="14" t="s">
        <v>141</v>
      </c>
      <c r="P41" s="14"/>
      <c r="Q41" s="40">
        <f>O32/Q40</f>
        <v>1.155446505608283</v>
      </c>
      <c r="R41"/>
      <c r="S41" s="257"/>
    </row>
    <row r="42" spans="2:23" s="230" customFormat="1" ht="17.399999999999999" x14ac:dyDescent="0.35">
      <c r="G42"/>
      <c r="H42" s="260"/>
      <c r="I42" s="260"/>
      <c r="J42" s="230">
        <v>56950</v>
      </c>
      <c r="K42" s="250"/>
      <c r="L42" s="14"/>
      <c r="M42" s="12"/>
      <c r="N42" s="12">
        <f>N41/O30</f>
        <v>67194.299795581188</v>
      </c>
      <c r="O42" s="45" t="s">
        <v>25</v>
      </c>
      <c r="P42" s="14"/>
      <c r="Q42" s="14"/>
      <c r="R42"/>
      <c r="S42" s="238"/>
      <c r="T42" s="59" t="s">
        <v>159</v>
      </c>
      <c r="U42" s="303">
        <v>43650</v>
      </c>
    </row>
    <row r="43" spans="2:23" s="230" customFormat="1" ht="17.399999999999999" x14ac:dyDescent="0.35">
      <c r="G43"/>
      <c r="J43" s="230">
        <f>J42/1.19</f>
        <v>47857.142857142862</v>
      </c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161</v>
      </c>
      <c r="U43" s="304" t="s">
        <v>160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162</v>
      </c>
      <c r="U44" s="305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157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45341</v>
      </c>
    </row>
    <row r="6" spans="2:31" ht="16.2" thickBot="1" x14ac:dyDescent="0.35">
      <c r="B6" s="140" t="s">
        <v>2</v>
      </c>
      <c r="C6" s="139" t="str">
        <f>'2229'!C10</f>
        <v>MATIAS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10630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-9165.7318667874442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269957.56400000001</v>
      </c>
      <c r="E11" s="132">
        <f>D11*0.19</f>
        <v>51291.937160000001</v>
      </c>
      <c r="F11" s="131">
        <f>E11+D11</f>
        <v>321249.50115999999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96824.26813321255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130280.7107874396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78824.26813321255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139676.85321256041</v>
      </c>
      <c r="E13" s="221">
        <f>(D11/D12)-1</f>
        <v>1.0721222840152533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69824.26813321255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30824.268133212558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214963.17279927534</v>
      </c>
      <c r="F15" s="216">
        <f>E15-D12</f>
        <v>84682.462011835742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30824.268133212558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70824.26813321255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57782</v>
      </c>
      <c r="E18" s="123">
        <f>D18*0.19</f>
        <v>10978.58</v>
      </c>
      <c r="F18" s="120">
        <f>SUM(D18:E18)</f>
        <v>68760.58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27665.999999999996</v>
      </c>
      <c r="E19" s="123">
        <f>D19*0.19</f>
        <v>5256.5399999999991</v>
      </c>
      <c r="F19" s="120">
        <f>SUM(D19:E19)</f>
        <v>32922.539999999994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14998.62</v>
      </c>
      <c r="E20" s="121">
        <f>D20*0.19</f>
        <v>2849.7378000000003</v>
      </c>
      <c r="F20" s="120">
        <f>SUM(D20:E20)</f>
        <v>17848.357800000002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100446.62</v>
      </c>
      <c r="E21" s="116">
        <f>SUM(E18:E20)</f>
        <v>19084.857799999998</v>
      </c>
      <c r="F21" s="115">
        <f>SUM(F18:F20)</f>
        <v>119531.47779999999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32207.079360000003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269957.56400000001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100446.62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139676.85321256041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139676.85321256041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2024-02-19T14:03:07Z</cp:lastPrinted>
  <dcterms:created xsi:type="dcterms:W3CDTF">2013-03-18T13:35:42Z</dcterms:created>
  <dcterms:modified xsi:type="dcterms:W3CDTF">2024-02-19T15:53:31Z</dcterms:modified>
</cp:coreProperties>
</file>