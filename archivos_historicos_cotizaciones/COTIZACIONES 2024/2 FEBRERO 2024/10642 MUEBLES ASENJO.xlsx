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8E27D1B4-91CC-4673-9681-4BBD2A72D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K27" i="1"/>
  <c r="L27" i="1"/>
  <c r="M27" i="1"/>
  <c r="N27" i="1"/>
  <c r="O27" i="1" s="1"/>
  <c r="K28" i="1"/>
  <c r="L28" i="1"/>
  <c r="M28" i="1"/>
  <c r="N28" i="1"/>
  <c r="O28" i="1" s="1"/>
  <c r="R28" i="1"/>
  <c r="K29" i="1"/>
  <c r="L29" i="1"/>
  <c r="M29" i="1"/>
  <c r="N29" i="1"/>
  <c r="O29" i="1" s="1"/>
  <c r="R29" i="1"/>
  <c r="K30" i="1"/>
  <c r="L30" i="1"/>
  <c r="M30" i="1"/>
  <c r="N30" i="1"/>
  <c r="O30" i="1" s="1"/>
  <c r="R30" i="1"/>
  <c r="K31" i="1"/>
  <c r="L31" i="1"/>
  <c r="M31" i="1"/>
  <c r="N31" i="1"/>
  <c r="O31" i="1" s="1"/>
  <c r="R31" i="1"/>
  <c r="K32" i="1"/>
  <c r="L32" i="1"/>
  <c r="M32" i="1"/>
  <c r="N32" i="1"/>
  <c r="O32" i="1" s="1"/>
  <c r="R32" i="1"/>
  <c r="K33" i="1"/>
  <c r="L33" i="1"/>
  <c r="M33" i="1"/>
  <c r="N33" i="1"/>
  <c r="O33" i="1" s="1"/>
  <c r="R33" i="1"/>
  <c r="K34" i="1"/>
  <c r="L34" i="1"/>
  <c r="M34" i="1"/>
  <c r="N34" i="1"/>
  <c r="O34" i="1" s="1"/>
  <c r="R34" i="1"/>
  <c r="K35" i="1"/>
  <c r="L35" i="1"/>
  <c r="M35" i="1"/>
  <c r="N35" i="1"/>
  <c r="O35" i="1" s="1"/>
  <c r="B36" i="1"/>
  <c r="H27" i="1"/>
  <c r="H28" i="1"/>
  <c r="H29" i="1"/>
  <c r="H30" i="1"/>
  <c r="H31" i="1"/>
  <c r="H32" i="1"/>
  <c r="H33" i="1"/>
  <c r="H34" i="1"/>
  <c r="H35" i="1"/>
  <c r="H23" i="1"/>
  <c r="H24" i="1"/>
  <c r="H25" i="1"/>
  <c r="H26" i="1"/>
  <c r="M22" i="1"/>
  <c r="M23" i="1"/>
  <c r="M24" i="1"/>
  <c r="M25" i="1"/>
  <c r="M26" i="1"/>
  <c r="M21" i="1"/>
  <c r="K22" i="1"/>
  <c r="L22" i="1"/>
  <c r="K23" i="1"/>
  <c r="L23" i="1"/>
  <c r="R23" i="1" s="1"/>
  <c r="K24" i="1"/>
  <c r="L24" i="1"/>
  <c r="K25" i="1"/>
  <c r="L25" i="1"/>
  <c r="K26" i="1"/>
  <c r="L26" i="1"/>
  <c r="K21" i="1"/>
  <c r="R25" i="1" l="1"/>
  <c r="N22" i="1"/>
  <c r="R26" i="1"/>
  <c r="R24" i="1"/>
  <c r="R22" i="1"/>
  <c r="O22" i="1"/>
  <c r="N25" i="1"/>
  <c r="N23" i="1"/>
  <c r="L21" i="1"/>
  <c r="J53" i="1"/>
  <c r="O23" i="1" l="1"/>
  <c r="O25" i="1"/>
  <c r="N21" i="1"/>
  <c r="R21" i="1"/>
  <c r="R40" i="1" s="1"/>
  <c r="N26" i="1"/>
  <c r="N24" i="1"/>
  <c r="L38" i="1"/>
  <c r="S21" i="1"/>
  <c r="U46" i="1"/>
  <c r="U47" i="1" s="1"/>
  <c r="O24" i="1" l="1"/>
  <c r="O26" i="1"/>
  <c r="O21" i="1"/>
  <c r="N45" i="1"/>
  <c r="O39" i="1" l="1"/>
  <c r="O40" i="1" s="1"/>
  <c r="O41" i="1" s="1"/>
  <c r="O42" i="1" s="1"/>
  <c r="L44" i="1" s="1"/>
  <c r="M20" i="1"/>
  <c r="K20" i="1"/>
  <c r="N46" i="1" l="1"/>
  <c r="Q50" i="1"/>
  <c r="N4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9" i="1"/>
  <c r="N48" i="1"/>
  <c r="F18" i="3" l="1"/>
  <c r="N44" i="1" l="1"/>
  <c r="Q51" i="1"/>
  <c r="N50" i="1" l="1"/>
  <c r="N51" i="1" s="1"/>
  <c r="D20" i="3"/>
  <c r="E20" i="3" s="1"/>
  <c r="E21" i="3" s="1"/>
  <c r="N52" i="1" l="1"/>
  <c r="P20" i="1" s="1"/>
  <c r="D21" i="3"/>
  <c r="M43" i="3" s="1"/>
  <c r="D12" i="3" s="1"/>
  <c r="F20" i="3"/>
  <c r="F21" i="3" s="1"/>
  <c r="P35" i="1" l="1"/>
  <c r="Q35" i="1" s="1"/>
  <c r="P31" i="1"/>
  <c r="Q31" i="1" s="1"/>
  <c r="P27" i="1"/>
  <c r="Q27" i="1" s="1"/>
  <c r="P34" i="1"/>
  <c r="Q34" i="1" s="1"/>
  <c r="P30" i="1"/>
  <c r="Q30" i="1" s="1"/>
  <c r="P33" i="1"/>
  <c r="Q33" i="1" s="1"/>
  <c r="P29" i="1"/>
  <c r="Q29" i="1" s="1"/>
  <c r="P32" i="1"/>
  <c r="Q32" i="1" s="1"/>
  <c r="P28" i="1"/>
  <c r="Q28" i="1" s="1"/>
  <c r="P22" i="1"/>
  <c r="P23" i="1"/>
  <c r="P25" i="1"/>
  <c r="P24" i="1"/>
  <c r="P21" i="1"/>
  <c r="P26" i="1"/>
  <c r="N53" i="1"/>
  <c r="E15" i="3"/>
  <c r="Q22" i="1" l="1"/>
  <c r="F15" i="3"/>
  <c r="Q23" i="1" l="1"/>
  <c r="H22" i="1"/>
  <c r="Q21" i="1"/>
  <c r="Q24" i="1" l="1"/>
  <c r="H21" i="1"/>
  <c r="Q26" i="1" l="1"/>
  <c r="Q25" i="1"/>
  <c r="H39" i="1"/>
  <c r="H40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<sst xmlns="http://schemas.openxmlformats.org/spreadsheetml/2006/main" count="258" uniqueCount="176">
  <si>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</si>
  <si>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</si>
  <si>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</si>
  <si>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</si>
  <si>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</si>
  <si>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</si>
  <si>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</si>
  <si>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</si>
  <si>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</si>
  <si>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</si>
  <si>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</si>
  <si>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</si>
  <si>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</si>
  <si>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</si>
  <si>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</si>
  <si>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</si>
  <si>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</si>
  <si>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</si>
  <si>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</si>
  <si>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</si>
  <si>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</si>
  <si>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</si>
  <si>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</si>
  <si>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</si>
  <si>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</si>
  <si>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</si>
  <si>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</si>
  <si>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</si>
  <si>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</si>
  <si>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</si>
  <si>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</si>
  <si>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</si>
  <si>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</si>
  <si>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</si>
  <si>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</si>
  <si>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</si>
  <si>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</si>
  <si>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</si>
  <si>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</si>
  <si>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</si>
  <si>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</si>
  <si>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</si>
  <si>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</si>
  <si>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</si>
  <si>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</si>
  <si>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</si>
  <si>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</si>
  <si>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</si>
  <si>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</si>
  <si>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</si>
  <si>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</si>
  <si>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</si>
  <si>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</si>
  <si>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</si>
  <si>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</si>
  <si>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</si>
  <si>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</si>
  <si>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</si>
  <si>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</si>
  <si>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</si>
  <si>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</si>
  <si>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</si>
  <si>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</si>
  <si>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</si>
  <si>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</si>
  <si>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</si>
  <si>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</si>
  <si>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</si>
  <si>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</si>
  <si>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</si>
  <si>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</si>
  <si>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</si>
  <si>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</si>
  <si>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</si>
  <si>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</si>
  <si>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</si>
  <si>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</si>
  <si>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</si>
  <si>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</si>
  <si>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</si>
  <si>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</si>
  <si>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</si>
  <si>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</si>
  <si>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</si>
  <si>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</si>
  <si>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</si>
  <si>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</si>
  <si>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</si>
  <si>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</si>
  <si>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</si>
  <si>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</si>
  <si>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</si>
  <si>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</si>
  <si>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</si>
  <si>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</si>
  <si>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</si>
  <si>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</si>
  <si>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</si>
  <si>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</si>
  <si>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</si>
  <si>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</si>
  <si>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</si>
  <si>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</si>
  <si>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</si>
  <si>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</si>
  <si>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</si>
  <si>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</si>
  <si>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</si>
  <si>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</si>
  <si>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</si>
  <si>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</si>
  <si>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</si>
  <si>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</si>
  <si>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</si>
  <si>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</si>
  <si>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</si>
  <si>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</si>
  <si>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</si>
  <si>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</si>
  <si>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</si>
  <si>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</si>
  <si>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</si>
  <si>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</si>
  <si>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</si>
  <si>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</si>
  <si>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</si>
  <si>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</si>
  <si>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</si>
  <si>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</si>
  <si>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</si>
  <si>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</si>
  <si>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</si>
  <si>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</si>
  <si>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</si>
  <si>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</si>
  <si>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</si>
  <si>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</si>
  <si>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</si>
  <si>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</si>
  <si>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</si>
  <si>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</si>
  <si>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</si>
  <si>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</si>
  <si>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</si>
  <si>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</si>
  <si>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</si>
  <si>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</si>
  <si>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</si>
  <si>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</si>
  <si>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</si>
  <si>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</si>
  <si>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</si>
  <si>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</si>
  <si>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</si>
  <si>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</si>
  <si>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</si>
  <si>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</si>
  <si>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</si>
  <si>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</si>
  <si>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</si>
  <si>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</si>
  <si>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</si>
  <si>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</si>
  <si>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</si>
  <si>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</si>
  <si>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</si>
  <si>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</si>
  <si>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</si>
  <si>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CUBIERTA CON RESPALDO FRENTE 90° R8</t>
  </si>
  <si>
    <t>MUEBLES ASENJO</t>
  </si>
  <si>
    <t>SI</t>
  </si>
  <si>
    <t>BLANCO OPACO</t>
  </si>
  <si>
    <t>CUBIERTA SIN RESPALDO FRENTE 90° R8</t>
  </si>
  <si>
    <t>MIGUEL ASENJO</t>
  </si>
  <si>
    <t>+569 98844786</t>
  </si>
  <si>
    <t>8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</si>
</sst>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66" fontId="32" fillId="0" borderId="58" xfId="0" applyNumberFormat="1" applyFont="1" applyBorder="1" applyAlignment="1">
      <alignment horizontal="center" vertical="center"/>
    </xf>
    <xf numFmtId="166" fontId="32" fillId="0" borderId="59" xfId="0" applyNumberFormat="1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21" xfId="2" applyNumberFormat="1" applyFont="1" applyFill="1" applyBorder="1" applyAlignment="1">
      <alignment horizontal="center" vertical="center"/>
    </xf>
    <xf numFmtId="167" fontId="11" fillId="0" borderId="1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42</xdr:row>
      <xdr:rowOff>26670</xdr:rowOff>
    </xdr:from>
    <xdr:to>
      <xdr:col>7</xdr:col>
      <xdr:colOff>1034435</xdr:colOff>
      <xdr:row>45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44</xdr:row>
      <xdr:rowOff>154305</xdr:rowOff>
    </xdr:from>
    <xdr:to>
      <xdr:col>7</xdr:col>
      <xdr:colOff>853440</xdr:colOff>
      <xdr:row>44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42</xdr:row>
      <xdr:rowOff>9525</xdr:rowOff>
    </xdr:from>
    <xdr:to>
      <xdr:col>5</xdr:col>
      <xdr:colOff>1714500</xdr:colOff>
      <xdr:row>45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37</xdr:row>
      <xdr:rowOff>9525</xdr:rowOff>
    </xdr:from>
    <xdr:to>
      <xdr:col>5</xdr:col>
      <xdr:colOff>1635064</xdr:colOff>
      <xdr:row>40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INSTALACION, CUBIERTA SE ENTREGAN CON SOBRE MEDIDA EN EL LARGO.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5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10642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45349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7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173</v>
      </c>
      <c r="G13" s="318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0" t="s">
        <v>174</v>
      </c>
      <c r="D15" s="321"/>
      <c r="F15" t="s">
        <v>135</v>
      </c>
      <c r="G15" s="319" t="s">
        <v>170</v>
      </c>
      <c r="H15" s="290"/>
    </row>
    <row r="16" spans="2:23" ht="16.8" x14ac:dyDescent="0.4">
      <c r="B16" s="327" t="s">
        <v>3</v>
      </c>
      <c r="C16" s="317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42" t="s">
        <v>166</v>
      </c>
      <c r="G17" s="342"/>
      <c r="H17" s="34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44" t="s">
        <v>148</v>
      </c>
      <c r="C19" s="345"/>
      <c r="D19" s="345"/>
      <c r="E19" s="345"/>
      <c r="F19" s="345"/>
      <c r="G19" s="345"/>
      <c r="H19" s="34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N52</f>
        <v>49573.548540609139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2</v>
      </c>
      <c r="C21" s="314" t="s">
        <v>168</v>
      </c>
      <c r="D21" s="315">
        <v>1.9</v>
      </c>
      <c r="E21" s="336">
        <v>0.65</v>
      </c>
      <c r="F21" s="330" t="s">
        <v>171</v>
      </c>
      <c r="G21" s="339">
        <v>62834</v>
      </c>
      <c r="H21" s="316">
        <f>G21*B21</f>
        <v>125668</v>
      </c>
      <c r="I21" s="265"/>
      <c r="J21" s="47"/>
      <c r="K21" s="47">
        <f>B21</f>
        <v>2</v>
      </c>
      <c r="L21" s="39">
        <f>D21+L$19</f>
        <v>1.95</v>
      </c>
      <c r="M21" s="39">
        <f>E21</f>
        <v>0.65</v>
      </c>
      <c r="N21" s="261">
        <f>L21*M21</f>
        <v>1.2675000000000001</v>
      </c>
      <c r="O21" s="259">
        <f>N21*K21</f>
        <v>2.5350000000000001</v>
      </c>
      <c r="P21" s="252">
        <f>N21*P$20</f>
        <v>62834.472775222086</v>
      </c>
      <c r="Q21" s="258">
        <f t="shared" ref="Q21" si="1">P21+Q$20</f>
        <v>65834.472775222093</v>
      </c>
      <c r="R21" s="299">
        <f>L21*K21</f>
        <v>3.9</v>
      </c>
      <c r="S21" s="46">
        <f>M21*K21*2</f>
        <v>2.6</v>
      </c>
      <c r="T21" s="9"/>
      <c r="W21" s="4"/>
    </row>
    <row r="22" spans="2:24" ht="18" thickBot="1" x14ac:dyDescent="0.35">
      <c r="B22" s="332">
        <v>1</v>
      </c>
      <c r="C22" s="314" t="s">
        <v>168</v>
      </c>
      <c r="D22" s="331">
        <v>2.4</v>
      </c>
      <c r="E22" s="337">
        <v>0.65</v>
      </c>
      <c r="F22" s="330" t="s">
        <v>171</v>
      </c>
      <c r="G22" s="340">
        <v>78946</v>
      </c>
      <c r="H22" s="333">
        <f>G22*B22</f>
        <v>78946</v>
      </c>
      <c r="I22" s="265"/>
      <c r="J22" s="47"/>
      <c r="K22" s="47">
        <f t="shared" ref="K22:K26" si="2">B22</f>
        <v>1</v>
      </c>
      <c r="L22" s="39">
        <f t="shared" ref="L22:L26" si="3">D22+L$19</f>
        <v>2.4499999999999997</v>
      </c>
      <c r="M22" s="39">
        <f t="shared" ref="M22:M26" si="4">E22</f>
        <v>0.65</v>
      </c>
      <c r="N22" s="261">
        <f>L22*M22</f>
        <v>1.5924999999999998</v>
      </c>
      <c r="O22" s="259">
        <f t="shared" ref="O22:O26" si="5">N22*K22</f>
        <v>1.5924999999999998</v>
      </c>
      <c r="P22" s="252">
        <f t="shared" ref="P22:P26" si="6">N22*P$20</f>
        <v>78945.876050920051</v>
      </c>
      <c r="Q22" s="258">
        <f t="shared" ref="Q22:Q26" si="7">P22+Q$20</f>
        <v>81945.876050920051</v>
      </c>
      <c r="R22" s="299">
        <f t="shared" ref="R22:R26" si="8">L22*K22</f>
        <v>2.4499999999999997</v>
      </c>
      <c r="S22" s="46"/>
      <c r="T22" s="9"/>
      <c r="W22" s="4"/>
    </row>
    <row r="23" spans="2:24" ht="18" thickBot="1" x14ac:dyDescent="0.35">
      <c r="B23" s="334">
        <v>1</v>
      </c>
      <c r="C23" s="314" t="s">
        <v>168</v>
      </c>
      <c r="D23" s="335">
        <v>0.4</v>
      </c>
      <c r="E23" s="338">
        <v>0.49</v>
      </c>
      <c r="F23" s="330" t="s">
        <v>171</v>
      </c>
      <c r="G23" s="341">
        <v>10931</v>
      </c>
      <c r="H23" s="333">
        <f t="shared" ref="H23:H26" si="9">G23*B23</f>
        <v>10931</v>
      </c>
      <c r="I23" s="265"/>
      <c r="J23" s="47"/>
      <c r="K23" s="47">
        <f t="shared" si="2"/>
        <v>1</v>
      </c>
      <c r="L23" s="39">
        <f t="shared" si="3"/>
        <v>0.45</v>
      </c>
      <c r="M23" s="39">
        <f t="shared" si="4"/>
        <v>0.49</v>
      </c>
      <c r="N23" s="261">
        <f t="shared" ref="N23:N26" si="10">L23*M23</f>
        <v>0.2205</v>
      </c>
      <c r="O23" s="259">
        <f t="shared" si="5"/>
        <v>0.2205</v>
      </c>
      <c r="P23" s="252">
        <f t="shared" si="6"/>
        <v>10930.967453204315</v>
      </c>
      <c r="Q23" s="258">
        <f t="shared" si="7"/>
        <v>13930.967453204315</v>
      </c>
      <c r="R23" s="299">
        <f t="shared" si="8"/>
        <v>0.45</v>
      </c>
      <c r="S23" s="46"/>
      <c r="T23" s="9"/>
      <c r="W23" s="4"/>
    </row>
    <row r="24" spans="2:24" ht="18" thickBot="1" x14ac:dyDescent="0.35">
      <c r="B24" s="334">
        <v>1</v>
      </c>
      <c r="C24" s="314" t="s">
        <v>168</v>
      </c>
      <c r="D24" s="335">
        <v>3.3</v>
      </c>
      <c r="E24" s="338">
        <v>0.75</v>
      </c>
      <c r="F24" s="330" t="s">
        <v>171</v>
      </c>
      <c r="G24" s="341">
        <v>124554</v>
      </c>
      <c r="H24" s="333">
        <f t="shared" si="9"/>
        <v>124554</v>
      </c>
      <c r="I24" s="265"/>
      <c r="J24" s="47"/>
      <c r="K24" s="47">
        <f t="shared" si="2"/>
        <v>1</v>
      </c>
      <c r="L24" s="39">
        <f t="shared" si="3"/>
        <v>3.3499999999999996</v>
      </c>
      <c r="M24" s="39">
        <f t="shared" si="4"/>
        <v>0.75</v>
      </c>
      <c r="N24" s="261">
        <f t="shared" si="10"/>
        <v>2.5124999999999997</v>
      </c>
      <c r="O24" s="259">
        <f t="shared" si="5"/>
        <v>2.5124999999999997</v>
      </c>
      <c r="P24" s="252">
        <f t="shared" si="6"/>
        <v>124553.54070828044</v>
      </c>
      <c r="Q24" s="258">
        <f t="shared" si="7"/>
        <v>127553.54070828044</v>
      </c>
      <c r="R24" s="299">
        <f t="shared" si="8"/>
        <v>3.3499999999999996</v>
      </c>
      <c r="S24" s="46"/>
      <c r="T24" s="9"/>
      <c r="W24" s="4"/>
    </row>
    <row r="25" spans="2:24" ht="18" thickBot="1" x14ac:dyDescent="0.35">
      <c r="B25" s="334">
        <v>1</v>
      </c>
      <c r="C25" s="314" t="s">
        <v>168</v>
      </c>
      <c r="D25" s="335">
        <v>2</v>
      </c>
      <c r="E25" s="338">
        <v>0.6</v>
      </c>
      <c r="F25" s="330" t="s">
        <v>171</v>
      </c>
      <c r="G25" s="341">
        <v>60975</v>
      </c>
      <c r="H25" s="333">
        <f t="shared" si="9"/>
        <v>60975</v>
      </c>
      <c r="I25" s="265"/>
      <c r="J25" s="47"/>
      <c r="K25" s="47">
        <f t="shared" si="2"/>
        <v>1</v>
      </c>
      <c r="L25" s="39">
        <f t="shared" si="3"/>
        <v>2.0499999999999998</v>
      </c>
      <c r="M25" s="39">
        <f t="shared" si="4"/>
        <v>0.6</v>
      </c>
      <c r="N25" s="261">
        <f t="shared" si="10"/>
        <v>1.2299999999999998</v>
      </c>
      <c r="O25" s="259">
        <f t="shared" si="5"/>
        <v>1.2299999999999998</v>
      </c>
      <c r="P25" s="252">
        <f t="shared" si="6"/>
        <v>60975.464704949227</v>
      </c>
      <c r="Q25" s="258">
        <f t="shared" si="7"/>
        <v>63975.464704949227</v>
      </c>
      <c r="R25" s="299">
        <f t="shared" si="8"/>
        <v>2.0499999999999998</v>
      </c>
      <c r="S25" s="46"/>
      <c r="T25" s="9"/>
      <c r="W25" s="4"/>
    </row>
    <row r="26" spans="2:24" ht="18" thickBot="1" x14ac:dyDescent="0.35">
      <c r="B26" s="334">
        <v>1</v>
      </c>
      <c r="C26" s="314" t="s">
        <v>168</v>
      </c>
      <c r="D26" s="331">
        <v>2.89</v>
      </c>
      <c r="E26" s="337">
        <v>0.6</v>
      </c>
      <c r="F26" s="330" t="s">
        <v>171</v>
      </c>
      <c r="G26" s="340">
        <v>87448</v>
      </c>
      <c r="H26" s="333">
        <f t="shared" si="9"/>
        <v>87448</v>
      </c>
      <c r="I26" s="265"/>
      <c r="J26" s="47"/>
      <c r="K26" s="47">
        <f t="shared" si="2"/>
        <v>1</v>
      </c>
      <c r="L26" s="39">
        <f t="shared" si="3"/>
        <v>2.94</v>
      </c>
      <c r="M26" s="39">
        <f t="shared" si="4"/>
        <v>0.6</v>
      </c>
      <c r="N26" s="261">
        <f t="shared" si="10"/>
        <v>1.764</v>
      </c>
      <c r="O26" s="259">
        <f t="shared" si="5"/>
        <v>1.764</v>
      </c>
      <c r="P26" s="252">
        <f t="shared" si="6"/>
        <v>87447.739625634524</v>
      </c>
      <c r="Q26" s="258">
        <f t="shared" si="7"/>
        <v>90447.739625634524</v>
      </c>
      <c r="R26" s="299">
        <f t="shared" si="8"/>
        <v>2.94</v>
      </c>
      <c r="S26" s="46"/>
      <c r="T26" s="9"/>
      <c r="W26" s="4"/>
    </row>
    <row r="27" spans="2:24" ht="18" thickBot="1" x14ac:dyDescent="0.35">
      <c r="B27" s="334">
        <v>1</v>
      </c>
      <c r="C27" s="314" t="s">
        <v>172</v>
      </c>
      <c r="D27" s="331">
        <v>2.58</v>
      </c>
      <c r="E27" s="337">
        <v>0.6</v>
      </c>
      <c r="F27" s="330" t="s">
        <v>171</v>
      </c>
      <c r="G27" s="340">
        <v>78227</v>
      </c>
      <c r="H27" s="333">
        <f t="shared" ref="H27:H35" si="11">G27*B27</f>
        <v>78227</v>
      </c>
      <c r="I27" s="265"/>
      <c r="J27" s="47"/>
      <c r="K27" s="47">
        <f t="shared" ref="K27:K35" si="12">B27</f>
        <v>1</v>
      </c>
      <c r="L27" s="39">
        <f t="shared" ref="L27:L35" si="13">D27+L$19</f>
        <v>2.63</v>
      </c>
      <c r="M27" s="39">
        <f t="shared" ref="M27:M35" si="14">E27</f>
        <v>0.6</v>
      </c>
      <c r="N27" s="261">
        <f t="shared" ref="N27:N35" si="15">L27*M27</f>
        <v>1.5779999999999998</v>
      </c>
      <c r="O27" s="259">
        <f t="shared" ref="O27:O35" si="16">N27*K27</f>
        <v>1.5779999999999998</v>
      </c>
      <c r="P27" s="252">
        <f t="shared" ref="P27:P35" si="17">N27*P$20</f>
        <v>78227.059597081214</v>
      </c>
      <c r="Q27" s="258">
        <f t="shared" ref="Q27:Q35" si="18">P27+Q$20</f>
        <v>81227.059597081214</v>
      </c>
      <c r="R27" s="299"/>
      <c r="S27" s="46"/>
      <c r="T27" s="9"/>
      <c r="W27" s="4"/>
    </row>
    <row r="28" spans="2:24" ht="18" thickBot="1" x14ac:dyDescent="0.35">
      <c r="B28" s="334">
        <v>1</v>
      </c>
      <c r="C28" s="314" t="s">
        <v>168</v>
      </c>
      <c r="D28" s="331">
        <v>1.75</v>
      </c>
      <c r="E28" s="337">
        <v>0.95</v>
      </c>
      <c r="F28" s="330" t="s">
        <v>171</v>
      </c>
      <c r="G28" s="340">
        <v>84771</v>
      </c>
      <c r="H28" s="333">
        <f t="shared" si="11"/>
        <v>84771</v>
      </c>
      <c r="I28" s="265"/>
      <c r="J28" s="47"/>
      <c r="K28" s="47">
        <f t="shared" si="12"/>
        <v>1</v>
      </c>
      <c r="L28" s="39">
        <f t="shared" si="13"/>
        <v>1.8</v>
      </c>
      <c r="M28" s="39">
        <f t="shared" si="14"/>
        <v>0.95</v>
      </c>
      <c r="N28" s="261">
        <f t="shared" si="15"/>
        <v>1.71</v>
      </c>
      <c r="O28" s="259">
        <f t="shared" si="16"/>
        <v>1.71</v>
      </c>
      <c r="P28" s="252">
        <f t="shared" si="17"/>
        <v>84770.768004441619</v>
      </c>
      <c r="Q28" s="258">
        <f t="shared" si="18"/>
        <v>87770.768004441619</v>
      </c>
      <c r="R28" s="299">
        <f t="shared" ref="R27:R35" si="19">L28*K28</f>
        <v>1.8</v>
      </c>
      <c r="S28" s="46"/>
      <c r="T28" s="9"/>
      <c r="W28" s="4"/>
    </row>
    <row r="29" spans="2:24" ht="18" thickBot="1" x14ac:dyDescent="0.35">
      <c r="B29" s="334">
        <v>1</v>
      </c>
      <c r="C29" s="314" t="s">
        <v>168</v>
      </c>
      <c r="D29" s="331">
        <v>2.85</v>
      </c>
      <c r="E29" s="337">
        <v>0.75</v>
      </c>
      <c r="F29" s="330" t="s">
        <v>171</v>
      </c>
      <c r="G29" s="340">
        <v>107822</v>
      </c>
      <c r="H29" s="333">
        <f t="shared" si="11"/>
        <v>107822</v>
      </c>
      <c r="I29" s="265"/>
      <c r="J29" s="47"/>
      <c r="K29" s="47">
        <f t="shared" si="12"/>
        <v>1</v>
      </c>
      <c r="L29" s="39">
        <f t="shared" si="13"/>
        <v>2.9</v>
      </c>
      <c r="M29" s="39">
        <f t="shared" si="14"/>
        <v>0.75</v>
      </c>
      <c r="N29" s="261">
        <f t="shared" si="15"/>
        <v>2.1749999999999998</v>
      </c>
      <c r="O29" s="259">
        <f t="shared" si="16"/>
        <v>2.1749999999999998</v>
      </c>
      <c r="P29" s="252">
        <f t="shared" si="17"/>
        <v>107822.46807582487</v>
      </c>
      <c r="Q29" s="258">
        <f t="shared" si="18"/>
        <v>110822.46807582487</v>
      </c>
      <c r="R29" s="299">
        <f t="shared" si="19"/>
        <v>2.9</v>
      </c>
      <c r="S29" s="46"/>
      <c r="T29" s="9"/>
      <c r="W29" s="4"/>
    </row>
    <row r="30" spans="2:24" ht="18" thickBot="1" x14ac:dyDescent="0.35">
      <c r="B30" s="334">
        <v>1</v>
      </c>
      <c r="C30" s="314" t="s">
        <v>168</v>
      </c>
      <c r="D30" s="331">
        <v>0.98</v>
      </c>
      <c r="E30" s="337">
        <v>0.6</v>
      </c>
      <c r="F30" s="330" t="s">
        <v>171</v>
      </c>
      <c r="G30" s="340">
        <v>30636</v>
      </c>
      <c r="H30" s="333">
        <f t="shared" si="11"/>
        <v>30636</v>
      </c>
      <c r="I30" s="265"/>
      <c r="J30" s="47"/>
      <c r="K30" s="47">
        <f t="shared" si="12"/>
        <v>1</v>
      </c>
      <c r="L30" s="39">
        <f t="shared" si="13"/>
        <v>1.03</v>
      </c>
      <c r="M30" s="39">
        <f t="shared" si="14"/>
        <v>0.6</v>
      </c>
      <c r="N30" s="261">
        <f t="shared" si="15"/>
        <v>0.61799999999999999</v>
      </c>
      <c r="O30" s="259">
        <f t="shared" si="16"/>
        <v>0.61799999999999999</v>
      </c>
      <c r="P30" s="252">
        <f t="shared" si="17"/>
        <v>30636.452998096447</v>
      </c>
      <c r="Q30" s="258">
        <f t="shared" si="18"/>
        <v>33636.452998096443</v>
      </c>
      <c r="R30" s="299">
        <f t="shared" si="19"/>
        <v>1.03</v>
      </c>
      <c r="S30" s="46"/>
      <c r="T30" s="9"/>
      <c r="W30" s="4"/>
    </row>
    <row r="31" spans="2:24" ht="18" thickBot="1" x14ac:dyDescent="0.35">
      <c r="B31" s="334">
        <v>1</v>
      </c>
      <c r="C31" s="314" t="s">
        <v>168</v>
      </c>
      <c r="D31" s="331">
        <v>2.15</v>
      </c>
      <c r="E31" s="337">
        <v>0.65</v>
      </c>
      <c r="F31" s="330" t="s">
        <v>171</v>
      </c>
      <c r="G31" s="340">
        <v>70890</v>
      </c>
      <c r="H31" s="333">
        <f t="shared" si="11"/>
        <v>70890</v>
      </c>
      <c r="I31" s="265"/>
      <c r="J31" s="47"/>
      <c r="K31" s="47">
        <f t="shared" si="12"/>
        <v>1</v>
      </c>
      <c r="L31" s="39">
        <f t="shared" si="13"/>
        <v>2.1999999999999997</v>
      </c>
      <c r="M31" s="39">
        <f t="shared" si="14"/>
        <v>0.65</v>
      </c>
      <c r="N31" s="261">
        <f t="shared" si="15"/>
        <v>1.43</v>
      </c>
      <c r="O31" s="259">
        <f t="shared" si="16"/>
        <v>1.43</v>
      </c>
      <c r="P31" s="252">
        <f t="shared" si="17"/>
        <v>70890.174413071072</v>
      </c>
      <c r="Q31" s="258">
        <f t="shared" si="18"/>
        <v>73890.174413071072</v>
      </c>
      <c r="R31" s="299">
        <f t="shared" si="19"/>
        <v>2.1999999999999997</v>
      </c>
      <c r="S31" s="46"/>
      <c r="T31" s="9"/>
      <c r="W31" s="4"/>
    </row>
    <row r="32" spans="2:24" ht="18" thickBot="1" x14ac:dyDescent="0.35">
      <c r="B32" s="334">
        <v>1</v>
      </c>
      <c r="C32" s="314" t="s">
        <v>168</v>
      </c>
      <c r="D32" s="331">
        <v>2.87</v>
      </c>
      <c r="E32" s="337">
        <v>0.65</v>
      </c>
      <c r="F32" s="330" t="s">
        <v>171</v>
      </c>
      <c r="G32" s="340">
        <v>94091</v>
      </c>
      <c r="H32" s="333">
        <f t="shared" si="11"/>
        <v>94091</v>
      </c>
      <c r="I32" s="265"/>
      <c r="J32" s="47"/>
      <c r="K32" s="47">
        <f t="shared" si="12"/>
        <v>1</v>
      </c>
      <c r="L32" s="39">
        <f t="shared" si="13"/>
        <v>2.92</v>
      </c>
      <c r="M32" s="39">
        <f t="shared" si="14"/>
        <v>0.65</v>
      </c>
      <c r="N32" s="261">
        <f t="shared" si="15"/>
        <v>1.8979999999999999</v>
      </c>
      <c r="O32" s="259">
        <f t="shared" si="16"/>
        <v>1.8979999999999999</v>
      </c>
      <c r="P32" s="252">
        <f t="shared" si="17"/>
        <v>94090.595130076137</v>
      </c>
      <c r="Q32" s="258">
        <f t="shared" si="18"/>
        <v>97090.595130076137</v>
      </c>
      <c r="R32" s="299">
        <f t="shared" si="19"/>
        <v>2.92</v>
      </c>
      <c r="S32" s="46"/>
      <c r="T32" s="9"/>
      <c r="W32" s="4"/>
    </row>
    <row r="33" spans="2:23" ht="18" thickBot="1" x14ac:dyDescent="0.35">
      <c r="B33" s="334">
        <v>1</v>
      </c>
      <c r="C33" s="314" t="s">
        <v>168</v>
      </c>
      <c r="D33" s="331">
        <v>1.7</v>
      </c>
      <c r="E33" s="337">
        <v>0.85</v>
      </c>
      <c r="F33" s="330" t="s">
        <v>171</v>
      </c>
      <c r="G33" s="340">
        <v>73741</v>
      </c>
      <c r="H33" s="333">
        <f t="shared" si="11"/>
        <v>73741</v>
      </c>
      <c r="I33" s="265"/>
      <c r="J33" s="47"/>
      <c r="K33" s="47">
        <f t="shared" si="12"/>
        <v>1</v>
      </c>
      <c r="L33" s="39">
        <f t="shared" si="13"/>
        <v>1.75</v>
      </c>
      <c r="M33" s="39">
        <f t="shared" si="14"/>
        <v>0.85</v>
      </c>
      <c r="N33" s="261">
        <f t="shared" si="15"/>
        <v>1.4875</v>
      </c>
      <c r="O33" s="259">
        <f t="shared" si="16"/>
        <v>1.4875</v>
      </c>
      <c r="P33" s="252">
        <f t="shared" si="17"/>
        <v>73740.653454156098</v>
      </c>
      <c r="Q33" s="258">
        <f t="shared" si="18"/>
        <v>76740.653454156098</v>
      </c>
      <c r="R33" s="299">
        <f t="shared" si="19"/>
        <v>1.75</v>
      </c>
      <c r="S33" s="46"/>
      <c r="T33" s="9"/>
      <c r="W33" s="4"/>
    </row>
    <row r="34" spans="2:23" ht="18" thickBot="1" x14ac:dyDescent="0.35">
      <c r="B34" s="334">
        <v>1</v>
      </c>
      <c r="C34" s="314" t="s">
        <v>168</v>
      </c>
      <c r="D34" s="331">
        <v>3.4</v>
      </c>
      <c r="E34" s="337">
        <v>1</v>
      </c>
      <c r="F34" s="330" t="s">
        <v>171</v>
      </c>
      <c r="G34" s="340">
        <v>171029</v>
      </c>
      <c r="H34" s="333">
        <f t="shared" si="11"/>
        <v>171029</v>
      </c>
      <c r="I34" s="265"/>
      <c r="J34" s="47"/>
      <c r="K34" s="47">
        <f t="shared" si="12"/>
        <v>1</v>
      </c>
      <c r="L34" s="39">
        <f t="shared" si="13"/>
        <v>3.4499999999999997</v>
      </c>
      <c r="M34" s="39">
        <f t="shared" si="14"/>
        <v>1</v>
      </c>
      <c r="N34" s="261">
        <f t="shared" si="15"/>
        <v>3.4499999999999997</v>
      </c>
      <c r="O34" s="259">
        <f t="shared" si="16"/>
        <v>3.4499999999999997</v>
      </c>
      <c r="P34" s="252">
        <f t="shared" si="17"/>
        <v>171028.74246510153</v>
      </c>
      <c r="Q34" s="258">
        <f t="shared" si="18"/>
        <v>174028.74246510153</v>
      </c>
      <c r="R34" s="299">
        <f t="shared" si="19"/>
        <v>3.4499999999999997</v>
      </c>
      <c r="S34" s="46"/>
      <c r="T34" s="9"/>
      <c r="W34" s="4"/>
    </row>
    <row r="35" spans="2:23" ht="17.399999999999999" x14ac:dyDescent="0.3">
      <c r="B35" s="332">
        <v>1</v>
      </c>
      <c r="C35" s="314" t="s">
        <v>172</v>
      </c>
      <c r="D35" s="331">
        <v>1.4</v>
      </c>
      <c r="E35" s="337">
        <v>0.7</v>
      </c>
      <c r="F35" s="330" t="s">
        <v>171</v>
      </c>
      <c r="G35" s="340">
        <v>50317</v>
      </c>
      <c r="H35" s="333">
        <f t="shared" si="11"/>
        <v>50317</v>
      </c>
      <c r="I35" s="265"/>
      <c r="J35" s="47"/>
      <c r="K35" s="47">
        <f t="shared" si="12"/>
        <v>1</v>
      </c>
      <c r="L35" s="39">
        <f t="shared" si="13"/>
        <v>1.45</v>
      </c>
      <c r="M35" s="39">
        <f t="shared" si="14"/>
        <v>0.7</v>
      </c>
      <c r="N35" s="261">
        <f t="shared" si="15"/>
        <v>1.0149999999999999</v>
      </c>
      <c r="O35" s="259">
        <f t="shared" si="16"/>
        <v>1.0149999999999999</v>
      </c>
      <c r="P35" s="252">
        <f t="shared" si="17"/>
        <v>50317.151768718271</v>
      </c>
      <c r="Q35" s="258">
        <f t="shared" si="18"/>
        <v>53317.151768718271</v>
      </c>
      <c r="R35" s="299"/>
      <c r="S35" s="46"/>
      <c r="T35" s="9"/>
      <c r="W35" s="4"/>
    </row>
    <row r="36" spans="2:23" ht="17.399999999999999" x14ac:dyDescent="0.3">
      <c r="B36" s="354">
        <f>SUM(B21:B35)</f>
        <v>16</v>
      </c>
      <c r="C36" s="354"/>
      <c r="D36" s="355"/>
      <c r="E36" s="355"/>
      <c r="F36" s="354"/>
      <c r="G36" s="356"/>
      <c r="H36" s="356"/>
      <c r="I36" s="265"/>
      <c r="J36" s="47"/>
      <c r="K36" s="47"/>
      <c r="L36" s="39"/>
      <c r="M36" s="39"/>
      <c r="N36" s="261"/>
      <c r="O36" s="259"/>
      <c r="P36" s="252"/>
      <c r="Q36" s="258"/>
      <c r="R36" s="299"/>
      <c r="S36" s="46"/>
      <c r="T36" s="9"/>
      <c r="W36" s="4"/>
    </row>
    <row r="37" spans="2:23" ht="18" thickBot="1" x14ac:dyDescent="0.35">
      <c r="B37" s="286"/>
      <c r="C37" s="286"/>
      <c r="D37" s="287"/>
      <c r="E37" s="287"/>
      <c r="F37" s="286"/>
      <c r="G37" s="265"/>
      <c r="H37" s="233"/>
      <c r="I37" s="233"/>
      <c r="J37" s="47"/>
      <c r="K37" s="47"/>
      <c r="L37" s="39"/>
      <c r="M37" s="39"/>
      <c r="N37" s="261"/>
      <c r="O37" s="259"/>
      <c r="P37" s="252"/>
      <c r="Q37" s="258"/>
      <c r="R37" s="299"/>
      <c r="S37" s="14"/>
      <c r="T37" s="9"/>
      <c r="W37" s="4"/>
    </row>
    <row r="38" spans="2:23" ht="17.399999999999999" x14ac:dyDescent="0.3">
      <c r="B38" s="286"/>
      <c r="C38" s="286"/>
      <c r="D38" s="287"/>
      <c r="E38" s="287"/>
      <c r="F38" s="286"/>
      <c r="G38" s="300" t="s">
        <v>29</v>
      </c>
      <c r="H38" s="301">
        <f>SUM(H21:H35)</f>
        <v>1250046</v>
      </c>
      <c r="I38" s="265"/>
      <c r="J38" s="47"/>
      <c r="K38" s="47"/>
      <c r="L38" s="39">
        <f>SUM(L21:L37)</f>
        <v>33.32</v>
      </c>
      <c r="M38" s="39"/>
      <c r="N38" s="261"/>
      <c r="O38" s="259"/>
      <c r="P38" s="252"/>
      <c r="Q38" s="258"/>
      <c r="R38" s="299"/>
      <c r="S38" s="14"/>
      <c r="T38" s="9"/>
      <c r="W38" s="4"/>
    </row>
    <row r="39" spans="2:23" ht="17.399999999999999" x14ac:dyDescent="0.3">
      <c r="B39" s="280"/>
      <c r="C39" s="283"/>
      <c r="D39" s="284"/>
      <c r="E39" s="284"/>
      <c r="F39" s="285"/>
      <c r="G39" s="298" t="s">
        <v>52</v>
      </c>
      <c r="H39" s="296">
        <f>H38*19%</f>
        <v>237508.74</v>
      </c>
      <c r="I39" s="265"/>
      <c r="J39" s="47"/>
      <c r="K39" s="47"/>
      <c r="L39" s="39"/>
      <c r="M39" s="12"/>
      <c r="N39" s="12"/>
      <c r="O39" s="253">
        <f>SUM(O21:O37)</f>
        <v>25.216000000000001</v>
      </c>
      <c r="P39" s="14"/>
      <c r="Q39" s="12"/>
      <c r="R39" s="239"/>
      <c r="S39" s="14"/>
      <c r="T39" s="9"/>
      <c r="W39" s="4"/>
    </row>
    <row r="40" spans="2:23" ht="18" thickBot="1" x14ac:dyDescent="0.35">
      <c r="B40" s="276"/>
      <c r="C40" s="282"/>
      <c r="D40" s="272"/>
      <c r="E40" s="272"/>
      <c r="F40" s="273"/>
      <c r="G40" s="281" t="s">
        <v>6</v>
      </c>
      <c r="H40" s="297">
        <f>H38+H39</f>
        <v>1487554.74</v>
      </c>
      <c r="I40" s="265"/>
      <c r="J40" s="47"/>
      <c r="K40" s="47"/>
      <c r="L40" s="39"/>
      <c r="M40" s="12"/>
      <c r="N40" s="12"/>
      <c r="O40" s="253">
        <f>O39</f>
        <v>25.216000000000001</v>
      </c>
      <c r="P40" s="14"/>
      <c r="Q40" s="12"/>
      <c r="R40" s="239">
        <f>SUM(R21:R39)</f>
        <v>31.189999999999994</v>
      </c>
      <c r="S40" s="14"/>
      <c r="T40" s="9"/>
      <c r="W40" s="4"/>
    </row>
    <row r="41" spans="2:23" ht="17.399999999999999" x14ac:dyDescent="0.3">
      <c r="B41" s="276"/>
      <c r="C41" s="271"/>
      <c r="D41" s="272"/>
      <c r="E41" s="272"/>
      <c r="F41" s="273"/>
      <c r="I41" s="265"/>
      <c r="J41" s="47"/>
      <c r="K41" s="47"/>
      <c r="L41" s="14"/>
      <c r="M41" s="12"/>
      <c r="N41" s="12"/>
      <c r="O41" s="39">
        <f>O40*20%</f>
        <v>5.0432000000000006</v>
      </c>
      <c r="P41" s="39" t="s">
        <v>131</v>
      </c>
      <c r="Q41" s="42"/>
      <c r="R41" s="240"/>
      <c r="S41" s="14"/>
      <c r="T41" s="9"/>
      <c r="W41" s="4"/>
    </row>
    <row r="42" spans="2:23" ht="17.399999999999999" x14ac:dyDescent="0.3">
      <c r="B42" s="271"/>
      <c r="C42" s="271"/>
      <c r="D42" s="272"/>
      <c r="E42" s="272"/>
      <c r="F42" s="273"/>
      <c r="G42" s="274"/>
      <c r="H42" s="275"/>
      <c r="I42" s="265"/>
      <c r="J42" s="47"/>
      <c r="K42" s="47"/>
      <c r="L42" s="14"/>
      <c r="M42" s="12"/>
      <c r="N42" s="12"/>
      <c r="O42" s="46">
        <f>O40+O41</f>
        <v>30.2592</v>
      </c>
      <c r="P42" s="14"/>
      <c r="Q42" s="14"/>
      <c r="R42" s="238">
        <v>40</v>
      </c>
      <c r="S42" s="14"/>
      <c r="T42" s="9"/>
      <c r="W42" s="4"/>
    </row>
    <row r="43" spans="2:23" ht="17.399999999999999" x14ac:dyDescent="0.35">
      <c r="B43" s="269"/>
      <c r="C43" s="230"/>
      <c r="D43" s="230"/>
      <c r="E43" s="233"/>
      <c r="F43" s="234"/>
      <c r="G43" s="230"/>
      <c r="H43" s="275"/>
      <c r="I43" s="265"/>
      <c r="J43" s="47"/>
      <c r="K43" s="47"/>
      <c r="L43" s="14"/>
      <c r="M43" s="14"/>
      <c r="N43" s="14"/>
      <c r="O43" s="14"/>
      <c r="P43" s="14"/>
      <c r="Q43" s="14"/>
      <c r="R43" s="238"/>
      <c r="S43" s="14"/>
      <c r="T43" s="306" t="s">
        <v>22</v>
      </c>
      <c r="U43" s="303" t="s">
        <v>153</v>
      </c>
      <c r="V43" s="307">
        <v>44971</v>
      </c>
      <c r="W43" s="308"/>
    </row>
    <row r="44" spans="2:23" ht="17.399999999999999" x14ac:dyDescent="0.35">
      <c r="B44" s="235"/>
      <c r="C44" s="236"/>
      <c r="D44" s="237"/>
      <c r="E44" s="235"/>
      <c r="F44" s="230"/>
      <c r="G44" s="230"/>
      <c r="I44" s="265"/>
      <c r="J44" s="47"/>
      <c r="K44" s="47"/>
      <c r="L44" s="39">
        <f>O42</f>
        <v>30.2592</v>
      </c>
      <c r="M44" s="12">
        <v>2500</v>
      </c>
      <c r="N44" s="12">
        <f t="shared" ref="N44:N49" si="20">L44*M44</f>
        <v>75648</v>
      </c>
      <c r="O44" s="14" t="s">
        <v>22</v>
      </c>
      <c r="P44" s="14"/>
      <c r="Q44" s="14"/>
      <c r="R44" s="241"/>
      <c r="S44" s="14"/>
      <c r="T44" s="306" t="s">
        <v>154</v>
      </c>
      <c r="U44" s="303">
        <v>3625</v>
      </c>
      <c r="V44" s="59" t="s">
        <v>155</v>
      </c>
      <c r="W44" s="308"/>
    </row>
    <row r="45" spans="2:23" ht="17.399999999999999" x14ac:dyDescent="0.35">
      <c r="B45" s="230"/>
      <c r="C45" s="230"/>
      <c r="D45" s="230"/>
      <c r="E45" s="230"/>
      <c r="F45" s="230"/>
      <c r="G45" s="230"/>
      <c r="I45" s="265"/>
      <c r="J45" s="47"/>
      <c r="K45" s="47"/>
      <c r="L45" s="249">
        <v>8.1999999999999993</v>
      </c>
      <c r="M45" s="12">
        <v>23850</v>
      </c>
      <c r="N45" s="12">
        <f t="shared" si="20"/>
        <v>195569.99999999997</v>
      </c>
      <c r="O45" s="39" t="s">
        <v>32</v>
      </c>
      <c r="P45" s="42"/>
      <c r="Q45" s="14"/>
      <c r="R45" s="240"/>
      <c r="S45" s="14"/>
      <c r="T45" s="306"/>
      <c r="U45" s="59">
        <v>906.25</v>
      </c>
      <c r="V45" s="59" t="s">
        <v>156</v>
      </c>
      <c r="W45" s="308"/>
    </row>
    <row r="46" spans="2:23" s="230" customFormat="1" ht="17.399999999999999" x14ac:dyDescent="0.35">
      <c r="I46" s="262"/>
      <c r="J46" s="232"/>
      <c r="K46" s="250"/>
      <c r="L46" s="14">
        <v>5</v>
      </c>
      <c r="M46" s="250">
        <v>33240</v>
      </c>
      <c r="N46" s="12">
        <f t="shared" si="20"/>
        <v>166200</v>
      </c>
      <c r="O46" s="39" t="s">
        <v>31</v>
      </c>
      <c r="P46" s="42"/>
      <c r="R46" s="240"/>
      <c r="S46" s="256"/>
      <c r="T46" s="59"/>
      <c r="U46" s="59">
        <f>U45*20%</f>
        <v>181.25</v>
      </c>
      <c r="V46" s="308" t="s">
        <v>157</v>
      </c>
      <c r="W46" s="59"/>
    </row>
    <row r="47" spans="2:23" s="230" customFormat="1" ht="17.399999999999999" x14ac:dyDescent="0.35">
      <c r="B47" s="24" t="s">
        <v>152</v>
      </c>
      <c r="I47" s="262"/>
      <c r="J47" s="232"/>
      <c r="K47" s="250"/>
      <c r="L47" s="14">
        <v>4</v>
      </c>
      <c r="M47" s="250">
        <v>21000</v>
      </c>
      <c r="N47" s="12">
        <f t="shared" si="20"/>
        <v>84000</v>
      </c>
      <c r="O47" s="14" t="s">
        <v>142</v>
      </c>
      <c r="P47" s="17"/>
      <c r="R47" s="238"/>
      <c r="S47" s="256"/>
      <c r="T47" s="59"/>
      <c r="U47" s="59">
        <f>U45+U46</f>
        <v>1087.5</v>
      </c>
      <c r="V47" s="308" t="s">
        <v>158</v>
      </c>
      <c r="W47" s="59"/>
    </row>
    <row r="48" spans="2:23" s="230" customFormat="1" ht="17.399999999999999" x14ac:dyDescent="0.35">
      <c r="B48" s="24" t="s">
        <v>145</v>
      </c>
      <c r="C48"/>
      <c r="D48"/>
      <c r="E48"/>
      <c r="F48"/>
      <c r="I48" s="262"/>
      <c r="K48" s="250"/>
      <c r="L48" s="249"/>
      <c r="M48" s="250">
        <v>300</v>
      </c>
      <c r="N48" s="12">
        <f t="shared" si="20"/>
        <v>0</v>
      </c>
      <c r="O48" s="14" t="s">
        <v>33</v>
      </c>
      <c r="P48" s="14"/>
      <c r="Q48" s="230">
        <v>1.52</v>
      </c>
      <c r="R48" s="238"/>
      <c r="S48" s="238"/>
    </row>
    <row r="49" spans="2:23" s="230" customFormat="1" ht="17.399999999999999" x14ac:dyDescent="0.35">
      <c r="B49" s="29" t="s">
        <v>126</v>
      </c>
      <c r="C49"/>
      <c r="D49"/>
      <c r="E49"/>
      <c r="F49" s="229" t="s">
        <v>16</v>
      </c>
      <c r="I49" s="295"/>
      <c r="K49" s="250"/>
      <c r="L49" s="266">
        <v>31.19</v>
      </c>
      <c r="M49" s="12">
        <v>1500</v>
      </c>
      <c r="N49" s="12">
        <f t="shared" si="20"/>
        <v>46785</v>
      </c>
      <c r="O49" s="14" t="s">
        <v>23</v>
      </c>
      <c r="P49" s="14"/>
      <c r="Q49">
        <v>2.44</v>
      </c>
      <c r="R49"/>
      <c r="S49" s="238"/>
      <c r="W49" s="231"/>
    </row>
    <row r="50" spans="2:23" s="230" customFormat="1" ht="17.399999999999999" x14ac:dyDescent="0.35">
      <c r="K50" s="250"/>
      <c r="L50" s="14"/>
      <c r="M50" s="12"/>
      <c r="N50" s="12">
        <f>SUM(N44:N49)</f>
        <v>568203</v>
      </c>
      <c r="O50" s="39" t="s">
        <v>24</v>
      </c>
      <c r="P50" s="14"/>
      <c r="Q50">
        <f>Q48*Q49</f>
        <v>3.7088000000000001</v>
      </c>
      <c r="R50"/>
      <c r="S50" s="238"/>
      <c r="W50" s="231"/>
    </row>
    <row r="51" spans="2:23" s="230" customFormat="1" ht="17.399999999999999" x14ac:dyDescent="0.35">
      <c r="K51" s="250"/>
      <c r="L51" s="254" t="s">
        <v>34</v>
      </c>
      <c r="M51" s="12"/>
      <c r="N51" s="255">
        <f>N50*2.2</f>
        <v>1250046.6000000001</v>
      </c>
      <c r="O51" s="14" t="s">
        <v>141</v>
      </c>
      <c r="P51" s="14"/>
      <c r="Q51" s="40">
        <f>O42/Q50</f>
        <v>8.1587575496117335</v>
      </c>
      <c r="R51"/>
      <c r="S51" s="257"/>
    </row>
    <row r="52" spans="2:23" s="230" customFormat="1" ht="17.399999999999999" x14ac:dyDescent="0.35">
      <c r="G52"/>
      <c r="H52" s="260"/>
      <c r="I52" s="260"/>
      <c r="J52" s="230">
        <v>66340</v>
      </c>
      <c r="K52" s="250"/>
      <c r="L52" s="14"/>
      <c r="M52" s="12"/>
      <c r="N52" s="12">
        <f>N51/O40</f>
        <v>49573.548540609139</v>
      </c>
      <c r="O52" s="45" t="s">
        <v>25</v>
      </c>
      <c r="P52" s="14"/>
      <c r="Q52" s="14"/>
      <c r="R52"/>
      <c r="S52" s="238"/>
      <c r="T52" s="59" t="s">
        <v>159</v>
      </c>
      <c r="U52" s="303">
        <v>43650</v>
      </c>
    </row>
    <row r="53" spans="2:23" s="230" customFormat="1" ht="17.399999999999999" x14ac:dyDescent="0.35">
      <c r="G53"/>
      <c r="H53" s="230" t="s">
        <v>165</v>
      </c>
      <c r="J53" s="230">
        <f>J52/1.19</f>
        <v>55747.899159663866</v>
      </c>
      <c r="K53" s="250"/>
      <c r="L53" s="13"/>
      <c r="M53" s="14"/>
      <c r="N53" s="17">
        <f>N51/N50</f>
        <v>2.2000000000000002</v>
      </c>
      <c r="O53" s="15"/>
      <c r="P53"/>
      <c r="Q53"/>
      <c r="R53"/>
      <c r="S53" s="238"/>
      <c r="T53" s="59" t="s">
        <v>161</v>
      </c>
      <c r="U53" s="304" t="s">
        <v>160</v>
      </c>
      <c r="V53" s="59">
        <v>2.4</v>
      </c>
    </row>
    <row r="54" spans="2:23" s="230" customFormat="1" ht="17.399999999999999" x14ac:dyDescent="0.35">
      <c r="G54" s="23"/>
      <c r="K54" s="12"/>
      <c r="S54" s="238"/>
      <c r="T54" s="59" t="s">
        <v>162</v>
      </c>
      <c r="U54" s="305">
        <v>395.37</v>
      </c>
    </row>
    <row r="55" spans="2:23" s="230" customFormat="1" ht="17.399999999999999" x14ac:dyDescent="0.35">
      <c r="B55"/>
      <c r="C55" s="228"/>
      <c r="D55" s="22"/>
      <c r="E55" s="22"/>
      <c r="F55" s="21"/>
      <c r="G55" s="23"/>
      <c r="K55" s="12"/>
      <c r="S55" s="238"/>
      <c r="T55" s="59" t="s">
        <v>157</v>
      </c>
      <c r="U55" s="59">
        <v>474.45</v>
      </c>
    </row>
    <row r="56" spans="2:23" ht="14.4" customHeight="1" x14ac:dyDescent="0.3">
      <c r="K56" s="12"/>
      <c r="T56" s="59"/>
      <c r="U56" s="59"/>
    </row>
    <row r="57" spans="2:23" x14ac:dyDescent="0.3">
      <c r="K57" s="250"/>
    </row>
    <row r="58" spans="2:23" x14ac:dyDescent="0.3">
      <c r="K58" s="250"/>
      <c r="S58" s="270"/>
    </row>
    <row r="59" spans="2:23" x14ac:dyDescent="0.3">
      <c r="K59" s="250"/>
    </row>
    <row r="60" spans="2:23" ht="15" customHeight="1" x14ac:dyDescent="0.3"/>
    <row r="62" spans="2:23" x14ac:dyDescent="0.3">
      <c r="N62">
        <v>40935</v>
      </c>
      <c r="O62" t="s">
        <v>17</v>
      </c>
      <c r="P62" t="s">
        <v>27</v>
      </c>
    </row>
    <row r="64" spans="2:23" x14ac:dyDescent="0.3">
      <c r="N64" s="54"/>
      <c r="O64" s="54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6" spans="14:19" x14ac:dyDescent="0.3">
      <c r="N76" s="43"/>
    </row>
    <row r="77" spans="14:19" x14ac:dyDescent="0.3">
      <c r="N77" s="43"/>
    </row>
    <row r="78" spans="14:19" x14ac:dyDescent="0.3">
      <c r="N78" s="6"/>
    </row>
    <row r="79" spans="14:19" x14ac:dyDescent="0.3">
      <c r="N79" s="6"/>
    </row>
    <row r="87" spans="3:3" x14ac:dyDescent="0.3">
      <c r="C87" t="s">
        <v>149</v>
      </c>
    </row>
    <row r="88" spans="3:3" x14ac:dyDescent="0.3">
      <c r="C88" t="s">
        <v>148</v>
      </c>
    </row>
    <row r="91" spans="3:3" x14ac:dyDescent="0.3">
      <c r="C91" t="s">
        <v>148</v>
      </c>
    </row>
    <row r="168" spans="3:3" x14ac:dyDescent="0.3">
      <c r="C168" t="s">
        <v>148</v>
      </c>
    </row>
    <row r="169" spans="3:3" x14ac:dyDescent="0.3">
      <c r="C169" t="s">
        <v>150</v>
      </c>
    </row>
    <row r="170" spans="3:3" x14ac:dyDescent="0.3">
      <c r="C170" t="s">
        <v>151</v>
      </c>
    </row>
    <row r="595" spans="3:3" x14ac:dyDescent="0.3">
      <c r="C595" t="s">
        <v>148</v>
      </c>
    </row>
  </sheetData>
  <mergeCells count="2">
    <mergeCell ref="F17:H17"/>
    <mergeCell ref="B19:H19"/>
  </mergeCells>
  <phoneticPr fontId="34" type="noConversion"/>
  <hyperlinks>
    <hyperlink ref="F4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8" t="s">
        <v>99</v>
      </c>
      <c r="I7" s="349"/>
      <c r="J7" s="349"/>
      <c r="K7" s="350"/>
      <c r="N7" s="75"/>
      <c r="O7" s="34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10642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-79846.675033454128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'2229'!H38</f>
        <v>1250046</v>
      </c>
      <c r="E11" s="132">
        <f>D11*0.19</f>
        <v>237508.74</v>
      </c>
      <c r="F11" s="131">
        <f>E11+D11</f>
        <v>1487554.74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26143.324966545872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467252.09078743961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8143.3249665458716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782793.90921256039</v>
      </c>
      <c r="E13" s="221">
        <f>(D11/D12)-1</f>
        <v>1.6753138715620337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-856.67503345412842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-39856.675033454128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770965.94979927526</v>
      </c>
      <c r="F15" s="216">
        <f>E15-D12</f>
        <v>303713.85901183565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-39856.675033454128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143.32496654587158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'2229'!N46</f>
        <v>166200</v>
      </c>
      <c r="E18" s="123">
        <f>D18*0.19</f>
        <v>31578</v>
      </c>
      <c r="F18" s="120">
        <f>SUM(D18:E18)</f>
        <v>197778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'2229'!N45</f>
        <v>195569.99999999997</v>
      </c>
      <c r="E19" s="123">
        <f>D19*0.19</f>
        <v>37158.299999999996</v>
      </c>
      <c r="F19" s="120">
        <f>SUM(D19:E19)</f>
        <v>232728.29999999996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'2229'!N44</f>
        <v>75648</v>
      </c>
      <c r="E20" s="121">
        <f>D20*0.19</f>
        <v>14373.12</v>
      </c>
      <c r="F20" s="120">
        <f>SUM(D20:E20)</f>
        <v>90021.119999999995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437418</v>
      </c>
      <c r="E21" s="116">
        <f>SUM(E18:E20)</f>
        <v>83109.419999999984</v>
      </c>
      <c r="F21" s="115">
        <f>SUM(F18:F20)</f>
        <v>520527.41999999993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154399.32</v>
      </c>
    </row>
    <row r="41" spans="2:16" ht="15" thickBot="1" x14ac:dyDescent="0.35">
      <c r="H41" s="351" t="s">
        <v>61</v>
      </c>
      <c r="I41" s="352"/>
      <c r="J41" s="352"/>
      <c r="K41" s="352"/>
      <c r="L41" s="352"/>
      <c r="M41" s="35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1250046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437418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782793.90921256039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782793.90921256039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2024-02-23T19:16:17Z</cp:lastPrinted>
  <dcterms:created xsi:type="dcterms:W3CDTF">2013-03-18T13:35:42Z</dcterms:created>
  <dcterms:modified xsi:type="dcterms:W3CDTF">2024-02-27T22:28:08Z</dcterms:modified>
</cp:coreProperties>
</file>