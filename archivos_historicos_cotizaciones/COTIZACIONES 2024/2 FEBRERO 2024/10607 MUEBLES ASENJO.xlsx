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304A835-6E33-4233-997E-665DB4BC3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N38" i="1"/>
  <c r="O26" i="1"/>
  <c r="K22" i="1"/>
  <c r="L22" i="1"/>
  <c r="M22" i="1"/>
  <c r="N22" i="1"/>
  <c r="O22" i="1" s="1"/>
  <c r="R22" i="1"/>
  <c r="K21" i="1"/>
  <c r="J40" i="1"/>
  <c r="L21" i="1"/>
  <c r="L25" i="1" s="1"/>
  <c r="L36" i="1" s="1"/>
  <c r="M21" i="1"/>
  <c r="S21" i="1" l="1"/>
  <c r="R21" i="1"/>
  <c r="R27" i="1" s="1"/>
  <c r="N21" i="1"/>
  <c r="O21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Q22" i="1" l="1"/>
  <c r="G22" i="1"/>
  <c r="H22" i="1" s="1"/>
  <c r="P21" i="1"/>
  <c r="G21" i="1" s="1"/>
  <c r="F15" i="3"/>
  <c r="Q21" i="1" l="1"/>
  <c r="H21" i="1" s="1"/>
  <c r="H26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<sst xmlns="http://schemas.openxmlformats.org/spreadsheetml/2006/main" count="232" uniqueCount="174">
  <si>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</si>
  <si>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</si>
  <si>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</si>
  <si>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</si>
  <si>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</si>
  <si>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</si>
  <si>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</si>
  <si>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</si>
  <si>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</si>
  <si>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</si>
  <si>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</si>
  <si>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</si>
  <si>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</si>
  <si>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</si>
  <si>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</si>
  <si>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</si>
  <si>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</si>
  <si>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</si>
  <si>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</si>
  <si>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</si>
  <si>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</si>
  <si>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</si>
  <si>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</si>
  <si>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</si>
  <si>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</si>
  <si>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</si>
  <si>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</si>
  <si>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</si>
  <si>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</si>
  <si>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</si>
  <si>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</si>
  <si>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</si>
  <si>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</si>
  <si>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</si>
  <si>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</si>
  <si>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</si>
  <si>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</si>
  <si>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</si>
  <si>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</si>
  <si>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</si>
  <si>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</si>
  <si>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</si>
  <si>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</si>
  <si>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</si>
  <si>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</si>
  <si>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</si>
  <si>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</si>
  <si>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</si>
  <si>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</si>
  <si>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</si>
  <si>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</si>
  <si>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</si>
  <si>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</si>
  <si>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</si>
  <si>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</si>
  <si>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</si>
  <si>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</si>
  <si>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</si>
  <si>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</si>
  <si>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</si>
  <si>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</si>
  <si>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</si>
  <si>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</si>
  <si>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</si>
  <si>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</si>
  <si>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</si>
  <si>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</si>
  <si>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</si>
  <si>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</si>
  <si>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</si>
  <si>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</si>
  <si>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</si>
  <si>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</si>
  <si>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</si>
  <si>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</si>
  <si>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</si>
  <si>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</si>
  <si>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</si>
  <si>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</si>
  <si>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</si>
  <si>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</si>
  <si>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</si>
  <si>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</si>
  <si>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</si>
  <si>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</si>
  <si>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</si>
  <si>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</si>
  <si>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</si>
  <si>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</si>
  <si>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</si>
  <si>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</si>
  <si>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</si>
  <si>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</si>
  <si>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</si>
  <si>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</si>
  <si>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</si>
  <si>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</si>
  <si>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</si>
  <si>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</si>
  <si>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</si>
  <si>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</si>
  <si>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</si>
  <si>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</si>
  <si>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</si>
  <si>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</si>
  <si>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</si>
  <si>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</si>
  <si>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</si>
  <si>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</si>
  <si>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</si>
  <si>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</si>
  <si>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</si>
  <si>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</si>
  <si>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</si>
  <si>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</si>
  <si>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</si>
  <si>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</si>
  <si>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</si>
  <si>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</si>
  <si>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</si>
  <si>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</si>
  <si>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</si>
  <si>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</si>
  <si>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</si>
  <si>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</si>
  <si>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</si>
  <si>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</si>
  <si>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</si>
  <si>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</si>
  <si>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</si>
  <si>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</si>
  <si>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</si>
  <si>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</si>
  <si>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</si>
  <si>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</si>
  <si>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</si>
  <si>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</si>
  <si>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</si>
  <si>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</si>
  <si>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</si>
  <si>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</si>
  <si>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</si>
  <si>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</si>
  <si>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</si>
  <si>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</si>
  <si>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</si>
  <si>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</si>
  <si>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</si>
  <si>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</si>
  <si>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</si>
  <si>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</si>
  <si>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</si>
  <si>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</si>
  <si>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</si>
  <si>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</si>
  <si>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</si>
  <si>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</si>
  <si>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</si>
  <si>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</si>
  <si>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</si>
  <si>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</si>
  <si>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</si>
  <si>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</si>
  <si>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</si>
  <si>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</si>
  <si>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</si>
  <si>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</si>
  <si>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</si>
  <si>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</si>
  <si>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MUEBLES ASENJO</t>
  </si>
  <si>
    <t>MIGUEL ASENJO</t>
  </si>
  <si>
    <t>56-227843030</t>
  </si>
  <si>
    <t>BLANCO OPACO MERINO</t>
  </si>
  <si>
    <t>CUBIERTA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</si>
</sst>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applyFont="1"/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10607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170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8" x14ac:dyDescent="0.35">
      <c r="B15" s="288" t="s">
        <v>4</v>
      </c>
      <c r="C15" s="342" t="s">
        <v>171</v>
      </c>
      <c r="D15" s="321"/>
      <c r="F15" t="s">
        <v>135</v>
      </c>
      <c r="G15" s="320" t="s">
        <v>136</v>
      </c>
      <c r="H15" s="290"/>
    </row>
    <row r="16" spans="2:23" ht="16.8" x14ac:dyDescent="0.4">
      <c r="B16" s="327" t="s">
        <v>3</v>
      </c>
      <c r="C16" s="318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59683.674176776432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173</v>
      </c>
      <c r="D21" s="315">
        <v>3.45</v>
      </c>
      <c r="E21" s="315">
        <v>0.55000000000000004</v>
      </c>
      <c r="F21" s="314" t="s">
        <v>172</v>
      </c>
      <c r="G21" s="316">
        <f>P21</f>
        <v>114891.07279029465</v>
      </c>
      <c r="H21" s="317">
        <f>G21*B21</f>
        <v>114891.07279029465</v>
      </c>
      <c r="I21" s="265"/>
      <c r="J21" s="47"/>
      <c r="K21" s="47">
        <f>B21</f>
        <v>1</v>
      </c>
      <c r="L21" s="39">
        <f t="shared" ref="L21" si="1">D21+L$19</f>
        <v>3.5</v>
      </c>
      <c r="M21" s="39">
        <f t="shared" ref="M21" si="2">E21+M$19</f>
        <v>0.55000000000000004</v>
      </c>
      <c r="N21" s="261">
        <f t="shared" ref="N21" si="3">L21*M21</f>
        <v>1.9250000000000003</v>
      </c>
      <c r="O21" s="259">
        <f t="shared" ref="O21" si="4">N21*K21</f>
        <v>1.9250000000000003</v>
      </c>
      <c r="P21" s="252">
        <f t="shared" ref="P21" si="5">P$20*N21</f>
        <v>114891.07279029465</v>
      </c>
      <c r="Q21" s="258">
        <f t="shared" ref="Q21" si="6">P21+Q$20</f>
        <v>117891.07279029465</v>
      </c>
      <c r="R21" s="299">
        <f>L21*K21*2</f>
        <v>7</v>
      </c>
      <c r="S21" s="46">
        <f>M21*K21*2</f>
        <v>1.1000000000000001</v>
      </c>
      <c r="T21" s="9"/>
      <c r="W21" s="4"/>
    </row>
    <row r="22" spans="2:24" ht="17.399999999999999" x14ac:dyDescent="0.3">
      <c r="B22" s="313">
        <v>1</v>
      </c>
      <c r="C22" s="314" t="s">
        <v>173</v>
      </c>
      <c r="D22" s="315">
        <v>1.55</v>
      </c>
      <c r="E22" s="315">
        <v>0.6</v>
      </c>
      <c r="F22" s="314" t="s">
        <v>172</v>
      </c>
      <c r="G22" s="316">
        <f>P22</f>
        <v>57296.32720970537</v>
      </c>
      <c r="H22" s="317">
        <f>G22*B22</f>
        <v>57296.32720970537</v>
      </c>
      <c r="I22" s="265"/>
      <c r="J22" s="47"/>
      <c r="K22" s="47">
        <f>B22</f>
        <v>1</v>
      </c>
      <c r="L22" s="39">
        <f t="shared" ref="L22" si="7">D22+L$19</f>
        <v>1.6</v>
      </c>
      <c r="M22" s="39">
        <f t="shared" ref="M22" si="8">E22+M$19</f>
        <v>0.6</v>
      </c>
      <c r="N22" s="261">
        <f t="shared" ref="N22" si="9">L22*M22</f>
        <v>0.96</v>
      </c>
      <c r="O22" s="259">
        <f t="shared" ref="O22" si="10">N22*K22</f>
        <v>0.96</v>
      </c>
      <c r="P22" s="252">
        <f t="shared" ref="P22" si="11">P$20*N22</f>
        <v>57296.32720970537</v>
      </c>
      <c r="Q22" s="258">
        <f t="shared" ref="Q22" si="12">P22+Q$20</f>
        <v>60296.32720970537</v>
      </c>
      <c r="R22" s="299">
        <f>L22*K22*2</f>
        <v>3.2</v>
      </c>
      <c r="S22" s="46"/>
      <c r="T22" s="9"/>
      <c r="W22" s="4"/>
    </row>
    <row r="23" spans="2:24" ht="17.399999999999999" x14ac:dyDescent="0.3">
      <c r="B23" s="343"/>
      <c r="C23" s="343"/>
      <c r="D23" s="344"/>
      <c r="E23" s="344"/>
      <c r="F23" s="343"/>
      <c r="G23" s="345"/>
      <c r="H23" s="345"/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SUM(H21:H24)</f>
        <v>172187.40000000002</v>
      </c>
      <c r="I25" s="265"/>
      <c r="J25" s="47"/>
      <c r="K25" s="47"/>
      <c r="L25" s="39">
        <f>SUM(L21:L24)</f>
        <v>5.0999999999999996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32715.606000000003</v>
      </c>
      <c r="I26" s="265"/>
      <c r="J26" s="47"/>
      <c r="K26" s="47"/>
      <c r="L26" s="39"/>
      <c r="M26" s="12"/>
      <c r="N26" s="12"/>
      <c r="O26" s="253">
        <f>SUM(O21:O22)</f>
        <v>2.8850000000000002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204903.00600000002</v>
      </c>
      <c r="I27" s="265"/>
      <c r="J27" s="47"/>
      <c r="K27" s="47"/>
      <c r="L27" s="39"/>
      <c r="M27" s="12"/>
      <c r="N27" s="12"/>
      <c r="O27" s="253">
        <f>O26</f>
        <v>2.8850000000000002</v>
      </c>
      <c r="P27" s="14"/>
      <c r="Q27" s="12"/>
      <c r="R27" s="239">
        <f>SUM(R21:R26)</f>
        <v>10.199999999999999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0.57700000000000007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3.4620000000000002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3.4620000000000002</v>
      </c>
      <c r="M31" s="12">
        <v>3500</v>
      </c>
      <c r="N31" s="12">
        <f t="shared" ref="N31:N36" si="13">L31*M31</f>
        <v>12117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13"/>
        <v>25000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33500</v>
      </c>
      <c r="N33" s="12">
        <f t="shared" si="13"/>
        <v>33500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42115</v>
      </c>
      <c r="N34" s="12">
        <f t="shared" si="13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f>L25</f>
        <v>5.0999999999999996</v>
      </c>
      <c r="M36" s="12">
        <v>1500</v>
      </c>
      <c r="N36" s="12">
        <f t="shared" si="13"/>
        <v>7649.9999999999991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78267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172187.40000000002</v>
      </c>
      <c r="O38" s="14" t="s">
        <v>141</v>
      </c>
      <c r="P38" s="14"/>
      <c r="Q38" s="40">
        <f>O29/Q37</f>
        <v>0.93345556514236416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59683.674176776432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-1073.850033454112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172187.40000000002</v>
      </c>
      <c r="E11" s="132">
        <f>D11*0.19</f>
        <v>32715.606000000003</v>
      </c>
      <c r="F11" s="131">
        <f>E11+D11</f>
        <v>204903.00600000002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104916.14996654588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100451.09078743961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86916.149966545883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71736.309212560416</v>
      </c>
      <c r="E13" s="221">
        <f>(D11/D12)-1</f>
        <v>0.71414166486612518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77916.149966545883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38916.14996654589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165744.29979927535</v>
      </c>
      <c r="F15" s="216">
        <f>E15-D12</f>
        <v>65293.209011835745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38916.14996654589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78916.149966545883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33500</v>
      </c>
      <c r="E18" s="123">
        <f>D18*0.19</f>
        <v>6365</v>
      </c>
      <c r="F18" s="120">
        <f>SUM(D18:E18)</f>
        <v>39865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12117</v>
      </c>
      <c r="E20" s="121">
        <f>D20*0.19</f>
        <v>2302.23</v>
      </c>
      <c r="F20" s="120">
        <f>SUM(D20:E20)</f>
        <v>14419.23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70617</v>
      </c>
      <c r="E21" s="116">
        <f>SUM(E18:E20)</f>
        <v>13417.23</v>
      </c>
      <c r="F21" s="115">
        <f>SUM(F18:F20)</f>
        <v>84034.23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19298.376000000004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172187.40000000002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70617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71736.309212560416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71736.309212560416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2024-02-02T18:53:41Z</cp:lastPrinted>
  <dcterms:created xsi:type="dcterms:W3CDTF">2013-03-18T13:35:42Z</dcterms:created>
  <dcterms:modified xsi:type="dcterms:W3CDTF">2024-02-04T17:54:38Z</dcterms:modified>
</cp:coreProperties>
</file>