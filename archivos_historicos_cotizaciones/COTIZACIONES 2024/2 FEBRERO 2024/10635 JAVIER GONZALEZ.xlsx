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219A3D89-A36A-4057-A3C7-0A361A3CDA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L22" i="1"/>
  <c r="R22" i="1" s="1"/>
  <c r="M22" i="1"/>
  <c r="J39" i="1"/>
  <c r="N22" i="1" l="1"/>
  <c r="O22" i="1" s="1"/>
  <c r="L24" i="1"/>
  <c r="S21" i="1"/>
  <c r="R21" i="1"/>
  <c r="R26" i="1" s="1"/>
  <c r="N21" i="1"/>
  <c r="O21" i="1" s="1"/>
  <c r="U32" i="1"/>
  <c r="U33" i="1" s="1"/>
  <c r="O25" i="1" l="1"/>
  <c r="N31" i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Q37" i="1"/>
  <c r="N36" i="1" l="1"/>
  <c r="D20" i="3"/>
  <c r="E20" i="3" s="1"/>
  <c r="E21" i="3" s="1"/>
  <c r="N37" i="1" l="1"/>
  <c r="N38" i="1" s="1"/>
  <c r="P20" i="1" s="1"/>
  <c r="D21" i="3"/>
  <c r="M43" i="3" s="1"/>
  <c r="D12" i="3" s="1"/>
  <c r="F20" i="3"/>
  <c r="F21" i="3" s="1"/>
  <c r="P22" i="1" l="1"/>
  <c r="P21" i="1"/>
  <c r="N39" i="1"/>
  <c r="E15" i="3"/>
  <c r="Q22" i="1" l="1"/>
  <c r="F15" i="3"/>
  <c r="H22" i="1" l="1"/>
  <c r="Q21" i="1"/>
  <c r="H21" i="1" l="1"/>
  <c r="H24" i="1" s="1"/>
  <c r="H25" i="1" l="1"/>
  <c r="H26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<sst xmlns="http://schemas.openxmlformats.org/spreadsheetml/2006/main" count="231" uniqueCount="174">
  <si>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</si>
  <si>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</si>
  <si>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</si>
  <si>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</si>
  <si>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</si>
  <si>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</si>
  <si>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</si>
  <si>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</si>
  <si>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</si>
  <si>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</si>
  <si>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</si>
  <si>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</si>
  <si>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</si>
  <si>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</si>
  <si>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</si>
  <si>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</si>
  <si>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</si>
  <si>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</si>
  <si>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</si>
  <si>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</si>
  <si>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</si>
  <si>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</si>
  <si>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</si>
  <si>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</si>
  <si>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</si>
  <si>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</si>
  <si>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</si>
  <si>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</si>
  <si>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</si>
  <si>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</si>
  <si>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</si>
  <si>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</si>
  <si>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</si>
  <si>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</si>
  <si>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</si>
  <si>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</si>
  <si>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</si>
  <si>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</si>
  <si>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</si>
  <si>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</si>
  <si>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</si>
  <si>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</si>
  <si>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</si>
  <si>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</si>
  <si>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</si>
  <si>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</si>
  <si>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</si>
  <si>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</si>
  <si>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</si>
  <si>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</si>
  <si>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</si>
  <si>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</si>
  <si>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</si>
  <si>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</si>
  <si>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</si>
  <si>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</si>
  <si>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</si>
  <si>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</si>
  <si>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</si>
  <si>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</si>
  <si>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</si>
  <si>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</si>
  <si>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</si>
  <si>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</si>
  <si>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</si>
  <si>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</si>
  <si>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</si>
  <si>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</si>
  <si>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</si>
  <si>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</si>
  <si>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</si>
  <si>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</si>
  <si>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</si>
  <si>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</si>
  <si>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</si>
  <si>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</si>
  <si>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</si>
  <si>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</si>
  <si>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</si>
  <si>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</si>
  <si>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</si>
  <si>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</si>
  <si>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</si>
  <si>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</si>
  <si>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</si>
  <si>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</si>
  <si>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</si>
  <si>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</si>
  <si>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</si>
  <si>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</si>
  <si>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</si>
  <si>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</si>
  <si>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</si>
  <si>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</si>
  <si>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</si>
  <si>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</si>
  <si>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</si>
  <si>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</si>
  <si>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</si>
  <si>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</si>
  <si>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</si>
  <si>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</si>
  <si>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</si>
  <si>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</si>
  <si>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</si>
  <si>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</si>
  <si>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</si>
  <si>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</si>
  <si>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</si>
  <si>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</si>
  <si>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</si>
  <si>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</si>
  <si>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</si>
  <si>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</si>
  <si>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</si>
  <si>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</si>
  <si>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</si>
  <si>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</si>
  <si>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</si>
  <si>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</si>
  <si>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</si>
  <si>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</si>
  <si>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</si>
  <si>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</si>
  <si>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</si>
  <si>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</si>
  <si>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</si>
  <si>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</si>
  <si>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</si>
  <si>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</si>
  <si>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</si>
  <si>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</si>
  <si>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</si>
  <si>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</si>
  <si>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</si>
  <si>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</si>
  <si>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</si>
  <si>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</si>
  <si>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</si>
  <si>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</si>
  <si>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</si>
  <si>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</si>
  <si>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</si>
  <si>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</si>
  <si>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</si>
  <si>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</si>
  <si>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</si>
  <si>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</si>
  <si>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</si>
  <si>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</si>
  <si>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</si>
  <si>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</si>
  <si>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</si>
  <si>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</si>
  <si>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</si>
  <si>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</si>
  <si>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</si>
  <si>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</si>
  <si>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</si>
  <si>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</si>
  <si>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</si>
  <si>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</si>
  <si>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</si>
  <si>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</si>
  <si>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</si>
  <si>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</si>
  <si>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</si>
  <si>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</si>
  <si>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JAIME GONZALEZ</t>
  </si>
  <si>
    <t>+569 7884 9484</t>
  </si>
  <si>
    <t>5 DIAS HABILES</t>
  </si>
  <si>
    <t>BLANCO MT</t>
  </si>
  <si>
    <t>CUB CON RESPALDO FRENTE 90° R8</t>
  </si>
  <si>
    <t>ZOCALO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</si>
</sst>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32" fillId="0" borderId="31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ESPESOR DEL MDF 18MM 0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5" t="s">
        <v>166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148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63128.651041666657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172</v>
      </c>
      <c r="D21" s="315">
        <v>1.55</v>
      </c>
      <c r="E21" s="315">
        <v>0.6</v>
      </c>
      <c r="F21" s="314" t="s">
        <v>171</v>
      </c>
      <c r="G21" s="316">
        <v>63604</v>
      </c>
      <c r="H21" s="317">
        <f>G21*B21</f>
        <v>63604</v>
      </c>
      <c r="I21" s="265"/>
      <c r="J21" s="47"/>
      <c r="K21" s="47">
        <v>1</v>
      </c>
      <c r="L21" s="39">
        <f>D21+L$19</f>
        <v>1.6</v>
      </c>
      <c r="M21" s="39">
        <v>0.6</v>
      </c>
      <c r="N21" s="261">
        <f t="shared" ref="N21" si="1">L21*M21</f>
        <v>0.96</v>
      </c>
      <c r="O21" s="259">
        <f t="shared" ref="O21" si="2">N21*K21</f>
        <v>0.96</v>
      </c>
      <c r="P21" s="252">
        <f>O21*P$20</f>
        <v>60603.50499999999</v>
      </c>
      <c r="Q21" s="258">
        <f t="shared" ref="Q21" si="3">P21+Q$20</f>
        <v>63603.50499999999</v>
      </c>
      <c r="R21" s="299">
        <f>L21*K21*2</f>
        <v>3.2</v>
      </c>
      <c r="S21" s="46">
        <f>M21*K21*2</f>
        <v>1.2</v>
      </c>
      <c r="T21" s="9"/>
      <c r="W21" s="4"/>
    </row>
    <row r="22" spans="2:24" ht="18" thickBot="1" x14ac:dyDescent="0.35">
      <c r="B22" s="331">
        <v>1</v>
      </c>
      <c r="C22" s="314" t="s">
        <v>173</v>
      </c>
      <c r="D22" s="332">
        <v>3</v>
      </c>
      <c r="E22" s="332">
        <v>0.1</v>
      </c>
      <c r="F22" s="314" t="s">
        <v>171</v>
      </c>
      <c r="G22" s="333">
        <v>3500</v>
      </c>
      <c r="H22" s="334">
        <f>G22*B22</f>
        <v>3500</v>
      </c>
      <c r="I22" s="265"/>
      <c r="J22" s="47"/>
      <c r="K22" s="47"/>
      <c r="L22" s="39">
        <f t="shared" ref="L22" si="4">D22+L$19</f>
        <v>3.05</v>
      </c>
      <c r="M22" s="39">
        <f t="shared" ref="M22" si="5">E22+M$19</f>
        <v>0.1</v>
      </c>
      <c r="N22" s="261">
        <f t="shared" ref="N22" si="6">L22*M22</f>
        <v>0.30499999999999999</v>
      </c>
      <c r="O22" s="259">
        <f t="shared" ref="O22" si="7">N22*K22</f>
        <v>0</v>
      </c>
      <c r="P22" s="252">
        <f t="shared" ref="P22" si="8">O22*P$20</f>
        <v>0</v>
      </c>
      <c r="Q22" s="258">
        <f t="shared" ref="Q22" si="9">P22+Q$20</f>
        <v>3000</v>
      </c>
      <c r="R22" s="299">
        <f>L22*K22*2</f>
        <v>0</v>
      </c>
      <c r="S22" s="46"/>
      <c r="T22" s="9"/>
      <c r="W22" s="4"/>
    </row>
    <row r="23" spans="2:24" ht="18" thickBot="1" x14ac:dyDescent="0.35">
      <c r="B23" s="286"/>
      <c r="C23" s="286"/>
      <c r="D23" s="287"/>
      <c r="E23" s="287"/>
      <c r="F23" s="286"/>
      <c r="G23" s="265"/>
      <c r="H23" s="233"/>
      <c r="I23" s="233"/>
      <c r="J23" s="47"/>
      <c r="K23" s="47"/>
      <c r="L23" s="39"/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00" t="s">
        <v>29</v>
      </c>
      <c r="H24" s="301">
        <f>SUM(H21:H22)</f>
        <v>67104</v>
      </c>
      <c r="I24" s="265"/>
      <c r="J24" s="47"/>
      <c r="K24" s="47"/>
      <c r="L24" s="39">
        <f>SUM(L21:L23)</f>
        <v>4.6500000000000004</v>
      </c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8" t="s">
        <v>52</v>
      </c>
      <c r="H25" s="296">
        <f>H24*19%</f>
        <v>12749.76</v>
      </c>
      <c r="I25" s="265"/>
      <c r="J25" s="47"/>
      <c r="K25" s="47"/>
      <c r="L25" s="39"/>
      <c r="M25" s="12"/>
      <c r="N25" s="12"/>
      <c r="O25" s="253">
        <f>SUM(O21:O22)</f>
        <v>0.96</v>
      </c>
      <c r="P25" s="14"/>
      <c r="Q25" s="12"/>
      <c r="R25" s="239"/>
      <c r="S25" s="14"/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7">
        <f>H24+H25</f>
        <v>79853.759999999995</v>
      </c>
      <c r="I26" s="265"/>
      <c r="J26" s="47"/>
      <c r="K26" s="47"/>
      <c r="L26" s="39"/>
      <c r="M26" s="12"/>
      <c r="N26" s="12"/>
      <c r="O26" s="253">
        <f>O25</f>
        <v>0.96</v>
      </c>
      <c r="P26" s="14"/>
      <c r="Q26" s="12"/>
      <c r="R26" s="239">
        <f>SUM(R21:R25)</f>
        <v>3.2</v>
      </c>
      <c r="S26" s="14"/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0.192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1.1519999999999999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6" t="s">
        <v>22</v>
      </c>
      <c r="U29" s="303" t="s">
        <v>153</v>
      </c>
      <c r="V29" s="307">
        <v>44971</v>
      </c>
      <c r="W29" s="308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1.1519999999999999</v>
      </c>
      <c r="M30" s="12">
        <v>3500</v>
      </c>
      <c r="N30" s="12">
        <f t="shared" ref="N30:N35" si="10">L30*M30</f>
        <v>4031.9999999999995</v>
      </c>
      <c r="O30" s="14" t="s">
        <v>22</v>
      </c>
      <c r="P30" s="14"/>
      <c r="Q30" s="14"/>
      <c r="R30" s="241"/>
      <c r="S30" s="14"/>
      <c r="T30" s="306" t="s">
        <v>154</v>
      </c>
      <c r="U30" s="303">
        <v>3625</v>
      </c>
      <c r="V30" s="59" t="s">
        <v>155</v>
      </c>
      <c r="W30" s="308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/>
      <c r="K31" s="47"/>
      <c r="L31" s="249">
        <v>0.311</v>
      </c>
      <c r="M31" s="12">
        <v>23850</v>
      </c>
      <c r="N31" s="12">
        <f t="shared" si="10"/>
        <v>7417.35</v>
      </c>
      <c r="O31" s="39" t="s">
        <v>32</v>
      </c>
      <c r="P31" s="42"/>
      <c r="Q31" s="14"/>
      <c r="R31" s="240"/>
      <c r="S31" s="14"/>
      <c r="T31" s="306"/>
      <c r="U31" s="59">
        <v>906.25</v>
      </c>
      <c r="V31" s="59" t="s">
        <v>156</v>
      </c>
      <c r="W31" s="308"/>
    </row>
    <row r="32" spans="2:24" s="230" customFormat="1" ht="17.399999999999999" x14ac:dyDescent="0.35">
      <c r="I32" s="262"/>
      <c r="J32" s="232"/>
      <c r="K32" s="250"/>
      <c r="L32" s="14"/>
      <c r="M32" s="250">
        <v>55750</v>
      </c>
      <c r="N32" s="12">
        <f t="shared" si="10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8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/>
      <c r="K33" s="250"/>
      <c r="L33" s="14">
        <v>0.5</v>
      </c>
      <c r="M33" s="250">
        <v>25000</v>
      </c>
      <c r="N33" s="12">
        <f t="shared" si="10"/>
        <v>12500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8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10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5"/>
      <c r="K35" s="250"/>
      <c r="L35" s="266">
        <v>1.6</v>
      </c>
      <c r="M35" s="12">
        <v>1500</v>
      </c>
      <c r="N35" s="12">
        <f t="shared" si="10"/>
        <v>2400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SUM(N30:N35)</f>
        <v>26349.35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N36*2.3</f>
        <v>60603.50499999999</v>
      </c>
      <c r="O37" s="14" t="s">
        <v>141</v>
      </c>
      <c r="P37" s="14"/>
      <c r="Q37" s="40">
        <f>O28/Q36</f>
        <v>0.31061259706643657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66340</v>
      </c>
      <c r="K38" s="250"/>
      <c r="L38" s="14"/>
      <c r="M38" s="12"/>
      <c r="N38" s="12">
        <f>N37/O26</f>
        <v>63128.651041666657</v>
      </c>
      <c r="O38" s="45" t="s">
        <v>25</v>
      </c>
      <c r="P38" s="14"/>
      <c r="Q38" s="14"/>
      <c r="R38"/>
      <c r="S38" s="238"/>
      <c r="T38" s="59" t="s">
        <v>159</v>
      </c>
      <c r="U38" s="303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55747.899159663866</v>
      </c>
      <c r="K39" s="250"/>
      <c r="L39" s="13"/>
      <c r="M39" s="14"/>
      <c r="N39" s="17">
        <f>N37/N36</f>
        <v>2.2999999999999998</v>
      </c>
      <c r="O39" s="15"/>
      <c r="P39"/>
      <c r="Q39"/>
      <c r="R39"/>
      <c r="S39" s="238"/>
      <c r="T39" s="59" t="s">
        <v>161</v>
      </c>
      <c r="U39" s="304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5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45343</v>
      </c>
    </row>
    <row r="6" spans="2:31" ht="16.2" thickBot="1" x14ac:dyDescent="0.35">
      <c r="B6" s="140" t="s">
        <v>2</v>
      </c>
      <c r="C6" s="139" t="str">
        <f>'2229'!C10</f>
        <v>JAIME GONZALEZ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99</v>
      </c>
      <c r="I7" s="342"/>
      <c r="J7" s="342"/>
      <c r="K7" s="343"/>
      <c r="N7" s="75"/>
      <c r="O7" s="34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4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168.94621654589233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67104</v>
      </c>
      <c r="E11" s="132">
        <f>D11*0.19</f>
        <v>12749.76</v>
      </c>
      <c r="F11" s="131">
        <f>E11+D11</f>
        <v>79853.759999999995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106158.9462165459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41283.440787439613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88158.946216545897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25820.559212560387</v>
      </c>
      <c r="E13" s="221">
        <f>(D11/D12)-1</f>
        <v>0.62544591051665033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79158.946216545897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40158.94621654589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68117.677299275354</v>
      </c>
      <c r="F15" s="216">
        <f>E15-D12</f>
        <v>26834.236511835741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40158.94621654589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80158.946216545897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7417.35</v>
      </c>
      <c r="E19" s="123">
        <f>D19*0.19</f>
        <v>1409.2965000000002</v>
      </c>
      <c r="F19" s="120">
        <f>SUM(D19:E19)</f>
        <v>8826.6465000000007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4031.9999999999995</v>
      </c>
      <c r="E20" s="121">
        <f>D20*0.19</f>
        <v>766.07999999999993</v>
      </c>
      <c r="F20" s="120">
        <f>SUM(D20:E20)</f>
        <v>4798.08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11449.35</v>
      </c>
      <c r="E21" s="116">
        <f>SUM(E18:E20)</f>
        <v>2175.3765000000003</v>
      </c>
      <c r="F21" s="115">
        <f>SUM(F18:F20)</f>
        <v>13624.726500000001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10574.3835</v>
      </c>
    </row>
    <row r="41" spans="2:16" ht="15" thickBot="1" x14ac:dyDescent="0.35">
      <c r="H41" s="344" t="s">
        <v>61</v>
      </c>
      <c r="I41" s="345"/>
      <c r="J41" s="345"/>
      <c r="K41" s="345"/>
      <c r="L41" s="345"/>
      <c r="M41" s="34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67104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11449.35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25820.559212560387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25820.559212560387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2024-02-21T19:38:00Z</cp:lastPrinted>
  <dcterms:created xsi:type="dcterms:W3CDTF">2013-03-18T13:35:42Z</dcterms:created>
  <dcterms:modified xsi:type="dcterms:W3CDTF">2024-02-21T19:38:41Z</dcterms:modified>
</cp:coreProperties>
</file>