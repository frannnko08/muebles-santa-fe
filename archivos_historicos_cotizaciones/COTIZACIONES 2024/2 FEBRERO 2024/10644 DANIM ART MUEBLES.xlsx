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803B881E-6D8E-4F81-9298-4BE350DE4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3" i="1"/>
  <c r="L21" i="1"/>
  <c r="N22" i="1"/>
  <c r="O22" i="1" s="1"/>
  <c r="M22" i="1"/>
  <c r="R22" i="1"/>
  <c r="M23" i="1"/>
  <c r="H23" i="1"/>
  <c r="H22" i="1"/>
  <c r="M21" i="1"/>
  <c r="J40" i="1"/>
  <c r="N23" i="1" l="1"/>
  <c r="O23" i="1" s="1"/>
  <c r="R23" i="1"/>
  <c r="L25" i="1"/>
  <c r="S21" i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39" i="1" l="1"/>
  <c r="P20" i="1" s="1"/>
  <c r="D21" i="3"/>
  <c r="M43" i="3" s="1"/>
  <c r="D12" i="3" s="1"/>
  <c r="F20" i="3"/>
  <c r="F21" i="3" s="1"/>
  <c r="P23" i="1" l="1"/>
  <c r="P21" i="1"/>
  <c r="P22" i="1"/>
  <c r="Q22" i="1" s="1"/>
  <c r="Q23" i="1"/>
  <c r="N40" i="1"/>
  <c r="E15" i="3"/>
  <c r="F15" i="3" l="1"/>
  <c r="Q21" i="1" l="1"/>
  <c r="H21" i="1" l="1"/>
  <c r="H25" i="1" s="1"/>
  <c r="H26" i="1" l="1"/>
  <c r="H27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<sst xmlns="http://schemas.openxmlformats.org/spreadsheetml/2006/main" count="233" uniqueCount="175">
  <si>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</si>
  <si>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</si>
  <si>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</si>
  <si>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</si>
  <si>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</si>
  <si>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</si>
  <si>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</si>
  <si>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</si>
  <si>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</si>
  <si>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</si>
  <si>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</si>
  <si>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</si>
  <si>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</si>
  <si>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</si>
  <si>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</si>
  <si>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</si>
  <si>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</si>
  <si>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</si>
  <si>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</si>
  <si>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</si>
  <si>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</si>
  <si>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</si>
  <si>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</si>
  <si>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</si>
  <si>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</si>
  <si>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</si>
  <si>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</si>
  <si>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</si>
  <si>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</si>
  <si>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</si>
  <si>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</si>
  <si>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</si>
  <si>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</si>
  <si>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</si>
  <si>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</si>
  <si>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</si>
  <si>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</si>
  <si>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</si>
  <si>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</si>
  <si>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</si>
  <si>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</si>
  <si>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</si>
  <si>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</si>
  <si>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</si>
  <si>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</si>
  <si>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</si>
  <si>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</si>
  <si>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</si>
  <si>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</si>
  <si>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</si>
  <si>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</si>
  <si>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</si>
  <si>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</si>
  <si>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</si>
  <si>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</si>
  <si>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</si>
  <si>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</si>
  <si>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</si>
  <si>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</si>
  <si>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</si>
  <si>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</si>
  <si>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</si>
  <si>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</si>
  <si>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</si>
  <si>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</si>
  <si>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</si>
  <si>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</si>
  <si>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</si>
  <si>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</si>
  <si>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</si>
  <si>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</si>
  <si>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</si>
  <si>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</si>
  <si>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</si>
  <si>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</si>
  <si>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</si>
  <si>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</si>
  <si>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</si>
  <si>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</si>
  <si>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</si>
  <si>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</si>
  <si>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</si>
  <si>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</si>
  <si>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</si>
  <si>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</si>
  <si>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</si>
  <si>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</si>
  <si>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</si>
  <si>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</si>
  <si>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</si>
  <si>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</si>
  <si>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</si>
  <si>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</si>
  <si>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</si>
  <si>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</si>
  <si>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</si>
  <si>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</si>
  <si>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</si>
  <si>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</si>
  <si>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</si>
  <si>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</si>
  <si>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</si>
  <si>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</si>
  <si>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</si>
  <si>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</si>
  <si>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</si>
  <si>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</si>
  <si>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</si>
  <si>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</si>
  <si>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</si>
  <si>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</si>
  <si>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</si>
  <si>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</si>
  <si>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</si>
  <si>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</si>
  <si>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</si>
  <si>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</si>
  <si>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</si>
  <si>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</si>
  <si>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</si>
  <si>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</si>
  <si>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</si>
  <si>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</si>
  <si>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</si>
  <si>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</si>
  <si>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</si>
  <si>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</si>
  <si>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</si>
  <si>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</si>
  <si>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</si>
  <si>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</si>
  <si>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</si>
  <si>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</si>
  <si>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</si>
  <si>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</si>
  <si>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</si>
  <si>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</si>
  <si>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</si>
  <si>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</si>
  <si>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</si>
  <si>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</si>
  <si>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</si>
  <si>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</si>
  <si>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</si>
  <si>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</si>
  <si>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</si>
  <si>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</si>
  <si>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</si>
  <si>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</si>
  <si>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</si>
  <si>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</si>
  <si>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</si>
  <si>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</si>
  <si>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</si>
  <si>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</si>
  <si>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</si>
  <si>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</si>
  <si>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</si>
  <si>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</si>
  <si>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</si>
  <si>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</si>
  <si>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</si>
  <si>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</si>
  <si>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</si>
  <si>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</si>
  <si>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</si>
  <si>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</si>
  <si>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5 DIAS HABILES</t>
  </si>
  <si>
    <t>DANIM ART MUEBLES</t>
  </si>
  <si>
    <t>+569 3670 7306</t>
  </si>
  <si>
    <t>A TRANSPORTES BASS</t>
  </si>
  <si>
    <t>CUB SIN RESPALDO FRENTE R2°</t>
  </si>
  <si>
    <t>VAINILLA 2109 BRILLO</t>
  </si>
  <si>
    <t xml:space="preserve"> RESPALDO FRENTE R2</t>
  </si>
  <si>
    <t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</si>
</sst>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70" fontId="11" fillId="0" borderId="0" xfId="0" applyNumberFormat="1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 MDF 18MM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3" zoomScale="93" zoomScaleNormal="93" workbookViewId="0">
      <selection activeCell="C18" sqref="C18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10644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168</v>
      </c>
      <c r="D10" s="243"/>
      <c r="E10" s="243"/>
      <c r="F10" s="244" t="s">
        <v>0</v>
      </c>
      <c r="G10" s="277">
        <v>45351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169</v>
      </c>
      <c r="D15" s="322"/>
      <c r="F15" t="s">
        <v>135</v>
      </c>
      <c r="G15" s="320" t="s">
        <v>170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174</v>
      </c>
      <c r="D17" s="325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64051.779834154549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2</v>
      </c>
      <c r="C21" s="314" t="s">
        <v>171</v>
      </c>
      <c r="D21" s="315">
        <v>3</v>
      </c>
      <c r="E21" s="315">
        <v>0.6</v>
      </c>
      <c r="F21" s="314" t="s">
        <v>172</v>
      </c>
      <c r="G21" s="316">
        <v>120215</v>
      </c>
      <c r="H21" s="317">
        <f>G21*B21</f>
        <v>240430</v>
      </c>
      <c r="I21" s="265"/>
      <c r="J21" s="47"/>
      <c r="K21" s="47">
        <v>2</v>
      </c>
      <c r="L21" s="39">
        <f>D21+L$19</f>
        <v>3.05</v>
      </c>
      <c r="M21" s="39">
        <f>E21</f>
        <v>0.6</v>
      </c>
      <c r="N21" s="261">
        <f t="shared" ref="N21" si="1">L21*M21</f>
        <v>1.8299999999999998</v>
      </c>
      <c r="O21" s="259">
        <f t="shared" ref="O21" si="2">N21*K21</f>
        <v>3.6599999999999997</v>
      </c>
      <c r="P21" s="252">
        <f>N21*P$20</f>
        <v>117214.75709650281</v>
      </c>
      <c r="Q21" s="258">
        <f t="shared" ref="Q21" si="3">P21+Q$20</f>
        <v>120214.75709650281</v>
      </c>
      <c r="R21" s="299">
        <f>L21*K21*2</f>
        <v>12.2</v>
      </c>
      <c r="S21" s="46">
        <f>M21*K21*2</f>
        <v>2.4</v>
      </c>
      <c r="T21" s="9"/>
      <c r="W21" s="4"/>
    </row>
    <row r="22" spans="2:24" ht="18" thickBot="1" x14ac:dyDescent="0.35">
      <c r="B22" s="313">
        <v>2</v>
      </c>
      <c r="C22" s="314" t="s">
        <v>173</v>
      </c>
      <c r="D22" s="315">
        <v>3</v>
      </c>
      <c r="E22" s="315">
        <v>7.0000000000000007E-2</v>
      </c>
      <c r="F22" s="314" t="s">
        <v>172</v>
      </c>
      <c r="G22" s="316">
        <v>16675</v>
      </c>
      <c r="H22" s="317">
        <f>G22*B22</f>
        <v>33350</v>
      </c>
      <c r="I22" s="265"/>
      <c r="J22" s="47"/>
      <c r="K22" s="47">
        <v>2</v>
      </c>
      <c r="L22" s="39">
        <f t="shared" ref="L22:L23" si="4">D22+L$19</f>
        <v>3.05</v>
      </c>
      <c r="M22" s="39">
        <f t="shared" ref="M22:M23" si="5">E22</f>
        <v>7.0000000000000007E-2</v>
      </c>
      <c r="N22" s="261">
        <f t="shared" ref="N22:N23" si="6">L22*M22</f>
        <v>0.2135</v>
      </c>
      <c r="O22" s="259">
        <f t="shared" ref="O22:O23" si="7">N22*K22</f>
        <v>0.42699999999999999</v>
      </c>
      <c r="P22" s="252">
        <f t="shared" ref="P22:P23" si="8">N22*P$20</f>
        <v>13675.054994591996</v>
      </c>
      <c r="Q22" s="258">
        <f t="shared" ref="Q22:Q23" si="9">P22+Q$20</f>
        <v>16675.054994591996</v>
      </c>
      <c r="R22" s="299">
        <f t="shared" ref="R22:R23" si="10">L22*K22*2</f>
        <v>12.2</v>
      </c>
      <c r="S22" s="46"/>
      <c r="T22" s="9"/>
      <c r="W22" s="4"/>
    </row>
    <row r="23" spans="2:24" ht="17.399999999999999" x14ac:dyDescent="0.3">
      <c r="B23" s="313">
        <v>1</v>
      </c>
      <c r="C23" s="314" t="s">
        <v>173</v>
      </c>
      <c r="D23" s="315">
        <v>1</v>
      </c>
      <c r="E23" s="315">
        <v>7.0000000000000007E-2</v>
      </c>
      <c r="F23" s="314" t="s">
        <v>172</v>
      </c>
      <c r="G23" s="316">
        <v>7708</v>
      </c>
      <c r="H23" s="317">
        <f>G23*B23</f>
        <v>7708</v>
      </c>
      <c r="I23" s="265"/>
      <c r="J23" s="47"/>
      <c r="K23" s="47">
        <v>1</v>
      </c>
      <c r="L23" s="39">
        <f t="shared" si="4"/>
        <v>1.05</v>
      </c>
      <c r="M23" s="39">
        <f t="shared" si="5"/>
        <v>7.0000000000000007E-2</v>
      </c>
      <c r="N23" s="261">
        <f t="shared" si="6"/>
        <v>7.350000000000001E-2</v>
      </c>
      <c r="O23" s="259">
        <f t="shared" si="7"/>
        <v>7.350000000000001E-2</v>
      </c>
      <c r="P23" s="252">
        <f t="shared" si="8"/>
        <v>4707.8058178103602</v>
      </c>
      <c r="Q23" s="258">
        <f t="shared" si="9"/>
        <v>7707.8058178103602</v>
      </c>
      <c r="R23" s="299">
        <f t="shared" si="10"/>
        <v>2.1</v>
      </c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0" t="s">
        <v>29</v>
      </c>
      <c r="H25" s="301">
        <f>SUM(H21:H23)</f>
        <v>281488</v>
      </c>
      <c r="I25" s="265"/>
      <c r="J25" s="47"/>
      <c r="K25" s="47"/>
      <c r="L25" s="39">
        <f>SUM(L21:L24)</f>
        <v>7.1499999999999995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8" t="s">
        <v>52</v>
      </c>
      <c r="H26" s="296">
        <f>H25*19%</f>
        <v>53482.720000000001</v>
      </c>
      <c r="I26" s="265"/>
      <c r="J26" s="47"/>
      <c r="K26" s="47"/>
      <c r="L26" s="39"/>
      <c r="M26" s="12"/>
      <c r="N26" s="12"/>
      <c r="O26" s="253">
        <f>SUM(O21:O23)</f>
        <v>4.1604999999999999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7">
        <f>H25+H26</f>
        <v>334970.71999999997</v>
      </c>
      <c r="I27" s="265"/>
      <c r="J27" s="47"/>
      <c r="K27" s="47"/>
      <c r="L27" s="39"/>
      <c r="M27" s="12"/>
      <c r="N27" s="12"/>
      <c r="O27" s="253">
        <f>O26</f>
        <v>4.1604999999999999</v>
      </c>
      <c r="P27" s="14"/>
      <c r="Q27" s="12"/>
      <c r="R27" s="239">
        <f>SUM(R21:R26)</f>
        <v>26.5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0.83210000000000006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4.9925999999999995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6" t="s">
        <v>22</v>
      </c>
      <c r="U30" s="303" t="s">
        <v>153</v>
      </c>
      <c r="V30" s="307">
        <v>44971</v>
      </c>
      <c r="W30" s="30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4.9925999999999995</v>
      </c>
      <c r="M31" s="12">
        <v>3500</v>
      </c>
      <c r="N31" s="12">
        <f t="shared" ref="N31:N36" si="11">L31*M31</f>
        <v>17474.099999999999</v>
      </c>
      <c r="O31" s="14" t="s">
        <v>22</v>
      </c>
      <c r="P31" s="14"/>
      <c r="Q31" s="14"/>
      <c r="R31" s="241"/>
      <c r="S31" s="14"/>
      <c r="T31" s="306" t="s">
        <v>154</v>
      </c>
      <c r="U31" s="303">
        <v>3625</v>
      </c>
      <c r="V31" s="59" t="s">
        <v>155</v>
      </c>
      <c r="W31" s="30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1.4</v>
      </c>
      <c r="M32" s="12">
        <v>23850</v>
      </c>
      <c r="N32" s="12">
        <f t="shared" si="11"/>
        <v>33390</v>
      </c>
      <c r="O32" s="39" t="s">
        <v>32</v>
      </c>
      <c r="P32" s="42"/>
      <c r="Q32" s="14"/>
      <c r="R32" s="240"/>
      <c r="S32" s="14"/>
      <c r="T32" s="306"/>
      <c r="U32" s="59">
        <v>906.25</v>
      </c>
      <c r="V32" s="59" t="s">
        <v>156</v>
      </c>
      <c r="W32" s="308"/>
    </row>
    <row r="33" spans="2:23" s="230" customFormat="1" ht="17.399999999999999" x14ac:dyDescent="0.35">
      <c r="I33" s="262"/>
      <c r="J33" s="232"/>
      <c r="K33" s="250"/>
      <c r="L33" s="14"/>
      <c r="M33" s="250"/>
      <c r="N33" s="12">
        <f t="shared" si="11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2</v>
      </c>
      <c r="M34" s="250">
        <v>32500</v>
      </c>
      <c r="N34" s="12">
        <f t="shared" si="11"/>
        <v>65000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1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5"/>
      <c r="K36" s="250"/>
      <c r="L36" s="266"/>
      <c r="M36" s="12">
        <v>1500</v>
      </c>
      <c r="N36" s="12">
        <f t="shared" si="11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115864.1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N37*2.3</f>
        <v>266487.43</v>
      </c>
      <c r="O38" s="14" t="s">
        <v>141</v>
      </c>
      <c r="P38" s="14"/>
      <c r="Q38" s="331">
        <f>O29/Q37</f>
        <v>1.3461496980155305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40000</v>
      </c>
      <c r="K39" s="250"/>
      <c r="L39" s="14"/>
      <c r="M39" s="12"/>
      <c r="N39" s="12">
        <f>N38/O27</f>
        <v>64051.779834154549</v>
      </c>
      <c r="O39" s="45" t="s">
        <v>25</v>
      </c>
      <c r="P39" s="14"/>
      <c r="Q39" s="14"/>
      <c r="R39"/>
      <c r="S39" s="238"/>
      <c r="T39" s="59" t="s">
        <v>159</v>
      </c>
      <c r="U39" s="30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33613.445378151264</v>
      </c>
      <c r="K40" s="250"/>
      <c r="L40" s="13"/>
      <c r="M40" s="14"/>
      <c r="N40" s="17">
        <f>N38/N37</f>
        <v>2.2999999999999998</v>
      </c>
      <c r="O40" s="15"/>
      <c r="P40"/>
      <c r="Q40"/>
      <c r="R40"/>
      <c r="S40" s="238"/>
      <c r="T40" s="59" t="s">
        <v>161</v>
      </c>
      <c r="U40" s="30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45351</v>
      </c>
    </row>
    <row r="6" spans="2:31" ht="16.2" thickBot="1" x14ac:dyDescent="0.35">
      <c r="B6" s="140" t="s">
        <v>2</v>
      </c>
      <c r="C6" s="139" t="str">
        <f>'2229'!C10</f>
        <v>DANIM ART MUEBLES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10644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-24722.664200120777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281488</v>
      </c>
      <c r="E11" s="132">
        <f>D11*0.19</f>
        <v>53482.720000000001</v>
      </c>
      <c r="F11" s="131">
        <f>E11+D11</f>
        <v>334970.71999999997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81267.33579987922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80698.190787439613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63267.33579987922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200789.80921256039</v>
      </c>
      <c r="E13" s="221">
        <f>(D11/D12)-1</f>
        <v>2.4881575070430526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54267.33579987922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15267.335799879223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133152.01479927535</v>
      </c>
      <c r="F15" s="216">
        <f>E15-D12</f>
        <v>52453.824011835735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15267.335799879223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55267.33579987922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33390</v>
      </c>
      <c r="E19" s="123">
        <f>D19*0.19</f>
        <v>6344.1</v>
      </c>
      <c r="F19" s="120">
        <f>SUM(D19:E19)</f>
        <v>39734.1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17474.099999999999</v>
      </c>
      <c r="E20" s="121">
        <f>D20*0.19</f>
        <v>3320.0789999999997</v>
      </c>
      <c r="F20" s="120">
        <f>SUM(D20:E20)</f>
        <v>20794.178999999996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50864.1</v>
      </c>
      <c r="E21" s="116">
        <f>SUM(E18:E20)</f>
        <v>9664.1790000000001</v>
      </c>
      <c r="F21" s="115">
        <f>SUM(F18:F20)</f>
        <v>60528.278999999995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43818.540999999997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281488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50864.1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200789.80921256039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200789.80921256039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2024-02-29T17:02:33Z</dcterms:modified>
</cp:coreProperties>
</file>