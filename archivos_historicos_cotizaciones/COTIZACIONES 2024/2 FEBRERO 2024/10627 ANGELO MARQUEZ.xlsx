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767CE47D-91E7-49B4-B395-673B03323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N21" i="1"/>
  <c r="O21" i="1" s="1"/>
  <c r="M21" i="1"/>
  <c r="L21" i="1"/>
  <c r="L23" i="1"/>
  <c r="M23" i="1"/>
  <c r="H23" i="1"/>
  <c r="L22" i="1"/>
  <c r="R22" i="1" s="1"/>
  <c r="M22" i="1"/>
  <c r="J41" i="1"/>
  <c r="N23" i="1" l="1"/>
  <c r="O23" i="1" s="1"/>
  <c r="R23" i="1"/>
  <c r="N22" i="1"/>
  <c r="O22" i="1" s="1"/>
  <c r="L26" i="1"/>
  <c r="S21" i="1"/>
  <c r="R21" i="1"/>
  <c r="R28" i="1" s="1"/>
  <c r="U34" i="1"/>
  <c r="U35" i="1" s="1"/>
  <c r="O27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N40" i="1" s="1"/>
  <c r="D20" i="3"/>
  <c r="E20" i="3" s="1"/>
  <c r="E21" i="3" s="1"/>
  <c r="P20" i="1" l="1"/>
  <c r="P21" i="1" s="1"/>
  <c r="D21" i="3"/>
  <c r="M43" i="3" s="1"/>
  <c r="D12" i="3" s="1"/>
  <c r="F20" i="3"/>
  <c r="F21" i="3" s="1"/>
  <c r="P23" i="1" l="1"/>
  <c r="Q23" i="1" s="1"/>
  <c r="P22" i="1"/>
  <c r="N41" i="1"/>
  <c r="E15" i="3"/>
  <c r="Q22" i="1" l="1"/>
  <c r="F15" i="3"/>
  <c r="H22" i="1" l="1"/>
  <c r="Q21" i="1"/>
  <c r="H21" i="1" l="1"/>
  <c r="H27" i="1" l="1"/>
  <c r="H28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<sst xmlns="http://schemas.openxmlformats.org/spreadsheetml/2006/main" count="236" uniqueCount="178">
  <si>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</si>
  <si>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</si>
  <si>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</si>
  <si>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</si>
  <si>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</si>
  <si>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</si>
  <si>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</si>
  <si>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</si>
  <si>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</si>
  <si>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</si>
  <si>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</si>
  <si>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</si>
  <si>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</si>
  <si>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</si>
  <si>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</si>
  <si>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</si>
  <si>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</si>
  <si>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</si>
  <si>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</si>
  <si>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</si>
  <si>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</si>
  <si>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</si>
  <si>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</si>
  <si>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</si>
  <si>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</si>
  <si>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</si>
  <si>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</si>
  <si>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</si>
  <si>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</si>
  <si>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</si>
  <si>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</si>
  <si>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</si>
  <si>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</si>
  <si>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</si>
  <si>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</si>
  <si>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</si>
  <si>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</si>
  <si>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</si>
  <si>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</si>
  <si>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</si>
  <si>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</si>
  <si>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</si>
  <si>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</si>
  <si>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</si>
  <si>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</si>
  <si>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</si>
  <si>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</si>
  <si>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</si>
  <si>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</si>
  <si>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</si>
  <si>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</si>
  <si>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</si>
  <si>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</si>
  <si>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</si>
  <si>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</si>
  <si>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</si>
  <si>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</si>
  <si>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</si>
  <si>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</si>
  <si>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</si>
  <si>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</si>
  <si>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</si>
  <si>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</si>
  <si>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</si>
  <si>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</si>
  <si>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</si>
  <si>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</si>
  <si>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</si>
  <si>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</si>
  <si>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</si>
  <si>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</si>
  <si>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</si>
  <si>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</si>
  <si>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</si>
  <si>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</si>
  <si>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</si>
  <si>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</si>
  <si>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</si>
  <si>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</si>
  <si>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</si>
  <si>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</si>
  <si>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</si>
  <si>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</si>
  <si>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</si>
  <si>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</si>
  <si>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</si>
  <si>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</si>
  <si>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</si>
  <si>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</si>
  <si>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</si>
  <si>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</si>
  <si>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</si>
  <si>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</si>
  <si>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</si>
  <si>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</si>
  <si>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</si>
  <si>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</si>
  <si>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</si>
  <si>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</si>
  <si>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</si>
  <si>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</si>
  <si>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</si>
  <si>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</si>
  <si>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</si>
  <si>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</si>
  <si>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</si>
  <si>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</si>
  <si>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</si>
  <si>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</si>
  <si>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</si>
  <si>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</si>
  <si>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</si>
  <si>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</si>
  <si>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</si>
  <si>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</si>
  <si>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</si>
  <si>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</si>
  <si>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</si>
  <si>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</si>
  <si>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</si>
  <si>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</si>
  <si>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</si>
  <si>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</si>
  <si>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</si>
  <si>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</si>
  <si>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</si>
  <si>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</si>
  <si>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</si>
  <si>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</si>
  <si>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</si>
  <si>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</si>
  <si>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</si>
  <si>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</si>
  <si>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</si>
  <si>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</si>
  <si>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</si>
  <si>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</si>
  <si>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</si>
  <si>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</si>
  <si>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</si>
  <si>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</si>
  <si>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</si>
  <si>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</si>
  <si>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</si>
  <si>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</si>
  <si>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</si>
  <si>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</si>
  <si>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</si>
  <si>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</si>
  <si>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</si>
  <si>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</si>
  <si>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</si>
  <si>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</si>
  <si>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</si>
  <si>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</si>
  <si>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</si>
  <si>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</si>
  <si>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</si>
  <si>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</si>
  <si>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</si>
  <si>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</si>
  <si>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</si>
  <si>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</si>
  <si>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</si>
  <si>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</si>
  <si>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</si>
  <si>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</si>
  <si>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5 DIAS HABILES</t>
  </si>
  <si>
    <t>CUB CON RESPALDO FRENTE 90° R8</t>
  </si>
  <si>
    <t>VALORES NETOS</t>
  </si>
  <si>
    <t>ANGELO MARQUEZ</t>
  </si>
  <si>
    <t>+569 8</t>
  </si>
  <si>
    <t>VALDIVIA</t>
  </si>
  <si>
    <t>POR TRANSPORTES</t>
  </si>
  <si>
    <t>WHITE OAK 1336 MT</t>
  </si>
  <si>
    <t>OKUMEN 1535 MT</t>
  </si>
  <si>
    <t>LARICE RUSTICO1464 MT</t>
  </si>
  <si>
    <t>SEA WHITE 1502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</si>
</sst>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1594096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DESPUNTE ES TUYO, LO ENVIAMOS JUNTO CON LA CUBIERTA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13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45.218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10627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170</v>
      </c>
      <c r="D10" s="243"/>
      <c r="E10" s="243"/>
      <c r="F10" s="244" t="s">
        <v>0</v>
      </c>
      <c r="G10" s="277">
        <v>45337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171</v>
      </c>
      <c r="D15" s="322"/>
      <c r="F15" t="s">
        <v>135</v>
      </c>
      <c r="G15" s="320" t="s">
        <v>173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172</v>
      </c>
      <c r="D17" s="325"/>
      <c r="E17" s="119"/>
      <c r="F17" s="335" t="s">
        <v>166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148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146679.35135135136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168</v>
      </c>
      <c r="D21" s="315">
        <v>1.8</v>
      </c>
      <c r="E21" s="315">
        <v>0.5</v>
      </c>
      <c r="F21" s="314" t="s">
        <v>174</v>
      </c>
      <c r="G21" s="316">
        <v>138678</v>
      </c>
      <c r="H21" s="317">
        <f>G21*B21</f>
        <v>138678</v>
      </c>
      <c r="I21" s="265"/>
      <c r="J21" s="47"/>
      <c r="K21" s="47">
        <v>1</v>
      </c>
      <c r="L21" s="39">
        <f>D21+L$19</f>
        <v>1.85</v>
      </c>
      <c r="M21" s="39">
        <f>E21</f>
        <v>0.5</v>
      </c>
      <c r="N21" s="261">
        <f>L21*M21</f>
        <v>0.92500000000000004</v>
      </c>
      <c r="O21" s="259">
        <f>N21*K21</f>
        <v>0.92500000000000004</v>
      </c>
      <c r="P21" s="252">
        <f>N21*P20</f>
        <v>135678.40000000002</v>
      </c>
      <c r="Q21" s="258">
        <f t="shared" ref="Q21" si="1">P21+Q$20</f>
        <v>138678.40000000002</v>
      </c>
      <c r="R21" s="299">
        <f>L21*K21*2</f>
        <v>3.7</v>
      </c>
      <c r="S21" s="46">
        <f>M21*K21*2</f>
        <v>1</v>
      </c>
      <c r="T21" s="9"/>
      <c r="W21" s="4"/>
    </row>
    <row r="22" spans="2:24" ht="18" thickBot="1" x14ac:dyDescent="0.35">
      <c r="B22" s="331">
        <v>1</v>
      </c>
      <c r="C22" s="314" t="s">
        <v>168</v>
      </c>
      <c r="D22" s="332">
        <v>1.8</v>
      </c>
      <c r="E22" s="332">
        <v>0.5</v>
      </c>
      <c r="F22" s="314" t="s">
        <v>175</v>
      </c>
      <c r="G22" s="333">
        <v>151540</v>
      </c>
      <c r="H22" s="334">
        <f>G22*B22</f>
        <v>151540</v>
      </c>
      <c r="I22" s="265"/>
      <c r="J22" s="47"/>
      <c r="K22" s="47"/>
      <c r="L22" s="39">
        <f t="shared" ref="L22" si="2">D22+L$19</f>
        <v>1.85</v>
      </c>
      <c r="M22" s="39">
        <f t="shared" ref="M22" si="3">E22+M$19</f>
        <v>0.5</v>
      </c>
      <c r="N22" s="261">
        <f t="shared" ref="N22" si="4">L22*M22</f>
        <v>0.92500000000000004</v>
      </c>
      <c r="O22" s="259">
        <f t="shared" ref="O22" si="5">N22*K22</f>
        <v>0</v>
      </c>
      <c r="P22" s="252">
        <f t="shared" ref="P22:P23" si="6">O22*P$20</f>
        <v>0</v>
      </c>
      <c r="Q22" s="258">
        <f t="shared" ref="Q22" si="7">P22+Q$20</f>
        <v>3000</v>
      </c>
      <c r="R22" s="299">
        <f>L22*K22*2</f>
        <v>0</v>
      </c>
      <c r="S22" s="46"/>
      <c r="T22" s="9"/>
      <c r="W22" s="4"/>
    </row>
    <row r="23" spans="2:24" ht="18" thickBot="1" x14ac:dyDescent="0.35">
      <c r="B23" s="331">
        <v>1</v>
      </c>
      <c r="C23" s="314" t="s">
        <v>168</v>
      </c>
      <c r="D23" s="332">
        <v>1.8</v>
      </c>
      <c r="E23" s="332">
        <v>0.5</v>
      </c>
      <c r="F23" s="314" t="s">
        <v>176</v>
      </c>
      <c r="G23" s="333">
        <v>125221</v>
      </c>
      <c r="H23" s="334">
        <f>G23*B23</f>
        <v>125221</v>
      </c>
      <c r="I23" s="265"/>
      <c r="J23" s="47"/>
      <c r="K23" s="47"/>
      <c r="L23" s="39">
        <f t="shared" ref="L23" si="8">D23+L$19</f>
        <v>1.85</v>
      </c>
      <c r="M23" s="39">
        <f t="shared" ref="M23" si="9">E23+M$19</f>
        <v>0.5</v>
      </c>
      <c r="N23" s="261">
        <f t="shared" ref="N23" si="10">L23*M23</f>
        <v>0.92500000000000004</v>
      </c>
      <c r="O23" s="259">
        <f t="shared" ref="O23" si="11">N23*K23</f>
        <v>0</v>
      </c>
      <c r="P23" s="252">
        <f t="shared" si="6"/>
        <v>0</v>
      </c>
      <c r="Q23" s="258">
        <f t="shared" ref="Q23" si="12">P23+Q$20</f>
        <v>3000</v>
      </c>
      <c r="R23" s="299">
        <f>L23*K23*2</f>
        <v>0</v>
      </c>
      <c r="S23" s="46"/>
      <c r="T23" s="9"/>
      <c r="W23" s="4"/>
    </row>
    <row r="24" spans="2:24" ht="18" thickBot="1" x14ac:dyDescent="0.35">
      <c r="B24" s="331">
        <v>1</v>
      </c>
      <c r="C24" s="314" t="s">
        <v>168</v>
      </c>
      <c r="D24" s="332">
        <v>1.8</v>
      </c>
      <c r="E24" s="332">
        <v>0.5</v>
      </c>
      <c r="F24" s="314" t="s">
        <v>177</v>
      </c>
      <c r="G24" s="333">
        <v>139770</v>
      </c>
      <c r="H24" s="334">
        <f>G24*B24</f>
        <v>139770</v>
      </c>
      <c r="I24" s="265"/>
      <c r="J24" s="47"/>
      <c r="K24" s="47"/>
      <c r="L24" s="39"/>
      <c r="M24" s="39"/>
      <c r="N24" s="261"/>
      <c r="O24" s="259"/>
      <c r="P24" s="252"/>
      <c r="Q24" s="258"/>
      <c r="R24" s="299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 t="s">
        <v>169</v>
      </c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0" t="s">
        <v>29</v>
      </c>
      <c r="H26" s="301"/>
      <c r="I26" s="265"/>
      <c r="J26" s="47"/>
      <c r="K26" s="47"/>
      <c r="L26" s="39">
        <f>SUM(L21:L25)</f>
        <v>5.5500000000000007</v>
      </c>
      <c r="M26" s="39"/>
      <c r="N26" s="261"/>
      <c r="O26" s="259"/>
      <c r="P26" s="252"/>
      <c r="Q26" s="258"/>
      <c r="R26" s="299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8" t="s">
        <v>52</v>
      </c>
      <c r="H27" s="296">
        <f>H26*19%</f>
        <v>0</v>
      </c>
      <c r="I27" s="265"/>
      <c r="J27" s="47"/>
      <c r="K27" s="47"/>
      <c r="L27" s="39"/>
      <c r="M27" s="12"/>
      <c r="N27" s="12"/>
      <c r="O27" s="253">
        <f>SUM(O21:O23)</f>
        <v>0.92500000000000004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7">
        <f>H26+H27</f>
        <v>0</v>
      </c>
      <c r="I28" s="265"/>
      <c r="J28" s="47"/>
      <c r="K28" s="47"/>
      <c r="L28" s="39"/>
      <c r="M28" s="12"/>
      <c r="N28" s="12"/>
      <c r="O28" s="253">
        <f>O27</f>
        <v>0.92500000000000004</v>
      </c>
      <c r="P28" s="14"/>
      <c r="Q28" s="12"/>
      <c r="R28" s="239">
        <f>SUM(R21:R27)</f>
        <v>3.7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0.18500000000000003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1.1100000000000001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6" t="s">
        <v>22</v>
      </c>
      <c r="U31" s="303" t="s">
        <v>153</v>
      </c>
      <c r="V31" s="307">
        <v>44971</v>
      </c>
      <c r="W31" s="308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1.1100000000000001</v>
      </c>
      <c r="M32" s="12">
        <v>3500</v>
      </c>
      <c r="N32" s="12">
        <f t="shared" ref="N32:N37" si="13">L32*M32</f>
        <v>3885.0000000000005</v>
      </c>
      <c r="O32" s="14" t="s">
        <v>22</v>
      </c>
      <c r="P32" s="14"/>
      <c r="Q32" s="14"/>
      <c r="R32" s="241"/>
      <c r="S32" s="14"/>
      <c r="T32" s="306" t="s">
        <v>154</v>
      </c>
      <c r="U32" s="303">
        <v>3625</v>
      </c>
      <c r="V32" s="59" t="s">
        <v>155</v>
      </c>
      <c r="W32" s="308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0.3</v>
      </c>
      <c r="M33" s="12">
        <v>23850</v>
      </c>
      <c r="N33" s="12">
        <f t="shared" si="13"/>
        <v>7155</v>
      </c>
      <c r="O33" s="39" t="s">
        <v>32</v>
      </c>
      <c r="P33" s="42"/>
      <c r="Q33" s="14"/>
      <c r="R33" s="240"/>
      <c r="S33" s="14"/>
      <c r="T33" s="306"/>
      <c r="U33" s="59">
        <v>906.25</v>
      </c>
      <c r="V33" s="59" t="s">
        <v>156</v>
      </c>
      <c r="W33" s="308"/>
    </row>
    <row r="34" spans="2:23" s="230" customFormat="1" ht="17.399999999999999" x14ac:dyDescent="0.35">
      <c r="I34" s="262"/>
      <c r="J34" s="232"/>
      <c r="K34" s="250"/>
      <c r="L34" s="14"/>
      <c r="M34" s="250">
        <v>55750</v>
      </c>
      <c r="N34" s="12">
        <f t="shared" si="13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8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1</v>
      </c>
      <c r="M35" s="250">
        <v>47857</v>
      </c>
      <c r="N35" s="12">
        <f t="shared" si="13"/>
        <v>47857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8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3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5"/>
      <c r="K37" s="250"/>
      <c r="L37" s="266">
        <v>1.85</v>
      </c>
      <c r="M37" s="12">
        <v>1500</v>
      </c>
      <c r="N37" s="12">
        <f t="shared" si="13"/>
        <v>2775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61672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135678.40000000002</v>
      </c>
      <c r="O39" s="14" t="s">
        <v>141</v>
      </c>
      <c r="P39" s="14"/>
      <c r="Q39" s="40">
        <f>O30/Q38</f>
        <v>0.29928817946505609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56950</v>
      </c>
      <c r="K40" s="250"/>
      <c r="L40" s="14"/>
      <c r="M40" s="12"/>
      <c r="N40" s="12">
        <f>N39/O28</f>
        <v>146679.35135135136</v>
      </c>
      <c r="O40" s="45" t="s">
        <v>25</v>
      </c>
      <c r="P40" s="14"/>
      <c r="Q40" s="14"/>
      <c r="R40"/>
      <c r="S40" s="238"/>
      <c r="T40" s="59" t="s">
        <v>159</v>
      </c>
      <c r="U40" s="303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47857.142857142862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04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5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45337</v>
      </c>
    </row>
    <row r="6" spans="2:31" ht="16.2" thickBot="1" x14ac:dyDescent="0.35">
      <c r="B6" s="140" t="s">
        <v>2</v>
      </c>
      <c r="C6" s="139" t="str">
        <f>'2229'!C10</f>
        <v>ANGELO MARQUEZ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99</v>
      </c>
      <c r="I7" s="342"/>
      <c r="J7" s="342"/>
      <c r="K7" s="343"/>
      <c r="N7" s="75"/>
      <c r="O7" s="34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10627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11240.374966545894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117230.37496654589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40874.090787439614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99230.374966545889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-40874.090787439614</v>
      </c>
      <c r="E13" s="221">
        <f>(D11/D12)-1</f>
        <v>-1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90230.374966545889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51230.374966545896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67442.249799275363</v>
      </c>
      <c r="F15" s="216">
        <f>E15-D12</f>
        <v>26568.159011835749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51230.374966545896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91230.374966545889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7155</v>
      </c>
      <c r="E19" s="123">
        <f>D19*0.19</f>
        <v>1359.45</v>
      </c>
      <c r="F19" s="120">
        <f>SUM(D19:E19)</f>
        <v>8514.4500000000007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3885.0000000000005</v>
      </c>
      <c r="E20" s="121">
        <f>D20*0.19</f>
        <v>738.15000000000009</v>
      </c>
      <c r="F20" s="120">
        <f>SUM(D20:E20)</f>
        <v>4623.1500000000005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11040</v>
      </c>
      <c r="E21" s="116">
        <f>SUM(E18:E20)</f>
        <v>2097.6000000000004</v>
      </c>
      <c r="F21" s="115">
        <f>SUM(F18:F20)</f>
        <v>13137.600000000002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-2097.6000000000004</v>
      </c>
    </row>
    <row r="41" spans="2:16" ht="15" thickBot="1" x14ac:dyDescent="0.35">
      <c r="H41" s="344" t="s">
        <v>61</v>
      </c>
      <c r="I41" s="345"/>
      <c r="J41" s="345"/>
      <c r="K41" s="345"/>
      <c r="L41" s="345"/>
      <c r="M41" s="34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11040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-40874.090787439614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-40874.090787439614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2024-02-15T20:07:14Z</dcterms:modified>
</cp:coreProperties>
</file>