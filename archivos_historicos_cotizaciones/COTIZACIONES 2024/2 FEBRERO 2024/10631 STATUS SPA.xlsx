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4\"/>
    </mc:Choice>
  </mc:AlternateContent>
  <xr:revisionPtr revIDLastSave="0" documentId="13_ncr:1_{6A950FA1-9424-4111-B529-890609105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G21" i="1"/>
  <c r="G22" i="1"/>
  <c r="Q37" i="1"/>
  <c r="L25" i="1"/>
  <c r="L24" i="1"/>
  <c r="O25" i="1"/>
  <c r="O21" i="1"/>
  <c r="K22" i="1"/>
  <c r="R22" i="1" s="1"/>
  <c r="K21" i="1"/>
  <c r="L22" i="1"/>
  <c r="N22" i="1" s="1"/>
  <c r="M22" i="1"/>
  <c r="N21" i="1"/>
  <c r="M21" i="1"/>
  <c r="L21" i="1"/>
  <c r="J39" i="1"/>
  <c r="O22" i="1" l="1"/>
  <c r="S21" i="1"/>
  <c r="R21" i="1"/>
  <c r="R26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l="1"/>
  <c r="N37" i="1" s="1"/>
  <c r="N38" i="1" s="1"/>
  <c r="D20" i="3"/>
  <c r="E20" i="3" s="1"/>
  <c r="E21" i="3" s="1"/>
  <c r="P20" i="1" l="1"/>
  <c r="P21" i="1" s="1"/>
  <c r="P22" i="1" s="1"/>
  <c r="Q22" i="1" s="1"/>
  <c r="D21" i="3"/>
  <c r="M43" i="3" s="1"/>
  <c r="D12" i="3" s="1"/>
  <c r="F20" i="3"/>
  <c r="F21" i="3" s="1"/>
  <c r="N39" i="1" l="1"/>
  <c r="E15" i="3"/>
  <c r="F15" i="3" l="1"/>
  <c r="H22" i="1" l="1"/>
  <c r="Q21" i="1"/>
  <c r="H21" i="1" l="1"/>
  <c r="H25" i="1" l="1"/>
  <c r="H26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<sst xmlns="http://schemas.openxmlformats.org/spreadsheetml/2006/main" count="235" uniqueCount="178">
  <si>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</si>
  <si>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</si>
  <si>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</si>
  <si>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</si>
  <si>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</si>
  <si>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</si>
  <si>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</si>
  <si>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</si>
  <si>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</si>
  <si>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</si>
  <si>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</si>
  <si>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</si>
  <si>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</si>
  <si>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</si>
  <si>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</si>
  <si>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</si>
  <si>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</si>
  <si>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</si>
  <si>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</si>
  <si>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</si>
  <si>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</si>
  <si>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</si>
  <si>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</si>
  <si>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</si>
  <si>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</si>
  <si>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</si>
  <si>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</si>
  <si>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</si>
  <si>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</si>
  <si>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</si>
  <si>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</si>
  <si>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</si>
  <si>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</si>
  <si>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</si>
  <si>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</si>
  <si>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</si>
  <si>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</si>
  <si>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</si>
  <si>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</si>
  <si>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</si>
  <si>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</si>
  <si>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</si>
  <si>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</si>
  <si>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</si>
  <si>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</si>
  <si>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</si>
  <si>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</si>
  <si>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</si>
  <si>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</si>
  <si>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</si>
  <si>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</si>
  <si>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</si>
  <si>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</si>
  <si>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</si>
  <si>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</si>
  <si>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</si>
  <si>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</si>
  <si>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</si>
  <si>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</si>
  <si>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</si>
  <si>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</si>
  <si>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</si>
  <si>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</si>
  <si>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</si>
  <si>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</si>
  <si>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</si>
  <si>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</si>
  <si>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</si>
  <si>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</si>
  <si>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</si>
  <si>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</si>
  <si>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</si>
  <si>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</si>
  <si>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</si>
  <si>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</si>
  <si>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</si>
  <si>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</si>
  <si>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</si>
  <si>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</si>
  <si>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</si>
  <si>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</si>
  <si>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</si>
  <si>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</si>
  <si>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</si>
  <si>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</si>
  <si>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</si>
  <si>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</si>
  <si>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</si>
  <si>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</si>
  <si>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</si>
  <si>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</si>
  <si>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</si>
  <si>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</si>
  <si>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</si>
  <si>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</si>
  <si>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</si>
  <si>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</si>
  <si>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</si>
  <si>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</si>
  <si>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</si>
  <si>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</si>
  <si>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</si>
  <si>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</si>
  <si>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</si>
  <si>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</si>
  <si>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</si>
  <si>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</si>
  <si>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</si>
  <si>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</si>
  <si>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</si>
  <si>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</si>
  <si>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</si>
  <si>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</si>
  <si>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</si>
  <si>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</si>
  <si>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</si>
  <si>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</si>
  <si>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</si>
  <si>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</si>
  <si>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</si>
  <si>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</si>
  <si>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</si>
  <si>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</si>
  <si>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</si>
  <si>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</si>
  <si>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</si>
  <si>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</si>
  <si>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</si>
  <si>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</si>
  <si>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</si>
  <si>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</si>
  <si>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</si>
  <si>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</si>
  <si>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</si>
  <si>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</si>
  <si>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</si>
  <si>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</si>
  <si>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</si>
  <si>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</si>
  <si>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</si>
  <si>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</si>
  <si>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</si>
  <si>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</si>
  <si>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</si>
  <si>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</si>
  <si>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</si>
  <si>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</si>
  <si>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</si>
  <si>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</si>
  <si>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</si>
  <si>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</si>
  <si>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</si>
  <si>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</si>
  <si>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</si>
  <si>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</si>
  <si>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</si>
  <si>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</si>
  <si>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</si>
  <si>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</si>
  <si>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</si>
  <si>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</si>
  <si>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</si>
  <si>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</si>
  <si>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</si>
  <si>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</si>
  <si>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</si>
  <si>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</si>
  <si>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+569 8</t>
  </si>
  <si>
    <t>POR TRANSPORTES</t>
  </si>
  <si>
    <t>STATUS SPA</t>
  </si>
  <si>
    <t>77.393.671-4</t>
  </si>
  <si>
    <t>FABRICACION DE MUEBLES</t>
  </si>
  <si>
    <t>APOQUINDO 6410, OF 605 PS6</t>
  </si>
  <si>
    <t>SANTIAGO, LAS CONDES</t>
  </si>
  <si>
    <t>ADQUISICIONES@STATUSCHILE.CL</t>
  </si>
  <si>
    <t>EUSIBEL SAAVEDRA</t>
  </si>
  <si>
    <t>CUBIERTA CON RESPALDO 15CM FRENTE 90°</t>
  </si>
  <si>
    <t>BLANCO BRILLO L190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</si>
</sst>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3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406913</xdr:colOff>
      <xdr:row>28</xdr:row>
      <xdr:rowOff>9525</xdr:rowOff>
    </xdr:from>
    <xdr:to>
      <xdr:col>5</xdr:col>
      <xdr:colOff>1730888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6913" y="5728622"/>
          <a:ext cx="7043072" cy="67320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8196</xdr:colOff>
      <xdr:row>23</xdr:row>
      <xdr:rowOff>9525</xdr:rowOff>
    </xdr:from>
    <xdr:to>
      <xdr:col>5</xdr:col>
      <xdr:colOff>1635066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3" y="4614299"/>
          <a:ext cx="6936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QUISICIONES@STATUSCHILE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0" zoomScale="93" zoomScaleNormal="93" workbookViewId="0">
      <selection activeCell="I24" sqref="I24"/>
    </sheetView>
  </sheetViews>
  <sheetFormatPr baseColWidth="10" defaultRowHeight="14.4" x14ac:dyDescent="0.3"/>
  <cols>
    <col min="1" max="1" width="6" customWidth="1"/>
    <col min="2" max="2" width="10.5546875" customWidth="1"/>
    <col min="3" max="3" width="45.218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45341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 t="s">
        <v>170</v>
      </c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 t="s">
        <v>171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175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 t="s">
        <v>174</v>
      </c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167</v>
      </c>
      <c r="D15" s="322"/>
      <c r="F15" t="s">
        <v>135</v>
      </c>
      <c r="G15" s="320" t="s">
        <v>168</v>
      </c>
      <c r="H15" s="290"/>
    </row>
    <row r="16" spans="2:23" ht="16.8" x14ac:dyDescent="0.4">
      <c r="B16" s="328" t="s">
        <v>3</v>
      </c>
      <c r="C16" s="318" t="s">
        <v>172</v>
      </c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173</v>
      </c>
      <c r="D17" s="325"/>
      <c r="E17" s="119"/>
      <c r="F17" s="335" t="s">
        <v>165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103084.15286624205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3</v>
      </c>
      <c r="C21" s="314" t="s">
        <v>176</v>
      </c>
      <c r="D21" s="315">
        <v>1.55</v>
      </c>
      <c r="E21" s="315">
        <v>0.5</v>
      </c>
      <c r="F21" s="314" t="s">
        <v>177</v>
      </c>
      <c r="G21" s="316">
        <f>P21</f>
        <v>82467.322292993646</v>
      </c>
      <c r="H21" s="317">
        <f>G21*B21</f>
        <v>247401.96687898092</v>
      </c>
      <c r="I21" s="265"/>
      <c r="J21" s="47"/>
      <c r="K21" s="47">
        <f>B21</f>
        <v>3</v>
      </c>
      <c r="L21" s="39">
        <f>D21+L$19</f>
        <v>1.6</v>
      </c>
      <c r="M21" s="39">
        <f>E21</f>
        <v>0.5</v>
      </c>
      <c r="N21" s="261">
        <f>L21*M21</f>
        <v>0.8</v>
      </c>
      <c r="O21" s="259">
        <f>N21*K21</f>
        <v>2.4000000000000004</v>
      </c>
      <c r="P21" s="252">
        <f>N21*P20</f>
        <v>82467.322292993646</v>
      </c>
      <c r="Q21" s="258">
        <f t="shared" ref="Q21" si="1">P21+Q$20</f>
        <v>85467.322292993646</v>
      </c>
      <c r="R21" s="299">
        <f>L21*K21*2</f>
        <v>9.6000000000000014</v>
      </c>
      <c r="S21" s="46">
        <f>M21*K21*2</f>
        <v>3</v>
      </c>
      <c r="T21" s="9"/>
      <c r="W21" s="4"/>
    </row>
    <row r="22" spans="2:24" ht="18" thickBot="1" x14ac:dyDescent="0.35">
      <c r="B22" s="331">
        <v>1</v>
      </c>
      <c r="C22" s="347" t="s">
        <v>176</v>
      </c>
      <c r="D22" s="332">
        <v>3</v>
      </c>
      <c r="E22" s="332">
        <v>0.5</v>
      </c>
      <c r="F22" s="347" t="s">
        <v>177</v>
      </c>
      <c r="G22" s="333">
        <f>P22</f>
        <v>125762.66649681531</v>
      </c>
      <c r="H22" s="334">
        <f>G22*B22</f>
        <v>125762.66649681531</v>
      </c>
      <c r="I22" s="265"/>
      <c r="J22" s="47"/>
      <c r="K22" s="47">
        <f>B22</f>
        <v>1</v>
      </c>
      <c r="L22" s="39">
        <f>D22+L$19</f>
        <v>3.05</v>
      </c>
      <c r="M22" s="39">
        <f>E22</f>
        <v>0.5</v>
      </c>
      <c r="N22" s="261">
        <f>L22*M22</f>
        <v>1.5249999999999999</v>
      </c>
      <c r="O22" s="259">
        <f>N22*K22</f>
        <v>1.5249999999999999</v>
      </c>
      <c r="P22" s="252">
        <f>N22*P21</f>
        <v>125762.66649681531</v>
      </c>
      <c r="Q22" s="258">
        <f t="shared" ref="Q22" si="2">P22+Q$20</f>
        <v>128762.66649681531</v>
      </c>
      <c r="R22" s="299">
        <f>L22*K22*2</f>
        <v>6.1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SUM(H21:H22)</f>
        <v>373164.63337579626</v>
      </c>
      <c r="I24" s="265"/>
      <c r="J24" s="47"/>
      <c r="K24" s="47"/>
      <c r="L24" s="39">
        <f>SUM(L21:L23)</f>
        <v>4.6500000000000004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70901.280341401289</v>
      </c>
      <c r="I25" s="265"/>
      <c r="J25" s="47"/>
      <c r="K25" s="47"/>
      <c r="L25" s="39">
        <f>(L21*K21)+(L22*K22)</f>
        <v>7.8500000000000005</v>
      </c>
      <c r="M25" s="12"/>
      <c r="N25" s="12"/>
      <c r="O25" s="253">
        <f>SUM(O21:O22)</f>
        <v>3.9250000000000003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444065.91371719755</v>
      </c>
      <c r="I26" s="265"/>
      <c r="J26" s="47"/>
      <c r="K26" s="47"/>
      <c r="L26" s="39"/>
      <c r="M26" s="12"/>
      <c r="N26" s="12"/>
      <c r="O26" s="253">
        <f>O25</f>
        <v>3.9250000000000003</v>
      </c>
      <c r="P26" s="14"/>
      <c r="Q26" s="12"/>
      <c r="R26" s="239">
        <f>SUM(R21:R25)</f>
        <v>15.700000000000001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0.78500000000000014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4.7100000000000009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4.7100000000000009</v>
      </c>
      <c r="M30" s="12">
        <v>3500</v>
      </c>
      <c r="N30" s="12">
        <f t="shared" ref="N30:N35" si="3">L30*M30</f>
        <v>16485.000000000004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1.27</v>
      </c>
      <c r="M31" s="12">
        <v>23850</v>
      </c>
      <c r="N31" s="12">
        <f t="shared" si="3"/>
        <v>30289.5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>
        <v>2</v>
      </c>
      <c r="M32" s="250">
        <v>62681</v>
      </c>
      <c r="N32" s="12">
        <f t="shared" si="3"/>
        <v>125362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30120</v>
      </c>
      <c r="N33" s="12">
        <f t="shared" si="3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3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v>7.85</v>
      </c>
      <c r="M35" s="12">
        <v>1500</v>
      </c>
      <c r="N35" s="12">
        <f t="shared" si="3"/>
        <v>11775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183911.5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404605.30000000005</v>
      </c>
      <c r="O37" s="14" t="s">
        <v>141</v>
      </c>
      <c r="P37" s="14"/>
      <c r="Q37" s="40">
        <f>O28/Q36</f>
        <v>1.2699525452976705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56950</v>
      </c>
      <c r="K38" s="250"/>
      <c r="L38" s="14"/>
      <c r="M38" s="12"/>
      <c r="N38" s="12">
        <f>N37/O26</f>
        <v>103084.15286624205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J39" s="230">
        <f>J38/1.19</f>
        <v>47857.142857142862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557B4B8D-927C-4ADD-92FD-577E4261076E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45341</v>
      </c>
    </row>
    <row r="6" spans="2:31" ht="16.2" thickBot="1" x14ac:dyDescent="0.35">
      <c r="B6" s="140" t="s">
        <v>2</v>
      </c>
      <c r="C6" s="139" t="str">
        <f>'2229'!C10</f>
        <v>STATUS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-6652.1930960868194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373164.63337579626</v>
      </c>
      <c r="E11" s="132">
        <f>D11*0.19</f>
        <v>70901.280341401289</v>
      </c>
      <c r="F11" s="131">
        <f>E11+D11</f>
        <v>444065.91371719755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99337.806903913181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201970.59078743961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81337.806903913181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171194.04258835665</v>
      </c>
      <c r="E13" s="221">
        <f>(D11/D12)-1</f>
        <v>0.84761866527650453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72337.806903913181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33337.806903913181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333251.47479927534</v>
      </c>
      <c r="F15" s="216">
        <f>E15-D12</f>
        <v>131280.88401183573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33337.806903913181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73337.806903913181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125362</v>
      </c>
      <c r="E18" s="123">
        <f>D18*0.19</f>
        <v>23818.78</v>
      </c>
      <c r="F18" s="120">
        <f>SUM(D18:E18)</f>
        <v>149180.78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30289.5</v>
      </c>
      <c r="E19" s="123">
        <f>D19*0.19</f>
        <v>5755.0050000000001</v>
      </c>
      <c r="F19" s="120">
        <f>SUM(D19:E19)</f>
        <v>36044.504999999997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16485.000000000004</v>
      </c>
      <c r="E20" s="121">
        <f>D20*0.19</f>
        <v>3132.1500000000005</v>
      </c>
      <c r="F20" s="120">
        <f>SUM(D20:E20)</f>
        <v>19617.150000000005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172136.5</v>
      </c>
      <c r="E21" s="116">
        <f>SUM(E18:E20)</f>
        <v>32705.935000000001</v>
      </c>
      <c r="F21" s="115">
        <f>SUM(F18:F20)</f>
        <v>204842.435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38195.345341401291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373164.63337579626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172136.5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171194.04258835665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171194.04258835665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2024-02-19T14:03:07Z</cp:lastPrinted>
  <dcterms:created xsi:type="dcterms:W3CDTF">2013-03-18T13:35:42Z</dcterms:created>
  <dcterms:modified xsi:type="dcterms:W3CDTF">2024-02-19T15:30:46Z</dcterms:modified>
</cp:coreProperties>
</file>