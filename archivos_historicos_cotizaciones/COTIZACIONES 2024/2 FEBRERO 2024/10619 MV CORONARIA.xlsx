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2 FEBRERO 2024\"/>
    </mc:Choice>
  </mc:AlternateContent>
  <xr:revisionPtr revIDLastSave="0" documentId="13_ncr:1_{7A68A6A9-DA8B-4DB7-A747-DF6D57EA8E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" i="1" l="1"/>
  <c r="M23" i="1"/>
  <c r="N23" i="1"/>
  <c r="O23" i="1" s="1"/>
  <c r="R23" i="1"/>
  <c r="R22" i="1"/>
  <c r="H23" i="1"/>
  <c r="L22" i="1"/>
  <c r="M22" i="1"/>
  <c r="N22" i="1"/>
  <c r="H22" i="1"/>
  <c r="J41" i="1"/>
  <c r="L21" i="1"/>
  <c r="L26" i="1" s="1"/>
  <c r="M21" i="1"/>
  <c r="O22" i="1" l="1"/>
  <c r="S21" i="1"/>
  <c r="R21" i="1"/>
  <c r="R28" i="1" s="1"/>
  <c r="N21" i="1"/>
  <c r="O21" i="1" s="1"/>
  <c r="O27" i="1" s="1"/>
  <c r="U34" i="1"/>
  <c r="U35" i="1" s="1"/>
  <c r="N33" i="1" l="1"/>
  <c r="O28" i="1" l="1"/>
  <c r="O29" i="1" s="1"/>
  <c r="O30" i="1" s="1"/>
  <c r="L32" i="1" s="1"/>
  <c r="M20" i="1"/>
  <c r="K20" i="1"/>
  <c r="N34" i="1" l="1"/>
  <c r="Q38" i="1"/>
  <c r="N35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N32" i="1" l="1"/>
  <c r="Q39" i="1"/>
  <c r="N38" i="1" l="1"/>
  <c r="N39" i="1" s="1"/>
  <c r="D20" i="3"/>
  <c r="E20" i="3" s="1"/>
  <c r="E21" i="3" s="1"/>
  <c r="N40" i="1" l="1"/>
  <c r="D21" i="3"/>
  <c r="M43" i="3" s="1"/>
  <c r="D12" i="3" s="1"/>
  <c r="F20" i="3"/>
  <c r="F21" i="3" s="1"/>
  <c r="N41" i="1" l="1"/>
  <c r="P20" i="1"/>
  <c r="E15" i="3"/>
  <c r="P22" i="1" l="1"/>
  <c r="Q22" i="1" s="1"/>
  <c r="P23" i="1"/>
  <c r="Q23" i="1" s="1"/>
  <c r="P21" i="1"/>
  <c r="F15" i="3"/>
  <c r="Q21" i="1" l="1"/>
  <c r="H21" i="1" l="1"/>
  <c r="H26" i="1" s="1"/>
  <c r="H27" i="1" s="1"/>
  <c r="D11" i="3" l="1"/>
  <c r="X9" i="3" s="1"/>
  <c r="X15" i="3" s="1"/>
  <c r="H28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<sst xmlns="http://schemas.openxmlformats.org/spreadsheetml/2006/main" count="236" uniqueCount="178">
  <si>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</si>
  <si>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</si>
  <si>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</si>
  <si>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</si>
  <si>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</si>
  <si>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</si>
  <si>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</si>
  <si>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</si>
  <si>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</si>
  <si>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</si>
  <si>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</si>
  <si>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</si>
  <si>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</si>
  <si>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</si>
  <si>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</si>
  <si>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</si>
  <si>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</si>
  <si>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</si>
  <si>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</si>
  <si>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</si>
  <si>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</si>
  <si>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</si>
  <si>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</si>
  <si>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</si>
  <si>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</si>
  <si>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</si>
  <si>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</si>
  <si>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</si>
  <si>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</si>
  <si>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</si>
  <si>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</si>
  <si>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</si>
  <si>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</si>
  <si>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</si>
  <si>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</si>
  <si>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</si>
  <si>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</si>
  <si>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</si>
  <si>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</si>
  <si>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</si>
  <si>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</si>
  <si>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</si>
  <si>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</si>
  <si>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</si>
  <si>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</si>
  <si>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</si>
  <si>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</si>
  <si>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</si>
  <si>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</si>
  <si>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</si>
  <si>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</si>
  <si>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</si>
  <si>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</si>
  <si>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</si>
  <si>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</si>
  <si>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</si>
  <si>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</si>
  <si>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</si>
  <si>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</si>
  <si>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</si>
  <si>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</si>
  <si>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</si>
  <si>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</si>
  <si>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</si>
  <si>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</si>
  <si>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</si>
  <si>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</si>
  <si>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</si>
  <si>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</si>
  <si>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</si>
  <si>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</si>
  <si>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</si>
  <si>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</si>
  <si>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</si>
  <si>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</si>
  <si>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</si>
  <si>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</si>
  <si>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</si>
  <si>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</si>
  <si>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</si>
  <si>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</si>
  <si>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</si>
  <si>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</si>
  <si>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</si>
  <si>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</si>
  <si>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</si>
  <si>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</si>
  <si>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</si>
  <si>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</si>
  <si>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</si>
  <si>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</si>
  <si>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</si>
  <si>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</si>
  <si>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</si>
  <si>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</si>
  <si>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</si>
  <si>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</si>
  <si>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</si>
  <si>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</si>
  <si>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</si>
  <si>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</si>
  <si>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</si>
  <si>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</si>
  <si>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</si>
  <si>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</si>
  <si>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</si>
  <si>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</si>
  <si>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</si>
  <si>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</si>
  <si>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</si>
  <si>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</si>
  <si>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</si>
  <si>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</si>
  <si>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</si>
  <si>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</si>
  <si>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</si>
  <si>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</si>
  <si>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</si>
  <si>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</si>
  <si>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</si>
  <si>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</si>
  <si>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</si>
  <si>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</si>
  <si>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</si>
  <si>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</si>
  <si>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</si>
  <si>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</si>
  <si>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</si>
  <si>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</si>
  <si>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</si>
  <si>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</si>
  <si>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</si>
  <si>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</si>
  <si>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</si>
  <si>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</si>
  <si>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</si>
  <si>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</si>
  <si>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</si>
  <si>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</si>
  <si>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</si>
  <si>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</si>
  <si>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</si>
  <si>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</si>
  <si>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</si>
  <si>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</si>
  <si>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</si>
  <si>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</si>
  <si>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</si>
  <si>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</si>
  <si>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</si>
  <si>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</si>
  <si>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</si>
  <si>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</si>
  <si>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</si>
  <si>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</si>
  <si>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</si>
  <si>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</si>
  <si>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</si>
  <si>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</si>
  <si>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</si>
  <si>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</si>
  <si>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</si>
  <si>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</si>
  <si>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</si>
  <si>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</si>
  <si>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</si>
  <si>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</si>
  <si>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</si>
  <si>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CUBIERTA CON RESPALDO  FRENTE 90° R8</t>
  </si>
  <si>
    <t>CARIBE 2182 MT (OPACO)</t>
  </si>
  <si>
    <t>CUBIERTA CON RESPALDO  FRENTE 90° R8 ***</t>
  </si>
  <si>
    <t>GRANITINO NEGRO 3014 BR</t>
  </si>
  <si>
    <t>+569 9215 2923</t>
  </si>
  <si>
    <t>7 DIAS HABILES</t>
  </si>
  <si>
    <t>12.043.806-9</t>
  </si>
  <si>
    <t>REINALDO ESPELETA SANTIS</t>
  </si>
  <si>
    <t>VENTA POR MAYOR DE MATERIALES DE CONSTRUCCION Y FERRETERIA</t>
  </si>
  <si>
    <t>DE LOS FUNDADORES 1287 PUENTE 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</si>
</sst>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167" fontId="11" fillId="0" borderId="0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7" fillId="8" borderId="0" xfId="0" applyFont="1" applyFill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30</xdr:row>
      <xdr:rowOff>26670</xdr:rowOff>
    </xdr:from>
    <xdr:to>
      <xdr:col>7</xdr:col>
      <xdr:colOff>1034435</xdr:colOff>
      <xdr:row>33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25</xdr:row>
      <xdr:rowOff>9525</xdr:rowOff>
    </xdr:from>
    <xdr:to>
      <xdr:col>5</xdr:col>
      <xdr:colOff>1594096</xdr:colOff>
      <xdr:row>28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SOBRE MEDIDA EN EL LARGO</a:t>
          </a:r>
          <a:endParaRPr lang="es-CL" sz="12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 CUBIERTA DE 3546X600 DEBE LLEVAR UNION DE LAMINADO, LADO DERECHO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topLeftCell="A6" zoomScale="93" zoomScaleNormal="93" workbookViewId="0">
      <selection activeCell="C17" sqref="C17"/>
    </sheetView>
  </sheetViews>
  <sheetFormatPr baseColWidth="10" defaultRowHeight="14.4" x14ac:dyDescent="0.3"/>
  <cols>
    <col min="1" max="1" width="6" customWidth="1"/>
    <col min="2" max="2" width="10.5546875" customWidth="1"/>
    <col min="3" max="3" width="44.8867187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294">
        <v>10619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9" t="s">
        <v>163</v>
      </c>
      <c r="C10" s="279" t="s">
        <v>175</v>
      </c>
      <c r="D10" s="243"/>
      <c r="E10" s="243"/>
      <c r="F10" s="244" t="s">
        <v>0</v>
      </c>
      <c r="G10" s="277">
        <v>45394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2" t="s">
        <v>174</v>
      </c>
      <c r="F11" t="s">
        <v>124</v>
      </c>
      <c r="G11" s="289" t="s">
        <v>173</v>
      </c>
      <c r="H11" s="290"/>
      <c r="P11" s="19"/>
      <c r="Q11" s="25" t="s">
        <v>19</v>
      </c>
      <c r="R11" s="19"/>
    </row>
    <row r="12" spans="2:23" x14ac:dyDescent="0.3">
      <c r="B12" s="246" t="s">
        <v>146</v>
      </c>
      <c r="C12" s="344" t="s">
        <v>176</v>
      </c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9"/>
      <c r="H13" s="290"/>
      <c r="P13" s="19"/>
      <c r="Q13" s="25"/>
      <c r="R13" s="19"/>
    </row>
    <row r="14" spans="2:23" x14ac:dyDescent="0.3">
      <c r="B14" s="246" t="s">
        <v>140</v>
      </c>
      <c r="C14" s="326"/>
      <c r="D14" s="247"/>
      <c r="E14" s="247"/>
      <c r="F14" s="327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1" t="s">
        <v>172</v>
      </c>
      <c r="D15" s="322"/>
      <c r="F15" t="s">
        <v>135</v>
      </c>
      <c r="G15" s="320" t="s">
        <v>136</v>
      </c>
      <c r="H15" s="290"/>
    </row>
    <row r="16" spans="2:23" ht="16.8" x14ac:dyDescent="0.4">
      <c r="B16" s="328" t="s">
        <v>3</v>
      </c>
      <c r="C16" s="318" t="s">
        <v>177</v>
      </c>
      <c r="D16" s="247"/>
      <c r="E16" s="247"/>
      <c r="F16" s="329" t="s">
        <v>130</v>
      </c>
      <c r="G16" s="330" t="s">
        <v>164</v>
      </c>
      <c r="H16" s="248"/>
    </row>
    <row r="17" spans="2:24" ht="15" thickBot="1" x14ac:dyDescent="0.35">
      <c r="B17" s="323" t="s">
        <v>13</v>
      </c>
      <c r="C17" s="324" t="s">
        <v>167</v>
      </c>
      <c r="D17" s="325"/>
      <c r="E17" s="119"/>
      <c r="F17" s="332" t="s">
        <v>166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148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0" t="s">
        <v>7</v>
      </c>
      <c r="C20" s="311" t="s">
        <v>1</v>
      </c>
      <c r="D20" s="311" t="s">
        <v>10</v>
      </c>
      <c r="E20" s="311" t="s">
        <v>11</v>
      </c>
      <c r="F20" s="311" t="s">
        <v>8</v>
      </c>
      <c r="G20" s="311" t="s">
        <v>5</v>
      </c>
      <c r="H20" s="31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N40</f>
        <v>73225.837126960047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13">
        <v>1</v>
      </c>
      <c r="C21" s="314" t="s">
        <v>170</v>
      </c>
      <c r="D21" s="315">
        <v>3.54</v>
      </c>
      <c r="E21" s="315">
        <v>0.6</v>
      </c>
      <c r="F21" s="314" t="s">
        <v>169</v>
      </c>
      <c r="G21" s="316">
        <v>160728</v>
      </c>
      <c r="H21" s="317">
        <f>G21*B21</f>
        <v>160728</v>
      </c>
      <c r="I21" s="265"/>
      <c r="J21" s="47"/>
      <c r="K21" s="47">
        <v>1</v>
      </c>
      <c r="L21" s="39">
        <f t="shared" ref="L21" si="1">D21+L$19</f>
        <v>3.59</v>
      </c>
      <c r="M21" s="39">
        <f t="shared" ref="M21" si="2">E21+M$19</f>
        <v>0.6</v>
      </c>
      <c r="N21" s="261">
        <f t="shared" ref="N21" si="3">L21*M21</f>
        <v>2.1539999999999999</v>
      </c>
      <c r="O21" s="259">
        <f t="shared" ref="O21" si="4">N21*K21</f>
        <v>2.1539999999999999</v>
      </c>
      <c r="P21" s="252">
        <f t="shared" ref="P21" si="5">P$20*N21</f>
        <v>157728.45317147192</v>
      </c>
      <c r="Q21" s="258">
        <f t="shared" ref="Q21" si="6">P21+Q$20</f>
        <v>160728.45317147192</v>
      </c>
      <c r="R21" s="299">
        <f>L21*K21*2</f>
        <v>7.18</v>
      </c>
      <c r="S21" s="46">
        <f>M21*K21*2</f>
        <v>1.2</v>
      </c>
      <c r="T21" s="9"/>
      <c r="W21" s="4"/>
    </row>
    <row r="22" spans="2:24" ht="18" thickBot="1" x14ac:dyDescent="0.35">
      <c r="B22" s="313">
        <v>1</v>
      </c>
      <c r="C22" s="314" t="s">
        <v>168</v>
      </c>
      <c r="D22" s="315">
        <v>2.95</v>
      </c>
      <c r="E22" s="315">
        <v>0.6</v>
      </c>
      <c r="F22" s="314" t="s">
        <v>169</v>
      </c>
      <c r="G22" s="316">
        <v>134747</v>
      </c>
      <c r="H22" s="317">
        <f>G22*B22</f>
        <v>134747</v>
      </c>
      <c r="I22" s="265"/>
      <c r="J22" s="47"/>
      <c r="K22" s="47">
        <v>1</v>
      </c>
      <c r="L22" s="39">
        <f t="shared" ref="L22" si="7">D22+L$19</f>
        <v>3</v>
      </c>
      <c r="M22" s="39">
        <f t="shared" ref="M22" si="8">E22+M$19</f>
        <v>0.6</v>
      </c>
      <c r="N22" s="261">
        <f t="shared" ref="N22" si="9">L22*M22</f>
        <v>1.7999999999999998</v>
      </c>
      <c r="O22" s="259">
        <f t="shared" ref="O22" si="10">N22*K22</f>
        <v>1.7999999999999998</v>
      </c>
      <c r="P22" s="252">
        <f t="shared" ref="P22" si="11">P$20*N22</f>
        <v>131806.50682852807</v>
      </c>
      <c r="Q22" s="258">
        <f t="shared" ref="Q22" si="12">P22+Q$20</f>
        <v>134806.50682852807</v>
      </c>
      <c r="R22" s="299">
        <f>L22*K22*2</f>
        <v>6</v>
      </c>
      <c r="S22" s="46"/>
      <c r="T22" s="9"/>
      <c r="W22" s="4"/>
    </row>
    <row r="23" spans="2:24" ht="17.399999999999999" x14ac:dyDescent="0.3">
      <c r="B23" s="313">
        <v>1</v>
      </c>
      <c r="C23" s="314" t="s">
        <v>168</v>
      </c>
      <c r="D23" s="315">
        <v>1.9950000000000001</v>
      </c>
      <c r="E23" s="315">
        <v>0.6</v>
      </c>
      <c r="F23" s="314" t="s">
        <v>171</v>
      </c>
      <c r="G23" s="316">
        <v>134026</v>
      </c>
      <c r="H23" s="317">
        <f>G23*B23</f>
        <v>134026</v>
      </c>
      <c r="I23" s="265"/>
      <c r="J23" s="47"/>
      <c r="K23" s="47"/>
      <c r="L23" s="39">
        <f t="shared" ref="L23" si="13">D23+L$19</f>
        <v>2.0449999999999999</v>
      </c>
      <c r="M23" s="39">
        <f t="shared" ref="M23" si="14">E23+M$19</f>
        <v>0.6</v>
      </c>
      <c r="N23" s="261">
        <f t="shared" ref="N23" si="15">L23*M23</f>
        <v>1.2269999999999999</v>
      </c>
      <c r="O23" s="259">
        <f t="shared" ref="O23" si="16">N23*K23</f>
        <v>0</v>
      </c>
      <c r="P23" s="252">
        <f t="shared" ref="P23" si="17">P$20*N23</f>
        <v>89848.102154779961</v>
      </c>
      <c r="Q23" s="258">
        <f t="shared" ref="Q23" si="18">P23+Q$20</f>
        <v>92848.102154779961</v>
      </c>
      <c r="R23" s="299">
        <f>L23*K23*2</f>
        <v>0</v>
      </c>
      <c r="S23" s="46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31"/>
      <c r="H24" s="331"/>
      <c r="I24" s="265"/>
      <c r="J24" s="47"/>
      <c r="K24" s="47"/>
      <c r="L24" s="39"/>
      <c r="M24" s="39"/>
      <c r="N24" s="261"/>
      <c r="O24" s="259"/>
      <c r="P24" s="252"/>
      <c r="Q24" s="258"/>
      <c r="R24" s="299"/>
      <c r="S24" s="46"/>
      <c r="T24" s="9"/>
      <c r="W24" s="4"/>
    </row>
    <row r="25" spans="2:24" ht="18" thickBot="1" x14ac:dyDescent="0.35">
      <c r="B25" s="286"/>
      <c r="C25" s="286"/>
      <c r="D25" s="287"/>
      <c r="E25" s="287"/>
      <c r="F25" s="286"/>
      <c r="G25" s="265"/>
      <c r="H25" s="233"/>
      <c r="I25" s="233"/>
      <c r="J25" s="47"/>
      <c r="K25" s="47"/>
      <c r="L25" s="39"/>
      <c r="M25" s="39"/>
      <c r="N25" s="261"/>
      <c r="O25" s="259"/>
      <c r="P25" s="252"/>
      <c r="Q25" s="258"/>
      <c r="R25" s="299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00" t="s">
        <v>29</v>
      </c>
      <c r="H26" s="301">
        <f>SUM(H21:H25)</f>
        <v>429501</v>
      </c>
      <c r="I26" s="265"/>
      <c r="J26" s="47"/>
      <c r="K26" s="47"/>
      <c r="L26" s="39">
        <f>SUM(L21:L25)</f>
        <v>8.6349999999999998</v>
      </c>
      <c r="M26" s="39"/>
      <c r="N26" s="261"/>
      <c r="O26" s="259"/>
      <c r="P26" s="252"/>
      <c r="Q26" s="258"/>
      <c r="R26" s="299"/>
      <c r="S26" s="14"/>
      <c r="T26" s="9"/>
      <c r="W26" s="4"/>
    </row>
    <row r="27" spans="2:24" ht="17.399999999999999" x14ac:dyDescent="0.3">
      <c r="B27" s="280"/>
      <c r="C27" s="283"/>
      <c r="D27" s="284"/>
      <c r="E27" s="284"/>
      <c r="F27" s="285"/>
      <c r="G27" s="298" t="s">
        <v>52</v>
      </c>
      <c r="H27" s="296">
        <f>H26*19%</f>
        <v>81605.19</v>
      </c>
      <c r="I27" s="265"/>
      <c r="J27" s="47"/>
      <c r="K27" s="47"/>
      <c r="L27" s="39"/>
      <c r="M27" s="12"/>
      <c r="N27" s="12"/>
      <c r="O27" s="253">
        <f>SUM(O21:O23)</f>
        <v>3.9539999999999997</v>
      </c>
      <c r="P27" s="14"/>
      <c r="Q27" s="12"/>
      <c r="R27" s="239"/>
      <c r="S27" s="14"/>
      <c r="T27" s="9"/>
      <c r="W27" s="4"/>
    </row>
    <row r="28" spans="2:24" ht="18" thickBot="1" x14ac:dyDescent="0.35">
      <c r="B28" s="276"/>
      <c r="C28" s="282"/>
      <c r="D28" s="272"/>
      <c r="E28" s="272"/>
      <c r="F28" s="273"/>
      <c r="G28" s="281" t="s">
        <v>6</v>
      </c>
      <c r="H28" s="297">
        <f>H26+H27</f>
        <v>511106.19</v>
      </c>
      <c r="I28" s="265"/>
      <c r="J28" s="47"/>
      <c r="K28" s="47"/>
      <c r="L28" s="39"/>
      <c r="M28" s="12"/>
      <c r="N28" s="12"/>
      <c r="O28" s="253">
        <f>O27</f>
        <v>3.9539999999999997</v>
      </c>
      <c r="P28" s="14"/>
      <c r="Q28" s="12"/>
      <c r="R28" s="239">
        <f>SUM(R21:R27)</f>
        <v>13.18</v>
      </c>
      <c r="S28" s="14"/>
      <c r="T28" s="9"/>
      <c r="W28" s="4"/>
    </row>
    <row r="29" spans="2:24" ht="17.399999999999999" x14ac:dyDescent="0.3">
      <c r="B29" s="276"/>
      <c r="C29" s="271"/>
      <c r="D29" s="272"/>
      <c r="E29" s="272"/>
      <c r="F29" s="273"/>
      <c r="I29" s="265"/>
      <c r="J29" s="47"/>
      <c r="K29" s="47"/>
      <c r="L29" s="14"/>
      <c r="M29" s="12"/>
      <c r="N29" s="12"/>
      <c r="O29" s="39">
        <f>O28*20%</f>
        <v>0.79079999999999995</v>
      </c>
      <c r="P29" s="39" t="s">
        <v>131</v>
      </c>
      <c r="Q29" s="42"/>
      <c r="R29" s="240"/>
      <c r="S29" s="14"/>
      <c r="T29" s="9"/>
      <c r="W29" s="4"/>
    </row>
    <row r="30" spans="2:24" ht="17.399999999999999" x14ac:dyDescent="0.3">
      <c r="B30" s="271"/>
      <c r="C30" s="271"/>
      <c r="D30" s="272"/>
      <c r="E30" s="272"/>
      <c r="F30" s="273"/>
      <c r="G30" s="274"/>
      <c r="H30" s="275"/>
      <c r="I30" s="265"/>
      <c r="J30" s="47"/>
      <c r="K30" s="47"/>
      <c r="L30" s="14"/>
      <c r="M30" s="12"/>
      <c r="N30" s="12"/>
      <c r="O30" s="46">
        <f>O28+O29</f>
        <v>4.7447999999999997</v>
      </c>
      <c r="P30" s="14"/>
      <c r="Q30" s="14"/>
      <c r="R30" s="238">
        <v>40</v>
      </c>
      <c r="S30" s="14"/>
      <c r="T30" s="9"/>
      <c r="W30" s="4"/>
    </row>
    <row r="31" spans="2:24" ht="17.399999999999999" x14ac:dyDescent="0.35">
      <c r="B31" s="269"/>
      <c r="C31" s="230"/>
      <c r="D31" s="230"/>
      <c r="E31" s="233"/>
      <c r="F31" s="234"/>
      <c r="G31" s="230"/>
      <c r="H31" s="275"/>
      <c r="I31" s="265"/>
      <c r="J31" s="47"/>
      <c r="K31" s="47"/>
      <c r="L31" s="14"/>
      <c r="M31" s="14"/>
      <c r="N31" s="14"/>
      <c r="O31" s="14"/>
      <c r="P31" s="14"/>
      <c r="Q31" s="14"/>
      <c r="R31" s="238"/>
      <c r="S31" s="14"/>
      <c r="T31" s="306" t="s">
        <v>22</v>
      </c>
      <c r="U31" s="303" t="s">
        <v>153</v>
      </c>
      <c r="V31" s="307">
        <v>44971</v>
      </c>
      <c r="W31" s="308"/>
    </row>
    <row r="32" spans="2:24" ht="17.399999999999999" x14ac:dyDescent="0.35">
      <c r="B32" s="235"/>
      <c r="C32" s="236"/>
      <c r="D32" s="237"/>
      <c r="E32" s="235"/>
      <c r="F32" s="230"/>
      <c r="G32" s="230"/>
      <c r="I32" s="265"/>
      <c r="J32" s="47"/>
      <c r="K32" s="47"/>
      <c r="L32" s="39">
        <f>O30</f>
        <v>4.7447999999999997</v>
      </c>
      <c r="M32" s="12">
        <v>3500</v>
      </c>
      <c r="N32" s="12">
        <f t="shared" ref="N32:N37" si="19">L32*M32</f>
        <v>16606.8</v>
      </c>
      <c r="O32" s="14" t="s">
        <v>22</v>
      </c>
      <c r="P32" s="14"/>
      <c r="Q32" s="14"/>
      <c r="R32" s="241"/>
      <c r="S32" s="14"/>
      <c r="T32" s="306" t="s">
        <v>154</v>
      </c>
      <c r="U32" s="303">
        <v>3625</v>
      </c>
      <c r="V32" s="59" t="s">
        <v>155</v>
      </c>
      <c r="W32" s="308"/>
    </row>
    <row r="33" spans="2:23" ht="17.399999999999999" x14ac:dyDescent="0.35">
      <c r="B33" s="230"/>
      <c r="C33" s="230"/>
      <c r="D33" s="230"/>
      <c r="E33" s="230"/>
      <c r="F33" s="230"/>
      <c r="G33" s="230"/>
      <c r="I33" s="265"/>
      <c r="J33" s="47"/>
      <c r="K33" s="47"/>
      <c r="L33" s="249">
        <v>1.3</v>
      </c>
      <c r="M33" s="12">
        <v>25000</v>
      </c>
      <c r="N33" s="12">
        <f t="shared" si="19"/>
        <v>32500</v>
      </c>
      <c r="O33" s="39" t="s">
        <v>32</v>
      </c>
      <c r="P33" s="42"/>
      <c r="Q33" s="14"/>
      <c r="R33" s="240"/>
      <c r="S33" s="14"/>
      <c r="T33" s="306"/>
      <c r="U33" s="59">
        <v>906.25</v>
      </c>
      <c r="V33" s="59" t="s">
        <v>156</v>
      </c>
      <c r="W33" s="308"/>
    </row>
    <row r="34" spans="2:23" s="230" customFormat="1" ht="17.399999999999999" x14ac:dyDescent="0.35">
      <c r="I34" s="262"/>
      <c r="J34" s="232"/>
      <c r="K34" s="250"/>
      <c r="L34" s="14"/>
      <c r="M34" s="250">
        <v>70000</v>
      </c>
      <c r="N34" s="12">
        <f t="shared" si="19"/>
        <v>0</v>
      </c>
      <c r="O34" s="39" t="s">
        <v>31</v>
      </c>
      <c r="P34" s="42"/>
      <c r="R34" s="240"/>
      <c r="S34" s="256"/>
      <c r="T34" s="59"/>
      <c r="U34" s="59">
        <f>U33*20%</f>
        <v>181.25</v>
      </c>
      <c r="V34" s="308" t="s">
        <v>157</v>
      </c>
      <c r="W34" s="59"/>
    </row>
    <row r="35" spans="2:23" s="230" customFormat="1" ht="17.399999999999999" x14ac:dyDescent="0.35">
      <c r="B35" s="24" t="s">
        <v>152</v>
      </c>
      <c r="I35" s="262"/>
      <c r="J35" s="232"/>
      <c r="K35" s="250"/>
      <c r="L35" s="14">
        <v>2</v>
      </c>
      <c r="M35" s="250">
        <v>36300</v>
      </c>
      <c r="N35" s="12">
        <f t="shared" si="19"/>
        <v>72600</v>
      </c>
      <c r="O35" s="14" t="s">
        <v>142</v>
      </c>
      <c r="P35" s="17"/>
      <c r="R35" s="238"/>
      <c r="S35" s="256"/>
      <c r="T35" s="59"/>
      <c r="U35" s="59">
        <f>U33+U34</f>
        <v>1087.5</v>
      </c>
      <c r="V35" s="308" t="s">
        <v>158</v>
      </c>
      <c r="W35" s="59"/>
    </row>
    <row r="36" spans="2:23" s="230" customFormat="1" ht="17.399999999999999" x14ac:dyDescent="0.35">
      <c r="B36" s="24" t="s">
        <v>145</v>
      </c>
      <c r="C36"/>
      <c r="D36"/>
      <c r="E36"/>
      <c r="F36"/>
      <c r="I36" s="262"/>
      <c r="K36" s="250"/>
      <c r="L36" s="249"/>
      <c r="M36" s="250">
        <v>300</v>
      </c>
      <c r="N36" s="12">
        <f t="shared" si="19"/>
        <v>0</v>
      </c>
      <c r="O36" s="14" t="s">
        <v>33</v>
      </c>
      <c r="P36" s="14"/>
      <c r="Q36" s="230">
        <v>1.52</v>
      </c>
      <c r="R36" s="238"/>
      <c r="S36" s="238"/>
    </row>
    <row r="37" spans="2:23" s="230" customFormat="1" ht="17.399999999999999" x14ac:dyDescent="0.35">
      <c r="B37" s="29" t="s">
        <v>126</v>
      </c>
      <c r="C37"/>
      <c r="D37"/>
      <c r="E37"/>
      <c r="F37" s="229" t="s">
        <v>16</v>
      </c>
      <c r="I37" s="295"/>
      <c r="K37" s="250"/>
      <c r="L37" s="266">
        <v>6.6</v>
      </c>
      <c r="M37" s="12">
        <v>1500</v>
      </c>
      <c r="N37" s="12">
        <f t="shared" si="19"/>
        <v>9900</v>
      </c>
      <c r="O37" s="14" t="s">
        <v>23</v>
      </c>
      <c r="P37" s="14"/>
      <c r="Q37">
        <v>2.44</v>
      </c>
      <c r="R37"/>
      <c r="S37" s="238"/>
      <c r="W37" s="231"/>
    </row>
    <row r="38" spans="2:23" s="230" customFormat="1" ht="17.399999999999999" x14ac:dyDescent="0.35">
      <c r="K38" s="250"/>
      <c r="L38" s="14"/>
      <c r="M38" s="12"/>
      <c r="N38" s="12">
        <f>SUM(N32:N37)</f>
        <v>131606.79999999999</v>
      </c>
      <c r="O38" s="39" t="s">
        <v>24</v>
      </c>
      <c r="P38" s="14"/>
      <c r="Q38">
        <f>Q36*Q37</f>
        <v>3.7088000000000001</v>
      </c>
      <c r="R38"/>
      <c r="S38" s="238"/>
      <c r="W38" s="231"/>
    </row>
    <row r="39" spans="2:23" s="230" customFormat="1" ht="17.399999999999999" x14ac:dyDescent="0.35">
      <c r="K39" s="250"/>
      <c r="L39" s="254" t="s">
        <v>34</v>
      </c>
      <c r="M39" s="12"/>
      <c r="N39" s="255">
        <f>N38*2.2</f>
        <v>289534.96000000002</v>
      </c>
      <c r="O39" s="14" t="s">
        <v>141</v>
      </c>
      <c r="P39" s="14"/>
      <c r="Q39" s="40">
        <f>O30/Q38</f>
        <v>1.2793356341673856</v>
      </c>
      <c r="R39"/>
      <c r="S39" s="257"/>
    </row>
    <row r="40" spans="2:23" s="230" customFormat="1" ht="17.399999999999999" x14ac:dyDescent="0.35">
      <c r="G40"/>
      <c r="H40" s="260"/>
      <c r="I40" s="260"/>
      <c r="J40" s="230">
        <v>43130</v>
      </c>
      <c r="K40" s="250"/>
      <c r="L40" s="14"/>
      <c r="M40" s="12"/>
      <c r="N40" s="12">
        <f>N39/O28</f>
        <v>73225.837126960047</v>
      </c>
      <c r="O40" s="45" t="s">
        <v>25</v>
      </c>
      <c r="P40" s="14"/>
      <c r="Q40" s="14"/>
      <c r="R40"/>
      <c r="S40" s="238"/>
      <c r="T40" s="59" t="s">
        <v>159</v>
      </c>
      <c r="U40" s="303">
        <v>43650</v>
      </c>
    </row>
    <row r="41" spans="2:23" s="230" customFormat="1" ht="17.399999999999999" x14ac:dyDescent="0.35">
      <c r="G41"/>
      <c r="H41" s="230" t="s">
        <v>165</v>
      </c>
      <c r="J41" s="230">
        <f>J40/1.19</f>
        <v>36243.697478991598</v>
      </c>
      <c r="K41" s="250"/>
      <c r="L41" s="13"/>
      <c r="M41" s="14"/>
      <c r="N41" s="17">
        <f>N39/N38</f>
        <v>2.2000000000000002</v>
      </c>
      <c r="O41" s="15"/>
      <c r="P41"/>
      <c r="Q41"/>
      <c r="R41"/>
      <c r="S41" s="238"/>
      <c r="T41" s="59" t="s">
        <v>161</v>
      </c>
      <c r="U41" s="304" t="s">
        <v>160</v>
      </c>
      <c r="V41" s="59">
        <v>2.4</v>
      </c>
    </row>
    <row r="42" spans="2:23" s="230" customFormat="1" ht="17.399999999999999" x14ac:dyDescent="0.35">
      <c r="G42" s="23"/>
      <c r="K42" s="12"/>
      <c r="S42" s="238"/>
      <c r="T42" s="59" t="s">
        <v>162</v>
      </c>
      <c r="U42" s="305">
        <v>395.37</v>
      </c>
    </row>
    <row r="43" spans="2:23" s="230" customFormat="1" ht="17.399999999999999" x14ac:dyDescent="0.35">
      <c r="B43"/>
      <c r="C43" s="228"/>
      <c r="D43" s="22"/>
      <c r="E43" s="22"/>
      <c r="F43" s="21"/>
      <c r="G43" s="23"/>
      <c r="K43" s="12"/>
      <c r="S43" s="238"/>
      <c r="T43" s="59" t="s">
        <v>157</v>
      </c>
      <c r="U43" s="59">
        <v>474.45</v>
      </c>
    </row>
    <row r="44" spans="2:23" ht="14.4" customHeight="1" x14ac:dyDescent="0.3">
      <c r="K44" s="12"/>
      <c r="T44" s="59"/>
      <c r="U44" s="59"/>
    </row>
    <row r="45" spans="2:23" x14ac:dyDescent="0.3">
      <c r="K45" s="250"/>
    </row>
    <row r="46" spans="2:23" x14ac:dyDescent="0.3">
      <c r="K46" s="250"/>
      <c r="S46" s="270"/>
    </row>
    <row r="47" spans="2:23" x14ac:dyDescent="0.3">
      <c r="K47" s="250"/>
    </row>
    <row r="48" spans="2:23" ht="15" customHeight="1" x14ac:dyDescent="0.3"/>
    <row r="50" spans="14:19" x14ac:dyDescent="0.3">
      <c r="N50">
        <v>40935</v>
      </c>
      <c r="O50" t="s">
        <v>17</v>
      </c>
      <c r="P50" t="s">
        <v>27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149</v>
      </c>
    </row>
    <row r="76" spans="3:14" x14ac:dyDescent="0.3">
      <c r="C76" t="s">
        <v>148</v>
      </c>
    </row>
    <row r="79" spans="3:14" x14ac:dyDescent="0.3">
      <c r="C79" t="s">
        <v>148</v>
      </c>
    </row>
    <row r="156" spans="3:3" x14ac:dyDescent="0.3">
      <c r="C156" t="s">
        <v>148</v>
      </c>
    </row>
    <row r="157" spans="3:3" x14ac:dyDescent="0.3">
      <c r="C157" t="s">
        <v>150</v>
      </c>
    </row>
    <row r="158" spans="3:3" x14ac:dyDescent="0.3">
      <c r="C158" t="s">
        <v>151</v>
      </c>
    </row>
    <row r="583" spans="3:3" x14ac:dyDescent="0.3">
      <c r="C583" t="s">
        <v>148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45394</v>
      </c>
    </row>
    <row r="6" spans="2:31" ht="16.2" thickBot="1" x14ac:dyDescent="0.35">
      <c r="B6" s="140" t="s">
        <v>2</v>
      </c>
      <c r="C6" s="139" t="str">
        <f>'2229'!C10</f>
        <v>REINALDO ESPELETA SANTIS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10619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-49874.755033454101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'2229'!H26</f>
        <v>429501</v>
      </c>
      <c r="E11" s="132">
        <f>D11*0.19</f>
        <v>81605.19</v>
      </c>
      <c r="F11" s="131">
        <f>E11+D11</f>
        <v>511106.19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56115.244966545899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78940.890787439625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38115.244966545899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350560.10921256035</v>
      </c>
      <c r="E13" s="221">
        <f>(D11/D12)-1</f>
        <v>4.4407924171580087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29115.244966545899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-9884.7550334541011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130252.46979927538</v>
      </c>
      <c r="F15" s="216">
        <f>E15-D12</f>
        <v>51311.579011835754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-9884.7550334541011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30115.244966545899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'2229'!N33</f>
        <v>32500</v>
      </c>
      <c r="E19" s="123">
        <f>D19*0.19</f>
        <v>6175</v>
      </c>
      <c r="F19" s="120">
        <f>SUM(D19:E19)</f>
        <v>38675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16606.8</v>
      </c>
      <c r="E20" s="121">
        <f>D20*0.19</f>
        <v>3155.2919999999999</v>
      </c>
      <c r="F20" s="120">
        <f>SUM(D20:E20)</f>
        <v>19762.092000000001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49106.8</v>
      </c>
      <c r="E21" s="116">
        <f>SUM(E18:E20)</f>
        <v>9330.2919999999995</v>
      </c>
      <c r="F21" s="115">
        <f>SUM(F18:F20)</f>
        <v>58437.092000000004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72274.898000000001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429501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49106.8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350560.10921256035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350560.10921256035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2024-02-08T19:13:38Z</cp:lastPrinted>
  <dcterms:created xsi:type="dcterms:W3CDTF">2013-03-18T13:35:42Z</dcterms:created>
  <dcterms:modified xsi:type="dcterms:W3CDTF">2024-03-12T19:40:51Z</dcterms:modified>
</cp:coreProperties>
</file>