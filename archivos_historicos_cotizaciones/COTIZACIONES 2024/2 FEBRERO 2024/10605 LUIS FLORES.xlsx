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E956E3C5-90D0-4B98-BF04-08B9D3650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2" i="1"/>
  <c r="L22" i="1"/>
  <c r="M22" i="1"/>
  <c r="K21" i="1"/>
  <c r="J39" i="1"/>
  <c r="L21" i="1"/>
  <c r="M21" i="1"/>
  <c r="R22" i="1" l="1"/>
  <c r="L24" i="1"/>
  <c r="N22" i="1"/>
  <c r="O22" i="1" s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P22" i="1"/>
  <c r="F15" i="3"/>
  <c r="Q22" i="1" l="1"/>
  <c r="Q21" i="1"/>
  <c r="H21" i="1" s="1"/>
  <c r="H22" i="1" l="1"/>
  <c r="H24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<sst xmlns="http://schemas.openxmlformats.org/spreadsheetml/2006/main" count="230" uniqueCount="173">
  <si>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</si>
  <si>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</si>
  <si>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</si>
  <si>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</si>
  <si>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</si>
  <si>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</si>
  <si>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</si>
  <si>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</si>
  <si>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</si>
  <si>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</si>
  <si>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</si>
  <si>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</si>
  <si>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</si>
  <si>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</si>
  <si>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</si>
  <si>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</si>
  <si>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</si>
  <si>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</si>
  <si>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</si>
  <si>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</si>
  <si>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</si>
  <si>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</si>
  <si>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</si>
  <si>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</si>
  <si>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</si>
  <si>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</si>
  <si>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</si>
  <si>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</si>
  <si>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</si>
  <si>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</si>
  <si>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</si>
  <si>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</si>
  <si>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</si>
  <si>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</si>
  <si>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</si>
  <si>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</si>
  <si>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</si>
  <si>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</si>
  <si>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</si>
  <si>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</si>
  <si>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</si>
  <si>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</si>
  <si>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</si>
  <si>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</si>
  <si>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</si>
  <si>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</si>
  <si>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</si>
  <si>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</si>
  <si>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</si>
  <si>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</si>
  <si>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</si>
  <si>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</si>
  <si>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</si>
  <si>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</si>
  <si>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</si>
  <si>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</si>
  <si>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</si>
  <si>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</si>
  <si>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</si>
  <si>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</si>
  <si>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</si>
  <si>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</si>
  <si>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</si>
  <si>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</si>
  <si>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</si>
  <si>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</si>
  <si>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</si>
  <si>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</si>
  <si>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</si>
  <si>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</si>
  <si>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</si>
  <si>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</si>
  <si>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</si>
  <si>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</si>
  <si>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</si>
  <si>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</si>
  <si>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</si>
  <si>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</si>
  <si>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</si>
  <si>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</si>
  <si>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</si>
  <si>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</si>
  <si>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</si>
  <si>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</si>
  <si>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</si>
  <si>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</si>
  <si>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</si>
  <si>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</si>
  <si>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</si>
  <si>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</si>
  <si>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</si>
  <si>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</si>
  <si>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</si>
  <si>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</si>
  <si>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</si>
  <si>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</si>
  <si>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</si>
  <si>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</si>
  <si>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</si>
  <si>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</si>
  <si>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</si>
  <si>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</si>
  <si>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</si>
  <si>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</si>
  <si>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</si>
  <si>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</si>
  <si>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</si>
  <si>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</si>
  <si>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</si>
  <si>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</si>
  <si>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</si>
  <si>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</si>
  <si>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</si>
  <si>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</si>
  <si>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</si>
  <si>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</si>
  <si>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</si>
  <si>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</si>
  <si>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</si>
  <si>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</si>
  <si>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</si>
  <si>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</si>
  <si>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</si>
  <si>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</si>
  <si>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</si>
  <si>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</si>
  <si>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</si>
  <si>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</si>
  <si>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</si>
  <si>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</si>
  <si>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</si>
  <si>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</si>
  <si>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</si>
  <si>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</si>
  <si>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</si>
  <si>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</si>
  <si>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</si>
  <si>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</si>
  <si>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</si>
  <si>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</si>
  <si>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</si>
  <si>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</si>
  <si>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</si>
  <si>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</si>
  <si>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</si>
  <si>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</si>
  <si>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</si>
  <si>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</si>
  <si>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</si>
  <si>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</si>
  <si>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</si>
  <si>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</si>
  <si>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</si>
  <si>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</si>
  <si>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</si>
  <si>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</si>
  <si>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</si>
  <si>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</si>
  <si>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</si>
  <si>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</si>
  <si>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</si>
  <si>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</si>
  <si>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</si>
  <si>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</si>
  <si>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</si>
  <si>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</si>
  <si>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LUIS FLORES</t>
  </si>
  <si>
    <t>569 88995067</t>
  </si>
  <si>
    <t>SANTIAGO</t>
  </si>
  <si>
    <t>10 DIAS HABILES</t>
  </si>
  <si>
    <t>SI</t>
  </si>
  <si>
    <t>BLANCO OPACO PF8</t>
  </si>
  <si>
    <t>CUBIERTA MESA R8 4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</si>
</sst>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DESPUNTADAS Y ENCHAPADAS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LAS CUBIERTA EN SU INTERIOR SE ACHICAN 6 CMS EN EL LARGO Y EN EL ANCHO, PARA CONSIDERAR  EN EL MESON METALICO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="93" zoomScaleNormal="93" workbookViewId="0">
      <selection activeCell="G35" sqref="G35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10605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166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3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3" t="s">
        <v>167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59312.605459057064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3">
        <v>4</v>
      </c>
      <c r="C21" s="324" t="s">
        <v>172</v>
      </c>
      <c r="D21" s="325">
        <v>1.9</v>
      </c>
      <c r="E21" s="325">
        <v>0.6</v>
      </c>
      <c r="F21" s="324" t="s">
        <v>171</v>
      </c>
      <c r="G21" s="326">
        <v>85179</v>
      </c>
      <c r="H21" s="327">
        <f>G21*B21</f>
        <v>340716</v>
      </c>
      <c r="I21" s="265"/>
      <c r="J21" s="47"/>
      <c r="K21" s="47">
        <f>B21</f>
        <v>4</v>
      </c>
      <c r="L21" s="39">
        <f t="shared" ref="L21" si="1">D21+L$19</f>
        <v>1.95</v>
      </c>
      <c r="M21" s="39">
        <f t="shared" ref="M21" si="2">E21+M$19</f>
        <v>0.65</v>
      </c>
      <c r="N21" s="261">
        <f t="shared" ref="N21" si="3">L21*M21</f>
        <v>1.2675000000000001</v>
      </c>
      <c r="O21" s="259">
        <f t="shared" ref="O21" si="4">N21*K21</f>
        <v>5.07</v>
      </c>
      <c r="P21" s="252">
        <f>P$20*N21</f>
        <v>75178.727419354836</v>
      </c>
      <c r="Q21" s="258">
        <f t="shared" ref="Q21" si="5">P21+Q$20</f>
        <v>85178.727419354836</v>
      </c>
      <c r="R21" s="309">
        <f>L21*K21*2</f>
        <v>15.6</v>
      </c>
      <c r="S21" s="46">
        <f>M21*K21*2</f>
        <v>5.2</v>
      </c>
      <c r="T21" s="9"/>
      <c r="W21" s="4"/>
    </row>
    <row r="22" spans="2:24" ht="17.399999999999999" x14ac:dyDescent="0.3">
      <c r="B22" s="330">
        <v>12</v>
      </c>
      <c r="C22" s="324" t="s">
        <v>172</v>
      </c>
      <c r="D22" s="328">
        <v>2.4</v>
      </c>
      <c r="E22" s="328">
        <v>0.6</v>
      </c>
      <c r="F22" s="324" t="s">
        <v>171</v>
      </c>
      <c r="G22" s="329">
        <v>104455</v>
      </c>
      <c r="H22" s="331">
        <f t="shared" ref="H22" si="6">G22*B22</f>
        <v>1253460</v>
      </c>
      <c r="I22" s="265"/>
      <c r="J22" s="47"/>
      <c r="K22" s="47">
        <f t="shared" ref="K22" si="7">B22</f>
        <v>12</v>
      </c>
      <c r="L22" s="39">
        <f t="shared" ref="L22" si="8">D22+L$19</f>
        <v>2.4499999999999997</v>
      </c>
      <c r="M22" s="39">
        <f t="shared" ref="M22" si="9">E22+M$19</f>
        <v>0.65</v>
      </c>
      <c r="N22" s="261">
        <f t="shared" ref="N22" si="10">L22*M22</f>
        <v>1.5924999999999998</v>
      </c>
      <c r="O22" s="259">
        <f t="shared" ref="O22" si="11">N22*K22</f>
        <v>19.11</v>
      </c>
      <c r="P22" s="252">
        <f t="shared" ref="P22" si="12">P$20*N22</f>
        <v>94455.324193548367</v>
      </c>
      <c r="Q22" s="258">
        <f t="shared" ref="Q22" si="13">P22+Q$20</f>
        <v>104455.32419354837</v>
      </c>
      <c r="R22" s="309">
        <f t="shared" ref="R22" si="14">L22*K22*2</f>
        <v>58.8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1594176</v>
      </c>
      <c r="I24" s="265"/>
      <c r="J24" s="47"/>
      <c r="K24" s="47"/>
      <c r="L24" s="39">
        <f>SUM(L21:L23)</f>
        <v>4.3999999999999995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302893.44</v>
      </c>
      <c r="I25" s="265"/>
      <c r="J25" s="47"/>
      <c r="K25" s="47"/>
      <c r="L25" s="39"/>
      <c r="M25" s="12"/>
      <c r="N25" s="12"/>
      <c r="O25" s="253">
        <f>SUM(O21:O22)</f>
        <v>24.18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1897069.44</v>
      </c>
      <c r="I26" s="265"/>
      <c r="J26" s="47"/>
      <c r="K26" s="47"/>
      <c r="L26" s="39"/>
      <c r="M26" s="12"/>
      <c r="N26" s="12"/>
      <c r="O26" s="253">
        <f>O25</f>
        <v>24.18</v>
      </c>
      <c r="P26" s="14"/>
      <c r="Q26" s="12"/>
      <c r="R26" s="239">
        <f>SUM(R21:R25)</f>
        <v>74.399999999999991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4.8360000000000003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29.015999999999998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29.015999999999998</v>
      </c>
      <c r="M30" s="12">
        <v>3500</v>
      </c>
      <c r="N30" s="12">
        <f t="shared" ref="N30:N35" si="15">L30*M30</f>
        <v>101556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10</v>
      </c>
      <c r="M31" s="12">
        <v>25000</v>
      </c>
      <c r="N31" s="12">
        <f t="shared" si="15"/>
        <v>250000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8</v>
      </c>
      <c r="M32" s="250">
        <v>34000</v>
      </c>
      <c r="N32" s="12">
        <f t="shared" si="15"/>
        <v>272000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5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5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623556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1434178.7999999998</v>
      </c>
      <c r="O37" s="14" t="s">
        <v>141</v>
      </c>
      <c r="P37" s="14"/>
      <c r="Q37" s="40">
        <f>O28/Q36</f>
        <v>7.8235547886108705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83200</v>
      </c>
      <c r="K38" s="250"/>
      <c r="L38" s="14"/>
      <c r="M38" s="12"/>
      <c r="N38" s="12">
        <f>N37/O26</f>
        <v>59312.605459057064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69915.966386554632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LUIS FLORES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-86013.725033454131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1594176</v>
      </c>
      <c r="E11" s="132">
        <f>D11*0.19</f>
        <v>302893.44</v>
      </c>
      <c r="F11" s="131">
        <f>E11+D11</f>
        <v>1897069.44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19976.274966545869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653390.09078743961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1976.2749665458687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940785.90921256039</v>
      </c>
      <c r="E13" s="221">
        <f>(D11/D12)-1</f>
        <v>1.4398533471463622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-7023.7250334541313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-46023.725033454131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1078093.6497992752</v>
      </c>
      <c r="F15" s="216">
        <f>E15-D12</f>
        <v>424703.5590118356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-46023.725033454131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-6023.7250334541313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272000</v>
      </c>
      <c r="E18" s="123">
        <f>D18*0.19</f>
        <v>51680</v>
      </c>
      <c r="F18" s="120">
        <f>SUM(D18:E18)</f>
        <v>323680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250000</v>
      </c>
      <c r="E19" s="123">
        <f>D19*0.19</f>
        <v>47500</v>
      </c>
      <c r="F19" s="120">
        <f>SUM(D19:E19)</f>
        <v>297500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101556</v>
      </c>
      <c r="E20" s="121">
        <f>D20*0.19</f>
        <v>19295.64</v>
      </c>
      <c r="F20" s="120">
        <f>SUM(D20:E20)</f>
        <v>120851.64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623556</v>
      </c>
      <c r="E21" s="116">
        <f>SUM(E18:E20)</f>
        <v>118475.64</v>
      </c>
      <c r="F21" s="115">
        <f>SUM(F18:F20)</f>
        <v>742031.64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184417.8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1594176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623556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940785.90921256039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940785.90921256039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2024-02-02T02:14:39Z</dcterms:modified>
</cp:coreProperties>
</file>