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3E4B0B6A-38E8-4BD6-B459-FF7871F2EA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K21" i="1" l="1"/>
  <c r="J38" i="1"/>
  <c r="L21" i="1"/>
  <c r="L23" i="1" s="1"/>
  <c r="M21" i="1"/>
  <c r="S21" i="1" l="1"/>
  <c r="R21" i="1"/>
  <c r="R25" i="1" s="1"/>
  <c r="N21" i="1"/>
  <c r="O21" i="1" s="1"/>
  <c r="O24" i="1" s="1"/>
  <c r="U31" i="1"/>
  <c r="U32" i="1" s="1"/>
  <c r="N30" i="1" l="1"/>
  <c r="O25" i="1" l="1"/>
  <c r="O26" i="1" s="1"/>
  <c r="O27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Q36" i="1"/>
  <c r="N35" i="1" l="1"/>
  <c r="D20" i="3"/>
  <c r="E20" i="3" s="1"/>
  <c r="E21" i="3" s="1"/>
  <c r="N36" i="1" l="1"/>
  <c r="N37" i="1" s="1"/>
  <c r="D21" i="3"/>
  <c r="M43" i="3" s="1"/>
  <c r="D12" i="3" s="1"/>
  <c r="F20" i="3"/>
  <c r="F21" i="3" s="1"/>
  <c r="N38" i="1" l="1"/>
  <c r="P20" i="1"/>
  <c r="E15" i="3"/>
  <c r="P21" i="1" l="1"/>
  <c r="F15" i="3"/>
  <c r="Q21" i="1" l="1"/>
  <c r="H21" i="1" l="1"/>
  <c r="H23" i="1" s="1"/>
  <c r="H24" i="1" s="1"/>
  <c r="D11" i="3" l="1"/>
  <c r="X9" i="3" s="1"/>
  <c r="X15" i="3" s="1"/>
  <c r="H25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<sst xmlns="http://schemas.openxmlformats.org/spreadsheetml/2006/main" count="233" uniqueCount="178">
  <si>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</si>
  <si>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</si>
  <si>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</si>
  <si>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</si>
  <si>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</si>
  <si>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</si>
  <si>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</si>
  <si>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</si>
  <si>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</si>
  <si>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</si>
  <si>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</si>
  <si>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</si>
  <si>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</si>
  <si>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</si>
  <si>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</si>
  <si>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</si>
  <si>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</si>
  <si>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</si>
  <si>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</si>
  <si>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</si>
  <si>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</si>
  <si>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</si>
  <si>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</si>
  <si>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</si>
  <si>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</si>
  <si>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</si>
  <si>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</si>
  <si>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</si>
  <si>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</si>
  <si>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</si>
  <si>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</si>
  <si>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</si>
  <si>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</si>
  <si>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</si>
  <si>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</si>
  <si>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</si>
  <si>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</si>
  <si>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</si>
  <si>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</si>
  <si>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</si>
  <si>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</si>
  <si>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</si>
  <si>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</si>
  <si>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</si>
  <si>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</si>
  <si>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</si>
  <si>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</si>
  <si>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</si>
  <si>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</si>
  <si>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</si>
  <si>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</si>
  <si>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</si>
  <si>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</si>
  <si>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</si>
  <si>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</si>
  <si>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</si>
  <si>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</si>
  <si>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</si>
  <si>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</si>
  <si>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</si>
  <si>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</si>
  <si>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</si>
  <si>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</si>
  <si>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</si>
  <si>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</si>
  <si>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</si>
  <si>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</si>
  <si>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</si>
  <si>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</si>
  <si>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</si>
  <si>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</si>
  <si>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</si>
  <si>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</si>
  <si>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</si>
  <si>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</si>
  <si>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</si>
  <si>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</si>
  <si>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</si>
  <si>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</si>
  <si>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</si>
  <si>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</si>
  <si>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</si>
  <si>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</si>
  <si>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</si>
  <si>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</si>
  <si>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</si>
  <si>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</si>
  <si>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</si>
  <si>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</si>
  <si>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</si>
  <si>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</si>
  <si>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</si>
  <si>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</si>
  <si>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</si>
  <si>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</si>
  <si>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</si>
  <si>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</si>
  <si>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</si>
  <si>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</si>
  <si>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</si>
  <si>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</si>
  <si>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</si>
  <si>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</si>
  <si>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</si>
  <si>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</si>
  <si>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</si>
  <si>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</si>
  <si>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</si>
  <si>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</si>
  <si>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</si>
  <si>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</si>
  <si>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</si>
  <si>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</si>
  <si>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</si>
  <si>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</si>
  <si>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</si>
  <si>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</si>
  <si>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</si>
  <si>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</si>
  <si>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</si>
  <si>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</si>
  <si>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</si>
  <si>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</si>
  <si>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</si>
  <si>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</si>
  <si>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</si>
  <si>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</si>
  <si>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</si>
  <si>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</si>
  <si>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</si>
  <si>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</si>
  <si>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</si>
  <si>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</si>
  <si>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</si>
  <si>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</si>
  <si>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</si>
  <si>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</si>
  <si>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</si>
  <si>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</si>
  <si>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</si>
  <si>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</si>
  <si>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</si>
  <si>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</si>
  <si>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</si>
  <si>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</si>
  <si>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</si>
  <si>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</si>
  <si>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</si>
  <si>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</si>
  <si>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</si>
  <si>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</si>
  <si>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</si>
  <si>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</si>
  <si>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</si>
  <si>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</si>
  <si>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</si>
  <si>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</si>
  <si>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</si>
  <si>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</si>
  <si>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</si>
  <si>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</si>
  <si>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</si>
  <si>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</si>
  <si>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</si>
  <si>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</si>
  <si>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</si>
  <si>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</si>
  <si>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</si>
  <si>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SI</t>
  </si>
  <si>
    <t>COMERCIALIZADORA SONOFLEX CHILE SPA</t>
  </si>
  <si>
    <t>77.116.100-6</t>
  </si>
  <si>
    <t>COMERCIALIZACION DE PRODUCTOS ACUSTICOS</t>
  </si>
  <si>
    <t>COBRANZA@SONOFLEX.CL</t>
  </si>
  <si>
    <t>+5632211340</t>
  </si>
  <si>
    <t>AV. CLUB HIPICO 4676 OF 843</t>
  </si>
  <si>
    <t>5 DIAS HABILES</t>
  </si>
  <si>
    <t>MELAMINA COLOR CEDRO VESTO 15MM</t>
  </si>
  <si>
    <t>CEDRO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</si>
</sst>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22</xdr:row>
      <xdr:rowOff>9525</xdr:rowOff>
    </xdr:from>
    <xdr:to>
      <xdr:col>5</xdr:col>
      <xdr:colOff>1594096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CORTADAS A 3,5CMS AL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15MM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OBRANZA@SONOFLEX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B1" zoomScale="93" zoomScaleNormal="93" workbookViewId="0">
      <selection activeCell="I27" sqref="I27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10613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169</v>
      </c>
      <c r="D10" s="243"/>
      <c r="E10" s="243"/>
      <c r="F10" s="244" t="s">
        <v>0</v>
      </c>
      <c r="G10" s="277">
        <v>45328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 t="s">
        <v>170</v>
      </c>
      <c r="F11" t="s">
        <v>124</v>
      </c>
      <c r="G11" s="289" t="s">
        <v>175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 t="s">
        <v>171</v>
      </c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 t="s">
        <v>172</v>
      </c>
      <c r="D14" s="247"/>
      <c r="E14" s="247"/>
      <c r="F14" s="327" t="s">
        <v>137</v>
      </c>
      <c r="G14" s="291" t="s">
        <v>168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173</v>
      </c>
      <c r="D15" s="322"/>
      <c r="F15" t="s">
        <v>135</v>
      </c>
      <c r="G15" s="320" t="s">
        <v>136</v>
      </c>
      <c r="H15" s="290"/>
    </row>
    <row r="16" spans="2:23" ht="16.8" x14ac:dyDescent="0.4">
      <c r="B16" s="328" t="s">
        <v>3</v>
      </c>
      <c r="C16" s="318" t="s">
        <v>174</v>
      </c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>
        <v>0.2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19932.624113475176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13">
        <v>10</v>
      </c>
      <c r="C21" s="314" t="s">
        <v>176</v>
      </c>
      <c r="D21" s="315">
        <v>1.83</v>
      </c>
      <c r="E21" s="315">
        <v>2.5</v>
      </c>
      <c r="F21" s="314" t="s">
        <v>177</v>
      </c>
      <c r="G21" s="316">
        <v>121167</v>
      </c>
      <c r="H21" s="317">
        <f>G21*B21</f>
        <v>1211670</v>
      </c>
      <c r="I21" s="265"/>
      <c r="J21" s="47"/>
      <c r="K21" s="47">
        <f>B21</f>
        <v>10</v>
      </c>
      <c r="L21" s="39">
        <f t="shared" ref="L21" si="1">D21+L$19</f>
        <v>1.8800000000000001</v>
      </c>
      <c r="M21" s="39">
        <f t="shared" ref="M21" si="2">E21+M$19</f>
        <v>2.7</v>
      </c>
      <c r="N21" s="261">
        <f t="shared" ref="N21" si="3">L21*M21</f>
        <v>5.0760000000000005</v>
      </c>
      <c r="O21" s="259">
        <f t="shared" ref="O21" si="4">N21*K21</f>
        <v>50.760000000000005</v>
      </c>
      <c r="P21" s="252">
        <f t="shared" ref="P21" si="5">P$20*N21</f>
        <v>101178</v>
      </c>
      <c r="Q21" s="258">
        <f t="shared" ref="Q21" si="6">P21+Q$20</f>
        <v>104178</v>
      </c>
      <c r="R21" s="299">
        <f>L21*K21*2</f>
        <v>37.6</v>
      </c>
      <c r="S21" s="46">
        <f>M21*K21*2</f>
        <v>54</v>
      </c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299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00" t="s">
        <v>29</v>
      </c>
      <c r="H23" s="301">
        <f>SUM(H21:H22)</f>
        <v>1211670</v>
      </c>
      <c r="I23" s="265"/>
      <c r="J23" s="47"/>
      <c r="K23" s="47"/>
      <c r="L23" s="39">
        <f>SUM(L21:L22)</f>
        <v>1.8800000000000001</v>
      </c>
      <c r="M23" s="39"/>
      <c r="N23" s="261"/>
      <c r="O23" s="259"/>
      <c r="P23" s="252"/>
      <c r="Q23" s="258"/>
      <c r="R23" s="299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298" t="s">
        <v>52</v>
      </c>
      <c r="H24" s="296">
        <f>H23*19%</f>
        <v>230217.3</v>
      </c>
      <c r="I24" s="265"/>
      <c r="J24" s="47"/>
      <c r="K24" s="47"/>
      <c r="L24" s="39"/>
      <c r="M24" s="12"/>
      <c r="N24" s="12"/>
      <c r="O24" s="253">
        <f>SUM(O21:O21)</f>
        <v>50.760000000000005</v>
      </c>
      <c r="P24" s="14"/>
      <c r="Q24" s="12"/>
      <c r="R24" s="239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297">
        <f>H23+H24</f>
        <v>1441887.3</v>
      </c>
      <c r="I25" s="265"/>
      <c r="J25" s="47"/>
      <c r="K25" s="47"/>
      <c r="L25" s="39"/>
      <c r="M25" s="12"/>
      <c r="N25" s="12"/>
      <c r="O25" s="253">
        <f>O24</f>
        <v>50.760000000000005</v>
      </c>
      <c r="P25" s="14"/>
      <c r="Q25" s="12"/>
      <c r="R25" s="239">
        <f>SUM(R21:R24)</f>
        <v>37.6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10.152000000000001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60.912000000000006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06" t="s">
        <v>22</v>
      </c>
      <c r="U28" s="303" t="s">
        <v>153</v>
      </c>
      <c r="V28" s="307">
        <v>44971</v>
      </c>
      <c r="W28" s="308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/>
      <c r="M29" s="12">
        <v>3500</v>
      </c>
      <c r="N29" s="12">
        <f t="shared" ref="N29:N34" si="7">L29*M29</f>
        <v>0</v>
      </c>
      <c r="O29" s="14" t="s">
        <v>22</v>
      </c>
      <c r="P29" s="14"/>
      <c r="Q29" s="14"/>
      <c r="R29" s="241"/>
      <c r="S29" s="14"/>
      <c r="T29" s="306" t="s">
        <v>154</v>
      </c>
      <c r="U29" s="303">
        <v>3625</v>
      </c>
      <c r="V29" s="59" t="s">
        <v>155</v>
      </c>
      <c r="W29" s="308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10</v>
      </c>
      <c r="M30" s="12">
        <v>45990</v>
      </c>
      <c r="N30" s="12">
        <f t="shared" si="7"/>
        <v>459900</v>
      </c>
      <c r="O30" s="39" t="s">
        <v>32</v>
      </c>
      <c r="P30" s="42"/>
      <c r="Q30" s="14"/>
      <c r="R30" s="240"/>
      <c r="S30" s="14"/>
      <c r="T30" s="306"/>
      <c r="U30" s="59">
        <v>906.25</v>
      </c>
      <c r="V30" s="59" t="s">
        <v>156</v>
      </c>
      <c r="W30" s="308"/>
    </row>
    <row r="31" spans="2:24" s="230" customFormat="1" ht="17.399999999999999" x14ac:dyDescent="0.35">
      <c r="I31" s="262"/>
      <c r="J31" s="232"/>
      <c r="K31" s="250"/>
      <c r="L31" s="14"/>
      <c r="M31" s="250">
        <v>70000</v>
      </c>
      <c r="N31" s="12">
        <f t="shared" si="7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08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/>
      <c r="M32" s="250">
        <v>32300</v>
      </c>
      <c r="N32" s="12">
        <f t="shared" si="7"/>
        <v>0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08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J33" s="230">
        <v>1830</v>
      </c>
      <c r="K33" s="250"/>
      <c r="L33" s="249"/>
      <c r="M33" s="250">
        <v>300</v>
      </c>
      <c r="N33" s="12">
        <f t="shared" si="7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295"/>
      <c r="J34" s="230">
        <v>38</v>
      </c>
      <c r="K34" s="250"/>
      <c r="L34" s="266"/>
      <c r="M34" s="12">
        <v>1500</v>
      </c>
      <c r="N34" s="12">
        <f t="shared" si="7"/>
        <v>0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J35" s="230">
        <f>J33/J34</f>
        <v>48.157894736842103</v>
      </c>
      <c r="K35" s="250"/>
      <c r="L35" s="14"/>
      <c r="M35" s="12"/>
      <c r="N35" s="12">
        <f>SUM(N29:N34)</f>
        <v>459900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N35*2.2</f>
        <v>1011780.0000000001</v>
      </c>
      <c r="O36" s="14" t="s">
        <v>141</v>
      </c>
      <c r="P36" s="14"/>
      <c r="Q36" s="40">
        <f>O27/Q35</f>
        <v>16.423641069887836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48209</v>
      </c>
      <c r="K37" s="250"/>
      <c r="L37" s="14"/>
      <c r="M37" s="12"/>
      <c r="N37" s="12">
        <f>N36/O25</f>
        <v>19932.624113475176</v>
      </c>
      <c r="O37" s="45" t="s">
        <v>25</v>
      </c>
      <c r="P37" s="14"/>
      <c r="Q37" s="14"/>
      <c r="R37"/>
      <c r="S37" s="238"/>
      <c r="T37" s="59" t="s">
        <v>159</v>
      </c>
      <c r="U37" s="303">
        <v>43650</v>
      </c>
    </row>
    <row r="38" spans="2:23" s="230" customFormat="1" ht="17.399999999999999" x14ac:dyDescent="0.35">
      <c r="G38"/>
      <c r="H38" s="230" t="s">
        <v>165</v>
      </c>
      <c r="J38" s="230">
        <f>J37/1.19</f>
        <v>40511.764705882357</v>
      </c>
      <c r="K38" s="250"/>
      <c r="L38" s="13"/>
      <c r="M38" s="14"/>
      <c r="N38" s="17">
        <f>N36/N35</f>
        <v>2.2000000000000002</v>
      </c>
      <c r="O38" s="15"/>
      <c r="P38"/>
      <c r="Q38"/>
      <c r="R38"/>
      <c r="S38" s="238"/>
      <c r="T38" s="59" t="s">
        <v>161</v>
      </c>
      <c r="U38" s="304" t="s">
        <v>160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162</v>
      </c>
      <c r="U39" s="305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K40" s="12"/>
      <c r="S40" s="238"/>
      <c r="T40" s="59" t="s">
        <v>157</v>
      </c>
      <c r="U40" s="59">
        <v>474.45</v>
      </c>
    </row>
    <row r="41" spans="2:23" ht="14.4" customHeight="1" x14ac:dyDescent="0.3"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  <hyperlink ref="C14" r:id="rId2" xr:uid="{2F871B52-8E01-4DE3-8417-C29320E6AB7E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45328</v>
      </c>
    </row>
    <row r="6" spans="2:31" ht="16.2" thickBot="1" x14ac:dyDescent="0.35">
      <c r="B6" s="140" t="s">
        <v>2</v>
      </c>
      <c r="C6" s="139" t="str">
        <f>'2229'!C10</f>
        <v>COMERCIALIZADORA SONOFLEX CHILE SPA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10613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-67268.125033454111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1211670</v>
      </c>
      <c r="E11" s="132">
        <f>D11*0.19</f>
        <v>230217.3</v>
      </c>
      <c r="F11" s="131">
        <f>E11+D11</f>
        <v>1441887.3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38721.874966545889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489734.09078743961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20721.874966545889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721935.90921256039</v>
      </c>
      <c r="E13" s="221">
        <f>(D11/D12)-1</f>
        <v>1.4741385637494937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11721.874966545889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-27278.125033454111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808061.24979927531</v>
      </c>
      <c r="F15" s="216">
        <f>E15-D12</f>
        <v>318327.1590118357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-27278.125033454111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12721.874966545889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459900</v>
      </c>
      <c r="E19" s="123">
        <f>D19*0.19</f>
        <v>87381</v>
      </c>
      <c r="F19" s="120">
        <f>SUM(D19:E19)</f>
        <v>547281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459900</v>
      </c>
      <c r="E21" s="116">
        <f>SUM(E18:E20)</f>
        <v>87381</v>
      </c>
      <c r="F21" s="115">
        <f>SUM(F18:F20)</f>
        <v>547281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142836.29999999999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1211670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459900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721935.90921256039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721935.90921256039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2024-02-05T18:54:25Z</cp:lastPrinted>
  <dcterms:created xsi:type="dcterms:W3CDTF">2013-03-18T13:35:42Z</dcterms:created>
  <dcterms:modified xsi:type="dcterms:W3CDTF">2024-02-06T19:41:36Z</dcterms:modified>
</cp:coreProperties>
</file>