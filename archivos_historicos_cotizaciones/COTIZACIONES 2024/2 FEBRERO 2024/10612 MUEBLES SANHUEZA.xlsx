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FAA0635D-56A7-4C27-98D4-589B358AA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N36" i="1"/>
  <c r="K21" i="1" l="1"/>
  <c r="J38" i="1"/>
  <c r="L21" i="1"/>
  <c r="L23" i="1" s="1"/>
  <c r="L34" i="1" s="1"/>
  <c r="M21" i="1"/>
  <c r="S21" i="1" l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7" i="1" s="1"/>
  <c r="D20" i="3"/>
  <c r="E20" i="3" s="1"/>
  <c r="E21" i="3" s="1"/>
  <c r="N38" i="1" l="1"/>
  <c r="D21" i="3"/>
  <c r="M43" i="3" s="1"/>
  <c r="D12" i="3" s="1"/>
  <c r="F20" i="3"/>
  <c r="F21" i="3" s="1"/>
  <c r="P20" i="1" l="1"/>
  <c r="E15" i="3"/>
  <c r="P21" i="1" l="1"/>
  <c r="F15" i="3"/>
  <c r="Q21" i="1" l="1"/>
  <c r="H21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<sst xmlns="http://schemas.openxmlformats.org/spreadsheetml/2006/main" count="229" uniqueCount="174">
  <si>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</si>
  <si>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</si>
  <si>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</si>
  <si>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</si>
  <si>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</si>
  <si>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</si>
  <si>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</si>
  <si>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</si>
  <si>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</si>
  <si>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</si>
  <si>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</si>
  <si>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</si>
  <si>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</si>
  <si>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</si>
  <si>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</si>
  <si>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</si>
  <si>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</si>
  <si>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</si>
  <si>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</si>
  <si>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</si>
  <si>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</si>
  <si>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</si>
  <si>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</si>
  <si>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</si>
  <si>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</si>
  <si>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</si>
  <si>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</si>
  <si>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</si>
  <si>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</si>
  <si>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</si>
  <si>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</si>
  <si>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</si>
  <si>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</si>
  <si>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</si>
  <si>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</si>
  <si>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</si>
  <si>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</si>
  <si>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</si>
  <si>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</si>
  <si>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</si>
  <si>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</si>
  <si>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</si>
  <si>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</si>
  <si>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</si>
  <si>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</si>
  <si>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</si>
  <si>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</si>
  <si>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</si>
  <si>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</si>
  <si>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</si>
  <si>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</si>
  <si>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</si>
  <si>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</si>
  <si>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</si>
  <si>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</si>
  <si>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</si>
  <si>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</si>
  <si>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</si>
  <si>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</si>
  <si>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</si>
  <si>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</si>
  <si>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</si>
  <si>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</si>
  <si>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</si>
  <si>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</si>
  <si>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</si>
  <si>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</si>
  <si>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</si>
  <si>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</si>
  <si>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</si>
  <si>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</si>
  <si>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</si>
  <si>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</si>
  <si>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</si>
  <si>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</si>
  <si>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</si>
  <si>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</si>
  <si>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</si>
  <si>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</si>
  <si>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</si>
  <si>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</si>
  <si>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</si>
  <si>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</si>
  <si>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</si>
  <si>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</si>
  <si>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</si>
  <si>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</si>
  <si>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</si>
  <si>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</si>
  <si>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</si>
  <si>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</si>
  <si>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</si>
  <si>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</si>
  <si>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</si>
  <si>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</si>
  <si>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</si>
  <si>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</si>
  <si>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</si>
  <si>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</si>
  <si>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</si>
  <si>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</si>
  <si>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</si>
  <si>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</si>
  <si>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</si>
  <si>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</si>
  <si>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</si>
  <si>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</si>
  <si>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</si>
  <si>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</si>
  <si>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</si>
  <si>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</si>
  <si>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</si>
  <si>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</si>
  <si>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</si>
  <si>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</si>
  <si>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</si>
  <si>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</si>
  <si>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</si>
  <si>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</si>
  <si>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</si>
  <si>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</si>
  <si>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</si>
  <si>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</si>
  <si>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</si>
  <si>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</si>
  <si>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</si>
  <si>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</si>
  <si>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</si>
  <si>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</si>
  <si>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</si>
  <si>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</si>
  <si>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</si>
  <si>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</si>
  <si>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</si>
  <si>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</si>
  <si>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</si>
  <si>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</si>
  <si>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</si>
  <si>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</si>
  <si>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</si>
  <si>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</si>
  <si>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</si>
  <si>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</si>
  <si>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</si>
  <si>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</si>
  <si>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</si>
  <si>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</si>
  <si>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</si>
  <si>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</si>
  <si>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</si>
  <si>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</si>
  <si>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</si>
  <si>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</si>
  <si>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</si>
  <si>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</si>
  <si>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</si>
  <si>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</si>
  <si>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</si>
  <si>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</si>
  <si>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</si>
  <si>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</si>
  <si>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</si>
  <si>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</si>
  <si>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</si>
  <si>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</si>
  <si>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</si>
  <si>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</si>
  <si>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</si>
  <si>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</si>
  <si>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MUEBLES SANHUEZA</t>
  </si>
  <si>
    <t>+569 6256 7896</t>
  </si>
  <si>
    <t>CUBIERTA CON RESPALDO FALDON 20 CMS R8</t>
  </si>
  <si>
    <t>GRIS NUBE 2189 MT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</si>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</sst>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10612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45328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168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>
        <v>0.2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76921.300813008143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171</v>
      </c>
      <c r="D21" s="315">
        <v>2</v>
      </c>
      <c r="E21" s="315">
        <v>0.55000000000000004</v>
      </c>
      <c r="F21" s="314" t="s">
        <v>172</v>
      </c>
      <c r="G21" s="316">
        <v>121167</v>
      </c>
      <c r="H21" s="317">
        <f>G21*B21</f>
        <v>121167</v>
      </c>
      <c r="I21" s="265"/>
      <c r="J21" s="47"/>
      <c r="K21" s="47">
        <f>B21</f>
        <v>1</v>
      </c>
      <c r="L21" s="39">
        <f t="shared" ref="L21" si="1">D21+L$19</f>
        <v>2.0499999999999998</v>
      </c>
      <c r="M21" s="39">
        <f t="shared" ref="M21" si="2">E21+M$19</f>
        <v>0.75</v>
      </c>
      <c r="N21" s="261">
        <f t="shared" ref="N21" si="3">L21*M21</f>
        <v>1.5374999999999999</v>
      </c>
      <c r="O21" s="259">
        <f t="shared" ref="O21" si="4">N21*K21</f>
        <v>1.5374999999999999</v>
      </c>
      <c r="P21" s="252">
        <f t="shared" ref="P21" si="5">P$20*N21</f>
        <v>118266.50000000001</v>
      </c>
      <c r="Q21" s="258">
        <f t="shared" ref="Q21" si="6">P21+Q$20</f>
        <v>121266.50000000001</v>
      </c>
      <c r="R21" s="299">
        <f>L21*K21*2</f>
        <v>4.0999999999999996</v>
      </c>
      <c r="S21" s="46">
        <f>M21*K21*2</f>
        <v>1.5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SUM(H21:H22)</f>
        <v>121167</v>
      </c>
      <c r="I23" s="265"/>
      <c r="J23" s="47"/>
      <c r="K23" s="47"/>
      <c r="L23" s="39">
        <f>SUM(L21:L22)</f>
        <v>2.0499999999999998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>
        <f>H23*19%</f>
        <v>23021.73</v>
      </c>
      <c r="I24" s="265"/>
      <c r="J24" s="47"/>
      <c r="K24" s="47"/>
      <c r="L24" s="39"/>
      <c r="M24" s="12"/>
      <c r="N24" s="12"/>
      <c r="O24" s="253">
        <f>SUM(O21:O21)</f>
        <v>1.5374999999999999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144188.73000000001</v>
      </c>
      <c r="I25" s="265"/>
      <c r="J25" s="47"/>
      <c r="K25" s="47"/>
      <c r="L25" s="39"/>
      <c r="M25" s="12"/>
      <c r="N25" s="12"/>
      <c r="O25" s="253">
        <f>O24</f>
        <v>1.5374999999999999</v>
      </c>
      <c r="P25" s="14"/>
      <c r="Q25" s="12"/>
      <c r="R25" s="239">
        <f>SUM(R21:R24)</f>
        <v>4.0999999999999996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0.3075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1.8449999999999998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1.8449999999999998</v>
      </c>
      <c r="M29" s="12">
        <v>3500</v>
      </c>
      <c r="N29" s="12">
        <f t="shared" ref="N29:N34" si="7">L29*M29</f>
        <v>6457.4999999999991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23850</v>
      </c>
      <c r="N30" s="12">
        <f t="shared" si="7"/>
        <v>11925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/>
      <c r="M31" s="250">
        <v>70000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32300</v>
      </c>
      <c r="N32" s="12">
        <f t="shared" si="7"/>
        <v>32300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K34" s="250"/>
      <c r="L34" s="266">
        <f>L23</f>
        <v>2.0499999999999998</v>
      </c>
      <c r="M34" s="12">
        <v>1500</v>
      </c>
      <c r="N34" s="12">
        <f t="shared" si="7"/>
        <v>3074.9999999999995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53757.5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118266.50000000001</v>
      </c>
      <c r="O36" s="14" t="s">
        <v>141</v>
      </c>
      <c r="P36" s="14"/>
      <c r="Q36" s="40">
        <f>O27/Q35</f>
        <v>0.49746548748921476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76921.300813008143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45328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10612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-6934.9375334541064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121167</v>
      </c>
      <c r="E11" s="132">
        <f>D11*0.19</f>
        <v>23021.73</v>
      </c>
      <c r="F11" s="131">
        <f>E11+D11</f>
        <v>144188.73000000001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99055.062466545889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48216.590787439614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81055.062466545889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72950.409212560393</v>
      </c>
      <c r="E13" s="221">
        <f>(D11/D12)-1</f>
        <v>1.5129731907873487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72055.062466545889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33055.062466545896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79557.374799275363</v>
      </c>
      <c r="F15" s="216">
        <f>E15-D12</f>
        <v>31340.784011835749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33055.062466545896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73055.062466545889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11925</v>
      </c>
      <c r="E19" s="123">
        <f>D19*0.19</f>
        <v>2265.75</v>
      </c>
      <c r="F19" s="120">
        <f>SUM(D19:E19)</f>
        <v>14190.75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6457.4999999999991</v>
      </c>
      <c r="E20" s="121">
        <f>D20*0.19</f>
        <v>1226.925</v>
      </c>
      <c r="F20" s="120">
        <f>SUM(D20:E20)</f>
        <v>7684.4249999999993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18382.5</v>
      </c>
      <c r="E21" s="116">
        <f>SUM(E18:E20)</f>
        <v>3492.6750000000002</v>
      </c>
      <c r="F21" s="115">
        <f>SUM(F18:F20)</f>
        <v>21875.174999999999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19529.055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121167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18382.5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72950.409212560393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72950.409212560393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2024-02-06T18:20:27Z</dcterms:modified>
</cp:coreProperties>
</file>