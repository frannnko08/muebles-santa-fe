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4\"/>
    </mc:Choice>
  </mc:AlternateContent>
  <xr:revisionPtr revIDLastSave="0" documentId="13_ncr:1_{EF664A05-20F0-482A-9CCA-E0FCBFA6B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O25" i="1"/>
  <c r="K22" i="1"/>
  <c r="L22" i="1"/>
  <c r="M22" i="1"/>
  <c r="N22" i="1"/>
  <c r="O22" i="1"/>
  <c r="R22" i="1"/>
  <c r="K21" i="1"/>
  <c r="J39" i="1"/>
  <c r="L21" i="1"/>
  <c r="L24" i="1" s="1"/>
  <c r="L35" i="1" s="1"/>
  <c r="M21" i="1"/>
  <c r="S21" i="1" l="1"/>
  <c r="R21" i="1"/>
  <c r="R26" i="1" s="1"/>
  <c r="N21" i="1"/>
  <c r="O21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N38" i="1" s="1"/>
  <c r="D20" i="3"/>
  <c r="E20" i="3" s="1"/>
  <c r="E21" i="3" s="1"/>
  <c r="N39" i="1" l="1"/>
  <c r="D21" i="3"/>
  <c r="M43" i="3" s="1"/>
  <c r="D12" i="3" s="1"/>
  <c r="F20" i="3"/>
  <c r="F21" i="3" s="1"/>
  <c r="P20" i="1" l="1"/>
  <c r="P22" i="1" s="1"/>
  <c r="Q22" i="1" s="1"/>
  <c r="H22" i="1" s="1"/>
  <c r="E15" i="3"/>
  <c r="P21" i="1" l="1"/>
  <c r="F15" i="3"/>
  <c r="Q21" i="1" l="1"/>
  <c r="H21" i="1" l="1"/>
  <c r="H24" i="1" s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<sst xmlns="http://schemas.openxmlformats.org/spreadsheetml/2006/main" count="231" uniqueCount="174">
  <si>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</si>
  <si>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</si>
  <si>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</si>
  <si>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</si>
  <si>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</si>
  <si>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</si>
  <si>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</si>
  <si>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</si>
  <si>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</si>
  <si>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</si>
  <si>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</si>
  <si>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</si>
  <si>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</si>
  <si>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</si>
  <si>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</si>
  <si>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</si>
  <si>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</si>
  <si>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</si>
  <si>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</si>
  <si>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</si>
  <si>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</si>
  <si>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</si>
  <si>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</si>
  <si>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</si>
  <si>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</si>
  <si>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</si>
  <si>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</si>
  <si>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</si>
  <si>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</si>
  <si>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</si>
  <si>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</si>
  <si>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</si>
  <si>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</si>
  <si>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</si>
  <si>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</si>
  <si>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</si>
  <si>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</si>
  <si>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</si>
  <si>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</si>
  <si>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</si>
  <si>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</si>
  <si>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</si>
  <si>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</si>
  <si>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</si>
  <si>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</si>
  <si>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</si>
  <si>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</si>
  <si>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</si>
  <si>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</si>
  <si>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</si>
  <si>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</si>
  <si>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</si>
  <si>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</si>
  <si>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</si>
  <si>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</si>
  <si>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</si>
  <si>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</si>
  <si>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</si>
  <si>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</si>
  <si>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</si>
  <si>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</si>
  <si>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</si>
  <si>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</si>
  <si>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</si>
  <si>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</si>
  <si>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</si>
  <si>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</si>
  <si>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</si>
  <si>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</si>
  <si>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</si>
  <si>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</si>
  <si>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</si>
  <si>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</si>
  <si>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</si>
  <si>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</si>
  <si>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</si>
  <si>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</si>
  <si>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</si>
  <si>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</si>
  <si>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</si>
  <si>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</si>
  <si>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</si>
  <si>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</si>
  <si>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</si>
  <si>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</si>
  <si>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</si>
  <si>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</si>
  <si>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</si>
  <si>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</si>
  <si>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</si>
  <si>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</si>
  <si>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</si>
  <si>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</si>
  <si>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</si>
  <si>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</si>
  <si>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</si>
  <si>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</si>
  <si>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</si>
  <si>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</si>
  <si>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</si>
  <si>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</si>
  <si>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</si>
  <si>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</si>
  <si>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</si>
  <si>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</si>
  <si>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</si>
  <si>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</si>
  <si>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</si>
  <si>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</si>
  <si>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</si>
  <si>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</si>
  <si>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</si>
  <si>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</si>
  <si>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</si>
  <si>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</si>
  <si>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</si>
  <si>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</si>
  <si>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</si>
  <si>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</si>
  <si>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</si>
  <si>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</si>
  <si>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</si>
  <si>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</si>
  <si>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</si>
  <si>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</si>
  <si>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</si>
  <si>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</si>
  <si>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</si>
  <si>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</si>
  <si>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</si>
  <si>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</si>
  <si>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</si>
  <si>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</si>
  <si>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</si>
  <si>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</si>
  <si>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</si>
  <si>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</si>
  <si>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</si>
  <si>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</si>
  <si>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</si>
  <si>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</si>
  <si>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</si>
  <si>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</si>
  <si>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</si>
  <si>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</si>
  <si>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</si>
  <si>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</si>
  <si>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</si>
  <si>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</si>
  <si>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</si>
  <si>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</si>
  <si>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</si>
  <si>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</si>
  <si>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</si>
  <si>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</si>
  <si>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</si>
  <si>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</si>
  <si>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</si>
  <si>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</si>
  <si>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</si>
  <si>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</si>
  <si>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</si>
  <si>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</si>
  <si>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</si>
  <si>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</si>
  <si>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</si>
  <si>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</si>
  <si>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</si>
  <si>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</si>
  <si>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CUBIERTA CON RESPALDO R2</t>
  </si>
  <si>
    <t>+569 7960 9215</t>
  </si>
  <si>
    <t>FELIPE SAN MARTIN</t>
  </si>
  <si>
    <t>QUARZITE PIETRA 3044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</si>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</sst>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</a:t>
          </a:r>
        </a:p>
        <a:p>
          <a:pPr algn="l"/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SERVICIO CORTE 45°</a:t>
          </a:r>
        </a:p>
        <a:p>
          <a:pPr algn="l"/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DESPACHO A RAUCO 247, SAN JOAQUIN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10609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171</v>
      </c>
      <c r="D10" s="243"/>
      <c r="E10" s="243"/>
      <c r="F10" s="244" t="s">
        <v>0</v>
      </c>
      <c r="G10" s="277">
        <v>45327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173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173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6" t="s">
        <v>166</v>
      </c>
      <c r="G17" s="336"/>
      <c r="H17" s="33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71216.265417457311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169</v>
      </c>
      <c r="D21" s="315">
        <v>2.9</v>
      </c>
      <c r="E21" s="315">
        <v>0.6</v>
      </c>
      <c r="F21" s="314" t="s">
        <v>172</v>
      </c>
      <c r="G21" s="316">
        <f>P21</f>
        <v>128929.92691176472</v>
      </c>
      <c r="H21" s="317">
        <f>G21*B21</f>
        <v>128929.92691176472</v>
      </c>
      <c r="I21" s="265"/>
      <c r="J21" s="47"/>
      <c r="K21" s="47">
        <f>B21</f>
        <v>1</v>
      </c>
      <c r="L21" s="39">
        <f t="shared" ref="L21" si="1">D21+L$19</f>
        <v>2.92</v>
      </c>
      <c r="M21" s="39">
        <f t="shared" ref="M21" si="2">E21+M$19</f>
        <v>0.62</v>
      </c>
      <c r="N21" s="261">
        <f t="shared" ref="N21" si="3">L21*M21</f>
        <v>1.8104</v>
      </c>
      <c r="O21" s="259">
        <f t="shared" ref="O21" si="4">N21*K21</f>
        <v>1.8104</v>
      </c>
      <c r="P21" s="252">
        <f t="shared" ref="P21" si="5">P$20*N21</f>
        <v>128929.92691176472</v>
      </c>
      <c r="Q21" s="258">
        <f t="shared" ref="Q21" si="6">P21+Q$20</f>
        <v>131929.92691176472</v>
      </c>
      <c r="R21" s="299">
        <f>L21*K21*2</f>
        <v>5.84</v>
      </c>
      <c r="S21" s="46">
        <f>M21*K21*2</f>
        <v>1.24</v>
      </c>
      <c r="T21" s="9"/>
      <c r="W21" s="4"/>
    </row>
    <row r="22" spans="2:24" ht="18" thickBot="1" x14ac:dyDescent="0.35">
      <c r="B22" s="331">
        <v>1</v>
      </c>
      <c r="C22" s="332" t="s">
        <v>169</v>
      </c>
      <c r="D22" s="333">
        <v>2.5</v>
      </c>
      <c r="E22" s="333">
        <v>0.6</v>
      </c>
      <c r="F22" s="332" t="s">
        <v>172</v>
      </c>
      <c r="G22" s="334">
        <f>P22</f>
        <v>111268.29308823531</v>
      </c>
      <c r="H22" s="335">
        <f>G22*B22</f>
        <v>111268.29308823531</v>
      </c>
      <c r="I22" s="265"/>
      <c r="J22" s="47"/>
      <c r="K22" s="47">
        <f>B22</f>
        <v>1</v>
      </c>
      <c r="L22" s="39">
        <f t="shared" ref="L22" si="7">D22+L$19</f>
        <v>2.52</v>
      </c>
      <c r="M22" s="39">
        <f t="shared" ref="M22" si="8">E22+M$19</f>
        <v>0.62</v>
      </c>
      <c r="N22" s="261">
        <f t="shared" ref="N22" si="9">L22*M22</f>
        <v>1.5624</v>
      </c>
      <c r="O22" s="259">
        <f t="shared" ref="O22" si="10">N22*K22</f>
        <v>1.5624</v>
      </c>
      <c r="P22" s="252">
        <f t="shared" ref="P22" si="11">P$20*N22</f>
        <v>111268.29308823531</v>
      </c>
      <c r="Q22" s="258">
        <f t="shared" ref="Q22" si="12">P22+Q$20</f>
        <v>114268.29308823531</v>
      </c>
      <c r="R22" s="299">
        <f>L22*K22*2</f>
        <v>5.04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SUM(H21:H22)</f>
        <v>240198.22000000003</v>
      </c>
      <c r="I24" s="265"/>
      <c r="J24" s="47"/>
      <c r="K24" s="47"/>
      <c r="L24" s="39">
        <f>SUM(L21:L23)</f>
        <v>5.4399999999999995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45637.661800000009</v>
      </c>
      <c r="I25" s="265"/>
      <c r="J25" s="47"/>
      <c r="K25" s="47"/>
      <c r="L25" s="39"/>
      <c r="M25" s="12"/>
      <c r="N25" s="12"/>
      <c r="O25" s="253">
        <f>SUM(O21:O22)</f>
        <v>3.3727999999999998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285835.88180000003</v>
      </c>
      <c r="I26" s="265"/>
      <c r="J26" s="47"/>
      <c r="K26" s="47"/>
      <c r="L26" s="39"/>
      <c r="M26" s="12"/>
      <c r="N26" s="12"/>
      <c r="O26" s="253">
        <f>O25</f>
        <v>3.3727999999999998</v>
      </c>
      <c r="P26" s="14"/>
      <c r="Q26" s="12"/>
      <c r="R26" s="239">
        <f>SUM(R21:R25)</f>
        <v>10.879999999999999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0.67456000000000005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4.0473599999999994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4.0473599999999994</v>
      </c>
      <c r="M30" s="12">
        <v>3500</v>
      </c>
      <c r="N30" s="12">
        <f t="shared" ref="N30:N35" si="13">L30*M30</f>
        <v>14165.759999999998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1.091</v>
      </c>
      <c r="M31" s="12">
        <v>23850</v>
      </c>
      <c r="N31" s="12">
        <f t="shared" si="13"/>
        <v>26020.35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71753</v>
      </c>
      <c r="N32" s="12">
        <f t="shared" si="13"/>
        <v>71753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</v>
      </c>
      <c r="M33" s="250">
        <v>42115</v>
      </c>
      <c r="N33" s="12">
        <f t="shared" si="13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3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f>L24</f>
        <v>5.4399999999999995</v>
      </c>
      <c r="M35" s="12">
        <v>1500</v>
      </c>
      <c r="N35" s="12">
        <f t="shared" si="13"/>
        <v>8159.9999999999991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120099.11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</f>
        <v>240198.22</v>
      </c>
      <c r="O37" s="14" t="s">
        <v>141</v>
      </c>
      <c r="P37" s="14"/>
      <c r="Q37" s="40">
        <f>O28/Q36</f>
        <v>1.0912855910267469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71216.265417457311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45327</v>
      </c>
    </row>
    <row r="6" spans="2:31" ht="16.2" thickBot="1" x14ac:dyDescent="0.35">
      <c r="B6" s="140" t="s">
        <v>2</v>
      </c>
      <c r="C6" s="139" t="str">
        <f>'2229'!C10</f>
        <v>FELIPE SAN MARTIN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99</v>
      </c>
      <c r="I7" s="343"/>
      <c r="J7" s="343"/>
      <c r="K7" s="344"/>
      <c r="N7" s="75"/>
      <c r="O7" s="34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-1045.4064501207758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240198.22000000003</v>
      </c>
      <c r="E11" s="132">
        <f>D11*0.19</f>
        <v>45637.661800000009</v>
      </c>
      <c r="F11" s="131">
        <f>E11+D11</f>
        <v>285835.88180000003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104944.59354987922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141773.20078743962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86944.593549879224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98425.019212560408</v>
      </c>
      <c r="E13" s="221">
        <f>(D11/D12)-1</f>
        <v>0.69424276708070454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77944.593549879224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38944.593549879224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233925.78129927538</v>
      </c>
      <c r="F15" s="216">
        <f>E15-D12</f>
        <v>92152.580511835753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38944.593549879224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78944.593549879224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71753</v>
      </c>
      <c r="E18" s="123">
        <f>D18*0.19</f>
        <v>13633.07</v>
      </c>
      <c r="F18" s="120">
        <f>SUM(D18:E18)</f>
        <v>85386.07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26020.35</v>
      </c>
      <c r="E19" s="123">
        <f>D19*0.19</f>
        <v>4943.8665000000001</v>
      </c>
      <c r="F19" s="120">
        <f>SUM(D19:E19)</f>
        <v>30964.216499999999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14165.759999999998</v>
      </c>
      <c r="E20" s="121">
        <f>D20*0.19</f>
        <v>2691.4943999999996</v>
      </c>
      <c r="F20" s="120">
        <f>SUM(D20:E20)</f>
        <v>16857.254399999998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111939.11</v>
      </c>
      <c r="E21" s="116">
        <f>SUM(E18:E20)</f>
        <v>21268.430899999999</v>
      </c>
      <c r="F21" s="115">
        <f>SUM(F18:F20)</f>
        <v>133207.54089999999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24369.23090000001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240198.22000000003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111939.11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98425.019212560408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98425.019212560408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2024-02-05T18:54:25Z</cp:lastPrinted>
  <dcterms:created xsi:type="dcterms:W3CDTF">2013-03-18T13:35:42Z</dcterms:created>
  <dcterms:modified xsi:type="dcterms:W3CDTF">2024-02-06T12:02:12Z</dcterms:modified>
</cp:coreProperties>
</file>