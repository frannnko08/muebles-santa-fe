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21782702-0925-41BE-A83D-1A005ED16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3" i="1"/>
  <c r="K22" i="1"/>
  <c r="L22" i="1"/>
  <c r="R22" i="1" s="1"/>
  <c r="M22" i="1"/>
  <c r="K21" i="1"/>
  <c r="J40" i="1"/>
  <c r="L21" i="1"/>
  <c r="P21" i="1" s="1"/>
  <c r="M21" i="1"/>
  <c r="P22" i="1" l="1"/>
  <c r="N22" i="1"/>
  <c r="O22" i="1" s="1"/>
  <c r="L25" i="1"/>
  <c r="L36" i="1" s="1"/>
  <c r="S21" i="1"/>
  <c r="R21" i="1"/>
  <c r="R27" i="1" s="1"/>
  <c r="N21" i="1"/>
  <c r="O21" i="1" s="1"/>
  <c r="U33" i="1"/>
  <c r="U34" i="1" s="1"/>
  <c r="O26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N39" i="1" s="1"/>
  <c r="D20" i="3"/>
  <c r="E20" i="3" s="1"/>
  <c r="E21" i="3" s="1"/>
  <c r="N40" i="1" l="1"/>
  <c r="D21" i="3"/>
  <c r="M43" i="3" s="1"/>
  <c r="D12" i="3" s="1"/>
  <c r="F20" i="3"/>
  <c r="F21" i="3" s="1"/>
  <c r="E15" i="3" l="1"/>
  <c r="Q22" i="1" l="1"/>
  <c r="G22" i="1"/>
  <c r="G21" i="1"/>
  <c r="F15" i="3"/>
  <c r="H22" i="1" l="1"/>
  <c r="Q21" i="1"/>
  <c r="H21" i="1" l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<sst xmlns="http://schemas.openxmlformats.org/spreadsheetml/2006/main" count="232" uniqueCount="175">
  <si>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</si>
  <si>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</si>
  <si>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</si>
  <si>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</si>
  <si>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</si>
  <si>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</si>
  <si>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</si>
  <si>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</si>
  <si>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</si>
  <si>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</si>
  <si>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</si>
  <si>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</si>
  <si>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</si>
  <si>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</si>
  <si>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</si>
  <si>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</si>
  <si>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</si>
  <si>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</si>
  <si>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</si>
  <si>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</si>
  <si>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</si>
  <si>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</si>
  <si>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</si>
  <si>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</si>
  <si>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</si>
  <si>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</si>
  <si>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</si>
  <si>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</si>
  <si>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</si>
  <si>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</si>
  <si>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</si>
  <si>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</si>
  <si>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</si>
  <si>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</si>
  <si>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</si>
  <si>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</si>
  <si>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</si>
  <si>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</si>
  <si>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</si>
  <si>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</si>
  <si>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</si>
  <si>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</si>
  <si>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</si>
  <si>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</si>
  <si>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</si>
  <si>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</si>
  <si>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</si>
  <si>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</si>
  <si>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</si>
  <si>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</si>
  <si>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</si>
  <si>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</si>
  <si>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</si>
  <si>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</si>
  <si>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</si>
  <si>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</si>
  <si>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</si>
  <si>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</si>
  <si>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</si>
  <si>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</si>
  <si>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</si>
  <si>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</si>
  <si>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</si>
  <si>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</si>
  <si>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</si>
  <si>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</si>
  <si>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</si>
  <si>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</si>
  <si>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</si>
  <si>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</si>
  <si>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</si>
  <si>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</si>
  <si>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</si>
  <si>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</si>
  <si>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</si>
  <si>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</si>
  <si>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</si>
  <si>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</si>
  <si>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</si>
  <si>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</si>
  <si>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</si>
  <si>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</si>
  <si>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</si>
  <si>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</si>
  <si>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</si>
  <si>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</si>
  <si>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</si>
  <si>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</si>
  <si>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</si>
  <si>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</si>
  <si>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</si>
  <si>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</si>
  <si>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</si>
  <si>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</si>
  <si>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</si>
  <si>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</si>
  <si>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</si>
  <si>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</si>
  <si>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</si>
  <si>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</si>
  <si>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</si>
  <si>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</si>
  <si>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</si>
  <si>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</si>
  <si>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</si>
  <si>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</si>
  <si>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</si>
  <si>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</si>
  <si>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</si>
  <si>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</si>
  <si>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</si>
  <si>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</si>
  <si>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</si>
  <si>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</si>
  <si>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</si>
  <si>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</si>
  <si>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</si>
  <si>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</si>
  <si>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</si>
  <si>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</si>
  <si>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</si>
  <si>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</si>
  <si>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</si>
  <si>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</si>
  <si>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</si>
  <si>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</si>
  <si>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</si>
  <si>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</si>
  <si>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</si>
  <si>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</si>
  <si>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</si>
  <si>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</si>
  <si>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</si>
  <si>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</si>
  <si>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</si>
  <si>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</si>
  <si>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</si>
  <si>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</si>
  <si>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</si>
  <si>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</si>
  <si>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</si>
  <si>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</si>
  <si>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</si>
  <si>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</si>
  <si>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</si>
  <si>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</si>
  <si>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</si>
  <si>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</si>
  <si>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</si>
  <si>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</si>
  <si>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</si>
  <si>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</si>
  <si>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</si>
  <si>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</si>
  <si>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</si>
  <si>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</si>
  <si>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</si>
  <si>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</si>
  <si>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</si>
  <si>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</si>
  <si>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</si>
  <si>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</si>
  <si>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</si>
  <si>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</si>
  <si>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</si>
  <si>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</si>
  <si>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</si>
  <si>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</si>
  <si>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+569 7960 9215</t>
  </si>
  <si>
    <t>FELIPE SAN MARTIN</t>
  </si>
  <si>
    <t>SI</t>
  </si>
  <si>
    <t>CUBIERTA CUARZO RESPALDO APARTE 6CMS</t>
  </si>
  <si>
    <t>15 DIAS HABILES</t>
  </si>
  <si>
    <t>SERVICIO DE INSTALACION</t>
  </si>
  <si>
    <t>BLANCO ABSOLUTO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</si>
</sst>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MEDIDA, CON LAVAPLATOS PEGADO BAJO CUBIERTA, DESFONDADO PARA ENCIMERA SE HACE EN OBRA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CUARZO 18MM MAS REGRUESO PERIMETRAL 18MM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PERIMETRAL DE 6CMS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J24" sqref="J2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45334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170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168</v>
      </c>
      <c r="D15" s="322"/>
      <c r="F15" t="s">
        <v>135</v>
      </c>
      <c r="G15" s="320" t="s">
        <v>170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v>150000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171</v>
      </c>
      <c r="D21" s="315">
        <v>3</v>
      </c>
      <c r="E21" s="315">
        <v>0.6</v>
      </c>
      <c r="F21" s="314" t="s">
        <v>174</v>
      </c>
      <c r="G21" s="316">
        <f>P21</f>
        <v>453000</v>
      </c>
      <c r="H21" s="317">
        <f>G21*B21</f>
        <v>453000</v>
      </c>
      <c r="I21" s="265"/>
      <c r="J21" s="47"/>
      <c r="K21" s="47">
        <f>B21</f>
        <v>1</v>
      </c>
      <c r="L21" s="39">
        <f t="shared" ref="L21" si="1">D21+L$19</f>
        <v>3.02</v>
      </c>
      <c r="M21" s="39">
        <f t="shared" ref="M21" si="2">E21+M$19</f>
        <v>0.62</v>
      </c>
      <c r="N21" s="261">
        <f t="shared" ref="N21" si="3">L21*M21</f>
        <v>1.8724000000000001</v>
      </c>
      <c r="O21" s="259">
        <f t="shared" ref="O21" si="4">N21*K21</f>
        <v>1.8724000000000001</v>
      </c>
      <c r="P21" s="252">
        <f>L21*P20</f>
        <v>453000</v>
      </c>
      <c r="Q21" s="258">
        <f t="shared" ref="Q21" si="5">P21+Q$20</f>
        <v>456000</v>
      </c>
      <c r="R21" s="299">
        <f>L21*K21*2</f>
        <v>6.04</v>
      </c>
      <c r="S21" s="46">
        <f>M21*K21*2</f>
        <v>1.24</v>
      </c>
      <c r="T21" s="9"/>
      <c r="W21" s="4"/>
    </row>
    <row r="22" spans="2:24" ht="18" thickBot="1" x14ac:dyDescent="0.35">
      <c r="B22" s="331">
        <v>1</v>
      </c>
      <c r="C22" s="314" t="s">
        <v>171</v>
      </c>
      <c r="D22" s="332">
        <v>2.38</v>
      </c>
      <c r="E22" s="332">
        <v>0.6</v>
      </c>
      <c r="F22" s="314" t="s">
        <v>174</v>
      </c>
      <c r="G22" s="333">
        <f>P22</f>
        <v>360000</v>
      </c>
      <c r="H22" s="334">
        <f>G22*B22</f>
        <v>360000</v>
      </c>
      <c r="I22" s="265"/>
      <c r="J22" s="47"/>
      <c r="K22" s="47">
        <f>B22</f>
        <v>1</v>
      </c>
      <c r="L22" s="39">
        <f t="shared" ref="L22" si="6">D22+L$19</f>
        <v>2.4</v>
      </c>
      <c r="M22" s="39">
        <f t="shared" ref="M22" si="7">E22+M$19</f>
        <v>0.62</v>
      </c>
      <c r="N22" s="261">
        <f t="shared" ref="N22" si="8">L22*M22</f>
        <v>1.488</v>
      </c>
      <c r="O22" s="259">
        <f t="shared" ref="O22" si="9">N22*K22</f>
        <v>1.488</v>
      </c>
      <c r="P22" s="252">
        <f>L22*P20</f>
        <v>360000</v>
      </c>
      <c r="Q22" s="258">
        <f t="shared" ref="Q22" si="10">P22+Q$20</f>
        <v>363000</v>
      </c>
      <c r="R22" s="299">
        <f>L22*K22*2</f>
        <v>4.8</v>
      </c>
      <c r="S22" s="46"/>
      <c r="T22" s="9"/>
      <c r="W22" s="4"/>
    </row>
    <row r="23" spans="2:24" ht="18" thickBot="1" x14ac:dyDescent="0.35">
      <c r="B23" s="331">
        <v>1</v>
      </c>
      <c r="C23" s="314" t="s">
        <v>173</v>
      </c>
      <c r="D23" s="332"/>
      <c r="E23" s="332"/>
      <c r="F23" s="314"/>
      <c r="G23" s="333">
        <v>145000</v>
      </c>
      <c r="H23" s="334">
        <f>G23*B23</f>
        <v>145000</v>
      </c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SUM(H21:H23)</f>
        <v>958000</v>
      </c>
      <c r="I25" s="265"/>
      <c r="J25" s="47"/>
      <c r="K25" s="47"/>
      <c r="L25" s="39">
        <f>SUM(L21:L24)</f>
        <v>5.42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182020</v>
      </c>
      <c r="I26" s="265"/>
      <c r="J26" s="47"/>
      <c r="K26" s="47"/>
      <c r="L26" s="39"/>
      <c r="M26" s="12"/>
      <c r="N26" s="12"/>
      <c r="O26" s="253">
        <f>SUM(O21:O22)</f>
        <v>3.3604000000000003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1140020</v>
      </c>
      <c r="I27" s="265"/>
      <c r="J27" s="47"/>
      <c r="K27" s="47"/>
      <c r="L27" s="39"/>
      <c r="M27" s="12"/>
      <c r="N27" s="12"/>
      <c r="O27" s="253">
        <f>O26</f>
        <v>3.3604000000000003</v>
      </c>
      <c r="P27" s="14"/>
      <c r="Q27" s="12"/>
      <c r="R27" s="239">
        <f>SUM(R21:R26)</f>
        <v>10.84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0.67208000000000012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4.0324800000000005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4.0324800000000005</v>
      </c>
      <c r="M31" s="12">
        <v>3500</v>
      </c>
      <c r="N31" s="12">
        <f t="shared" ref="N31:N36" si="11">L31*M31</f>
        <v>14113.680000000002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1.091</v>
      </c>
      <c r="M32" s="12">
        <v>23850</v>
      </c>
      <c r="N32" s="12">
        <f t="shared" si="11"/>
        <v>26020.35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71753</v>
      </c>
      <c r="N33" s="12">
        <f t="shared" si="11"/>
        <v>71753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0</v>
      </c>
      <c r="M34" s="250">
        <v>42115</v>
      </c>
      <c r="N34" s="12">
        <f t="shared" si="11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1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f>L25</f>
        <v>5.42</v>
      </c>
      <c r="M36" s="12">
        <v>1500</v>
      </c>
      <c r="N36" s="12">
        <f t="shared" si="11"/>
        <v>8130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120017.03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</f>
        <v>240034.06</v>
      </c>
      <c r="O38" s="14" t="s">
        <v>141</v>
      </c>
      <c r="P38" s="14"/>
      <c r="Q38" s="40">
        <f>O29/Q37</f>
        <v>1.0872735116479726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71430.20473753124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45334</v>
      </c>
    </row>
    <row r="6" spans="2:31" ht="16.2" thickBot="1" x14ac:dyDescent="0.35">
      <c r="B6" s="140" t="s">
        <v>2</v>
      </c>
      <c r="C6" s="139" t="str">
        <f>'2229'!C10</f>
        <v>FELIPE SAN MARTIN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-120693.35845012078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958000</v>
      </c>
      <c r="E11" s="132">
        <f>D11*0.19</f>
        <v>182020</v>
      </c>
      <c r="F11" s="131">
        <f>E11+D11</f>
        <v>1140020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-14703.358450120781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141721.12078743964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-32703.358450120781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816278.87921256036</v>
      </c>
      <c r="E13" s="221">
        <f>(D11/D12)-1</f>
        <v>5.7597546129828867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-41703.358450120781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-80703.358450120781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233839.84929927537</v>
      </c>
      <c r="F15" s="216">
        <f>E15-D12</f>
        <v>92118.728511835739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-80703.358450120781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-40703.358450120781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71753</v>
      </c>
      <c r="E18" s="123">
        <f>D18*0.19</f>
        <v>13633.07</v>
      </c>
      <c r="F18" s="120">
        <f>SUM(D18:E18)</f>
        <v>85386.07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26020.35</v>
      </c>
      <c r="E19" s="123">
        <f>D19*0.19</f>
        <v>4943.8665000000001</v>
      </c>
      <c r="F19" s="120">
        <f>SUM(D19:E19)</f>
        <v>30964.216499999999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14113.680000000002</v>
      </c>
      <c r="E20" s="121">
        <f>D20*0.19</f>
        <v>2681.5992000000006</v>
      </c>
      <c r="F20" s="120">
        <f>SUM(D20:E20)</f>
        <v>16795.279200000004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111887.03000000001</v>
      </c>
      <c r="E21" s="116">
        <f>SUM(E18:E20)</f>
        <v>21258.5357</v>
      </c>
      <c r="F21" s="115">
        <f>SUM(F18:F20)</f>
        <v>133145.56570000001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160761.46429999999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958000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111887.03000000001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816278.87921256036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816278.87921256036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2024-02-12T20:26:11Z</dcterms:modified>
</cp:coreProperties>
</file>