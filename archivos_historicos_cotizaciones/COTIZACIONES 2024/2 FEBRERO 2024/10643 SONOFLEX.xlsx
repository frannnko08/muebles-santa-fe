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42618C47-10D9-4F7E-9CCF-90CF6F3E9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N30" i="1"/>
  <c r="J30" i="1"/>
  <c r="O23" i="1"/>
  <c r="N23" i="1"/>
  <c r="N32" i="1"/>
  <c r="N22" i="1"/>
  <c r="O22" i="1" s="1"/>
  <c r="M21" i="1"/>
  <c r="L21" i="1" l="1"/>
  <c r="J39" i="1"/>
  <c r="N21" i="1" l="1"/>
  <c r="R21" i="1"/>
  <c r="R26" i="1" s="1"/>
  <c r="L24" i="1"/>
  <c r="S21" i="1"/>
  <c r="U32" i="1"/>
  <c r="U33" i="1" s="1"/>
  <c r="O21" i="1" l="1"/>
  <c r="N31" i="1"/>
  <c r="O25" i="1" l="1"/>
  <c r="O26" i="1" s="1"/>
  <c r="O27" i="1" s="1"/>
  <c r="O28" i="1" s="1"/>
  <c r="L30" i="1" s="1"/>
  <c r="M20" i="1"/>
  <c r="K20" i="1"/>
  <c r="Q36" i="1" l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Q37" i="1" l="1"/>
  <c r="N36" i="1" l="1"/>
  <c r="N37" i="1" s="1"/>
  <c r="D20" i="3"/>
  <c r="E20" i="3" s="1"/>
  <c r="E21" i="3" s="1"/>
  <c r="N38" i="1" l="1"/>
  <c r="P20" i="1" s="1"/>
  <c r="D21" i="3"/>
  <c r="M43" i="3" s="1"/>
  <c r="D12" i="3" s="1"/>
  <c r="F20" i="3"/>
  <c r="F21" i="3" s="1"/>
  <c r="P22" i="1" l="1"/>
  <c r="Q22" i="1" s="1"/>
  <c r="P21" i="1"/>
  <c r="N39" i="1"/>
  <c r="E15" i="3"/>
  <c r="F15" i="3" l="1"/>
  <c r="Q21" i="1" l="1"/>
  <c r="H21" i="1" l="1"/>
  <c r="H24" i="1" l="1"/>
  <c r="H25" i="1" s="1"/>
  <c r="H26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<sst xmlns="http://schemas.openxmlformats.org/spreadsheetml/2006/main" count="231" uniqueCount="175">
  <si>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</si>
  <si>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</si>
  <si>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</si>
  <si>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</si>
  <si>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</si>
  <si>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</si>
  <si>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</si>
  <si>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</si>
  <si>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</si>
  <si>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</si>
  <si>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</si>
  <si>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</si>
  <si>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</si>
  <si>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</si>
  <si>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</si>
  <si>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</si>
  <si>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</si>
  <si>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</si>
  <si>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</si>
  <si>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</si>
  <si>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</si>
  <si>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</si>
  <si>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</si>
  <si>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</si>
  <si>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</si>
  <si>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</si>
  <si>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</si>
  <si>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</si>
  <si>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</si>
  <si>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</si>
  <si>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</si>
  <si>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</si>
  <si>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</si>
  <si>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</si>
  <si>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</si>
  <si>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</si>
  <si>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</si>
  <si>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</si>
  <si>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</si>
  <si>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</si>
  <si>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</si>
  <si>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</si>
  <si>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</si>
  <si>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</si>
  <si>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</si>
  <si>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</si>
  <si>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</si>
  <si>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</si>
  <si>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</si>
  <si>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</si>
  <si>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</si>
  <si>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</si>
  <si>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</si>
  <si>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</si>
  <si>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</si>
  <si>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</si>
  <si>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</si>
  <si>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</si>
  <si>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</si>
  <si>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</si>
  <si>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</si>
  <si>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</si>
  <si>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</si>
  <si>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</si>
  <si>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</si>
  <si>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</si>
  <si>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</si>
  <si>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</si>
  <si>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</si>
  <si>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</si>
  <si>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</si>
  <si>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</si>
  <si>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</si>
  <si>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</si>
  <si>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</si>
  <si>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</si>
  <si>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</si>
  <si>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</si>
  <si>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</si>
  <si>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</si>
  <si>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</si>
  <si>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</si>
  <si>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</si>
  <si>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</si>
  <si>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</si>
  <si>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</si>
  <si>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</si>
  <si>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</si>
  <si>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</si>
  <si>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</si>
  <si>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</si>
  <si>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</si>
  <si>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</si>
  <si>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</si>
  <si>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</si>
  <si>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</si>
  <si>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</si>
  <si>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</si>
  <si>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</si>
  <si>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</si>
  <si>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</si>
  <si>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</si>
  <si>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</si>
  <si>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</si>
  <si>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</si>
  <si>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</si>
  <si>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</si>
  <si>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</si>
  <si>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</si>
  <si>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</si>
  <si>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</si>
  <si>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</si>
  <si>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</si>
  <si>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</si>
  <si>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</si>
  <si>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</si>
  <si>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</si>
  <si>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</si>
  <si>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</si>
  <si>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</si>
  <si>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</si>
  <si>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</si>
  <si>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</si>
  <si>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</si>
  <si>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</si>
  <si>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</si>
  <si>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</si>
  <si>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</si>
  <si>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</si>
  <si>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</si>
  <si>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</si>
  <si>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</si>
  <si>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</si>
  <si>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</si>
  <si>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</si>
  <si>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</si>
  <si>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</si>
  <si>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</si>
  <si>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</si>
  <si>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</si>
  <si>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</si>
  <si>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</si>
  <si>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</si>
  <si>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</si>
  <si>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</si>
  <si>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</si>
  <si>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</si>
  <si>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</si>
  <si>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</si>
  <si>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</si>
  <si>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</si>
  <si>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</si>
  <si>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</si>
  <si>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</si>
  <si>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</si>
  <si>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</si>
  <si>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</si>
  <si>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</si>
  <si>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</si>
  <si>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</si>
  <si>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</si>
  <si>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</si>
  <si>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</si>
  <si>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</si>
  <si>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</si>
  <si>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</si>
  <si>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</si>
  <si>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SONOFLEX CHILE SPA</t>
  </si>
  <si>
    <t>RAMON PIZARRO B</t>
  </si>
  <si>
    <t>+569 95099721</t>
  </si>
  <si>
    <t>ENCHAPE RECTO 1 CARA MDF 12MM</t>
  </si>
  <si>
    <t>20 DIAS HABILES</t>
  </si>
  <si>
    <t>TAPACANTO 100 MTS RECHAU</t>
  </si>
  <si>
    <t>BLANCO OPACO MERINO</t>
  </si>
  <si>
    <t>DESCTO.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</si>
</sst>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23</xdr:row>
      <xdr:rowOff>9525</xdr:rowOff>
    </xdr:from>
    <xdr:to>
      <xdr:col>5</xdr:col>
      <xdr:colOff>1635064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OBSERVACIONES:13 MDF 12MM</a:t>
          </a:r>
          <a:r>
            <a:rPr lang="es-CL" sz="1200" b="1" baseline="0"/>
            <a:t> </a:t>
          </a:r>
          <a:r>
            <a:rPr lang="es-CL" sz="1200" b="1"/>
            <a:t>CORTADAS EN PIEZAS DE 1200X35MM CANTOS ENCHAPADOS CON TAPACANTO DE PVC 0,4MM COLOR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CANTIDAD ES APROXIMADA, PUEDE QUE SEAN MENOS CANTIDAD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8" zoomScale="93" zoomScaleNormal="93" workbookViewId="0">
      <selection activeCell="J25" sqref="J2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6.109375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126</v>
      </c>
      <c r="C8" s="293"/>
      <c r="D8" s="294">
        <v>10643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162</v>
      </c>
      <c r="C10" s="279" t="s">
        <v>167</v>
      </c>
      <c r="D10" s="243"/>
      <c r="E10" s="243"/>
      <c r="F10" s="244" t="s">
        <v>0</v>
      </c>
      <c r="G10" s="277">
        <v>45351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123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7"/>
      <c r="D12" s="247"/>
      <c r="E12" s="247"/>
      <c r="F12" s="247" t="s">
        <v>127</v>
      </c>
      <c r="G12" s="278" t="s">
        <v>135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168</v>
      </c>
      <c r="G13" s="318"/>
      <c r="H13" s="290"/>
      <c r="P13" s="19"/>
      <c r="Q13" s="25"/>
      <c r="R13" s="19"/>
    </row>
    <row r="14" spans="2:23" x14ac:dyDescent="0.3">
      <c r="B14" s="246" t="s">
        <v>139</v>
      </c>
      <c r="C14" s="324"/>
      <c r="D14" s="247"/>
      <c r="E14" s="247"/>
      <c r="F14" s="325" t="s">
        <v>136</v>
      </c>
      <c r="G14" s="291" t="s">
        <v>135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t="s">
        <v>169</v>
      </c>
      <c r="D15" s="320"/>
      <c r="F15" t="s">
        <v>134</v>
      </c>
      <c r="G15" s="319" t="s">
        <v>135</v>
      </c>
      <c r="H15" s="290"/>
    </row>
    <row r="16" spans="2:23" ht="16.8" x14ac:dyDescent="0.4">
      <c r="B16" s="326" t="s">
        <v>3</v>
      </c>
      <c r="C16" s="317"/>
      <c r="D16" s="247"/>
      <c r="E16" s="247"/>
      <c r="F16" s="327" t="s">
        <v>129</v>
      </c>
      <c r="G16" s="328" t="s">
        <v>163</v>
      </c>
      <c r="H16" s="248"/>
    </row>
    <row r="17" spans="2:24" ht="15" thickBot="1" x14ac:dyDescent="0.35">
      <c r="B17" s="321" t="s">
        <v>13</v>
      </c>
      <c r="C17" s="322" t="s">
        <v>166</v>
      </c>
      <c r="D17" s="323"/>
      <c r="E17" s="119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131</v>
      </c>
      <c r="M20" s="39" t="str">
        <f t="shared" ref="M20" si="0">E20</f>
        <v>ANCHO</v>
      </c>
      <c r="N20" s="261" t="s">
        <v>132</v>
      </c>
      <c r="O20" s="259" t="s">
        <v>17</v>
      </c>
      <c r="P20" s="252">
        <f>N38</f>
        <v>53491.730769230773</v>
      </c>
      <c r="Q20" s="258">
        <v>1000</v>
      </c>
      <c r="R20" s="38"/>
      <c r="S20" s="14" t="s">
        <v>128</v>
      </c>
      <c r="T20" s="9"/>
      <c r="W20" s="4"/>
    </row>
    <row r="21" spans="2:24" ht="17.399999999999999" x14ac:dyDescent="0.3">
      <c r="B21" s="313">
        <v>1040</v>
      </c>
      <c r="C21" s="314" t="s">
        <v>170</v>
      </c>
      <c r="D21" s="315">
        <v>1.2</v>
      </c>
      <c r="E21" s="330">
        <v>3.5000000000000003E-2</v>
      </c>
      <c r="F21" s="329" t="s">
        <v>173</v>
      </c>
      <c r="G21" s="331">
        <v>2959</v>
      </c>
      <c r="H21" s="316">
        <f>G21*B21</f>
        <v>3077360</v>
      </c>
      <c r="I21" s="265"/>
      <c r="J21" s="47"/>
      <c r="K21" s="47"/>
      <c r="L21" s="39">
        <f>D21+L$19</f>
        <v>1.25</v>
      </c>
      <c r="M21" s="39">
        <f>E21</f>
        <v>3.5000000000000003E-2</v>
      </c>
      <c r="N21" s="261">
        <f>L21*M21</f>
        <v>4.3750000000000004E-2</v>
      </c>
      <c r="O21" s="259">
        <f>N21*K21</f>
        <v>0</v>
      </c>
      <c r="P21" s="252">
        <f>N21*P$20</f>
        <v>2340.2632211538466</v>
      </c>
      <c r="Q21" s="258">
        <f t="shared" ref="Q21" si="1">P21+Q$20</f>
        <v>3340.2632211538466</v>
      </c>
      <c r="R21" s="299">
        <f>L21*K21</f>
        <v>0</v>
      </c>
      <c r="S21" s="46">
        <f>M21*K21*2</f>
        <v>0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2" t="s">
        <v>174</v>
      </c>
      <c r="H22" s="332">
        <v>-307736</v>
      </c>
      <c r="I22" s="265"/>
      <c r="J22" s="47"/>
      <c r="K22" s="47">
        <v>1040</v>
      </c>
      <c r="L22" s="39">
        <v>1.2</v>
      </c>
      <c r="M22" s="39">
        <v>3.5000000000000003E-2</v>
      </c>
      <c r="N22" s="261">
        <f>L22*M22</f>
        <v>4.2000000000000003E-2</v>
      </c>
      <c r="O22" s="259">
        <f>N22*K22</f>
        <v>43.68</v>
      </c>
      <c r="P22" s="252">
        <f>N22*P$20</f>
        <v>2246.6526923076926</v>
      </c>
      <c r="Q22" s="258">
        <f t="shared" ref="Q22" si="2">P22+Q$20</f>
        <v>3246.6526923076926</v>
      </c>
      <c r="R22" s="299">
        <f>L22*K22*2</f>
        <v>2496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>
        <v>1.2</v>
      </c>
      <c r="M23" s="39">
        <v>3.5000000000000003E-2</v>
      </c>
      <c r="N23" s="261">
        <f>L23*M23</f>
        <v>4.2000000000000003E-2</v>
      </c>
      <c r="O23" s="259">
        <f>L23*K23</f>
        <v>0</v>
      </c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SUM(H21:H22)</f>
        <v>2769624</v>
      </c>
      <c r="I24" s="265"/>
      <c r="J24" s="47"/>
      <c r="K24" s="47"/>
      <c r="L24" s="39">
        <f>SUM(L21:L23)</f>
        <v>3.6500000000000004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51</v>
      </c>
      <c r="H25" s="296">
        <f>H24*19%</f>
        <v>526228.56000000006</v>
      </c>
      <c r="I25" s="265"/>
      <c r="J25" s="47"/>
      <c r="K25" s="47"/>
      <c r="L25" s="39"/>
      <c r="M25" s="12"/>
      <c r="N25" s="12"/>
      <c r="O25" s="253">
        <f>SUM(O21:O23)</f>
        <v>43.68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3295852.56</v>
      </c>
      <c r="I26" s="265"/>
      <c r="J26" s="47"/>
      <c r="K26" s="47"/>
      <c r="L26" s="39"/>
      <c r="M26" s="12"/>
      <c r="N26" s="12"/>
      <c r="O26" s="253">
        <f>O25</f>
        <v>43.68</v>
      </c>
      <c r="P26" s="14"/>
      <c r="Q26" s="12"/>
      <c r="R26" s="239">
        <f>SUM(R21:R25)</f>
        <v>2496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8.7360000000000007</v>
      </c>
      <c r="P27" s="39" t="s">
        <v>130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52.415999999999997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152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>
        <f>K30+L30</f>
        <v>97.343999999999994</v>
      </c>
      <c r="K30" s="47">
        <v>44.927999999999997</v>
      </c>
      <c r="L30" s="39">
        <f>O28</f>
        <v>52.415999999999997</v>
      </c>
      <c r="M30" s="12">
        <v>2500</v>
      </c>
      <c r="N30" s="12">
        <f>M30*J30</f>
        <v>243359.99999999997</v>
      </c>
      <c r="O30" s="14" t="s">
        <v>22</v>
      </c>
      <c r="P30" s="14"/>
      <c r="Q30" s="14"/>
      <c r="R30" s="241"/>
      <c r="S30" s="14"/>
      <c r="T30" s="306" t="s">
        <v>153</v>
      </c>
      <c r="U30" s="303">
        <v>3625</v>
      </c>
      <c r="V30" s="59" t="s">
        <v>154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13</v>
      </c>
      <c r="M31" s="12">
        <v>17538</v>
      </c>
      <c r="N31" s="12">
        <f t="shared" ref="N31:N35" si="3">L31*M31</f>
        <v>227994</v>
      </c>
      <c r="O31" s="39" t="s">
        <v>31</v>
      </c>
      <c r="P31" s="42"/>
      <c r="Q31" s="14"/>
      <c r="R31" s="240"/>
      <c r="S31" s="14"/>
      <c r="T31" s="306"/>
      <c r="U31" s="59">
        <v>906.25</v>
      </c>
      <c r="V31" s="59" t="s">
        <v>155</v>
      </c>
      <c r="W31" s="308"/>
    </row>
    <row r="32" spans="2:24" s="230" customFormat="1" ht="17.399999999999999" x14ac:dyDescent="0.35">
      <c r="I32" s="262"/>
      <c r="J32" s="232"/>
      <c r="K32" s="250"/>
      <c r="L32" s="14">
        <v>30</v>
      </c>
      <c r="M32" s="250">
        <v>10590</v>
      </c>
      <c r="N32" s="12">
        <f t="shared" si="3"/>
        <v>317700</v>
      </c>
      <c r="O32" s="39" t="s">
        <v>172</v>
      </c>
      <c r="P32" s="42"/>
      <c r="R32" s="240"/>
      <c r="S32" s="256"/>
      <c r="T32" s="59"/>
      <c r="U32" s="59">
        <f>U31*20%</f>
        <v>181.25</v>
      </c>
      <c r="V32" s="308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13</v>
      </c>
      <c r="M33" s="250">
        <v>21000</v>
      </c>
      <c r="N33" s="12">
        <f t="shared" si="3"/>
        <v>273000</v>
      </c>
      <c r="O33" s="14" t="s">
        <v>141</v>
      </c>
      <c r="P33" s="17"/>
      <c r="R33" s="238"/>
      <c r="S33" s="256"/>
      <c r="T33" s="59"/>
      <c r="U33" s="59">
        <f>U31+U32</f>
        <v>1087.5</v>
      </c>
      <c r="V33" s="308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3"/>
        <v>0</v>
      </c>
      <c r="O34" s="14" t="s">
        <v>32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125</v>
      </c>
      <c r="C35"/>
      <c r="D35"/>
      <c r="E35"/>
      <c r="F35" s="229" t="s">
        <v>16</v>
      </c>
      <c r="I35" s="295"/>
      <c r="K35" s="250"/>
      <c r="L35" s="266"/>
      <c r="M35" s="12">
        <v>1500</v>
      </c>
      <c r="N35" s="12">
        <f t="shared" si="3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1062054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33</v>
      </c>
      <c r="M37" s="12"/>
      <c r="N37" s="255">
        <f>N36*2.2</f>
        <v>2336518.8000000003</v>
      </c>
      <c r="O37" s="14" t="s">
        <v>140</v>
      </c>
      <c r="P37" s="14">
        <v>0</v>
      </c>
      <c r="Q37" s="40">
        <f>O28/Q36</f>
        <v>14.132873166522863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10590</v>
      </c>
      <c r="K38" s="250"/>
      <c r="L38" s="14"/>
      <c r="M38" s="12"/>
      <c r="N38" s="12">
        <f>N37/O26</f>
        <v>53491.730769230773</v>
      </c>
      <c r="O38" s="45" t="s">
        <v>25</v>
      </c>
      <c r="P38" s="14"/>
      <c r="Q38" s="14"/>
      <c r="R38"/>
      <c r="S38" s="238"/>
      <c r="T38" s="59" t="s">
        <v>158</v>
      </c>
      <c r="U38" s="303">
        <v>43650</v>
      </c>
    </row>
    <row r="39" spans="2:23" s="230" customFormat="1" ht="17.399999999999999" x14ac:dyDescent="0.35">
      <c r="G39"/>
      <c r="H39" s="230" t="s">
        <v>164</v>
      </c>
      <c r="J39" s="230">
        <f>J38/1.19</f>
        <v>8899.1596638655465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4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156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45351</v>
      </c>
    </row>
    <row r="6" spans="2:31" ht="16.2" thickBot="1" x14ac:dyDescent="0.35">
      <c r="B6" s="140" t="s">
        <v>2</v>
      </c>
      <c r="C6" s="139" t="str">
        <f>'2229'!C10</f>
        <v>SONOFLEX CHILE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>
        <f>'2229'!D8</f>
        <v>10643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-236409.77503345415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2769624</v>
      </c>
      <c r="E11" s="132">
        <f>D11*0.19</f>
        <v>526228.56000000006</v>
      </c>
      <c r="F11" s="131">
        <f>E11+D11</f>
        <v>3295852.56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-130419.77503345415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818888.09078743961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-148419.77503345415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1950735.9092125604</v>
      </c>
      <c r="E13" s="221">
        <f>(D11/D12)-1</f>
        <v>2.3821764306484665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-157419.77503345415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-196419.77503345415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1351165.3497992752</v>
      </c>
      <c r="F15" s="216">
        <f>E15-D12</f>
        <v>532277.25901183556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-196419.77503345415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-156419.77503345415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'2229'!N32</f>
        <v>317700</v>
      </c>
      <c r="E18" s="123">
        <f>D18*0.19</f>
        <v>60363</v>
      </c>
      <c r="F18" s="120">
        <f>SUM(D18:E18)</f>
        <v>378063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'2229'!N31</f>
        <v>227994</v>
      </c>
      <c r="E19" s="123">
        <f>D19*0.19</f>
        <v>43318.86</v>
      </c>
      <c r="F19" s="120">
        <f>SUM(D19:E19)</f>
        <v>271312.86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243359.99999999997</v>
      </c>
      <c r="E20" s="121">
        <f>D20*0.19</f>
        <v>46238.399999999994</v>
      </c>
      <c r="F20" s="120">
        <f>SUM(D20:E20)</f>
        <v>289598.39999999997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789054</v>
      </c>
      <c r="E21" s="116">
        <f>SUM(E18:E20)</f>
        <v>149920.26</v>
      </c>
      <c r="F21" s="115">
        <f>SUM(F18:F20)</f>
        <v>938974.26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376308.30000000005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2769624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789054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1950735.9092125604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1950735.9092125604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2024-02-28T21:27:11Z</cp:lastPrinted>
  <dcterms:created xsi:type="dcterms:W3CDTF">2013-03-18T13:35:42Z</dcterms:created>
  <dcterms:modified xsi:type="dcterms:W3CDTF">2024-02-29T18:59:32Z</dcterms:modified>
</cp:coreProperties>
</file>