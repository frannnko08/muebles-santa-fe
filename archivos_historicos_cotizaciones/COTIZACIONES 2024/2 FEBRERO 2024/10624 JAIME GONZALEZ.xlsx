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8DCBD8F0-D1EE-4A49-80CF-A50C6D218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 s="1"/>
  <c r="R23" i="1"/>
  <c r="H24" i="1"/>
  <c r="H23" i="1"/>
  <c r="K22" i="1"/>
  <c r="L22" i="1"/>
  <c r="R22" i="1" s="1"/>
  <c r="M22" i="1"/>
  <c r="J41" i="1"/>
  <c r="N22" i="1" l="1"/>
  <c r="O22" i="1" s="1"/>
  <c r="L26" i="1"/>
  <c r="S21" i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D20" i="3"/>
  <c r="E20" i="3" s="1"/>
  <c r="E21" i="3" s="1"/>
  <c r="N39" i="1" l="1"/>
  <c r="N40" i="1" s="1"/>
  <c r="P20" i="1" s="1"/>
  <c r="D21" i="3"/>
  <c r="M43" i="3" s="1"/>
  <c r="D12" i="3" s="1"/>
  <c r="F20" i="3"/>
  <c r="F21" i="3" s="1"/>
  <c r="P23" i="1" l="1"/>
  <c r="P22" i="1"/>
  <c r="P21" i="1"/>
  <c r="Q23" i="1"/>
  <c r="N41" i="1"/>
  <c r="E15" i="3"/>
  <c r="Q22" i="1" l="1"/>
  <c r="F15" i="3"/>
  <c r="H22" i="1" l="1"/>
  <c r="Q21" i="1"/>
  <c r="H21" i="1" l="1"/>
  <c r="H26" i="1" s="1"/>
  <c r="H27" i="1" l="1"/>
  <c r="H28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<sst xmlns="http://schemas.openxmlformats.org/spreadsheetml/2006/main" count="234" uniqueCount="176">
  <si>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</si>
  <si>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</si>
  <si>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</si>
  <si>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</si>
  <si>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</si>
  <si>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</si>
  <si>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</si>
  <si>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</si>
  <si>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</si>
  <si>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</si>
  <si>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</si>
  <si>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</si>
  <si>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</si>
  <si>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</si>
  <si>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</si>
  <si>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</si>
  <si>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</si>
  <si>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</si>
  <si>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</si>
  <si>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</si>
  <si>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</si>
  <si>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</si>
  <si>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</si>
  <si>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</si>
  <si>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</si>
  <si>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</si>
  <si>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</si>
  <si>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</si>
  <si>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</si>
  <si>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</si>
  <si>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</si>
  <si>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</si>
  <si>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</si>
  <si>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</si>
  <si>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</si>
  <si>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</si>
  <si>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</si>
  <si>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</si>
  <si>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</si>
  <si>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</si>
  <si>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</si>
  <si>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</si>
  <si>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</si>
  <si>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</si>
  <si>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</si>
  <si>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</si>
  <si>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</si>
  <si>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</si>
  <si>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</si>
  <si>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</si>
  <si>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</si>
  <si>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</si>
  <si>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</si>
  <si>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</si>
  <si>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</si>
  <si>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</si>
  <si>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</si>
  <si>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</si>
  <si>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</si>
  <si>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</si>
  <si>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</si>
  <si>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</si>
  <si>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</si>
  <si>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</si>
  <si>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</si>
  <si>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</si>
  <si>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</si>
  <si>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</si>
  <si>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</si>
  <si>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</si>
  <si>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</si>
  <si>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</si>
  <si>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</si>
  <si>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</si>
  <si>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</si>
  <si>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</si>
  <si>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</si>
  <si>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</si>
  <si>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</si>
  <si>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</si>
  <si>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</si>
  <si>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</si>
  <si>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</si>
  <si>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</si>
  <si>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</si>
  <si>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</si>
  <si>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</si>
  <si>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</si>
  <si>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</si>
  <si>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</si>
  <si>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</si>
  <si>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</si>
  <si>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</si>
  <si>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</si>
  <si>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</si>
  <si>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</si>
  <si>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</si>
  <si>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</si>
  <si>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</si>
  <si>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</si>
  <si>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</si>
  <si>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</si>
  <si>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</si>
  <si>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</si>
  <si>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</si>
  <si>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</si>
  <si>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</si>
  <si>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</si>
  <si>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</si>
  <si>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</si>
  <si>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</si>
  <si>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</si>
  <si>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</si>
  <si>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</si>
  <si>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</si>
  <si>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</si>
  <si>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</si>
  <si>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</si>
  <si>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</si>
  <si>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</si>
  <si>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</si>
  <si>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</si>
  <si>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</si>
  <si>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</si>
  <si>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</si>
  <si>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</si>
  <si>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</si>
  <si>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</si>
  <si>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</si>
  <si>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</si>
  <si>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</si>
  <si>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</si>
  <si>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</si>
  <si>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</si>
  <si>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</si>
  <si>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</si>
  <si>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</si>
  <si>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</si>
  <si>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</si>
  <si>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</si>
  <si>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</si>
  <si>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</si>
  <si>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</si>
  <si>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</si>
  <si>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</si>
  <si>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</si>
  <si>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</si>
  <si>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</si>
  <si>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</si>
  <si>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</si>
  <si>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</si>
  <si>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</si>
  <si>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</si>
  <si>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</si>
  <si>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</si>
  <si>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</si>
  <si>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</si>
  <si>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</si>
  <si>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</si>
  <si>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</si>
  <si>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</si>
  <si>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</si>
  <si>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</si>
  <si>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</si>
  <si>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</si>
  <si>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</si>
  <si>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</si>
  <si>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</si>
  <si>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</si>
  <si>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JAIME GONZALEZ</t>
  </si>
  <si>
    <t>+569 7884 9484</t>
  </si>
  <si>
    <t>CUB CON RESPALDO FRENTE 180°</t>
  </si>
  <si>
    <t>HUMO 2108 MT</t>
  </si>
  <si>
    <t>E/R 1 CARA 18MM</t>
  </si>
  <si>
    <t>SERVICIO DE ENCHAPE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</si>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</sst>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CORTADAS A LA MEDIDA Y ENCHAPADAS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ESPESOR DEL MDF 18MM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10624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45335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72510.271259147121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171</v>
      </c>
      <c r="D21" s="315">
        <v>3.07</v>
      </c>
      <c r="E21" s="315">
        <v>0.6</v>
      </c>
      <c r="F21" s="314" t="s">
        <v>172</v>
      </c>
      <c r="G21" s="316">
        <v>131041</v>
      </c>
      <c r="H21" s="317">
        <f>G21*B21</f>
        <v>131041</v>
      </c>
      <c r="I21" s="265"/>
      <c r="J21" s="47"/>
      <c r="K21" s="47">
        <v>1</v>
      </c>
      <c r="L21" s="39">
        <v>3.012</v>
      </c>
      <c r="M21" s="39">
        <v>0.6</v>
      </c>
      <c r="N21" s="261">
        <f t="shared" ref="N21" si="1">L21*M21</f>
        <v>1.8071999999999999</v>
      </c>
      <c r="O21" s="259">
        <f t="shared" ref="O21" si="2">N21*K21</f>
        <v>1.8071999999999999</v>
      </c>
      <c r="P21" s="252">
        <f>O21*P$20</f>
        <v>131040.56221953066</v>
      </c>
      <c r="Q21" s="258">
        <f t="shared" ref="Q21" si="3">P21+Q$20</f>
        <v>134040.56221953066</v>
      </c>
      <c r="R21" s="299">
        <f>L21*K21*2</f>
        <v>6.024</v>
      </c>
      <c r="S21" s="46">
        <f>M21*K21*2</f>
        <v>1.2</v>
      </c>
      <c r="T21" s="9"/>
      <c r="W21" s="4"/>
    </row>
    <row r="22" spans="2:24" ht="18" thickBot="1" x14ac:dyDescent="0.35">
      <c r="B22" s="331">
        <v>1</v>
      </c>
      <c r="C22" s="314" t="s">
        <v>173</v>
      </c>
      <c r="D22" s="332">
        <v>3</v>
      </c>
      <c r="E22" s="332">
        <v>0.3</v>
      </c>
      <c r="F22" s="314" t="s">
        <v>172</v>
      </c>
      <c r="G22" s="333">
        <v>70074</v>
      </c>
      <c r="H22" s="334">
        <f>G22*B22</f>
        <v>70074</v>
      </c>
      <c r="I22" s="265"/>
      <c r="J22" s="47"/>
      <c r="K22" s="47">
        <f>B22</f>
        <v>1</v>
      </c>
      <c r="L22" s="39">
        <f t="shared" ref="L22" si="4">D22+L$19</f>
        <v>3.02</v>
      </c>
      <c r="M22" s="39">
        <f t="shared" ref="M22" si="5">E22+M$19</f>
        <v>0.32</v>
      </c>
      <c r="N22" s="261">
        <f t="shared" ref="N22" si="6">L22*M22</f>
        <v>0.96640000000000004</v>
      </c>
      <c r="O22" s="259">
        <f t="shared" ref="O22" si="7">N22*K22</f>
        <v>0.96640000000000004</v>
      </c>
      <c r="P22" s="252">
        <f t="shared" ref="P22:P23" si="8">O22*P$20</f>
        <v>70073.926144839774</v>
      </c>
      <c r="Q22" s="258">
        <f t="shared" ref="Q22" si="9">P22+Q$20</f>
        <v>73073.926144839774</v>
      </c>
      <c r="R22" s="299">
        <f>L22*K22*2</f>
        <v>6.04</v>
      </c>
      <c r="S22" s="46"/>
      <c r="T22" s="9"/>
      <c r="W22" s="4"/>
    </row>
    <row r="23" spans="2:24" ht="18" thickBot="1" x14ac:dyDescent="0.35">
      <c r="B23" s="331">
        <v>2</v>
      </c>
      <c r="C23" s="314" t="s">
        <v>173</v>
      </c>
      <c r="D23" s="332">
        <v>0.6</v>
      </c>
      <c r="E23" s="332">
        <v>0.3</v>
      </c>
      <c r="F23" s="314" t="s">
        <v>172</v>
      </c>
      <c r="G23" s="333">
        <v>28772</v>
      </c>
      <c r="H23" s="334">
        <f>G23*B23</f>
        <v>57544</v>
      </c>
      <c r="I23" s="265"/>
      <c r="J23" s="47"/>
      <c r="K23" s="47">
        <v>2</v>
      </c>
      <c r="L23" s="39">
        <f t="shared" ref="L23" si="10">D23+L$19</f>
        <v>0.62</v>
      </c>
      <c r="M23" s="39">
        <f t="shared" ref="M23" si="11">E23+M$19</f>
        <v>0.32</v>
      </c>
      <c r="N23" s="261">
        <f t="shared" ref="N23" si="12">L23*M23</f>
        <v>0.19839999999999999</v>
      </c>
      <c r="O23" s="259">
        <f t="shared" ref="O23" si="13">N23*K23</f>
        <v>0.39679999999999999</v>
      </c>
      <c r="P23" s="252">
        <f t="shared" si="8"/>
        <v>28772.075635629575</v>
      </c>
      <c r="Q23" s="258">
        <f t="shared" ref="Q23" si="14">P23+Q$20</f>
        <v>31772.075635629575</v>
      </c>
      <c r="R23" s="299">
        <f>L23*K23*2</f>
        <v>2.48</v>
      </c>
      <c r="S23" s="46"/>
      <c r="T23" s="9"/>
      <c r="W23" s="4"/>
    </row>
    <row r="24" spans="2:24" ht="18" thickBot="1" x14ac:dyDescent="0.35">
      <c r="B24" s="331">
        <v>1</v>
      </c>
      <c r="C24" s="314" t="s">
        <v>174</v>
      </c>
      <c r="D24" s="332"/>
      <c r="E24" s="332"/>
      <c r="F24" s="314"/>
      <c r="G24" s="333">
        <v>15000</v>
      </c>
      <c r="H24" s="334">
        <f>G24*B24</f>
        <v>15000</v>
      </c>
      <c r="I24" s="265"/>
      <c r="J24" s="47"/>
      <c r="K24" s="47"/>
      <c r="L24" s="39"/>
      <c r="M24" s="39"/>
      <c r="N24" s="261"/>
      <c r="O24" s="259"/>
      <c r="P24" s="252"/>
      <c r="Q24" s="258"/>
      <c r="R24" s="299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0" t="s">
        <v>29</v>
      </c>
      <c r="H26" s="301">
        <f>SUM(H21:H24)</f>
        <v>273659</v>
      </c>
      <c r="I26" s="265"/>
      <c r="J26" s="47"/>
      <c r="K26" s="47"/>
      <c r="L26" s="39">
        <f>SUM(L21:L25)</f>
        <v>6.6520000000000001</v>
      </c>
      <c r="M26" s="39"/>
      <c r="N26" s="261"/>
      <c r="O26" s="259"/>
      <c r="P26" s="252"/>
      <c r="Q26" s="258"/>
      <c r="R26" s="299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8" t="s">
        <v>52</v>
      </c>
      <c r="H27" s="296">
        <f>H26*19%</f>
        <v>51995.21</v>
      </c>
      <c r="I27" s="265"/>
      <c r="J27" s="47"/>
      <c r="K27" s="47"/>
      <c r="L27" s="39"/>
      <c r="M27" s="12"/>
      <c r="N27" s="12"/>
      <c r="O27" s="253">
        <f>SUM(O21:O23)</f>
        <v>3.1703999999999999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7">
        <f>H26+H27</f>
        <v>325654.21000000002</v>
      </c>
      <c r="I28" s="265"/>
      <c r="J28" s="47"/>
      <c r="K28" s="47"/>
      <c r="L28" s="39"/>
      <c r="M28" s="12"/>
      <c r="N28" s="12"/>
      <c r="O28" s="253">
        <f>O27</f>
        <v>3.1703999999999999</v>
      </c>
      <c r="P28" s="14"/>
      <c r="Q28" s="12"/>
      <c r="R28" s="239">
        <f>SUM(R21:R27)</f>
        <v>14.544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0.63407999999999998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3.8044799999999999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6" t="s">
        <v>22</v>
      </c>
      <c r="U31" s="303" t="s">
        <v>153</v>
      </c>
      <c r="V31" s="307">
        <v>44971</v>
      </c>
      <c r="W31" s="30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3.8044799999999999</v>
      </c>
      <c r="M32" s="12">
        <v>3500</v>
      </c>
      <c r="N32" s="12">
        <f t="shared" ref="N32:N37" si="15">L32*M32</f>
        <v>13315.68</v>
      </c>
      <c r="O32" s="14" t="s">
        <v>22</v>
      </c>
      <c r="P32" s="14"/>
      <c r="Q32" s="14"/>
      <c r="R32" s="241"/>
      <c r="S32" s="14"/>
      <c r="T32" s="306" t="s">
        <v>154</v>
      </c>
      <c r="U32" s="303">
        <v>3625</v>
      </c>
      <c r="V32" s="59" t="s">
        <v>155</v>
      </c>
      <c r="W32" s="30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1.1000000000000001</v>
      </c>
      <c r="M33" s="12">
        <v>23850</v>
      </c>
      <c r="N33" s="12">
        <f t="shared" si="15"/>
        <v>26235.000000000004</v>
      </c>
      <c r="O33" s="39" t="s">
        <v>32</v>
      </c>
      <c r="P33" s="42"/>
      <c r="Q33" s="14"/>
      <c r="R33" s="240"/>
      <c r="S33" s="14"/>
      <c r="T33" s="306"/>
      <c r="U33" s="59">
        <v>906.25</v>
      </c>
      <c r="V33" s="59" t="s">
        <v>156</v>
      </c>
      <c r="W33" s="308"/>
    </row>
    <row r="34" spans="2:23" s="230" customFormat="1" ht="17.399999999999999" x14ac:dyDescent="0.35">
      <c r="I34" s="262"/>
      <c r="J34" s="232"/>
      <c r="K34" s="250"/>
      <c r="L34" s="14">
        <v>1</v>
      </c>
      <c r="M34" s="250">
        <v>55750</v>
      </c>
      <c r="N34" s="12">
        <f t="shared" si="15"/>
        <v>55750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8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/>
      <c r="M35" s="250">
        <v>42115</v>
      </c>
      <c r="N35" s="12">
        <f t="shared" si="15"/>
        <v>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8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5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5"/>
      <c r="K37" s="250"/>
      <c r="L37" s="266">
        <v>3.1</v>
      </c>
      <c r="M37" s="12">
        <v>1500</v>
      </c>
      <c r="N37" s="12">
        <f t="shared" si="15"/>
        <v>4650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99950.680000000008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N38*2.3</f>
        <v>229886.56400000001</v>
      </c>
      <c r="O39" s="14" t="s">
        <v>141</v>
      </c>
      <c r="P39" s="14"/>
      <c r="Q39" s="40">
        <f>O30/Q38</f>
        <v>1.0257981018119067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66340</v>
      </c>
      <c r="K40" s="250"/>
      <c r="L40" s="14"/>
      <c r="M40" s="12"/>
      <c r="N40" s="12">
        <f>N39/O28</f>
        <v>72510.271259147121</v>
      </c>
      <c r="O40" s="45" t="s">
        <v>25</v>
      </c>
      <c r="P40" s="14"/>
      <c r="Q40" s="14"/>
      <c r="R40"/>
      <c r="S40" s="238"/>
      <c r="T40" s="59" t="s">
        <v>159</v>
      </c>
      <c r="U40" s="303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55747.899159663866</v>
      </c>
      <c r="K41" s="250"/>
      <c r="L41" s="13"/>
      <c r="M41" s="14"/>
      <c r="N41" s="17">
        <f>N39/N38</f>
        <v>2.2999999999999998</v>
      </c>
      <c r="O41" s="15"/>
      <c r="P41"/>
      <c r="Q41"/>
      <c r="R41"/>
      <c r="S41" s="238"/>
      <c r="T41" s="59" t="s">
        <v>161</v>
      </c>
      <c r="U41" s="304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45335</v>
      </c>
    </row>
    <row r="6" spans="2:31" ht="16.2" thickBot="1" x14ac:dyDescent="0.35">
      <c r="B6" s="140" t="s">
        <v>2</v>
      </c>
      <c r="C6" s="139" t="str">
        <f>'2229'!C10</f>
        <v>JAIME GONZALEZ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-11197.771366787443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273659</v>
      </c>
      <c r="E11" s="132">
        <f>D11*0.19</f>
        <v>51995.21</v>
      </c>
      <c r="F11" s="131">
        <f>E11+D11</f>
        <v>325654.21000000002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94792.228633212551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125134.7707874396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76792.228633212551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148524.2292125604</v>
      </c>
      <c r="E13" s="221">
        <f>(D11/D12)-1</f>
        <v>1.1869141428712195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67792.228633212551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28792.228633212559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206472.37179927534</v>
      </c>
      <c r="F15" s="216">
        <f>E15-D12</f>
        <v>81337.601011835737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28792.228633212559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68792.228633212551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55750</v>
      </c>
      <c r="E18" s="123">
        <f>D18*0.19</f>
        <v>10592.5</v>
      </c>
      <c r="F18" s="120">
        <f>SUM(D18:E18)</f>
        <v>66342.5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26235.000000000004</v>
      </c>
      <c r="E19" s="123">
        <f>D19*0.19</f>
        <v>4984.6500000000005</v>
      </c>
      <c r="F19" s="120">
        <f>SUM(D19:E19)</f>
        <v>31219.650000000005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13315.68</v>
      </c>
      <c r="E20" s="121">
        <f>D20*0.19</f>
        <v>2529.9792000000002</v>
      </c>
      <c r="F20" s="120">
        <f>SUM(D20:E20)</f>
        <v>15845.6592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95300.68</v>
      </c>
      <c r="E21" s="116">
        <f>SUM(E18:E20)</f>
        <v>18107.129200000003</v>
      </c>
      <c r="F21" s="115">
        <f>SUM(F18:F20)</f>
        <v>113407.8092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33888.080799999996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273659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95300.68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148524.2292125604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148524.2292125604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2024-02-13T20:23:00Z</dcterms:modified>
</cp:coreProperties>
</file>