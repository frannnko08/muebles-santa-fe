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44E9039E-3597-4D63-9F4F-46D9E684B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1" i="1"/>
  <c r="L22" i="1"/>
  <c r="M22" i="1"/>
  <c r="H22" i="1"/>
  <c r="J40" i="1"/>
  <c r="L21" i="1"/>
  <c r="M21" i="1"/>
  <c r="N22" i="1" l="1"/>
  <c r="O22" i="1" s="1"/>
  <c r="R22" i="1"/>
  <c r="L25" i="1"/>
  <c r="S21" i="1"/>
  <c r="R21" i="1"/>
  <c r="N21" i="1"/>
  <c r="O21" i="1" s="1"/>
  <c r="U33" i="1"/>
  <c r="U34" i="1" s="1"/>
  <c r="O26" i="1" l="1"/>
  <c r="R27" i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2" i="1" l="1"/>
  <c r="Q22" i="1" s="1"/>
  <c r="P21" i="1"/>
  <c r="F15" i="3"/>
  <c r="Q21" i="1" l="1"/>
  <c r="H21" i="1" l="1"/>
  <c r="H25" i="1" s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<sst xmlns="http://schemas.openxmlformats.org/spreadsheetml/2006/main" count="233" uniqueCount="175">
  <si>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</si>
  <si>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</si>
  <si>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</si>
  <si>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</si>
  <si>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</si>
  <si>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</si>
  <si>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</si>
  <si>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</si>
  <si>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</si>
  <si>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</si>
  <si>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</si>
  <si>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</si>
  <si>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</si>
  <si>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</si>
  <si>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</si>
  <si>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</si>
  <si>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</si>
  <si>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</si>
  <si>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</si>
  <si>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</si>
  <si>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</si>
  <si>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</si>
  <si>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</si>
  <si>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</si>
  <si>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</si>
  <si>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</si>
  <si>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</si>
  <si>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</si>
  <si>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</si>
  <si>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</si>
  <si>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</si>
  <si>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</si>
  <si>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</si>
  <si>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</si>
  <si>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</si>
  <si>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</si>
  <si>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</si>
  <si>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</si>
  <si>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</si>
  <si>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</si>
  <si>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</si>
  <si>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</si>
  <si>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</si>
  <si>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</si>
  <si>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</si>
  <si>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</si>
  <si>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</si>
  <si>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</si>
  <si>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</si>
  <si>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</si>
  <si>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</si>
  <si>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</si>
  <si>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</si>
  <si>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</si>
  <si>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</si>
  <si>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</si>
  <si>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</si>
  <si>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</si>
  <si>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</si>
  <si>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</si>
  <si>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</si>
  <si>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</si>
  <si>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</si>
  <si>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</si>
  <si>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</si>
  <si>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</si>
  <si>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</si>
  <si>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</si>
  <si>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</si>
  <si>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</si>
  <si>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</si>
  <si>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</si>
  <si>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</si>
  <si>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</si>
  <si>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</si>
  <si>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</si>
  <si>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</si>
  <si>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</si>
  <si>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</si>
  <si>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</si>
  <si>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</si>
  <si>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</si>
  <si>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</si>
  <si>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</si>
  <si>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</si>
  <si>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</si>
  <si>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</si>
  <si>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</si>
  <si>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</si>
  <si>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</si>
  <si>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</si>
  <si>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</si>
  <si>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</si>
  <si>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</si>
  <si>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</si>
  <si>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</si>
  <si>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</si>
  <si>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</si>
  <si>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</si>
  <si>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</si>
  <si>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</si>
  <si>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</si>
  <si>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</si>
  <si>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</si>
  <si>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</si>
  <si>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</si>
  <si>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</si>
  <si>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</si>
  <si>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</si>
  <si>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</si>
  <si>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</si>
  <si>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</si>
  <si>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</si>
  <si>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</si>
  <si>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</si>
  <si>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</si>
  <si>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</si>
  <si>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</si>
  <si>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</si>
  <si>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</si>
  <si>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</si>
  <si>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</si>
  <si>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</si>
  <si>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</si>
  <si>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</si>
  <si>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</si>
  <si>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</si>
  <si>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</si>
  <si>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</si>
  <si>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</si>
  <si>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</si>
  <si>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</si>
  <si>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</si>
  <si>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</si>
  <si>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</si>
  <si>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</si>
  <si>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</si>
  <si>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</si>
  <si>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</si>
  <si>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</si>
  <si>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</si>
  <si>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</si>
  <si>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</si>
  <si>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</si>
  <si>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</si>
  <si>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</si>
  <si>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</si>
  <si>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</si>
  <si>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</si>
  <si>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</si>
  <si>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</si>
  <si>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</si>
  <si>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</si>
  <si>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</si>
  <si>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</si>
  <si>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</si>
  <si>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</si>
  <si>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</si>
  <si>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</si>
  <si>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</si>
  <si>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</si>
  <si>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</si>
  <si>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</si>
  <si>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</si>
  <si>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</si>
  <si>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</si>
  <si>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</si>
  <si>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</si>
  <si>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</si>
  <si>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CUB C/R 180°</t>
  </si>
  <si>
    <t>HAYA NATURAL 1803 MT</t>
  </si>
  <si>
    <t>SEBASTIAN</t>
  </si>
  <si>
    <t>+569 5001 9200</t>
  </si>
  <si>
    <t>D´ESTILO SPA</t>
  </si>
  <si>
    <t>77.577.833-4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</si>
</sst>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25.332031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173</v>
      </c>
      <c r="D10" s="243"/>
      <c r="E10" s="243"/>
      <c r="F10" s="244" t="s">
        <v>0</v>
      </c>
      <c r="G10" s="277">
        <v>45352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 t="s">
        <v>174</v>
      </c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171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172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102836.49122807021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169</v>
      </c>
      <c r="D21" s="315">
        <v>1.39</v>
      </c>
      <c r="E21" s="315">
        <v>0.56999999999999995</v>
      </c>
      <c r="F21" s="314" t="s">
        <v>170</v>
      </c>
      <c r="G21" s="316">
        <v>84408</v>
      </c>
      <c r="H21" s="317">
        <f>G21*B21</f>
        <v>84408</v>
      </c>
      <c r="I21" s="265"/>
      <c r="J21" s="47"/>
      <c r="K21" s="47">
        <f>B21</f>
        <v>1</v>
      </c>
      <c r="L21" s="39">
        <f t="shared" ref="L21" si="1">D21+L$19</f>
        <v>1.44</v>
      </c>
      <c r="M21" s="39">
        <f t="shared" ref="M21" si="2">E21+M$19</f>
        <v>0.56999999999999995</v>
      </c>
      <c r="N21" s="261">
        <f t="shared" ref="N21" si="3">L21*M21</f>
        <v>0.82079999999999986</v>
      </c>
      <c r="O21" s="259">
        <f t="shared" ref="O21" si="4">N21*K21</f>
        <v>0.82079999999999986</v>
      </c>
      <c r="P21" s="252">
        <f t="shared" ref="P21" si="5">P$20*N21</f>
        <v>84408.19200000001</v>
      </c>
      <c r="Q21" s="258">
        <f t="shared" ref="Q21" si="6">P21+Q$20</f>
        <v>87408.19200000001</v>
      </c>
      <c r="R21" s="299">
        <f>L21*K21*2</f>
        <v>2.88</v>
      </c>
      <c r="S21" s="46">
        <f>M21*K21*2</f>
        <v>1.1399999999999999</v>
      </c>
      <c r="T21" s="9"/>
      <c r="W21" s="4"/>
    </row>
    <row r="22" spans="2:24" ht="17.399999999999999" x14ac:dyDescent="0.3">
      <c r="B22" s="313">
        <v>1</v>
      </c>
      <c r="C22" s="314" t="s">
        <v>169</v>
      </c>
      <c r="D22" s="315">
        <v>2.31</v>
      </c>
      <c r="E22" s="315">
        <v>0.56999999999999995</v>
      </c>
      <c r="F22" s="314" t="s">
        <v>170</v>
      </c>
      <c r="G22" s="316">
        <v>138336</v>
      </c>
      <c r="H22" s="317">
        <f>G22*B22</f>
        <v>138336</v>
      </c>
      <c r="I22" s="265"/>
      <c r="J22" s="47"/>
      <c r="K22" s="47">
        <f>B22</f>
        <v>1</v>
      </c>
      <c r="L22" s="39">
        <f t="shared" ref="L22" si="7">D22+L$19</f>
        <v>2.36</v>
      </c>
      <c r="M22" s="39">
        <f t="shared" ref="M22" si="8">E22+M$19</f>
        <v>0.56999999999999995</v>
      </c>
      <c r="N22" s="261">
        <f t="shared" ref="N22" si="9">L22*M22</f>
        <v>1.3451999999999997</v>
      </c>
      <c r="O22" s="259">
        <f t="shared" ref="O22" si="10">N22*K22</f>
        <v>1.3451999999999997</v>
      </c>
      <c r="P22" s="252">
        <f t="shared" ref="P22" si="11">P$20*N22</f>
        <v>138335.64800000002</v>
      </c>
      <c r="Q22" s="258">
        <f t="shared" ref="Q22" si="12">P22+Q$20</f>
        <v>141335.64800000002</v>
      </c>
      <c r="R22" s="299">
        <f>L22*K22*2</f>
        <v>4.72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1"/>
      <c r="H23" s="331"/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SUM(H21:H24)</f>
        <v>222744</v>
      </c>
      <c r="I25" s="265"/>
      <c r="J25" s="47"/>
      <c r="K25" s="47"/>
      <c r="L25" s="39">
        <f>SUM(L21:L24)</f>
        <v>3.8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42321.36</v>
      </c>
      <c r="I26" s="265"/>
      <c r="J26" s="47"/>
      <c r="K26" s="47"/>
      <c r="L26" s="39"/>
      <c r="M26" s="12"/>
      <c r="N26" s="12"/>
      <c r="O26" s="253">
        <f>SUM(O21:O24)</f>
        <v>2.1659999999999995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265065.36</v>
      </c>
      <c r="I27" s="265"/>
      <c r="J27" s="47"/>
      <c r="K27" s="47"/>
      <c r="L27" s="39"/>
      <c r="M27" s="12"/>
      <c r="N27" s="12"/>
      <c r="O27" s="253">
        <f>O26</f>
        <v>2.1659999999999995</v>
      </c>
      <c r="P27" s="14"/>
      <c r="Q27" s="12"/>
      <c r="R27" s="239">
        <f>SUM(R21:R26)</f>
        <v>7.6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0.43319999999999992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2.5991999999999993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2.5991999999999993</v>
      </c>
      <c r="M31" s="12">
        <v>3500</v>
      </c>
      <c r="N31" s="12">
        <f t="shared" ref="N31:N36" si="13">L31*M31</f>
        <v>9097.1999999999971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0.7</v>
      </c>
      <c r="M32" s="12">
        <v>23500</v>
      </c>
      <c r="N32" s="12">
        <f t="shared" si="13"/>
        <v>16450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/>
      <c r="M33" s="250">
        <v>70000</v>
      </c>
      <c r="N33" s="12">
        <f t="shared" si="1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2</v>
      </c>
      <c r="M34" s="250">
        <v>35000</v>
      </c>
      <c r="N34" s="12">
        <f t="shared" si="13"/>
        <v>70000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v>3.8</v>
      </c>
      <c r="M36" s="12">
        <v>1500</v>
      </c>
      <c r="N36" s="12">
        <f t="shared" si="13"/>
        <v>5700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101247.2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222743.84000000003</v>
      </c>
      <c r="O38" s="14" t="s">
        <v>141</v>
      </c>
      <c r="P38" s="14"/>
      <c r="Q38" s="40">
        <f>O29/Q37</f>
        <v>0.70081967213114738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45500</v>
      </c>
      <c r="K39" s="250"/>
      <c r="L39" s="14"/>
      <c r="M39" s="12"/>
      <c r="N39" s="12">
        <f>N38/O27</f>
        <v>102836.49122807021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38235.294117647063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45352</v>
      </c>
    </row>
    <row r="6" spans="2:31" ht="16.2" thickBot="1" x14ac:dyDescent="0.35">
      <c r="B6" s="140" t="s">
        <v>2</v>
      </c>
      <c r="C6" s="139" t="str">
        <f>'2229'!C10</f>
        <v>D´ESTILO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-21894.145033454104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222744</v>
      </c>
      <c r="E11" s="132">
        <f>D11*0.19</f>
        <v>42321.36</v>
      </c>
      <c r="F11" s="131">
        <f>E11+D11</f>
        <v>265065.36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84095.8549665459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55381.290787439611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66095.8549665459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167362.70921256038</v>
      </c>
      <c r="E13" s="221">
        <f>(D11/D12)-1</f>
        <v>3.0220080975526482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57095.8549665459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18095.854966545896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91379.129799275353</v>
      </c>
      <c r="F15" s="216">
        <f>E15-D12</f>
        <v>35997.839011835742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18095.854966545896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58095.8549665459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9097.1999999999971</v>
      </c>
      <c r="E20" s="121">
        <f>D20*0.19</f>
        <v>1728.4679999999994</v>
      </c>
      <c r="F20" s="120">
        <f>SUM(D20:E20)</f>
        <v>10825.667999999996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25547.199999999997</v>
      </c>
      <c r="E21" s="116">
        <f>SUM(E18:E20)</f>
        <v>4853.9679999999989</v>
      </c>
      <c r="F21" s="115">
        <f>SUM(F18:F20)</f>
        <v>30401.167999999998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37467.392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222744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25547.199999999997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167362.70921256038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167362.70921256038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2024-03-01T17:12:40Z</cp:lastPrinted>
  <dcterms:created xsi:type="dcterms:W3CDTF">2013-03-18T13:35:42Z</dcterms:created>
  <dcterms:modified xsi:type="dcterms:W3CDTF">2024-03-04T12:50:06Z</dcterms:modified>
</cp:coreProperties>
</file>