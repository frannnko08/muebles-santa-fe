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53C6B34-9D81-4275-ADAE-65971052E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M21" i="1"/>
  <c r="L21" i="1" l="1"/>
  <c r="N21" i="1" s="1"/>
  <c r="O21" i="1" s="1"/>
  <c r="L22" i="1"/>
  <c r="M22" i="1"/>
  <c r="J40" i="1"/>
  <c r="R22" i="1" l="1"/>
  <c r="N22" i="1"/>
  <c r="O22" i="1" s="1"/>
  <c r="L25" i="1"/>
  <c r="S21" i="1"/>
  <c r="R21" i="1"/>
  <c r="R27" i="1" s="1"/>
  <c r="U33" i="1"/>
  <c r="U34" i="1" s="1"/>
  <c r="O26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39" i="1" l="1"/>
  <c r="P20" i="1" s="1"/>
  <c r="D21" i="3"/>
  <c r="M43" i="3" s="1"/>
  <c r="D12" i="3" s="1"/>
  <c r="F20" i="3"/>
  <c r="F21" i="3" s="1"/>
  <c r="P22" i="1" l="1"/>
  <c r="P21" i="1"/>
  <c r="N40" i="1"/>
  <c r="E15" i="3"/>
  <c r="Q22" i="1" l="1"/>
  <c r="F15" i="3"/>
  <c r="H22" i="1" l="1"/>
  <c r="Q21" i="1"/>
  <c r="H21" i="1" l="1"/>
  <c r="H25" i="1" s="1"/>
  <c r="H26" i="1" l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<sst xmlns="http://schemas.openxmlformats.org/spreadsheetml/2006/main" count="232" uniqueCount="174">
  <si>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</si>
  <si>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</si>
  <si>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</si>
  <si>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</si>
  <si>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</si>
  <si>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</si>
  <si>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</si>
  <si>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</si>
  <si>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</si>
  <si>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</si>
  <si>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</si>
  <si>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</si>
  <si>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</si>
  <si>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</si>
  <si>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</si>
  <si>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</si>
  <si>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</si>
  <si>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</si>
  <si>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</si>
  <si>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</si>
  <si>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</si>
  <si>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</si>
  <si>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</si>
  <si>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</si>
  <si>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</si>
  <si>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</si>
  <si>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</si>
  <si>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</si>
  <si>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</si>
  <si>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</si>
  <si>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</si>
  <si>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</si>
  <si>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</si>
  <si>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</si>
  <si>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</si>
  <si>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</si>
  <si>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</si>
  <si>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</si>
  <si>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</si>
  <si>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</si>
  <si>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</si>
  <si>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</si>
  <si>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</si>
  <si>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</si>
  <si>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</si>
  <si>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</si>
  <si>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</si>
  <si>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</si>
  <si>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</si>
  <si>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</si>
  <si>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</si>
  <si>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</si>
  <si>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</si>
  <si>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</si>
  <si>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</si>
  <si>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</si>
  <si>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</si>
  <si>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</si>
  <si>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</si>
  <si>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</si>
  <si>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</si>
  <si>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</si>
  <si>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</si>
  <si>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</si>
  <si>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</si>
  <si>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</si>
  <si>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</si>
  <si>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</si>
  <si>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</si>
  <si>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</si>
  <si>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</si>
  <si>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</si>
  <si>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</si>
  <si>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</si>
  <si>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</si>
  <si>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</si>
  <si>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</si>
  <si>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</si>
  <si>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</si>
  <si>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</si>
  <si>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</si>
  <si>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</si>
  <si>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</si>
  <si>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</si>
  <si>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</si>
  <si>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</si>
  <si>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</si>
  <si>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</si>
  <si>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</si>
  <si>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</si>
  <si>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</si>
  <si>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</si>
  <si>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</si>
  <si>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</si>
  <si>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</si>
  <si>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</si>
  <si>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</si>
  <si>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</si>
  <si>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</si>
  <si>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</si>
  <si>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</si>
  <si>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</si>
  <si>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</si>
  <si>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</si>
  <si>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</si>
  <si>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</si>
  <si>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</si>
  <si>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</si>
  <si>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</si>
  <si>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</si>
  <si>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</si>
  <si>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</si>
  <si>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</si>
  <si>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</si>
  <si>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</si>
  <si>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</si>
  <si>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</si>
  <si>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</si>
  <si>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</si>
  <si>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</si>
  <si>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</si>
  <si>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</si>
  <si>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</si>
  <si>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</si>
  <si>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</si>
  <si>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</si>
  <si>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</si>
  <si>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</si>
  <si>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</si>
  <si>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</si>
  <si>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</si>
  <si>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</si>
  <si>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</si>
  <si>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</si>
  <si>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</si>
  <si>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</si>
  <si>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</si>
  <si>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</si>
  <si>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</si>
  <si>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</si>
  <si>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</si>
  <si>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</si>
  <si>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</si>
  <si>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</si>
  <si>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</si>
  <si>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</si>
  <si>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</si>
  <si>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</si>
  <si>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</si>
  <si>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</si>
  <si>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</si>
  <si>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</si>
  <si>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</si>
  <si>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</si>
  <si>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</si>
  <si>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</si>
  <si>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</si>
  <si>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</si>
  <si>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</si>
  <si>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</si>
  <si>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</si>
  <si>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</si>
  <si>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</si>
  <si>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</si>
  <si>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</si>
  <si>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</si>
  <si>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</si>
  <si>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</si>
  <si>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10 DIAS HABILES</t>
  </si>
  <si>
    <t>CUBIERTA CON RESPALDO FRENTE 90° R8</t>
  </si>
  <si>
    <t>SERVICIO DE CORTE 45°</t>
  </si>
  <si>
    <t>WHITE MARBLE BRILLO</t>
  </si>
  <si>
    <t>GABRIEL RIVERA</t>
  </si>
  <si>
    <t>+569 30267137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</si>
</sst>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172</v>
      </c>
      <c r="D10" s="243"/>
      <c r="E10" s="243"/>
      <c r="F10" s="244" t="s">
        <v>0</v>
      </c>
      <c r="G10" s="277">
        <v>45343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173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84655.512465373977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169</v>
      </c>
      <c r="D21" s="315">
        <v>1.95</v>
      </c>
      <c r="E21" s="315">
        <v>0.56999999999999995</v>
      </c>
      <c r="F21" s="314" t="s">
        <v>171</v>
      </c>
      <c r="G21" s="316">
        <v>99507</v>
      </c>
      <c r="H21" s="317">
        <f>G21*B21</f>
        <v>99507</v>
      </c>
      <c r="I21" s="265"/>
      <c r="J21" s="47"/>
      <c r="K21" s="47">
        <v>1</v>
      </c>
      <c r="L21" s="39">
        <f>D21+L$19</f>
        <v>2</v>
      </c>
      <c r="M21" s="39">
        <f>E21+M19</f>
        <v>0.56999999999999995</v>
      </c>
      <c r="N21" s="261">
        <f>L21*M21</f>
        <v>1.1399999999999999</v>
      </c>
      <c r="O21" s="259">
        <f>N21*K21</f>
        <v>1.1399999999999999</v>
      </c>
      <c r="P21" s="252">
        <f>P20*N21</f>
        <v>96507.284210526326</v>
      </c>
      <c r="Q21" s="258">
        <f t="shared" ref="Q21" si="1">P21+Q$20</f>
        <v>99507.284210526326</v>
      </c>
      <c r="R21" s="299">
        <f>L21*K21*2</f>
        <v>4</v>
      </c>
      <c r="S21" s="46">
        <f>M21*K21*2</f>
        <v>1.1399999999999999</v>
      </c>
      <c r="T21" s="9"/>
      <c r="W21" s="4"/>
    </row>
    <row r="22" spans="2:24" ht="18" thickBot="1" x14ac:dyDescent="0.35">
      <c r="B22" s="313">
        <v>1</v>
      </c>
      <c r="C22" s="314" t="s">
        <v>169</v>
      </c>
      <c r="D22" s="315">
        <v>1.37</v>
      </c>
      <c r="E22" s="315">
        <v>0.56999999999999995</v>
      </c>
      <c r="F22" s="314" t="s">
        <v>171</v>
      </c>
      <c r="G22" s="316">
        <v>71520</v>
      </c>
      <c r="H22" s="331">
        <f>G22*B22</f>
        <v>71520</v>
      </c>
      <c r="I22" s="265"/>
      <c r="J22" s="47"/>
      <c r="K22" s="47">
        <v>1</v>
      </c>
      <c r="L22" s="39">
        <f t="shared" ref="L22" si="2">D22+L$19</f>
        <v>1.4200000000000002</v>
      </c>
      <c r="M22" s="39">
        <f t="shared" ref="M22" si="3">E22+M$19</f>
        <v>0.56999999999999995</v>
      </c>
      <c r="N22" s="261">
        <f>L22*M22</f>
        <v>0.80940000000000001</v>
      </c>
      <c r="O22" s="259">
        <f t="shared" ref="O22" si="4">N22*K22</f>
        <v>0.80940000000000001</v>
      </c>
      <c r="P22" s="252">
        <f>P20*N22</f>
        <v>68520.171789473694</v>
      </c>
      <c r="Q22" s="258">
        <f t="shared" ref="Q22" si="5">P22+Q$20</f>
        <v>71520.171789473694</v>
      </c>
      <c r="R22" s="299">
        <f>L22*K22*2</f>
        <v>2.8400000000000003</v>
      </c>
      <c r="S22" s="46"/>
      <c r="T22" s="9"/>
      <c r="W22" s="4"/>
    </row>
    <row r="23" spans="2:24" ht="18" thickBot="1" x14ac:dyDescent="0.35">
      <c r="B23" s="313">
        <v>1</v>
      </c>
      <c r="C23" s="314" t="s">
        <v>170</v>
      </c>
      <c r="D23" s="315"/>
      <c r="E23" s="315"/>
      <c r="F23" s="314"/>
      <c r="G23" s="316">
        <v>20000</v>
      </c>
      <c r="H23" s="331">
        <f>G23*B23</f>
        <v>20000</v>
      </c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SUM(H21:H22)</f>
        <v>171027</v>
      </c>
      <c r="I25" s="265"/>
      <c r="J25" s="47"/>
      <c r="K25" s="47"/>
      <c r="L25" s="39">
        <f>SUM(L21:L24)</f>
        <v>3.42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32495.13</v>
      </c>
      <c r="I26" s="265"/>
      <c r="J26" s="47"/>
      <c r="K26" s="47"/>
      <c r="L26" s="39"/>
      <c r="M26" s="12"/>
      <c r="N26" s="12"/>
      <c r="O26" s="253">
        <f>SUM(O21:O22)</f>
        <v>1.9493999999999998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203522.13</v>
      </c>
      <c r="I27" s="265"/>
      <c r="J27" s="47"/>
      <c r="K27" s="47"/>
      <c r="L27" s="39"/>
      <c r="M27" s="12"/>
      <c r="N27" s="12"/>
      <c r="O27" s="253">
        <f>O26</f>
        <v>1.9493999999999998</v>
      </c>
      <c r="P27" s="14"/>
      <c r="Q27" s="12"/>
      <c r="R27" s="239">
        <f>SUM(R21:R26)</f>
        <v>6.84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0.38988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2.3392799999999996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2.3392799999999996</v>
      </c>
      <c r="M31" s="12">
        <v>3500</v>
      </c>
      <c r="N31" s="12">
        <f t="shared" ref="N31:N36" si="6">L31*M31</f>
        <v>8187.4799999999987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23850</v>
      </c>
      <c r="N32" s="12">
        <f t="shared" si="6"/>
        <v>16695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55750</v>
      </c>
      <c r="N33" s="12">
        <f t="shared" si="6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22500</v>
      </c>
      <c r="N34" s="12">
        <f t="shared" si="6"/>
        <v>45000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6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v>3.42</v>
      </c>
      <c r="M36" s="12">
        <v>1500</v>
      </c>
      <c r="N36" s="12">
        <f t="shared" si="6"/>
        <v>5130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75012.479999999996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165027.45600000001</v>
      </c>
      <c r="O38" s="14" t="s">
        <v>141</v>
      </c>
      <c r="P38" s="14"/>
      <c r="Q38" s="40">
        <f>O29/Q37</f>
        <v>0.6307377049180326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66340</v>
      </c>
      <c r="K39" s="250"/>
      <c r="L39" s="14"/>
      <c r="M39" s="12"/>
      <c r="N39" s="12">
        <f>N38/O27</f>
        <v>84655.512465373977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55747.899159663866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45343</v>
      </c>
    </row>
    <row r="6" spans="2:31" ht="16.2" thickBot="1" x14ac:dyDescent="0.35">
      <c r="B6" s="140" t="s">
        <v>2</v>
      </c>
      <c r="C6" s="139" t="str">
        <f>'2229'!C10</f>
        <v>GABRIEL RIVERA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-13457.443033454105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171027</v>
      </c>
      <c r="E11" s="132">
        <f>D11*0.19</f>
        <v>32495.13</v>
      </c>
      <c r="F11" s="131">
        <f>E11+D11</f>
        <v>203522.13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92532.55696654589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54716.570787439618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74532.55696654589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116310.42921256038</v>
      </c>
      <c r="E13" s="221">
        <f>(D11/D12)-1</f>
        <v>2.1256893028694672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65532.556966545897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26532.556966545897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90282.341799275368</v>
      </c>
      <c r="F15" s="216">
        <f>E15-D12</f>
        <v>35565.77101183575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26532.556966545897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66532.55696654589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16695</v>
      </c>
      <c r="E19" s="123">
        <f>D19*0.19</f>
        <v>3172.05</v>
      </c>
      <c r="F19" s="120">
        <f>SUM(D19:E19)</f>
        <v>19867.05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8187.4799999999987</v>
      </c>
      <c r="E20" s="121">
        <f>D20*0.19</f>
        <v>1555.6211999999998</v>
      </c>
      <c r="F20" s="120">
        <f>SUM(D20:E20)</f>
        <v>9743.1011999999992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24882.48</v>
      </c>
      <c r="E21" s="116">
        <f>SUM(E18:E20)</f>
        <v>4727.6711999999998</v>
      </c>
      <c r="F21" s="115">
        <f>SUM(F18:F20)</f>
        <v>29610.1512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27767.4588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171027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24882.48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116310.42921256038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116310.42921256038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2024-02-22T16:04:24Z</cp:lastPrinted>
  <dcterms:created xsi:type="dcterms:W3CDTF">2013-03-18T13:35:42Z</dcterms:created>
  <dcterms:modified xsi:type="dcterms:W3CDTF">2024-02-22T19:37:06Z</dcterms:modified>
</cp:coreProperties>
</file>