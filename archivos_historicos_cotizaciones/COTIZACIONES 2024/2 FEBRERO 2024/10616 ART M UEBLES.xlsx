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2 FEBRERO 2024\"/>
    </mc:Choice>
  </mc:AlternateContent>
  <xr:revisionPtr revIDLastSave="0" documentId="13_ncr:1_{CE68ED56-318A-4288-AE1F-6E502055B6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2" i="1" l="1"/>
  <c r="K23" i="1"/>
  <c r="K21" i="1"/>
  <c r="L22" i="1" l="1"/>
  <c r="N22" i="1" s="1"/>
  <c r="O22" i="1" s="1"/>
  <c r="M22" i="1"/>
  <c r="R22" i="1"/>
  <c r="L23" i="1"/>
  <c r="M23" i="1"/>
  <c r="N23" i="1"/>
  <c r="O23" i="1" s="1"/>
  <c r="R23" i="1"/>
  <c r="K25" i="1"/>
  <c r="J43" i="1" l="1"/>
  <c r="L21" i="1"/>
  <c r="L26" i="1" s="1"/>
  <c r="L38" i="1" s="1"/>
  <c r="N34" i="1"/>
  <c r="M21" i="1"/>
  <c r="R21" i="1" l="1"/>
  <c r="N21" i="1"/>
  <c r="O21" i="1" s="1"/>
  <c r="O28" i="1" s="1"/>
  <c r="U36" i="1"/>
  <c r="O29" i="1" l="1"/>
  <c r="S46" i="1"/>
  <c r="O30" i="1" l="1"/>
  <c r="M20" i="1"/>
  <c r="K20" i="1"/>
  <c r="N35" i="1" l="1"/>
  <c r="Q39" i="1"/>
  <c r="Q40" i="1" s="1"/>
  <c r="N36" i="1" l="1"/>
  <c r="S39" i="1" l="1"/>
  <c r="S40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8" i="1"/>
  <c r="F18" i="3" l="1"/>
  <c r="O31" i="1" l="1"/>
  <c r="L33" i="1" s="1"/>
  <c r="N33" i="1" l="1"/>
  <c r="S47" i="1"/>
  <c r="N39" i="1" l="1"/>
  <c r="N40" i="1" s="1"/>
  <c r="D20" i="3"/>
  <c r="E20" i="3" s="1"/>
  <c r="E21" i="3" s="1"/>
  <c r="N42" i="1" l="1"/>
  <c r="D21" i="3"/>
  <c r="M43" i="3" s="1"/>
  <c r="D12" i="3" s="1"/>
  <c r="F20" i="3"/>
  <c r="F21" i="3" s="1"/>
  <c r="N41" i="1" l="1"/>
  <c r="P20" i="1" s="1"/>
  <c r="E15" i="3"/>
  <c r="P22" i="1" l="1"/>
  <c r="Q22" i="1" s="1"/>
  <c r="G22" i="1" s="1"/>
  <c r="H22" i="1" s="1"/>
  <c r="P23" i="1"/>
  <c r="Q23" i="1" s="1"/>
  <c r="G23" i="1" s="1"/>
  <c r="H23" i="1" s="1"/>
  <c r="P21" i="1"/>
  <c r="G21" i="1" s="1"/>
  <c r="F15" i="3"/>
  <c r="Q21" i="1" l="1"/>
  <c r="R29" i="1"/>
  <c r="H21" i="1" l="1"/>
  <c r="H27" i="1" s="1"/>
  <c r="H28" i="1" l="1"/>
  <c r="D11" i="3" l="1"/>
  <c r="X9" i="3" s="1"/>
  <c r="X15" i="3" s="1"/>
  <c r="H29" i="1"/>
  <c r="E11" i="3" l="1"/>
  <c r="D40" i="3" s="1"/>
  <c r="E13" i="3"/>
  <c r="D13" i="3"/>
  <c r="X11" i="3"/>
  <c r="X16" i="3"/>
  <c r="M42" i="3"/>
  <c r="M46" i="3" s="1"/>
  <c r="M49" i="3" s="1"/>
  <c r="X13" i="3"/>
  <c r="X12" i="3"/>
  <c r="X14" i="3"/>
  <c r="F11" i="3" l="1"/>
</calcChain>
</file>

<file path=xl/sharedStrings.xml><?xml version="1.0" encoding="utf-8"?>
<sst xmlns="http://schemas.openxmlformats.org/spreadsheetml/2006/main" count="227" uniqueCount="172">
  <si>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</si>
  <si>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</si>
  <si>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</si>
  <si>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</si>
  <si>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</si>
  <si>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</si>
  <si>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</si>
  <si>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</si>
  <si>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</si>
  <si>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</si>
  <si>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</si>
  <si>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</si>
  <si>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</si>
  <si>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</si>
  <si>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</si>
  <si>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</si>
  <si>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</si>
  <si>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</si>
  <si>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</si>
  <si>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</si>
  <si>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</si>
  <si>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</si>
  <si>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</si>
  <si>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</si>
  <si>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</si>
  <si>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</si>
  <si>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</si>
  <si>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</si>
  <si>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</si>
  <si>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</si>
  <si>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</si>
  <si>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</si>
  <si>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</si>
  <si>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</si>
  <si>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</si>
  <si>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</si>
  <si>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</si>
  <si>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</si>
  <si>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</si>
  <si>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</si>
  <si>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</si>
  <si>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</si>
  <si>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</si>
  <si>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</si>
  <si>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</si>
  <si>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</si>
  <si>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</si>
  <si>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</si>
  <si>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</si>
  <si>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</si>
  <si>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</si>
  <si>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</si>
  <si>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</si>
  <si>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</si>
  <si>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</si>
  <si>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</si>
  <si>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</si>
  <si>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</si>
  <si>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</si>
  <si>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</si>
  <si>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</si>
  <si>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</si>
  <si>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</si>
  <si>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</si>
  <si>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</si>
  <si>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</si>
  <si>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</si>
  <si>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</si>
  <si>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</si>
  <si>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</si>
  <si>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</si>
  <si>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</si>
  <si>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</si>
  <si>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</si>
  <si>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</si>
  <si>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</si>
  <si>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</si>
  <si>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</si>
  <si>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</si>
  <si>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</si>
  <si>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</si>
  <si>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</si>
  <si>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</si>
  <si>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</si>
  <si>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</si>
  <si>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</si>
  <si>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</si>
  <si>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</si>
  <si>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</si>
  <si>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</si>
  <si>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</si>
  <si>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</si>
  <si>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</si>
  <si>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</si>
  <si>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</si>
  <si>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</si>
  <si>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</si>
  <si>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</si>
  <si>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</si>
  <si>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</si>
  <si>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</si>
  <si>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</si>
  <si>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</si>
  <si>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</si>
  <si>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</si>
  <si>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</si>
  <si>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</si>
  <si>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</si>
  <si>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</si>
  <si>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</si>
  <si>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</si>
  <si>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</si>
  <si>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</si>
  <si>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</si>
  <si>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</si>
  <si>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</si>
  <si>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</si>
  <si>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</si>
  <si>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</si>
  <si>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</si>
  <si>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</si>
  <si>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</si>
  <si>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</si>
  <si>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</si>
  <si>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</si>
  <si>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</si>
  <si>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</si>
  <si>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</si>
  <si>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</si>
  <si>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</si>
  <si>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</si>
  <si>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</si>
  <si>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</si>
  <si>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</si>
  <si>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</si>
  <si>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</si>
  <si>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</si>
  <si>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</si>
  <si>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</si>
  <si>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</si>
  <si>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</si>
  <si>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</si>
  <si>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</si>
  <si>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</si>
  <si>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</si>
  <si>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</si>
  <si>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</si>
  <si>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</si>
  <si>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</si>
  <si>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</si>
  <si>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</si>
  <si>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</si>
  <si>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</si>
  <si>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</si>
  <si>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ABONO 50% SALDO C/E</t>
  </si>
  <si>
    <t>ZACALO</t>
  </si>
  <si>
    <t>MDF18MM</t>
  </si>
  <si>
    <t>O</t>
  </si>
  <si>
    <t>DURACION COTIZACION: 5 DIAS                           MJ</t>
  </si>
  <si>
    <t>7 - 10 DIAS HABILES</t>
  </si>
  <si>
    <t xml:space="preserve">NO </t>
  </si>
  <si>
    <t>ART MUEBLES</t>
  </si>
  <si>
    <t>CUBIERTA CON RESPALDO R6</t>
  </si>
  <si>
    <t>GLACIAL WHITE BRILLO</t>
  </si>
  <si>
    <t>77.355.467-6</t>
  </si>
  <si>
    <t>VENTAS DE MUEBLES</t>
  </si>
  <si>
    <t>DANIELA MUÑOZ</t>
  </si>
  <si>
    <t>SOMOSARTMUEBLES@GMAIL.COM</t>
  </si>
  <si>
    <t>+56936707306</t>
  </si>
  <si>
    <t>LINARES LAV JANUARIO ESPINOZA 848 LOCAL 14</t>
  </si>
  <si>
    <t xml:space="preserve">LINARES </t>
  </si>
  <si>
    <t>CEREZO SILVESTRE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</si>
</sst>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9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  <font>
      <b/>
      <sz val="11"/>
      <color rgb="FF000000"/>
      <name val="Segoe UI"/>
      <family val="2"/>
    </font>
    <font>
      <b/>
      <sz val="11"/>
      <color rgb="FF00000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0" fontId="23" fillId="20" borderId="3" xfId="0" applyFont="1" applyFill="1" applyBorder="1" applyAlignment="1">
      <alignment horizontal="center"/>
    </xf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35" fillId="0" borderId="0" xfId="3" quotePrefix="1" applyFont="1" applyFill="1" applyBorder="1" applyAlignment="1">
      <alignment horizontal="left"/>
    </xf>
    <xf numFmtId="0" fontId="37" fillId="0" borderId="0" xfId="0" applyFont="1"/>
    <xf numFmtId="0" fontId="38" fillId="0" borderId="0" xfId="0" applyFont="1"/>
    <xf numFmtId="0" fontId="9" fillId="0" borderId="0" xfId="3" quotePrefix="1"/>
    <xf numFmtId="0" fontId="21" fillId="20" borderId="57" xfId="0" applyFont="1" applyFill="1" applyBorder="1" applyAlignment="1">
      <alignment horizontal="center" vertical="center"/>
    </xf>
    <xf numFmtId="0" fontId="21" fillId="20" borderId="4" xfId="0" applyFont="1" applyFill="1" applyBorder="1" applyAlignment="1">
      <alignment horizontal="center" vertical="center"/>
    </xf>
    <xf numFmtId="0" fontId="21" fillId="20" borderId="32" xfId="0" applyFont="1" applyFill="1" applyBorder="1" applyAlignment="1">
      <alignment horizontal="center" vertical="center"/>
    </xf>
    <xf numFmtId="0" fontId="0" fillId="0" borderId="47" xfId="0" applyBorder="1"/>
    <xf numFmtId="0" fontId="0" fillId="0" borderId="46" xfId="0" applyBorder="1"/>
    <xf numFmtId="0" fontId="0" fillId="0" borderId="53" xfId="0" applyBorder="1"/>
    <xf numFmtId="166" fontId="32" fillId="0" borderId="36" xfId="0" applyNumberFormat="1" applyFont="1" applyBorder="1" applyAlignment="1">
      <alignment horizontal="center" vertical="center"/>
    </xf>
    <xf numFmtId="1" fontId="32" fillId="0" borderId="28" xfId="0" applyNumberFormat="1" applyFont="1" applyBorder="1" applyAlignment="1">
      <alignment horizontal="center" vertical="center"/>
    </xf>
    <xf numFmtId="1" fontId="32" fillId="0" borderId="0" xfId="0" applyNumberFormat="1" applyFont="1" applyAlignment="1">
      <alignment horizontal="center" vertical="center"/>
    </xf>
    <xf numFmtId="166" fontId="11" fillId="0" borderId="0" xfId="2" applyNumberFormat="1" applyFont="1" applyFill="1" applyBorder="1" applyAlignment="1">
      <alignment horizontal="center" vertical="center"/>
    </xf>
    <xf numFmtId="42" fontId="11" fillId="0" borderId="36" xfId="8" applyFont="1" applyFill="1" applyBorder="1" applyAlignment="1">
      <alignment horizontal="center" vertical="center"/>
    </xf>
    <xf numFmtId="42" fontId="11" fillId="0" borderId="27" xfId="8" applyFont="1" applyFill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42" fontId="11" fillId="0" borderId="1" xfId="8" applyFont="1" applyFill="1" applyBorder="1" applyAlignment="1">
      <alignment horizontal="center" vertical="center"/>
    </xf>
    <xf numFmtId="42" fontId="11" fillId="0" borderId="20" xfId="8" applyFont="1" applyFill="1" applyBorder="1" applyAlignment="1">
      <alignment horizontal="center" vertical="center"/>
    </xf>
    <xf numFmtId="1" fontId="32" fillId="0" borderId="26" xfId="0" applyNumberFormat="1" applyFont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19" xfId="0" applyFont="1" applyFill="1" applyBorder="1" applyAlignment="1">
      <alignment horizontal="center" vertical="center"/>
    </xf>
    <xf numFmtId="0" fontId="5" fillId="5" borderId="18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142875</xdr:colOff>
      <xdr:row>31</xdr:row>
      <xdr:rowOff>28575</xdr:rowOff>
    </xdr:from>
    <xdr:to>
      <xdr:col>8</xdr:col>
      <xdr:colOff>234240</xdr:colOff>
      <xdr:row>34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8162925" y="7153275"/>
          <a:ext cx="2053515" cy="657226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33</xdr:row>
      <xdr:rowOff>154305</xdr:rowOff>
    </xdr:from>
    <xdr:to>
      <xdr:col>7</xdr:col>
      <xdr:colOff>853440</xdr:colOff>
      <xdr:row>33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66675</xdr:colOff>
      <xdr:row>31</xdr:row>
      <xdr:rowOff>9525</xdr:rowOff>
    </xdr:from>
    <xdr:to>
      <xdr:col>5</xdr:col>
      <xdr:colOff>1790700</xdr:colOff>
      <xdr:row>34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466725" y="5591175"/>
          <a:ext cx="6696075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384811</xdr:colOff>
      <xdr:row>25</xdr:row>
      <xdr:rowOff>87629</xdr:rowOff>
    </xdr:from>
    <xdr:to>
      <xdr:col>5</xdr:col>
      <xdr:colOff>1754505</xdr:colOff>
      <xdr:row>29</xdr:row>
      <xdr:rowOff>78104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384811" y="5360669"/>
          <a:ext cx="6208394" cy="88963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400" b="1"/>
            <a:t>OBSERVACIONES: SE ENTREGAN LAS CUBIERTA</a:t>
          </a:r>
          <a:r>
            <a:rPr lang="es-CL" sz="1400" b="1" baseline="0"/>
            <a:t> SOBRE MEDIDA. </a:t>
          </a:r>
          <a:br>
            <a:rPr lang="es-CL" sz="1400" b="1" baseline="0"/>
          </a:br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7620</xdr:colOff>
      <xdr:row>0</xdr:row>
      <xdr:rowOff>0</xdr:rowOff>
    </xdr:from>
    <xdr:to>
      <xdr:col>2</xdr:col>
      <xdr:colOff>822718</xdr:colOff>
      <xdr:row>6</xdr:row>
      <xdr:rowOff>20955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7670" y="0"/>
          <a:ext cx="1519948" cy="11830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SOMOSARTMUEBLES@GMAIL.COM" TargetMode="External"/><Relationship Id="rId1" Type="http://schemas.openxmlformats.org/officeDocument/2006/relationships/hyperlink" Target="http://www.topmobilichile.cl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4"/>
  <sheetViews>
    <sheetView tabSelected="1" topLeftCell="A3" zoomScaleNormal="100" workbookViewId="0">
      <selection activeCell="J27" sqref="J27"/>
    </sheetView>
  </sheetViews>
  <sheetFormatPr baseColWidth="10" defaultRowHeight="14.4" x14ac:dyDescent="0.3"/>
  <cols>
    <col min="1" max="1" width="6" customWidth="1"/>
    <col min="2" max="2" width="10.5546875" customWidth="1"/>
    <col min="3" max="3" width="36.88671875" customWidth="1"/>
    <col min="4" max="4" width="11.109375" customWidth="1"/>
    <col min="5" max="5" width="10.5546875" customWidth="1"/>
    <col min="6" max="6" width="32.4414062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128</v>
      </c>
      <c r="C8" s="302"/>
      <c r="D8" s="303">
        <v>10616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161</v>
      </c>
      <c r="D10" s="243"/>
      <c r="E10" s="243"/>
      <c r="F10" s="244" t="s">
        <v>0</v>
      </c>
      <c r="G10" s="277">
        <v>45329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5" t="s">
        <v>164</v>
      </c>
      <c r="F11" t="s">
        <v>125</v>
      </c>
      <c r="G11" s="289" t="s">
        <v>159</v>
      </c>
      <c r="H11" s="290"/>
      <c r="P11" s="19"/>
      <c r="Q11" s="25" t="s">
        <v>19</v>
      </c>
      <c r="R11" s="19"/>
    </row>
    <row r="12" spans="2:23" ht="16.8" x14ac:dyDescent="0.4">
      <c r="B12" s="246" t="s">
        <v>147</v>
      </c>
      <c r="C12" s="311" t="s">
        <v>165</v>
      </c>
      <c r="D12" s="247"/>
      <c r="E12" s="247"/>
      <c r="F12" s="247" t="s">
        <v>129</v>
      </c>
      <c r="G12" s="278" t="s">
        <v>160</v>
      </c>
      <c r="H12" s="248"/>
      <c r="P12" s="19"/>
      <c r="Q12" s="25"/>
      <c r="R12" s="19"/>
    </row>
    <row r="13" spans="2:23" x14ac:dyDescent="0.3">
      <c r="B13" s="246" t="s">
        <v>148</v>
      </c>
      <c r="C13" s="316" t="s">
        <v>166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141</v>
      </c>
      <c r="C14" s="317" t="s">
        <v>167</v>
      </c>
      <c r="F14" s="29" t="s">
        <v>138</v>
      </c>
      <c r="G14" s="291" t="s">
        <v>137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14" t="s">
        <v>168</v>
      </c>
      <c r="D15" s="295"/>
      <c r="E15" s="247"/>
      <c r="F15" s="247" t="s">
        <v>136</v>
      </c>
      <c r="G15" s="296" t="s">
        <v>137</v>
      </c>
      <c r="H15" s="248"/>
    </row>
    <row r="16" spans="2:23" ht="16.8" x14ac:dyDescent="0.4">
      <c r="B16" s="292" t="s">
        <v>3</v>
      </c>
      <c r="C16" s="311" t="s">
        <v>169</v>
      </c>
      <c r="F16" s="293" t="s">
        <v>131</v>
      </c>
      <c r="G16" s="294" t="s">
        <v>154</v>
      </c>
      <c r="H16" s="290"/>
    </row>
    <row r="17" spans="2:24" ht="15" thickBot="1" x14ac:dyDescent="0.35">
      <c r="B17" s="297" t="s">
        <v>13</v>
      </c>
      <c r="C17" s="298" t="s">
        <v>170</v>
      </c>
      <c r="D17" s="299"/>
      <c r="E17" s="300"/>
      <c r="F17" s="334" t="s">
        <v>158</v>
      </c>
      <c r="G17" s="334"/>
      <c r="H17" s="335"/>
      <c r="I17" s="263"/>
      <c r="S17" s="6"/>
      <c r="T17" s="6"/>
    </row>
    <row r="18" spans="2:24" ht="15.75" customHeight="1" thickBot="1" x14ac:dyDescent="0.35">
      <c r="B18" s="321"/>
      <c r="C18" s="322"/>
      <c r="D18" s="322"/>
      <c r="E18" s="322"/>
      <c r="F18" s="322"/>
      <c r="G18" s="322"/>
      <c r="H18" s="323"/>
      <c r="I18" s="47"/>
      <c r="J18" s="5"/>
      <c r="U18" s="9"/>
      <c r="W18" s="6"/>
      <c r="X18" s="6"/>
    </row>
    <row r="19" spans="2:24" ht="13.5" customHeight="1" thickBot="1" x14ac:dyDescent="0.35">
      <c r="B19" s="336" t="s">
        <v>149</v>
      </c>
      <c r="C19" s="337"/>
      <c r="D19" s="337"/>
      <c r="E19" s="337"/>
      <c r="F19" s="337"/>
      <c r="G19" s="337"/>
      <c r="H19" s="338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8" thickBot="1" x14ac:dyDescent="0.35">
      <c r="B20" s="318" t="s">
        <v>7</v>
      </c>
      <c r="C20" s="319" t="s">
        <v>1</v>
      </c>
      <c r="D20" s="319" t="s">
        <v>10</v>
      </c>
      <c r="E20" s="319" t="s">
        <v>11</v>
      </c>
      <c r="F20" s="319" t="s">
        <v>8</v>
      </c>
      <c r="G20" s="319" t="s">
        <v>5</v>
      </c>
      <c r="H20" s="320" t="s">
        <v>6</v>
      </c>
      <c r="I20" s="265"/>
      <c r="J20" s="47"/>
      <c r="K20" s="268" t="str">
        <f>B20</f>
        <v>UNIDAD</v>
      </c>
      <c r="L20" s="267" t="s">
        <v>133</v>
      </c>
      <c r="M20" s="39" t="str">
        <f t="shared" ref="M20:M21" si="0">E20</f>
        <v>ANCHO</v>
      </c>
      <c r="N20" s="261" t="s">
        <v>134</v>
      </c>
      <c r="O20" s="259" t="s">
        <v>17</v>
      </c>
      <c r="P20" s="252">
        <f>N41</f>
        <v>85879.461467038083</v>
      </c>
      <c r="Q20" s="258">
        <v>3000</v>
      </c>
      <c r="R20" s="38"/>
      <c r="S20" s="14" t="s">
        <v>130</v>
      </c>
      <c r="T20" s="9"/>
      <c r="W20" s="4"/>
    </row>
    <row r="21" spans="2:24" ht="17.399999999999999" x14ac:dyDescent="0.3">
      <c r="B21" s="325">
        <v>1</v>
      </c>
      <c r="C21" s="324" t="s">
        <v>162</v>
      </c>
      <c r="D21" s="324">
        <v>2</v>
      </c>
      <c r="E21" s="324">
        <v>0.6</v>
      </c>
      <c r="F21" s="324" t="s">
        <v>171</v>
      </c>
      <c r="G21" s="328">
        <f>P21</f>
        <v>105631.73760445682</v>
      </c>
      <c r="H21" s="329">
        <f t="shared" ref="H21" si="1">G21*B21</f>
        <v>105631.73760445682</v>
      </c>
      <c r="I21" s="265"/>
      <c r="J21" s="47"/>
      <c r="K21" s="47">
        <f>B21</f>
        <v>1</v>
      </c>
      <c r="L21" s="39">
        <f t="shared" ref="L21" si="2">D21+L$19</f>
        <v>2.0499999999999998</v>
      </c>
      <c r="M21" s="39">
        <f t="shared" si="0"/>
        <v>0.6</v>
      </c>
      <c r="N21" s="261">
        <f t="shared" ref="N21" si="3">L21*M21</f>
        <v>1.2299999999999998</v>
      </c>
      <c r="O21" s="259">
        <f t="shared" ref="O21" si="4">N21*K21</f>
        <v>1.2299999999999998</v>
      </c>
      <c r="P21" s="252">
        <f t="shared" ref="P21" si="5">P$20*N21</f>
        <v>105631.73760445682</v>
      </c>
      <c r="Q21" s="258">
        <f t="shared" ref="Q21" si="6">P21+Q$20</f>
        <v>108631.73760445682</v>
      </c>
      <c r="R21" s="308">
        <f t="shared" ref="R21" si="7">K21*L21</f>
        <v>2.0499999999999998</v>
      </c>
      <c r="S21" s="14"/>
      <c r="T21" s="9"/>
      <c r="W21" s="4"/>
    </row>
    <row r="22" spans="2:24" ht="17.399999999999999" x14ac:dyDescent="0.3">
      <c r="B22" s="333">
        <v>1</v>
      </c>
      <c r="C22" s="330" t="s">
        <v>162</v>
      </c>
      <c r="D22" s="330">
        <v>3</v>
      </c>
      <c r="E22" s="330">
        <v>0.56999999999999995</v>
      </c>
      <c r="F22" s="330" t="s">
        <v>163</v>
      </c>
      <c r="G22" s="331">
        <f>Q22</f>
        <v>152301.44376044569</v>
      </c>
      <c r="H22" s="332">
        <f>G22*B22</f>
        <v>152301.44376044569</v>
      </c>
      <c r="I22" s="265"/>
      <c r="J22" s="47"/>
      <c r="K22" s="47">
        <f t="shared" ref="K22:K23" si="8">B22</f>
        <v>1</v>
      </c>
      <c r="L22" s="39">
        <f t="shared" ref="L22:L23" si="9">D22+L$19</f>
        <v>3.05</v>
      </c>
      <c r="M22" s="39">
        <f t="shared" ref="M22:M23" si="10">E22</f>
        <v>0.56999999999999995</v>
      </c>
      <c r="N22" s="261">
        <f t="shared" ref="N22:N23" si="11">L22*M22</f>
        <v>1.7384999999999997</v>
      </c>
      <c r="O22" s="259">
        <f t="shared" ref="O22:O23" si="12">N22*K22</f>
        <v>1.7384999999999997</v>
      </c>
      <c r="P22" s="252">
        <f t="shared" ref="P22:P23" si="13">P$20*N22</f>
        <v>149301.44376044569</v>
      </c>
      <c r="Q22" s="258">
        <f t="shared" ref="Q22:Q23" si="14">P22+Q$20</f>
        <v>152301.44376044569</v>
      </c>
      <c r="R22" s="308">
        <f t="shared" ref="R22:R23" si="15">K22*L22</f>
        <v>3.05</v>
      </c>
      <c r="S22" s="14"/>
      <c r="T22" s="9"/>
      <c r="W22" s="4"/>
    </row>
    <row r="23" spans="2:24" ht="17.399999999999999" x14ac:dyDescent="0.3">
      <c r="B23" s="333">
        <v>1</v>
      </c>
      <c r="C23" s="330" t="s">
        <v>162</v>
      </c>
      <c r="D23" s="330">
        <v>2.2999999999999998</v>
      </c>
      <c r="E23" s="330">
        <v>0.56999999999999995</v>
      </c>
      <c r="F23" s="330" t="s">
        <v>163</v>
      </c>
      <c r="G23" s="331">
        <f>Q23</f>
        <v>118035.53863509749</v>
      </c>
      <c r="H23" s="332">
        <f>G23*B23</f>
        <v>118035.53863509749</v>
      </c>
      <c r="I23" s="265"/>
      <c r="J23" s="47"/>
      <c r="K23" s="47">
        <f t="shared" si="8"/>
        <v>1</v>
      </c>
      <c r="L23" s="39">
        <f t="shared" si="9"/>
        <v>2.3499999999999996</v>
      </c>
      <c r="M23" s="39">
        <f t="shared" si="10"/>
        <v>0.56999999999999995</v>
      </c>
      <c r="N23" s="261">
        <f t="shared" si="11"/>
        <v>1.3394999999999997</v>
      </c>
      <c r="O23" s="259">
        <f t="shared" si="12"/>
        <v>1.3394999999999997</v>
      </c>
      <c r="P23" s="252">
        <f t="shared" si="13"/>
        <v>115035.53863509749</v>
      </c>
      <c r="Q23" s="258">
        <f t="shared" si="14"/>
        <v>118035.53863509749</v>
      </c>
      <c r="R23" s="308">
        <f t="shared" si="15"/>
        <v>2.3499999999999996</v>
      </c>
      <c r="S23" s="14"/>
      <c r="T23" s="9"/>
      <c r="W23" s="4"/>
    </row>
    <row r="24" spans="2:24" ht="17.399999999999999" x14ac:dyDescent="0.3">
      <c r="B24" s="326"/>
      <c r="C24" s="287"/>
      <c r="D24" s="287"/>
      <c r="E24" s="287"/>
      <c r="F24" s="287"/>
      <c r="G24" s="327"/>
      <c r="H24" s="327"/>
      <c r="I24" s="265"/>
      <c r="J24" s="47"/>
      <c r="K24" s="47"/>
      <c r="L24" s="39"/>
      <c r="M24" s="39"/>
      <c r="N24" s="261"/>
      <c r="O24" s="259"/>
      <c r="P24" s="252"/>
      <c r="Q24" s="258"/>
      <c r="R24" s="308"/>
      <c r="S24" s="14"/>
      <c r="T24" s="9"/>
      <c r="W24" s="4"/>
    </row>
    <row r="25" spans="2:24" ht="17.399999999999999" x14ac:dyDescent="0.3">
      <c r="B25" s="326"/>
      <c r="C25" s="287"/>
      <c r="D25" s="287"/>
      <c r="E25" s="287"/>
      <c r="F25" s="287"/>
      <c r="G25" s="327"/>
      <c r="H25" s="327"/>
      <c r="I25" s="265"/>
      <c r="J25" s="47"/>
      <c r="K25" s="47">
        <f>B25</f>
        <v>0</v>
      </c>
      <c r="L25" s="39"/>
      <c r="M25" s="39"/>
      <c r="N25" s="261"/>
      <c r="O25" s="259"/>
      <c r="P25" s="252"/>
      <c r="Q25" s="258"/>
      <c r="R25" s="308"/>
      <c r="S25" s="14"/>
      <c r="T25" s="9"/>
      <c r="W25" s="4"/>
    </row>
    <row r="26" spans="2:24" ht="18" thickBot="1" x14ac:dyDescent="0.35">
      <c r="B26" s="286"/>
      <c r="C26" s="286"/>
      <c r="D26" s="287"/>
      <c r="E26" s="287"/>
      <c r="F26" s="286"/>
      <c r="G26" s="265"/>
      <c r="H26" s="232"/>
      <c r="I26" s="232"/>
      <c r="J26" s="47"/>
      <c r="K26" s="47"/>
      <c r="L26" s="46">
        <f>L21*K21+L22+L23</f>
        <v>7.4499999999999993</v>
      </c>
      <c r="M26" s="39"/>
      <c r="N26" s="261"/>
      <c r="O26" s="259"/>
      <c r="P26" s="252"/>
      <c r="Q26" s="258"/>
      <c r="R26" s="308"/>
      <c r="S26" s="14"/>
      <c r="T26" s="9"/>
      <c r="W26" s="4"/>
    </row>
    <row r="27" spans="2:24" ht="17.399999999999999" x14ac:dyDescent="0.3">
      <c r="B27" s="286"/>
      <c r="C27" s="286"/>
      <c r="D27" s="287"/>
      <c r="E27" s="287"/>
      <c r="F27" s="286"/>
      <c r="G27" s="309" t="s">
        <v>30</v>
      </c>
      <c r="H27" s="310">
        <f>H21+H22+H23</f>
        <v>375968.72000000003</v>
      </c>
      <c r="I27" s="265"/>
      <c r="J27" s="47"/>
      <c r="K27" s="47"/>
      <c r="M27" s="39"/>
      <c r="N27" s="261"/>
      <c r="O27" s="259"/>
      <c r="P27" s="252"/>
      <c r="Q27" s="258"/>
      <c r="R27" s="308"/>
      <c r="S27" s="14"/>
      <c r="T27" s="9"/>
      <c r="W27" s="4"/>
    </row>
    <row r="28" spans="2:24" ht="17.399999999999999" x14ac:dyDescent="0.3">
      <c r="B28" s="280"/>
      <c r="C28" s="283"/>
      <c r="D28" s="284"/>
      <c r="E28" s="284"/>
      <c r="F28" s="285"/>
      <c r="G28" s="307" t="s">
        <v>53</v>
      </c>
      <c r="H28" s="305">
        <f>H27*19%</f>
        <v>71434.056800000006</v>
      </c>
      <c r="I28" s="265"/>
      <c r="J28" s="47"/>
      <c r="K28" s="47"/>
      <c r="L28" s="39"/>
      <c r="M28" s="12"/>
      <c r="N28" s="12"/>
      <c r="O28" s="253">
        <f>SUM(O21:O23)</f>
        <v>4.3079999999999998</v>
      </c>
      <c r="P28" s="14"/>
      <c r="Q28" s="12"/>
      <c r="R28" s="238"/>
      <c r="S28" s="14"/>
      <c r="T28" s="9"/>
      <c r="W28" s="4"/>
    </row>
    <row r="29" spans="2:24" ht="18" thickBot="1" x14ac:dyDescent="0.35">
      <c r="B29" s="276"/>
      <c r="C29" s="282"/>
      <c r="D29" s="272"/>
      <c r="E29" s="272"/>
      <c r="F29" s="273"/>
      <c r="G29" s="281" t="s">
        <v>6</v>
      </c>
      <c r="H29" s="306">
        <f>H27+H28</f>
        <v>447402.77680000005</v>
      </c>
      <c r="I29" s="265"/>
      <c r="J29" s="47"/>
      <c r="K29" s="47"/>
      <c r="L29" s="39"/>
      <c r="M29" s="12"/>
      <c r="N29" s="12"/>
      <c r="O29" s="253">
        <f>O28</f>
        <v>4.3079999999999998</v>
      </c>
      <c r="P29" s="14"/>
      <c r="Q29" s="12"/>
      <c r="R29" s="238">
        <f>SUM(R21:R28)</f>
        <v>7.4499999999999993</v>
      </c>
      <c r="S29" s="14"/>
      <c r="T29" s="9"/>
      <c r="W29" s="4"/>
    </row>
    <row r="30" spans="2:24" ht="17.399999999999999" x14ac:dyDescent="0.3">
      <c r="B30" s="276"/>
      <c r="C30" s="271"/>
      <c r="D30" s="272"/>
      <c r="E30" s="272"/>
      <c r="F30" s="273"/>
      <c r="I30" s="265"/>
      <c r="J30" s="47"/>
      <c r="K30" s="47"/>
      <c r="L30" s="14"/>
      <c r="M30" s="12"/>
      <c r="N30" s="12"/>
      <c r="O30" s="39">
        <f>O29*20%</f>
        <v>0.86160000000000003</v>
      </c>
      <c r="P30" s="39" t="s">
        <v>132</v>
      </c>
      <c r="Q30" s="42"/>
      <c r="R30" s="239"/>
      <c r="S30" s="14"/>
      <c r="T30" s="9"/>
      <c r="W30" s="4"/>
    </row>
    <row r="31" spans="2:24" ht="17.399999999999999" x14ac:dyDescent="0.3">
      <c r="B31" s="271"/>
      <c r="C31" s="271"/>
      <c r="D31" s="272"/>
      <c r="E31" s="272"/>
      <c r="F31" s="273"/>
      <c r="G31" s="274"/>
      <c r="H31" s="275"/>
      <c r="I31" s="265"/>
      <c r="J31" s="313"/>
      <c r="K31" s="47"/>
      <c r="L31" s="14"/>
      <c r="M31" s="12"/>
      <c r="N31" s="12"/>
      <c r="O31" s="46">
        <f>O29+O30</f>
        <v>5.1696</v>
      </c>
      <c r="P31" s="14"/>
      <c r="Q31" s="14"/>
      <c r="R31" s="237">
        <v>40</v>
      </c>
      <c r="S31" s="14"/>
      <c r="T31" s="9"/>
      <c r="W31" s="4"/>
    </row>
    <row r="32" spans="2:24" ht="17.399999999999999" x14ac:dyDescent="0.35">
      <c r="B32" s="269"/>
      <c r="C32" s="230"/>
      <c r="D32" s="230"/>
      <c r="E32" s="232"/>
      <c r="F32" s="233"/>
      <c r="G32" s="230"/>
      <c r="H32" s="275"/>
      <c r="I32" s="265"/>
      <c r="J32" s="313"/>
      <c r="K32" s="47"/>
      <c r="L32" s="14"/>
      <c r="M32" s="14"/>
      <c r="N32" s="14"/>
      <c r="O32" s="14"/>
      <c r="P32" s="14"/>
      <c r="Q32" s="14"/>
      <c r="R32" s="237"/>
      <c r="S32" s="14"/>
      <c r="T32" s="9"/>
      <c r="W32" s="4"/>
    </row>
    <row r="33" spans="2:23" ht="17.399999999999999" x14ac:dyDescent="0.35">
      <c r="B33" s="234"/>
      <c r="C33" s="235"/>
      <c r="D33" s="236"/>
      <c r="E33" s="234"/>
      <c r="F33" s="230"/>
      <c r="G33" s="230"/>
      <c r="I33" s="265"/>
      <c r="J33" s="47"/>
      <c r="K33" s="47"/>
      <c r="L33" s="39">
        <f>O31*1</f>
        <v>5.1696</v>
      </c>
      <c r="M33" s="12">
        <v>3500</v>
      </c>
      <c r="N33" s="12">
        <f t="shared" ref="N33:N38" si="16">L33*M33</f>
        <v>18093.599999999999</v>
      </c>
      <c r="O33" s="14" t="s">
        <v>22</v>
      </c>
      <c r="P33" s="14" t="s">
        <v>23</v>
      </c>
      <c r="Q33" s="14"/>
      <c r="R33" s="240"/>
      <c r="S33" s="14"/>
      <c r="T33" s="9"/>
      <c r="W33" s="4" t="s">
        <v>157</v>
      </c>
    </row>
    <row r="34" spans="2:23" ht="17.399999999999999" x14ac:dyDescent="0.35">
      <c r="B34" s="230"/>
      <c r="C34" s="230"/>
      <c r="D34" s="230"/>
      <c r="E34" s="230"/>
      <c r="F34" s="230"/>
      <c r="G34" s="230"/>
      <c r="I34" s="265"/>
      <c r="J34" s="47"/>
      <c r="K34" s="47"/>
      <c r="L34" s="249">
        <v>1.7370000000000001</v>
      </c>
      <c r="M34" s="12">
        <v>27000</v>
      </c>
      <c r="N34" s="12">
        <f>L34*M34</f>
        <v>46899</v>
      </c>
      <c r="O34" s="39" t="s">
        <v>156</v>
      </c>
      <c r="P34" s="42"/>
      <c r="Q34" s="14"/>
      <c r="R34" s="239"/>
      <c r="S34" s="14"/>
      <c r="T34" s="9"/>
      <c r="W34" s="4"/>
    </row>
    <row r="35" spans="2:23" s="230" customFormat="1" ht="17.399999999999999" x14ac:dyDescent="0.35">
      <c r="I35" s="262"/>
      <c r="J35" s="47"/>
      <c r="K35" s="250"/>
      <c r="L35" s="14"/>
      <c r="M35" s="250">
        <v>65000</v>
      </c>
      <c r="N35" s="12">
        <f t="shared" si="16"/>
        <v>0</v>
      </c>
      <c r="O35" s="39" t="s">
        <v>32</v>
      </c>
      <c r="P35" s="42"/>
      <c r="R35" s="239"/>
      <c r="S35" s="256"/>
      <c r="U35" s="230">
        <v>33390</v>
      </c>
      <c r="V35" s="231"/>
    </row>
    <row r="36" spans="2:23" s="230" customFormat="1" ht="17.399999999999999" x14ac:dyDescent="0.35">
      <c r="B36" s="24" t="s">
        <v>153</v>
      </c>
      <c r="I36" s="262"/>
      <c r="J36" s="312"/>
      <c r="K36" s="250"/>
      <c r="L36" s="14">
        <v>4</v>
      </c>
      <c r="M36" s="250">
        <v>23000</v>
      </c>
      <c r="N36" s="12">
        <f t="shared" si="16"/>
        <v>92000</v>
      </c>
      <c r="O36" s="14" t="s">
        <v>143</v>
      </c>
      <c r="P36" s="17"/>
      <c r="R36" s="237"/>
      <c r="S36" s="256"/>
      <c r="U36" s="230">
        <f>U35/1.19</f>
        <v>28058.823529411766</v>
      </c>
      <c r="V36" s="231"/>
    </row>
    <row r="37" spans="2:23" s="230" customFormat="1" ht="17.399999999999999" x14ac:dyDescent="0.35">
      <c r="B37" s="24" t="s">
        <v>146</v>
      </c>
      <c r="C37"/>
      <c r="D37"/>
      <c r="E37"/>
      <c r="F37"/>
      <c r="I37" s="262"/>
      <c r="J37" s="312"/>
      <c r="K37" s="250"/>
      <c r="L37" s="249"/>
      <c r="M37" s="250">
        <v>800</v>
      </c>
      <c r="N37" s="12"/>
      <c r="O37" s="14" t="s">
        <v>155</v>
      </c>
      <c r="P37" s="14"/>
      <c r="Q37" s="230">
        <v>1.52</v>
      </c>
      <c r="R37" s="237"/>
      <c r="S37" s="237"/>
    </row>
    <row r="38" spans="2:23" s="230" customFormat="1" ht="17.399999999999999" x14ac:dyDescent="0.35">
      <c r="B38" s="29" t="s">
        <v>127</v>
      </c>
      <c r="C38"/>
      <c r="D38"/>
      <c r="E38"/>
      <c r="F38" s="229" t="s">
        <v>16</v>
      </c>
      <c r="I38" s="304"/>
      <c r="J38" s="47"/>
      <c r="K38" s="250"/>
      <c r="L38" s="266">
        <f>L26</f>
        <v>7.4499999999999993</v>
      </c>
      <c r="M38" s="12">
        <v>1500</v>
      </c>
      <c r="N38" s="12">
        <f t="shared" si="16"/>
        <v>11174.999999999998</v>
      </c>
      <c r="O38" s="14" t="s">
        <v>24</v>
      </c>
      <c r="P38" s="14"/>
      <c r="Q38">
        <v>2.44</v>
      </c>
      <c r="R38"/>
      <c r="S38" s="237">
        <v>1500</v>
      </c>
      <c r="W38" s="231"/>
    </row>
    <row r="39" spans="2:23" s="230" customFormat="1" ht="17.399999999999999" x14ac:dyDescent="0.35">
      <c r="J39" s="47"/>
      <c r="K39" s="250"/>
      <c r="L39" s="14"/>
      <c r="M39" s="12"/>
      <c r="N39" s="12">
        <f>SUM(N33:N38)</f>
        <v>168167.6</v>
      </c>
      <c r="O39" s="39" t="s">
        <v>25</v>
      </c>
      <c r="P39" s="14"/>
      <c r="Q39">
        <f>Q37*Q38</f>
        <v>3.7088000000000001</v>
      </c>
      <c r="R39"/>
      <c r="S39" s="237">
        <f>R31*S38</f>
        <v>60000</v>
      </c>
      <c r="W39" s="231"/>
    </row>
    <row r="40" spans="2:23" s="230" customFormat="1" ht="17.399999999999999" x14ac:dyDescent="0.35">
      <c r="J40" s="47"/>
      <c r="K40" s="250"/>
      <c r="L40" s="254" t="s">
        <v>35</v>
      </c>
      <c r="M40" s="12"/>
      <c r="N40" s="255">
        <f>N39*2.2</f>
        <v>369968.72000000003</v>
      </c>
      <c r="O40" s="14" t="s">
        <v>142</v>
      </c>
      <c r="P40" s="14"/>
      <c r="Q40" s="46">
        <f>O29/Q39</f>
        <v>1.1615616911130284</v>
      </c>
      <c r="R40"/>
      <c r="S40" s="257" t="e">
        <f>S39/#REF!</f>
        <v>#REF!</v>
      </c>
    </row>
    <row r="41" spans="2:23" s="230" customFormat="1" ht="17.399999999999999" x14ac:dyDescent="0.35">
      <c r="G41"/>
      <c r="H41" s="260"/>
      <c r="I41" s="260"/>
      <c r="J41" s="47"/>
      <c r="K41" s="250"/>
      <c r="L41" s="14"/>
      <c r="M41" s="12"/>
      <c r="N41" s="12">
        <f>N40/O29</f>
        <v>85879.461467038083</v>
      </c>
      <c r="O41" s="45" t="s">
        <v>26</v>
      </c>
      <c r="P41" s="14"/>
      <c r="Q41" s="14"/>
      <c r="R41"/>
      <c r="S41" s="237"/>
      <c r="V41" s="230">
        <v>2300</v>
      </c>
    </row>
    <row r="42" spans="2:23" s="230" customFormat="1" ht="17.399999999999999" x14ac:dyDescent="0.35">
      <c r="G42"/>
      <c r="J42" s="47">
        <v>43350</v>
      </c>
      <c r="K42" s="250"/>
      <c r="L42" s="13"/>
      <c r="M42" s="14"/>
      <c r="N42" s="17">
        <f>N40/N39</f>
        <v>2.2000000000000002</v>
      </c>
      <c r="O42" s="15"/>
      <c r="P42"/>
      <c r="Q42"/>
      <c r="R42"/>
      <c r="S42" s="237"/>
    </row>
    <row r="43" spans="2:23" s="230" customFormat="1" ht="17.399999999999999" x14ac:dyDescent="0.35">
      <c r="G43" s="23"/>
      <c r="J43" s="47">
        <f>J42/1.19</f>
        <v>36428.571428571428</v>
      </c>
      <c r="K43" s="12"/>
      <c r="S43" s="237"/>
    </row>
    <row r="44" spans="2:23" s="230" customFormat="1" ht="17.399999999999999" x14ac:dyDescent="0.35">
      <c r="B44"/>
      <c r="C44" s="228"/>
      <c r="D44" s="22"/>
      <c r="E44" s="22"/>
      <c r="F44" s="21"/>
      <c r="G44" s="23"/>
      <c r="J44" s="47"/>
      <c r="K44" s="12"/>
      <c r="S44" s="237">
        <v>1.83</v>
      </c>
    </row>
    <row r="45" spans="2:23" ht="14.4" customHeight="1" x14ac:dyDescent="0.3">
      <c r="J45" s="47"/>
      <c r="K45" s="12"/>
      <c r="S45">
        <v>2.5</v>
      </c>
    </row>
    <row r="46" spans="2:23" x14ac:dyDescent="0.3">
      <c r="J46" s="47"/>
      <c r="K46" s="250"/>
      <c r="S46">
        <f>S44*S45</f>
        <v>4.5750000000000002</v>
      </c>
    </row>
    <row r="47" spans="2:23" x14ac:dyDescent="0.3">
      <c r="K47" s="250"/>
      <c r="S47" s="270">
        <f>O31/S46</f>
        <v>1.129967213114754</v>
      </c>
    </row>
    <row r="48" spans="2:23" x14ac:dyDescent="0.3">
      <c r="K48" s="250"/>
    </row>
    <row r="49" spans="14:19" ht="15" customHeight="1" x14ac:dyDescent="0.3"/>
    <row r="51" spans="14:19" x14ac:dyDescent="0.3">
      <c r="N51">
        <v>40935</v>
      </c>
      <c r="O51" t="s">
        <v>17</v>
      </c>
      <c r="P51" t="s">
        <v>28</v>
      </c>
    </row>
    <row r="53" spans="14:19" x14ac:dyDescent="0.3">
      <c r="N53" s="54"/>
      <c r="O53" s="54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1" spans="14:19" x14ac:dyDescent="0.3">
      <c r="R61" s="18"/>
      <c r="S61" s="18"/>
    </row>
    <row r="62" spans="14:19" x14ac:dyDescent="0.3">
      <c r="R62" s="18"/>
      <c r="S62" s="18"/>
    </row>
    <row r="65" spans="3:14" x14ac:dyDescent="0.3">
      <c r="N65" s="43"/>
    </row>
    <row r="66" spans="3:14" x14ac:dyDescent="0.3">
      <c r="N66" s="43"/>
    </row>
    <row r="67" spans="3:14" x14ac:dyDescent="0.3">
      <c r="N67" s="6"/>
    </row>
    <row r="68" spans="3:14" x14ac:dyDescent="0.3">
      <c r="N68" s="6"/>
    </row>
    <row r="76" spans="3:14" x14ac:dyDescent="0.3">
      <c r="C76" t="s">
        <v>150</v>
      </c>
    </row>
    <row r="77" spans="3:14" x14ac:dyDescent="0.3">
      <c r="C77" t="s">
        <v>149</v>
      </c>
    </row>
    <row r="80" spans="3:14" x14ac:dyDescent="0.3">
      <c r="C80" t="s">
        <v>149</v>
      </c>
    </row>
    <row r="157" spans="3:3" x14ac:dyDescent="0.3">
      <c r="C157" t="s">
        <v>149</v>
      </c>
    </row>
    <row r="158" spans="3:3" x14ac:dyDescent="0.3">
      <c r="C158" t="s">
        <v>151</v>
      </c>
    </row>
    <row r="159" spans="3:3" x14ac:dyDescent="0.3">
      <c r="C159" t="s">
        <v>152</v>
      </c>
    </row>
    <row r="584" spans="3:3" x14ac:dyDescent="0.3">
      <c r="C584" t="s">
        <v>149</v>
      </c>
    </row>
  </sheetData>
  <mergeCells count="2">
    <mergeCell ref="F17:H17"/>
    <mergeCell ref="B19:H19"/>
  </mergeCells>
  <phoneticPr fontId="34" type="noConversion"/>
  <hyperlinks>
    <hyperlink ref="F38" r:id="rId1" xr:uid="{00000000-0004-0000-0000-000000000000}"/>
    <hyperlink ref="C14" r:id="rId2" xr:uid="{56F17FFE-DAFB-4DD1-A77F-831D5B73E315}"/>
  </hyperlinks>
  <pageMargins left="0.23622047244094491" right="0.23622047244094491" top="0.74803149606299213" bottom="0.74803149606299213" header="0.31496062992125984" footer="0.31496062992125984"/>
  <pageSetup scale="85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45329</v>
      </c>
    </row>
    <row r="6" spans="2:31" ht="16.2" thickBot="1" x14ac:dyDescent="0.35">
      <c r="B6" s="140" t="s">
        <v>2</v>
      </c>
      <c r="C6" s="139" t="str">
        <f>'2229'!C10</f>
        <v>ART MUEBLES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100</v>
      </c>
      <c r="I7" s="341"/>
      <c r="J7" s="341"/>
      <c r="K7" s="342"/>
      <c r="N7" s="75"/>
      <c r="O7" s="339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>
        <f>'2229'!D8</f>
        <v>10616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9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-36584.113366787446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'2229'!H27</f>
        <v>375968.72000000003</v>
      </c>
      <c r="E11" s="132">
        <f>D11*0.19</f>
        <v>71434.056800000006</v>
      </c>
      <c r="F11" s="131">
        <f>E11+D11</f>
        <v>447402.77680000005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69405.886633212562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94826.690787439613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51405.886633212554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281142.02921256039</v>
      </c>
      <c r="E13" s="221">
        <f>(D11/D12)-1</f>
        <v>2.9647984852994513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42405.886633212554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3405.8866332125544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156464.03979927534</v>
      </c>
      <c r="F15" s="216">
        <f>E15-D12</f>
        <v>61637.349011835729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3405.8866332125544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43405.886633212554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'2229'!N35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'2229'!N34</f>
        <v>46899</v>
      </c>
      <c r="E19" s="123">
        <f>D19*0.19</f>
        <v>8910.81</v>
      </c>
      <c r="F19" s="120">
        <f>SUM(D19:E19)</f>
        <v>55809.81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'2229'!N33</f>
        <v>18093.599999999999</v>
      </c>
      <c r="E20" s="121">
        <f>D20*0.19</f>
        <v>3437.7839999999997</v>
      </c>
      <c r="F20" s="120">
        <f>SUM(D20:E20)</f>
        <v>21531.383999999998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64992.6</v>
      </c>
      <c r="E21" s="116">
        <f>SUM(E18:E20)</f>
        <v>12348.593999999999</v>
      </c>
      <c r="F21" s="115">
        <f>SUM(F18:F20)</f>
        <v>77341.193999999989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59085.462800000008</v>
      </c>
    </row>
    <row r="41" spans="2:16" ht="15" thickBot="1" x14ac:dyDescent="0.35">
      <c r="H41" s="343" t="s">
        <v>62</v>
      </c>
      <c r="I41" s="344"/>
      <c r="J41" s="344"/>
      <c r="K41" s="344"/>
      <c r="L41" s="344"/>
      <c r="M41" s="345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375968.72000000003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64992.6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281142.02921256039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281142.02921256039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2023-07-03T16:45:06Z</cp:lastPrinted>
  <dcterms:created xsi:type="dcterms:W3CDTF">2013-03-18T13:35:42Z</dcterms:created>
  <dcterms:modified xsi:type="dcterms:W3CDTF">2024-02-07T15:59:42Z</dcterms:modified>
</cp:coreProperties>
</file>