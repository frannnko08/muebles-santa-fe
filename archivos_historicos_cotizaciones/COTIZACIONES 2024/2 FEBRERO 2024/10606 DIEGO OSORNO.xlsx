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2 FEBRERO 2024\"/>
    </mc:Choice>
  </mc:AlternateContent>
  <xr:revisionPtr revIDLastSave="0" documentId="13_ncr:1_{7A9B0C51-3BE7-4080-97DA-F8D42DE175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J38" i="1"/>
  <c r="L21" i="1"/>
  <c r="L23" i="1" s="1"/>
  <c r="L34" i="1" s="1"/>
  <c r="M21" i="1"/>
  <c r="S21" i="1" l="1"/>
  <c r="R21" i="1"/>
  <c r="R25" i="1" s="1"/>
  <c r="N21" i="1"/>
  <c r="O21" i="1" s="1"/>
  <c r="U31" i="1"/>
  <c r="U32" i="1" s="1"/>
  <c r="O24" i="1" l="1"/>
  <c r="N30" i="1"/>
  <c r="O25" i="1" l="1"/>
  <c r="O26" i="1" s="1"/>
  <c r="O27" i="1" s="1"/>
  <c r="L29" i="1" s="1"/>
  <c r="M20" i="1"/>
  <c r="K20" i="1"/>
  <c r="N31" i="1" l="1"/>
  <c r="Q35" i="1"/>
  <c r="N3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4" i="1"/>
  <c r="N33" i="1"/>
  <c r="F18" i="3" l="1"/>
  <c r="N29" i="1" l="1"/>
  <c r="Q36" i="1"/>
  <c r="N35" i="1" l="1"/>
  <c r="N36" i="1" s="1"/>
  <c r="D20" i="3"/>
  <c r="E20" i="3" s="1"/>
  <c r="E21" i="3" s="1"/>
  <c r="N38" i="1" l="1"/>
  <c r="D21" i="3"/>
  <c r="M43" i="3" s="1"/>
  <c r="D12" i="3" s="1"/>
  <c r="F20" i="3"/>
  <c r="F21" i="3" s="1"/>
  <c r="N37" i="1" l="1"/>
  <c r="P20" i="1" s="1"/>
  <c r="E15" i="3"/>
  <c r="P21" i="1" l="1"/>
  <c r="G21" i="1" s="1"/>
  <c r="F15" i="3"/>
  <c r="Q21" i="1" l="1"/>
  <c r="H21" i="1" s="1"/>
  <c r="H23" i="1" s="1"/>
  <c r="H24" i="1" l="1"/>
  <c r="D11" i="3" l="1"/>
  <c r="X9" i="3" s="1"/>
  <c r="X15" i="3" s="1"/>
  <c r="H25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<sst xmlns="http://schemas.openxmlformats.org/spreadsheetml/2006/main" count="229" uniqueCount="173">
  <si>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</si>
  <si>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</si>
  <si>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</si>
  <si>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</si>
  <si>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</si>
  <si>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</si>
  <si>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</si>
  <si>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</si>
  <si>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</si>
  <si>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</si>
  <si>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</si>
  <si>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</si>
  <si>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</si>
  <si>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</si>
  <si>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</si>
  <si>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</si>
  <si>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</si>
  <si>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</si>
  <si>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</si>
  <si>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</si>
  <si>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</si>
  <si>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</si>
  <si>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</si>
  <si>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</si>
  <si>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</si>
  <si>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</si>
  <si>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</si>
  <si>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</si>
  <si>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</si>
  <si>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</si>
  <si>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</si>
  <si>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</si>
  <si>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</si>
  <si>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</si>
  <si>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</si>
  <si>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</si>
  <si>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</si>
  <si>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</si>
  <si>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</si>
  <si>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</si>
  <si>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</si>
  <si>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</si>
  <si>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</si>
  <si>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</si>
  <si>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</si>
  <si>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</si>
  <si>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</si>
  <si>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</si>
  <si>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</si>
  <si>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</si>
  <si>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</si>
  <si>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</si>
  <si>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</si>
  <si>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</si>
  <si>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</si>
  <si>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</si>
  <si>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</si>
  <si>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</si>
  <si>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</si>
  <si>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</si>
  <si>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</si>
  <si>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</si>
  <si>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</si>
  <si>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</si>
  <si>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</si>
  <si>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</si>
  <si>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</si>
  <si>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</si>
  <si>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</si>
  <si>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</si>
  <si>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</si>
  <si>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</si>
  <si>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</si>
  <si>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</si>
  <si>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</si>
  <si>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</si>
  <si>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</si>
  <si>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</si>
  <si>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</si>
  <si>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</si>
  <si>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</si>
  <si>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</si>
  <si>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</si>
  <si>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</si>
  <si>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</si>
  <si>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</si>
  <si>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</si>
  <si>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</si>
  <si>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</si>
  <si>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</si>
  <si>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</si>
  <si>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</si>
  <si>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</si>
  <si>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</si>
  <si>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</si>
  <si>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</si>
  <si>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</si>
  <si>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</si>
  <si>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</si>
  <si>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</si>
  <si>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</si>
  <si>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</si>
  <si>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</si>
  <si>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</si>
  <si>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</si>
  <si>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</si>
  <si>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</si>
  <si>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</si>
  <si>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</si>
  <si>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</si>
  <si>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</si>
  <si>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</si>
  <si>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</si>
  <si>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</si>
  <si>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</si>
  <si>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</si>
  <si>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</si>
  <si>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</si>
  <si>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</si>
  <si>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</si>
  <si>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</si>
  <si>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</si>
  <si>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</si>
  <si>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</si>
  <si>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</si>
  <si>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</si>
  <si>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</si>
  <si>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</si>
  <si>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</si>
  <si>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</si>
  <si>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</si>
  <si>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</si>
  <si>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</si>
  <si>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</si>
  <si>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</si>
  <si>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</si>
  <si>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</si>
  <si>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</si>
  <si>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</si>
  <si>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</si>
  <si>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</si>
  <si>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</si>
  <si>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</si>
  <si>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</si>
  <si>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</si>
  <si>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</si>
  <si>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</si>
  <si>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</si>
  <si>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</si>
  <si>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</si>
  <si>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</si>
  <si>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</si>
  <si>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</si>
  <si>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</si>
  <si>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</si>
  <si>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</si>
  <si>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</si>
  <si>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</si>
  <si>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</si>
  <si>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</si>
  <si>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</si>
  <si>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</si>
  <si>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</si>
  <si>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</si>
  <si>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</si>
  <si>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</si>
  <si>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</si>
  <si>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</si>
  <si>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5 DIAS HABILES</t>
  </si>
  <si>
    <t>DIEGO OSORNO</t>
  </si>
  <si>
    <t>+569 84053429</t>
  </si>
  <si>
    <t>CUBIERTA CON RESPALDO</t>
  </si>
  <si>
    <t>WHITE OAK 1336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</si>
</sst>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5" fillId="8" borderId="0" xfId="0" applyFont="1" applyFill="1"/>
    <xf numFmtId="0" fontId="0" fillId="0" borderId="54" xfId="0" applyFill="1" applyBorder="1"/>
    <xf numFmtId="0" fontId="0" fillId="0" borderId="0" xfId="0" applyFill="1"/>
    <xf numFmtId="0" fontId="29" fillId="0" borderId="0" xfId="0" applyFont="1" applyFill="1" applyAlignment="1">
      <alignment horizontal="left"/>
    </xf>
    <xf numFmtId="0" fontId="0" fillId="0" borderId="55" xfId="0" applyFill="1" applyBorder="1"/>
    <xf numFmtId="0" fontId="29" fillId="0" borderId="0" xfId="0" applyFont="1" applyFill="1"/>
    <xf numFmtId="0" fontId="36" fillId="0" borderId="0" xfId="0" quotePrefix="1" applyFont="1" applyFill="1"/>
    <xf numFmtId="0" fontId="25" fillId="0" borderId="0" xfId="0" applyFont="1" applyFill="1"/>
    <xf numFmtId="0" fontId="0" fillId="0" borderId="44" xfId="0" applyFill="1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0" fillId="0" borderId="37" xfId="0" applyFill="1" applyBorder="1"/>
    <xf numFmtId="0" fontId="18" fillId="0" borderId="37" xfId="0" applyFont="1" applyFill="1" applyBorder="1" applyAlignment="1">
      <alignment horizontal="left"/>
    </xf>
    <xf numFmtId="0" fontId="18" fillId="0" borderId="56" xfId="0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27</xdr:row>
      <xdr:rowOff>26670</xdr:rowOff>
    </xdr:from>
    <xdr:to>
      <xdr:col>7</xdr:col>
      <xdr:colOff>1034435</xdr:colOff>
      <xdr:row>30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1714500</xdr:colOff>
      <xdr:row>30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22</xdr:row>
      <xdr:rowOff>9525</xdr:rowOff>
    </xdr:from>
    <xdr:to>
      <xdr:col>5</xdr:col>
      <xdr:colOff>1594096</xdr:colOff>
      <xdr:row>25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  <a:endParaRPr lang="es-CL" sz="12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0"/>
  <sheetViews>
    <sheetView tabSelected="1" zoomScale="93" zoomScaleNormal="93" workbookViewId="0">
      <selection activeCell="I23" sqref="I23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>
        <v>10606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169</v>
      </c>
      <c r="D10" s="243"/>
      <c r="E10" s="243"/>
      <c r="F10" s="244" t="s">
        <v>0</v>
      </c>
      <c r="G10" s="277">
        <v>45324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329" t="s">
        <v>147</v>
      </c>
      <c r="C13" s="330"/>
      <c r="D13" s="330"/>
      <c r="E13" s="330"/>
      <c r="F13" s="330"/>
      <c r="G13" s="331"/>
      <c r="H13" s="332"/>
      <c r="P13" s="19"/>
      <c r="Q13" s="25"/>
      <c r="R13" s="19"/>
    </row>
    <row r="14" spans="2:23" x14ac:dyDescent="0.3">
      <c r="B14" s="246" t="s">
        <v>140</v>
      </c>
      <c r="C14" s="342"/>
      <c r="D14" s="247"/>
      <c r="E14" s="247"/>
      <c r="F14" s="343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329" t="s">
        <v>4</v>
      </c>
      <c r="C15" s="334" t="s">
        <v>170</v>
      </c>
      <c r="D15" s="335"/>
      <c r="E15" s="330"/>
      <c r="F15" s="330" t="s">
        <v>135</v>
      </c>
      <c r="G15" s="333" t="s">
        <v>136</v>
      </c>
      <c r="H15" s="332"/>
    </row>
    <row r="16" spans="2:23" ht="16.8" x14ac:dyDescent="0.4">
      <c r="B16" s="344" t="s">
        <v>3</v>
      </c>
      <c r="C16" s="328"/>
      <c r="D16" s="247"/>
      <c r="E16" s="247"/>
      <c r="F16" s="345" t="s">
        <v>130</v>
      </c>
      <c r="G16" s="346" t="s">
        <v>164</v>
      </c>
      <c r="H16" s="248"/>
    </row>
    <row r="17" spans="2:24" ht="15" thickBot="1" x14ac:dyDescent="0.35">
      <c r="B17" s="336" t="s">
        <v>13</v>
      </c>
      <c r="C17" s="337" t="s">
        <v>167</v>
      </c>
      <c r="D17" s="338"/>
      <c r="E17" s="339"/>
      <c r="F17" s="340" t="s">
        <v>166</v>
      </c>
      <c r="G17" s="340"/>
      <c r="H17" s="341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18" t="s">
        <v>148</v>
      </c>
      <c r="C19" s="319"/>
      <c r="D19" s="319"/>
      <c r="E19" s="319"/>
      <c r="F19" s="319"/>
      <c r="G19" s="319"/>
      <c r="H19" s="320"/>
      <c r="I19" s="264"/>
      <c r="J19" s="5"/>
      <c r="K19" s="250"/>
      <c r="L19" s="14">
        <v>0.02</v>
      </c>
      <c r="M19" s="14">
        <v>0.02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N37</f>
        <v>107879.55738934735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13">
        <v>1</v>
      </c>
      <c r="C21" s="314" t="s">
        <v>171</v>
      </c>
      <c r="D21" s="315">
        <v>1.7</v>
      </c>
      <c r="E21" s="315">
        <v>0.6</v>
      </c>
      <c r="F21" s="314" t="s">
        <v>172</v>
      </c>
      <c r="G21" s="316">
        <f>P21</f>
        <v>115042.76000000001</v>
      </c>
      <c r="H21" s="317">
        <f>G21*B21</f>
        <v>115042.76000000001</v>
      </c>
      <c r="I21" s="265"/>
      <c r="J21" s="47"/>
      <c r="K21" s="47">
        <f>B21</f>
        <v>1</v>
      </c>
      <c r="L21" s="39">
        <f t="shared" ref="L21" si="1">D21+L$19</f>
        <v>1.72</v>
      </c>
      <c r="M21" s="39">
        <f t="shared" ref="M21" si="2">E21+M$19</f>
        <v>0.62</v>
      </c>
      <c r="N21" s="261">
        <f t="shared" ref="N21" si="3">L21*M21</f>
        <v>1.0664</v>
      </c>
      <c r="O21" s="259">
        <f t="shared" ref="O21" si="4">N21*K21</f>
        <v>1.0664</v>
      </c>
      <c r="P21" s="252">
        <f t="shared" ref="P21" si="5">P$20*N21</f>
        <v>115042.76000000001</v>
      </c>
      <c r="Q21" s="258">
        <f t="shared" ref="Q21" si="6">P21+Q$20</f>
        <v>118042.76000000001</v>
      </c>
      <c r="R21" s="299">
        <f>L21*K21*2</f>
        <v>3.44</v>
      </c>
      <c r="S21" s="46">
        <f>M21*K21*2</f>
        <v>1.24</v>
      </c>
      <c r="T21" s="9"/>
      <c r="W21" s="4"/>
    </row>
    <row r="22" spans="2:24" ht="18" thickBot="1" x14ac:dyDescent="0.35">
      <c r="B22" s="286"/>
      <c r="C22" s="286"/>
      <c r="D22" s="287"/>
      <c r="E22" s="287"/>
      <c r="F22" s="286"/>
      <c r="G22" s="265"/>
      <c r="H22" s="233"/>
      <c r="I22" s="233"/>
      <c r="J22" s="47"/>
      <c r="K22" s="47"/>
      <c r="L22" s="39"/>
      <c r="M22" s="39"/>
      <c r="N22" s="261"/>
      <c r="O22" s="259"/>
      <c r="P22" s="252"/>
      <c r="Q22" s="258"/>
      <c r="R22" s="299"/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00" t="s">
        <v>29</v>
      </c>
      <c r="H23" s="301">
        <f>SUM(H21:H21)</f>
        <v>115042.76000000001</v>
      </c>
      <c r="I23" s="265"/>
      <c r="J23" s="47"/>
      <c r="K23" s="47"/>
      <c r="L23" s="39">
        <f>SUM(L21:L22)</f>
        <v>1.72</v>
      </c>
      <c r="M23" s="39"/>
      <c r="N23" s="261"/>
      <c r="O23" s="259"/>
      <c r="P23" s="252"/>
      <c r="Q23" s="258"/>
      <c r="R23" s="299"/>
      <c r="S23" s="14"/>
      <c r="T23" s="9"/>
      <c r="W23" s="4"/>
    </row>
    <row r="24" spans="2:24" ht="17.399999999999999" x14ac:dyDescent="0.3">
      <c r="B24" s="280"/>
      <c r="C24" s="283"/>
      <c r="D24" s="284"/>
      <c r="E24" s="284"/>
      <c r="F24" s="285"/>
      <c r="G24" s="298" t="s">
        <v>52</v>
      </c>
      <c r="H24" s="296">
        <f>H23*19%</f>
        <v>21858.124400000001</v>
      </c>
      <c r="I24" s="265"/>
      <c r="J24" s="47"/>
      <c r="K24" s="47"/>
      <c r="L24" s="39"/>
      <c r="M24" s="12"/>
      <c r="N24" s="12"/>
      <c r="O24" s="253">
        <f>SUM(O21:O21)</f>
        <v>1.0664</v>
      </c>
      <c r="P24" s="14"/>
      <c r="Q24" s="12"/>
      <c r="R24" s="239"/>
      <c r="S24" s="14"/>
      <c r="T24" s="9"/>
      <c r="W24" s="4"/>
    </row>
    <row r="25" spans="2:24" ht="18" thickBot="1" x14ac:dyDescent="0.35">
      <c r="B25" s="276"/>
      <c r="C25" s="282"/>
      <c r="D25" s="272"/>
      <c r="E25" s="272"/>
      <c r="F25" s="273"/>
      <c r="G25" s="281" t="s">
        <v>6</v>
      </c>
      <c r="H25" s="297">
        <f>H23+H24</f>
        <v>136900.88440000001</v>
      </c>
      <c r="I25" s="265"/>
      <c r="J25" s="47"/>
      <c r="K25" s="47"/>
      <c r="L25" s="39"/>
      <c r="M25" s="12"/>
      <c r="N25" s="12"/>
      <c r="O25" s="253">
        <f>O24</f>
        <v>1.0664</v>
      </c>
      <c r="P25" s="14"/>
      <c r="Q25" s="12"/>
      <c r="R25" s="239">
        <f>SUM(R21:R24)</f>
        <v>3.44</v>
      </c>
      <c r="S25" s="14"/>
      <c r="T25" s="9"/>
      <c r="W25" s="4"/>
    </row>
    <row r="26" spans="2:24" ht="17.399999999999999" x14ac:dyDescent="0.3">
      <c r="B26" s="276"/>
      <c r="C26" s="271"/>
      <c r="D26" s="272"/>
      <c r="E26" s="272"/>
      <c r="F26" s="273"/>
      <c r="I26" s="265"/>
      <c r="J26" s="47"/>
      <c r="K26" s="47"/>
      <c r="L26" s="14"/>
      <c r="M26" s="12"/>
      <c r="N26" s="12"/>
      <c r="O26" s="39">
        <f>O25*20%</f>
        <v>0.21328000000000003</v>
      </c>
      <c r="P26" s="39" t="s">
        <v>131</v>
      </c>
      <c r="Q26" s="42"/>
      <c r="R26" s="240"/>
      <c r="S26" s="14"/>
      <c r="T26" s="9"/>
      <c r="W26" s="4"/>
    </row>
    <row r="27" spans="2:24" ht="17.399999999999999" x14ac:dyDescent="0.3">
      <c r="B27" s="271"/>
      <c r="C27" s="271"/>
      <c r="D27" s="272"/>
      <c r="E27" s="272"/>
      <c r="F27" s="273"/>
      <c r="G27" s="274"/>
      <c r="H27" s="275"/>
      <c r="I27" s="265"/>
      <c r="J27" s="47"/>
      <c r="K27" s="47"/>
      <c r="L27" s="14"/>
      <c r="M27" s="12"/>
      <c r="N27" s="12"/>
      <c r="O27" s="46">
        <f>O25+O26</f>
        <v>1.2796799999999999</v>
      </c>
      <c r="P27" s="14"/>
      <c r="Q27" s="14"/>
      <c r="R27" s="238">
        <v>40</v>
      </c>
      <c r="S27" s="14"/>
      <c r="T27" s="9"/>
      <c r="W27" s="4"/>
    </row>
    <row r="28" spans="2:24" ht="17.399999999999999" x14ac:dyDescent="0.35">
      <c r="B28" s="269"/>
      <c r="C28" s="230"/>
      <c r="D28" s="230"/>
      <c r="E28" s="233"/>
      <c r="F28" s="234"/>
      <c r="G28" s="230"/>
      <c r="H28" s="275"/>
      <c r="I28" s="265"/>
      <c r="J28" s="47"/>
      <c r="K28" s="47"/>
      <c r="L28" s="14"/>
      <c r="M28" s="14"/>
      <c r="N28" s="14"/>
      <c r="O28" s="14"/>
      <c r="P28" s="14"/>
      <c r="Q28" s="14"/>
      <c r="R28" s="238"/>
      <c r="S28" s="14"/>
      <c r="T28" s="306" t="s">
        <v>22</v>
      </c>
      <c r="U28" s="303" t="s">
        <v>153</v>
      </c>
      <c r="V28" s="307">
        <v>44971</v>
      </c>
      <c r="W28" s="308"/>
    </row>
    <row r="29" spans="2:24" ht="17.399999999999999" x14ac:dyDescent="0.35">
      <c r="B29" s="235"/>
      <c r="C29" s="236"/>
      <c r="D29" s="237"/>
      <c r="E29" s="235"/>
      <c r="F29" s="230"/>
      <c r="G29" s="230"/>
      <c r="I29" s="265"/>
      <c r="J29" s="47"/>
      <c r="K29" s="47"/>
      <c r="L29" s="39">
        <f>O27</f>
        <v>1.2796799999999999</v>
      </c>
      <c r="M29" s="12">
        <v>3500</v>
      </c>
      <c r="N29" s="12">
        <f t="shared" ref="N29:N34" si="7">L29*M29</f>
        <v>4478.88</v>
      </c>
      <c r="O29" s="14" t="s">
        <v>22</v>
      </c>
      <c r="P29" s="14"/>
      <c r="Q29" s="14"/>
      <c r="R29" s="241"/>
      <c r="S29" s="14"/>
      <c r="T29" s="306" t="s">
        <v>154</v>
      </c>
      <c r="U29" s="303">
        <v>3625</v>
      </c>
      <c r="V29" s="59" t="s">
        <v>155</v>
      </c>
      <c r="W29" s="308"/>
    </row>
    <row r="30" spans="2:24" ht="17.399999999999999" x14ac:dyDescent="0.35">
      <c r="B30" s="230"/>
      <c r="C30" s="230"/>
      <c r="D30" s="230"/>
      <c r="E30" s="230"/>
      <c r="F30" s="230"/>
      <c r="G30" s="230"/>
      <c r="I30" s="265"/>
      <c r="J30" s="47"/>
      <c r="K30" s="47"/>
      <c r="L30" s="249">
        <v>0.35</v>
      </c>
      <c r="M30" s="12">
        <v>23850</v>
      </c>
      <c r="N30" s="12">
        <f t="shared" si="7"/>
        <v>8347.5</v>
      </c>
      <c r="O30" s="39" t="s">
        <v>32</v>
      </c>
      <c r="P30" s="42"/>
      <c r="Q30" s="14"/>
      <c r="R30" s="240"/>
      <c r="S30" s="14"/>
      <c r="T30" s="306"/>
      <c r="U30" s="59">
        <v>906.25</v>
      </c>
      <c r="V30" s="59" t="s">
        <v>156</v>
      </c>
      <c r="W30" s="308"/>
    </row>
    <row r="31" spans="2:24" s="230" customFormat="1" ht="17.399999999999999" x14ac:dyDescent="0.35">
      <c r="I31" s="262"/>
      <c r="J31" s="232"/>
      <c r="K31" s="250"/>
      <c r="L31" s="14">
        <v>0</v>
      </c>
      <c r="M31" s="250">
        <v>56000</v>
      </c>
      <c r="N31" s="12">
        <f t="shared" si="7"/>
        <v>0</v>
      </c>
      <c r="O31" s="39" t="s">
        <v>31</v>
      </c>
      <c r="P31" s="42"/>
      <c r="R31" s="240"/>
      <c r="S31" s="256"/>
      <c r="T31" s="59"/>
      <c r="U31" s="59">
        <f>U30*20%</f>
        <v>181.25</v>
      </c>
      <c r="V31" s="308" t="s">
        <v>157</v>
      </c>
      <c r="W31" s="59"/>
    </row>
    <row r="32" spans="2:24" s="230" customFormat="1" ht="17.399999999999999" x14ac:dyDescent="0.35">
      <c r="B32" s="24" t="s">
        <v>152</v>
      </c>
      <c r="I32" s="262"/>
      <c r="J32" s="232"/>
      <c r="K32" s="250"/>
      <c r="L32" s="14">
        <v>1</v>
      </c>
      <c r="M32" s="250">
        <v>42115</v>
      </c>
      <c r="N32" s="12">
        <f t="shared" si="7"/>
        <v>42115</v>
      </c>
      <c r="O32" s="14" t="s">
        <v>142</v>
      </c>
      <c r="P32" s="17"/>
      <c r="R32" s="238"/>
      <c r="S32" s="256"/>
      <c r="T32" s="59"/>
      <c r="U32" s="59">
        <f>U30+U31</f>
        <v>1087.5</v>
      </c>
      <c r="V32" s="308" t="s">
        <v>158</v>
      </c>
      <c r="W32" s="59"/>
    </row>
    <row r="33" spans="2:23" s="230" customFormat="1" ht="17.399999999999999" x14ac:dyDescent="0.35">
      <c r="B33" s="24" t="s">
        <v>145</v>
      </c>
      <c r="C33"/>
      <c r="D33"/>
      <c r="E33"/>
      <c r="F33"/>
      <c r="I33" s="262"/>
      <c r="K33" s="250"/>
      <c r="L33" s="249"/>
      <c r="M33" s="250">
        <v>300</v>
      </c>
      <c r="N33" s="12">
        <f t="shared" si="7"/>
        <v>0</v>
      </c>
      <c r="O33" s="14" t="s">
        <v>33</v>
      </c>
      <c r="P33" s="14"/>
      <c r="Q33" s="230">
        <v>1.52</v>
      </c>
      <c r="R33" s="238"/>
      <c r="S33" s="238"/>
    </row>
    <row r="34" spans="2:23" s="230" customFormat="1" ht="17.399999999999999" x14ac:dyDescent="0.35">
      <c r="B34" s="29" t="s">
        <v>126</v>
      </c>
      <c r="C34"/>
      <c r="D34"/>
      <c r="E34"/>
      <c r="F34" s="229" t="s">
        <v>16</v>
      </c>
      <c r="I34" s="295"/>
      <c r="K34" s="250"/>
      <c r="L34" s="266">
        <f>L23</f>
        <v>1.72</v>
      </c>
      <c r="M34" s="12">
        <v>1500</v>
      </c>
      <c r="N34" s="12">
        <f t="shared" si="7"/>
        <v>2580</v>
      </c>
      <c r="O34" s="14" t="s">
        <v>23</v>
      </c>
      <c r="P34" s="14"/>
      <c r="Q34">
        <v>2.44</v>
      </c>
      <c r="R34"/>
      <c r="S34" s="238"/>
      <c r="W34" s="231"/>
    </row>
    <row r="35" spans="2:23" s="230" customFormat="1" ht="17.399999999999999" x14ac:dyDescent="0.35">
      <c r="K35" s="250"/>
      <c r="L35" s="14"/>
      <c r="M35" s="12"/>
      <c r="N35" s="12">
        <f>SUM(N29:N34)</f>
        <v>57521.380000000005</v>
      </c>
      <c r="O35" s="39" t="s">
        <v>24</v>
      </c>
      <c r="P35" s="14"/>
      <c r="Q35">
        <f>Q33*Q34</f>
        <v>3.7088000000000001</v>
      </c>
      <c r="R35"/>
      <c r="S35" s="238"/>
      <c r="W35" s="231"/>
    </row>
    <row r="36" spans="2:23" s="230" customFormat="1" ht="17.399999999999999" x14ac:dyDescent="0.35">
      <c r="K36" s="250"/>
      <c r="L36" s="254" t="s">
        <v>34</v>
      </c>
      <c r="M36" s="12"/>
      <c r="N36" s="255">
        <f>N35*2</f>
        <v>115042.76000000001</v>
      </c>
      <c r="O36" s="14" t="s">
        <v>141</v>
      </c>
      <c r="P36" s="14"/>
      <c r="Q36" s="40">
        <f>O27/Q35</f>
        <v>0.34503882657463325</v>
      </c>
      <c r="R36"/>
      <c r="S36" s="257"/>
    </row>
    <row r="37" spans="2:23" s="230" customFormat="1" ht="17.399999999999999" x14ac:dyDescent="0.35">
      <c r="G37"/>
      <c r="H37" s="260"/>
      <c r="I37" s="260"/>
      <c r="J37" s="230">
        <v>48209</v>
      </c>
      <c r="K37" s="250"/>
      <c r="L37" s="14"/>
      <c r="M37" s="12"/>
      <c r="N37" s="12">
        <f>N36/O25</f>
        <v>107879.55738934735</v>
      </c>
      <c r="O37" s="45" t="s">
        <v>25</v>
      </c>
      <c r="P37" s="14"/>
      <c r="Q37" s="14"/>
      <c r="R37"/>
      <c r="S37" s="238"/>
      <c r="T37" s="59" t="s">
        <v>159</v>
      </c>
      <c r="U37" s="303">
        <v>43650</v>
      </c>
    </row>
    <row r="38" spans="2:23" s="230" customFormat="1" ht="17.399999999999999" x14ac:dyDescent="0.35">
      <c r="G38"/>
      <c r="H38" s="230" t="s">
        <v>165</v>
      </c>
      <c r="J38" s="230">
        <f>J37/1.19</f>
        <v>40511.764705882357</v>
      </c>
      <c r="K38" s="250"/>
      <c r="L38" s="13"/>
      <c r="M38" s="14"/>
      <c r="N38" s="17">
        <f>N36/N35</f>
        <v>2</v>
      </c>
      <c r="O38" s="15"/>
      <c r="P38"/>
      <c r="Q38"/>
      <c r="R38"/>
      <c r="S38" s="238"/>
      <c r="T38" s="59" t="s">
        <v>161</v>
      </c>
      <c r="U38" s="304" t="s">
        <v>160</v>
      </c>
      <c r="V38" s="59">
        <v>2.4</v>
      </c>
    </row>
    <row r="39" spans="2:23" s="230" customFormat="1" ht="17.399999999999999" x14ac:dyDescent="0.35">
      <c r="G39" s="23"/>
      <c r="K39" s="12"/>
      <c r="S39" s="238"/>
      <c r="T39" s="59" t="s">
        <v>162</v>
      </c>
      <c r="U39" s="305">
        <v>395.37</v>
      </c>
    </row>
    <row r="40" spans="2:23" s="230" customFormat="1" ht="17.399999999999999" x14ac:dyDescent="0.35">
      <c r="B40"/>
      <c r="C40" s="228"/>
      <c r="D40" s="22"/>
      <c r="E40" s="22"/>
      <c r="F40" s="21"/>
      <c r="G40" s="23"/>
      <c r="K40" s="12"/>
      <c r="S40" s="238"/>
      <c r="T40" s="59" t="s">
        <v>157</v>
      </c>
      <c r="U40" s="59">
        <v>474.45</v>
      </c>
    </row>
    <row r="41" spans="2:23" ht="14.4" customHeight="1" x14ac:dyDescent="0.3">
      <c r="K41" s="12"/>
      <c r="T41" s="59"/>
      <c r="U41" s="59"/>
    </row>
    <row r="42" spans="2:23" x14ac:dyDescent="0.3">
      <c r="K42" s="250"/>
    </row>
    <row r="43" spans="2:23" x14ac:dyDescent="0.3">
      <c r="K43" s="250"/>
      <c r="S43" s="270"/>
    </row>
    <row r="44" spans="2:23" x14ac:dyDescent="0.3">
      <c r="K44" s="250"/>
    </row>
    <row r="45" spans="2:23" ht="15" customHeight="1" x14ac:dyDescent="0.3"/>
    <row r="47" spans="2:23" x14ac:dyDescent="0.3">
      <c r="N47">
        <v>40935</v>
      </c>
      <c r="O47" t="s">
        <v>17</v>
      </c>
      <c r="P47" t="s">
        <v>27</v>
      </c>
    </row>
    <row r="49" spans="14:19" x14ac:dyDescent="0.3">
      <c r="N49" s="54"/>
      <c r="O49" s="54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61" spans="14:19" x14ac:dyDescent="0.3">
      <c r="N61" s="43"/>
    </row>
    <row r="62" spans="14:19" x14ac:dyDescent="0.3">
      <c r="N62" s="43"/>
    </row>
    <row r="63" spans="14:19" x14ac:dyDescent="0.3">
      <c r="N63" s="6"/>
    </row>
    <row r="64" spans="14:19" x14ac:dyDescent="0.3">
      <c r="N64" s="6"/>
    </row>
    <row r="72" spans="3:3" x14ac:dyDescent="0.3">
      <c r="C72" t="s">
        <v>149</v>
      </c>
    </row>
    <row r="73" spans="3:3" x14ac:dyDescent="0.3">
      <c r="C73" t="s">
        <v>148</v>
      </c>
    </row>
    <row r="76" spans="3:3" x14ac:dyDescent="0.3">
      <c r="C76" t="s">
        <v>148</v>
      </c>
    </row>
    <row r="153" spans="3:3" x14ac:dyDescent="0.3">
      <c r="C153" t="s">
        <v>148</v>
      </c>
    </row>
    <row r="154" spans="3:3" x14ac:dyDescent="0.3">
      <c r="C154" t="s">
        <v>150</v>
      </c>
    </row>
    <row r="155" spans="3:3" x14ac:dyDescent="0.3">
      <c r="C155" t="s">
        <v>151</v>
      </c>
    </row>
    <row r="580" spans="3:3" x14ac:dyDescent="0.3">
      <c r="C580" t="s">
        <v>148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45324</v>
      </c>
    </row>
    <row r="6" spans="2:31" ht="16.2" thickBot="1" x14ac:dyDescent="0.35">
      <c r="B6" s="140" t="s">
        <v>2</v>
      </c>
      <c r="C6" s="139" t="str">
        <f>'2229'!C10</f>
        <v>DIEGO OSORNO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22" t="s">
        <v>99</v>
      </c>
      <c r="I7" s="323"/>
      <c r="J7" s="323"/>
      <c r="K7" s="324"/>
      <c r="N7" s="75"/>
      <c r="O7" s="321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10606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21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-7442.1638667874431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'2229'!H23</f>
        <v>115042.76000000001</v>
      </c>
      <c r="E11" s="132">
        <f>D11*0.19</f>
        <v>21858.124400000001</v>
      </c>
      <c r="F11" s="131">
        <f>E11+D11</f>
        <v>136900.88440000001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98547.83613321255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42660.470787439612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80547.83613321255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72382.289212560398</v>
      </c>
      <c r="E13" s="221">
        <f>(D11/D12)-1</f>
        <v>1.6967062921835288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71547.83613321255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32547.836133212557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70389.776799275351</v>
      </c>
      <c r="F15" s="216">
        <f>E15-D12</f>
        <v>27729.306011835739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32547.836133212557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72547.83613321255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'2229'!N30</f>
        <v>8347.5</v>
      </c>
      <c r="E19" s="123">
        <f>D19*0.19</f>
        <v>1586.0250000000001</v>
      </c>
      <c r="F19" s="120">
        <f>SUM(D19:E19)</f>
        <v>9933.5249999999996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'2229'!N29</f>
        <v>4478.88</v>
      </c>
      <c r="E20" s="121">
        <f>D20*0.19</f>
        <v>850.98720000000003</v>
      </c>
      <c r="F20" s="120">
        <f>SUM(D20:E20)</f>
        <v>5329.8672000000006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12826.380000000001</v>
      </c>
      <c r="E21" s="116">
        <f>SUM(E18:E20)</f>
        <v>2437.0122000000001</v>
      </c>
      <c r="F21" s="115">
        <f>SUM(F18:F20)</f>
        <v>15263.3922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19421.1122</v>
      </c>
    </row>
    <row r="41" spans="2:16" ht="15" thickBot="1" x14ac:dyDescent="0.35">
      <c r="H41" s="325" t="s">
        <v>61</v>
      </c>
      <c r="I41" s="326"/>
      <c r="J41" s="326"/>
      <c r="K41" s="326"/>
      <c r="L41" s="326"/>
      <c r="M41" s="327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115042.76000000001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12826.380000000001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72382.289212560398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72382.289212560398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2024-02-02T18:53:41Z</cp:lastPrinted>
  <dcterms:created xsi:type="dcterms:W3CDTF">2013-03-18T13:35:42Z</dcterms:created>
  <dcterms:modified xsi:type="dcterms:W3CDTF">2024-02-02T19:06:28Z</dcterms:modified>
</cp:coreProperties>
</file>