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461B707A-5459-4007-9BDF-0142DEFBE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4" i="1"/>
  <c r="L24" i="1"/>
  <c r="M24" i="1"/>
  <c r="H25" i="1"/>
  <c r="H24" i="1"/>
  <c r="K23" i="1"/>
  <c r="K21" i="1"/>
  <c r="L23" i="1"/>
  <c r="R23" i="1" s="1"/>
  <c r="L21" i="1"/>
  <c r="M23" i="1"/>
  <c r="H23" i="1"/>
  <c r="M21" i="1"/>
  <c r="J42" i="1"/>
  <c r="N24" i="1" l="1"/>
  <c r="O24" i="1" s="1"/>
  <c r="R21" i="1"/>
  <c r="R29" i="1" s="1"/>
  <c r="R24" i="1"/>
  <c r="N23" i="1"/>
  <c r="O23" i="1" s="1"/>
  <c r="L27" i="1"/>
  <c r="S21" i="1"/>
  <c r="N21" i="1"/>
  <c r="O21" i="1" s="1"/>
  <c r="U35" i="1"/>
  <c r="U36" i="1" s="1"/>
  <c r="O28" i="1" l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Q40" i="1"/>
  <c r="N39" i="1" l="1"/>
  <c r="N40" i="1" s="1"/>
  <c r="D20" i="3"/>
  <c r="E20" i="3" s="1"/>
  <c r="E21" i="3" s="1"/>
  <c r="N41" i="1" l="1"/>
  <c r="P20" i="1" s="1"/>
  <c r="P24" i="1" s="1"/>
  <c r="Q24" i="1" s="1"/>
  <c r="D21" i="3"/>
  <c r="M43" i="3" s="1"/>
  <c r="D12" i="3" s="1"/>
  <c r="F20" i="3"/>
  <c r="F21" i="3" s="1"/>
  <c r="P21" i="1" l="1"/>
  <c r="P23" i="1"/>
  <c r="Q23" i="1" s="1"/>
  <c r="N42" i="1"/>
  <c r="E15" i="3"/>
  <c r="F15" i="3" l="1"/>
  <c r="Q21" i="1" l="1"/>
  <c r="H21" i="1" l="1"/>
  <c r="H27" i="1" s="1"/>
  <c r="H28" i="1" l="1"/>
  <c r="H29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<sst xmlns="http://schemas.openxmlformats.org/spreadsheetml/2006/main" count="235" uniqueCount="175">
  <si>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</si>
  <si>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</si>
  <si>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</si>
  <si>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</si>
  <si>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</si>
  <si>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</si>
  <si>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</si>
  <si>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</si>
  <si>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</si>
  <si>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</si>
  <si>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</si>
  <si>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</si>
  <si>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</si>
  <si>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</si>
  <si>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</si>
  <si>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</si>
  <si>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</si>
  <si>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</si>
  <si>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</si>
  <si>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</si>
  <si>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</si>
  <si>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</si>
  <si>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</si>
  <si>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</si>
  <si>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</si>
  <si>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</si>
  <si>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</si>
  <si>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</si>
  <si>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</si>
  <si>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</si>
  <si>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</si>
  <si>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</si>
  <si>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</si>
  <si>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</si>
  <si>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</si>
  <si>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</si>
  <si>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</si>
  <si>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</si>
  <si>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</si>
  <si>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</si>
  <si>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</si>
  <si>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</si>
  <si>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</si>
  <si>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</si>
  <si>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</si>
  <si>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</si>
  <si>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</si>
  <si>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</si>
  <si>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</si>
  <si>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</si>
  <si>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</si>
  <si>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</si>
  <si>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</si>
  <si>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</si>
  <si>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</si>
  <si>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</si>
  <si>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</si>
  <si>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</si>
  <si>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</si>
  <si>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</si>
  <si>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</si>
  <si>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</si>
  <si>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</si>
  <si>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</si>
  <si>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</si>
  <si>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</si>
  <si>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</si>
  <si>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</si>
  <si>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</si>
  <si>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</si>
  <si>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</si>
  <si>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</si>
  <si>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</si>
  <si>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</si>
  <si>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</si>
  <si>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</si>
  <si>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</si>
  <si>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</si>
  <si>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</si>
  <si>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</si>
  <si>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</si>
  <si>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</si>
  <si>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</si>
  <si>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</si>
  <si>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</si>
  <si>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</si>
  <si>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</si>
  <si>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</si>
  <si>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</si>
  <si>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</si>
  <si>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</si>
  <si>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</si>
  <si>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</si>
  <si>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</si>
  <si>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</si>
  <si>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</si>
  <si>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</si>
  <si>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</si>
  <si>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</si>
  <si>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</si>
  <si>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</si>
  <si>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</si>
  <si>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</si>
  <si>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</si>
  <si>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</si>
  <si>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</si>
  <si>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</si>
  <si>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</si>
  <si>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</si>
  <si>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</si>
  <si>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</si>
  <si>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</si>
  <si>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</si>
  <si>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</si>
  <si>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</si>
  <si>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</si>
  <si>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</si>
  <si>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</si>
  <si>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</si>
  <si>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</si>
  <si>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</si>
  <si>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</si>
  <si>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</si>
  <si>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</si>
  <si>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</si>
  <si>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</si>
  <si>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</si>
  <si>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</si>
  <si>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</si>
  <si>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</si>
  <si>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</si>
  <si>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</si>
  <si>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</si>
  <si>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</si>
  <si>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</si>
  <si>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</si>
  <si>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</si>
  <si>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</si>
  <si>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</si>
  <si>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</si>
  <si>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</si>
  <si>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</si>
  <si>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</si>
  <si>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</si>
  <si>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</si>
  <si>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</si>
  <si>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</si>
  <si>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</si>
  <si>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</si>
  <si>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</si>
  <si>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</si>
  <si>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</si>
  <si>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</si>
  <si>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</si>
  <si>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</si>
  <si>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</si>
  <si>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</si>
  <si>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</si>
  <si>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</si>
  <si>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</si>
  <si>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</si>
  <si>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</si>
  <si>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</si>
  <si>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</si>
  <si>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</si>
  <si>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</si>
  <si>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</si>
  <si>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5 DIAS HABILES</t>
  </si>
  <si>
    <t>JAVIERA SALAZAR</t>
  </si>
  <si>
    <t>+569 9222 0345</t>
  </si>
  <si>
    <t>SANTIAGO</t>
  </si>
  <si>
    <t>GRAFITO 2174 MT</t>
  </si>
  <si>
    <t>CUB S/R FRENTE 90° R8</t>
  </si>
  <si>
    <t>RESPALDOS FRENTE 90° R8</t>
  </si>
  <si>
    <t>SERVICIO INSTALACION, INCLUYE FLETE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</si>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</sst>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70" fontId="11" fillId="0" borderId="0" xfId="0" applyNumberFormat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INCLUYE SERVICIO DE INSTALACION Y RECTIFICACION DE MEDIDAS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 MDF 18MM 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12" zoomScale="93" zoomScaleNormal="93" workbookViewId="0">
      <selection activeCell="H27" sqref="H27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10645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45351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175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169</v>
      </c>
      <c r="D15" s="322"/>
      <c r="F15" t="s">
        <v>135</v>
      </c>
      <c r="G15" s="320" t="s">
        <v>175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170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75036.625509082718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3</v>
      </c>
      <c r="C21" s="314" t="s">
        <v>172</v>
      </c>
      <c r="D21" s="315">
        <v>3.05</v>
      </c>
      <c r="E21" s="315">
        <v>0.71</v>
      </c>
      <c r="F21" s="314" t="s">
        <v>171</v>
      </c>
      <c r="G21" s="316">
        <v>136175</v>
      </c>
      <c r="H21" s="317">
        <f>G21*B21</f>
        <v>408525</v>
      </c>
      <c r="I21" s="265"/>
      <c r="J21" s="47"/>
      <c r="K21" s="47">
        <f>B21</f>
        <v>3</v>
      </c>
      <c r="L21" s="39">
        <f>D21+L$19</f>
        <v>3.0999999999999996</v>
      </c>
      <c r="M21" s="39">
        <f>E21</f>
        <v>0.71</v>
      </c>
      <c r="N21" s="261">
        <f t="shared" ref="N21" si="1">L21*M21</f>
        <v>2.2009999999999996</v>
      </c>
      <c r="O21" s="259">
        <f t="shared" ref="O21" si="2">N21*K21</f>
        <v>6.6029999999999989</v>
      </c>
      <c r="P21" s="252">
        <f>N21*P$20</f>
        <v>165155.61274549103</v>
      </c>
      <c r="Q21" s="258">
        <f t="shared" ref="Q21" si="3">P21+Q$20</f>
        <v>168155.61274549103</v>
      </c>
      <c r="R21" s="299">
        <f>L21*K21</f>
        <v>9.2999999999999989</v>
      </c>
      <c r="S21" s="46">
        <f>M21*K21*2</f>
        <v>4.26</v>
      </c>
      <c r="T21" s="9"/>
      <c r="W21" s="4"/>
    </row>
    <row r="22" spans="2:24" ht="18" thickBot="1" x14ac:dyDescent="0.35">
      <c r="B22" s="313">
        <v>1</v>
      </c>
      <c r="C22" s="314" t="s">
        <v>172</v>
      </c>
      <c r="D22" s="315">
        <v>3.05</v>
      </c>
      <c r="E22" s="315">
        <v>0.73</v>
      </c>
      <c r="F22" s="314" t="s">
        <v>171</v>
      </c>
      <c r="G22" s="316">
        <v>136175</v>
      </c>
      <c r="H22" s="317">
        <f>G22*B22</f>
        <v>136175</v>
      </c>
      <c r="I22" s="265"/>
      <c r="J22" s="47"/>
      <c r="K22" s="47"/>
      <c r="L22" s="39"/>
      <c r="M22" s="39"/>
      <c r="N22" s="261"/>
      <c r="O22" s="259"/>
      <c r="P22" s="252"/>
      <c r="Q22" s="258"/>
      <c r="R22" s="299"/>
      <c r="S22" s="46"/>
      <c r="T22" s="9"/>
      <c r="W22" s="4"/>
    </row>
    <row r="23" spans="2:24" ht="18" thickBot="1" x14ac:dyDescent="0.35">
      <c r="B23" s="313">
        <v>1</v>
      </c>
      <c r="C23" s="314" t="s">
        <v>172</v>
      </c>
      <c r="D23" s="315">
        <v>1.5</v>
      </c>
      <c r="E23" s="315">
        <v>0.73</v>
      </c>
      <c r="F23" s="314" t="s">
        <v>171</v>
      </c>
      <c r="G23" s="316">
        <v>70679</v>
      </c>
      <c r="H23" s="317">
        <f>G23*B23</f>
        <v>70679</v>
      </c>
      <c r="I23" s="265"/>
      <c r="J23" s="47"/>
      <c r="K23" s="47">
        <f>B23</f>
        <v>1</v>
      </c>
      <c r="L23" s="39">
        <f t="shared" ref="L23" si="4">D23+L$19</f>
        <v>1.55</v>
      </c>
      <c r="M23" s="39">
        <f t="shared" ref="M23" si="5">E23</f>
        <v>0.73</v>
      </c>
      <c r="N23" s="261">
        <f t="shared" ref="N23" si="6">L23*M23</f>
        <v>1.1315</v>
      </c>
      <c r="O23" s="259">
        <f t="shared" ref="O23" si="7">N23*K23</f>
        <v>1.1315</v>
      </c>
      <c r="P23" s="252">
        <f t="shared" ref="P23" si="8">N23*P$20</f>
        <v>84903.941763527095</v>
      </c>
      <c r="Q23" s="258">
        <f t="shared" ref="Q23" si="9">P23+Q$20</f>
        <v>87903.941763527095</v>
      </c>
      <c r="R23" s="299">
        <f>L23*K23</f>
        <v>1.55</v>
      </c>
      <c r="S23" s="46"/>
      <c r="T23" s="9"/>
      <c r="W23" s="4"/>
    </row>
    <row r="24" spans="2:24" ht="18" thickBot="1" x14ac:dyDescent="0.35">
      <c r="B24" s="313">
        <v>5</v>
      </c>
      <c r="C24" s="314" t="s">
        <v>173</v>
      </c>
      <c r="D24" s="315">
        <v>3</v>
      </c>
      <c r="E24" s="315">
        <v>0.04</v>
      </c>
      <c r="F24" s="314" t="s">
        <v>171</v>
      </c>
      <c r="G24" s="316">
        <v>14098</v>
      </c>
      <c r="H24" s="317">
        <f>G24*B24</f>
        <v>70490</v>
      </c>
      <c r="I24" s="265"/>
      <c r="J24" s="47"/>
      <c r="K24" s="47">
        <f>B24</f>
        <v>5</v>
      </c>
      <c r="L24" s="39">
        <f t="shared" ref="L24" si="10">D24+L$19</f>
        <v>3.05</v>
      </c>
      <c r="M24" s="39">
        <f t="shared" ref="M24" si="11">E24</f>
        <v>0.04</v>
      </c>
      <c r="N24" s="261">
        <f t="shared" ref="N24" si="12">L24*M24</f>
        <v>0.122</v>
      </c>
      <c r="O24" s="259">
        <f t="shared" ref="O24" si="13">N24*K24</f>
        <v>0.61</v>
      </c>
      <c r="P24" s="252">
        <f t="shared" ref="P24" si="14">N24*P$20</f>
        <v>9154.4683121080907</v>
      </c>
      <c r="Q24" s="258">
        <f t="shared" ref="Q24" si="15">P24+Q$20</f>
        <v>12154.468312108091</v>
      </c>
      <c r="R24" s="299">
        <f>L24*K24</f>
        <v>15.25</v>
      </c>
      <c r="S24" s="46"/>
      <c r="T24" s="9"/>
      <c r="W24" s="4"/>
    </row>
    <row r="25" spans="2:24" ht="17.399999999999999" x14ac:dyDescent="0.3">
      <c r="B25" s="313">
        <v>1</v>
      </c>
      <c r="C25" s="314" t="s">
        <v>174</v>
      </c>
      <c r="D25" s="315"/>
      <c r="E25" s="315"/>
      <c r="F25" s="314"/>
      <c r="G25" s="316">
        <v>450000</v>
      </c>
      <c r="H25" s="317">
        <f>G25*B25</f>
        <v>450000</v>
      </c>
      <c r="I25" s="265"/>
      <c r="J25" s="47"/>
      <c r="K25" s="47"/>
      <c r="L25" s="39"/>
      <c r="M25" s="39"/>
      <c r="N25" s="261"/>
      <c r="O25" s="259"/>
      <c r="P25" s="252"/>
      <c r="Q25" s="258"/>
      <c r="R25" s="299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9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0" t="s">
        <v>29</v>
      </c>
      <c r="H27" s="301">
        <f>SUM(H21:H25)</f>
        <v>1135869</v>
      </c>
      <c r="I27" s="265"/>
      <c r="J27" s="47"/>
      <c r="K27" s="47"/>
      <c r="L27" s="39">
        <f>SUM(L21:L26)</f>
        <v>7.6999999999999993</v>
      </c>
      <c r="M27" s="39"/>
      <c r="N27" s="261"/>
      <c r="O27" s="259"/>
      <c r="P27" s="252"/>
      <c r="Q27" s="258"/>
      <c r="R27" s="299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8" t="s">
        <v>52</v>
      </c>
      <c r="H28" s="296">
        <f>H27*19%</f>
        <v>215815.11000000002</v>
      </c>
      <c r="I28" s="265"/>
      <c r="J28" s="47"/>
      <c r="K28" s="47"/>
      <c r="L28" s="39"/>
      <c r="M28" s="12"/>
      <c r="N28" s="12"/>
      <c r="O28" s="253">
        <f>SUM(O21:O23)</f>
        <v>7.7344999999999988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7">
        <f>H27+H28</f>
        <v>1351684.11</v>
      </c>
      <c r="I29" s="265"/>
      <c r="J29" s="47"/>
      <c r="K29" s="47"/>
      <c r="L29" s="39"/>
      <c r="M29" s="12"/>
      <c r="N29" s="12"/>
      <c r="O29" s="253">
        <f>O28</f>
        <v>7.7344999999999988</v>
      </c>
      <c r="P29" s="14"/>
      <c r="Q29" s="12"/>
      <c r="R29" s="239">
        <f>SUM(R21:R28)</f>
        <v>26.1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1.5468999999999999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9.2813999999999979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6" t="s">
        <v>22</v>
      </c>
      <c r="U32" s="303" t="s">
        <v>153</v>
      </c>
      <c r="V32" s="307">
        <v>44971</v>
      </c>
      <c r="W32" s="308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9.2813999999999979</v>
      </c>
      <c r="M33" s="12">
        <v>3500</v>
      </c>
      <c r="N33" s="12">
        <f t="shared" ref="N33:N38" si="16">L33*M33</f>
        <v>32484.899999999994</v>
      </c>
      <c r="O33" s="14" t="s">
        <v>22</v>
      </c>
      <c r="P33" s="14"/>
      <c r="Q33" s="14"/>
      <c r="R33" s="241"/>
      <c r="S33" s="14"/>
      <c r="T33" s="306" t="s">
        <v>154</v>
      </c>
      <c r="U33" s="303">
        <v>3625</v>
      </c>
      <c r="V33" s="59" t="s">
        <v>155</v>
      </c>
      <c r="W33" s="308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3.2</v>
      </c>
      <c r="M34" s="12">
        <v>23850</v>
      </c>
      <c r="N34" s="12">
        <f t="shared" si="16"/>
        <v>76320</v>
      </c>
      <c r="O34" s="39" t="s">
        <v>32</v>
      </c>
      <c r="P34" s="42"/>
      <c r="Q34" s="14"/>
      <c r="R34" s="240"/>
      <c r="S34" s="14"/>
      <c r="T34" s="306"/>
      <c r="U34" s="59">
        <v>906.25</v>
      </c>
      <c r="V34" s="59" t="s">
        <v>156</v>
      </c>
      <c r="W34" s="308"/>
    </row>
    <row r="35" spans="2:23" s="230" customFormat="1" ht="17.399999999999999" x14ac:dyDescent="0.35">
      <c r="I35" s="262"/>
      <c r="J35" s="232"/>
      <c r="K35" s="250"/>
      <c r="L35" s="14"/>
      <c r="M35" s="250"/>
      <c r="N35" s="12">
        <f t="shared" si="16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8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5</v>
      </c>
      <c r="M36" s="250">
        <v>31000</v>
      </c>
      <c r="N36" s="12">
        <f t="shared" si="16"/>
        <v>155000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8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6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5"/>
      <c r="K38" s="250"/>
      <c r="L38" s="266"/>
      <c r="M38" s="12">
        <v>1500</v>
      </c>
      <c r="N38" s="12">
        <f t="shared" si="16"/>
        <v>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263804.90000000002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580370.78000000014</v>
      </c>
      <c r="O40" s="14" t="s">
        <v>141</v>
      </c>
      <c r="P40" s="14"/>
      <c r="Q40" s="331">
        <f>O31/Q39</f>
        <v>2.5025345125107847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40000</v>
      </c>
      <c r="K41" s="250"/>
      <c r="L41" s="14"/>
      <c r="M41" s="12"/>
      <c r="N41" s="12">
        <f>N40/O29</f>
        <v>75036.625509082718</v>
      </c>
      <c r="O41" s="45" t="s">
        <v>25</v>
      </c>
      <c r="P41" s="14"/>
      <c r="Q41" s="14"/>
      <c r="R41"/>
      <c r="S41" s="238"/>
      <c r="T41" s="59" t="s">
        <v>159</v>
      </c>
      <c r="U41" s="303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33613.445378151264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4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5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45351</v>
      </c>
    </row>
    <row r="6" spans="2:31" ht="16.2" thickBot="1" x14ac:dyDescent="0.35">
      <c r="B6" s="140" t="s">
        <v>2</v>
      </c>
      <c r="C6" s="139" t="str">
        <f>'2229'!C10</f>
        <v>JAVIERA SALAZAR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10645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-151185.77753345412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1135869</v>
      </c>
      <c r="E11" s="132">
        <f>D11*0.19</f>
        <v>215815.11000000002</v>
      </c>
      <c r="F11" s="131">
        <f>E11+D11</f>
        <v>1351684.11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-45195.777533454122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138638.9907874396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-63195.777533454122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997230.00921256037</v>
      </c>
      <c r="E13" s="221">
        <f>(D11/D12)-1</f>
        <v>7.1929981857809899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-72195.777533454122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-111195.77753345412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228754.33479927533</v>
      </c>
      <c r="F15" s="216">
        <f>E15-D12</f>
        <v>90115.344011835725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-111195.77753345412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-71195.777533454122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76320</v>
      </c>
      <c r="E19" s="123">
        <f>D19*0.19</f>
        <v>14500.8</v>
      </c>
      <c r="F19" s="120">
        <f>SUM(D19:E19)</f>
        <v>90820.800000000003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32484.899999999994</v>
      </c>
      <c r="E20" s="121">
        <f>D20*0.19</f>
        <v>6172.1309999999994</v>
      </c>
      <c r="F20" s="120">
        <f>SUM(D20:E20)</f>
        <v>38657.030999999995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108804.9</v>
      </c>
      <c r="E21" s="116">
        <f>SUM(E18:E20)</f>
        <v>20672.930999999997</v>
      </c>
      <c r="F21" s="115">
        <f>SUM(F18:F20)</f>
        <v>129477.83100000001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195142.179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1135869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108804.9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997230.00921256037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997230.00921256037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2024-02-29T17:35:47Z</cp:lastPrinted>
  <dcterms:created xsi:type="dcterms:W3CDTF">2013-03-18T13:35:42Z</dcterms:created>
  <dcterms:modified xsi:type="dcterms:W3CDTF">2024-03-01T17:00:55Z</dcterms:modified>
</cp:coreProperties>
</file>