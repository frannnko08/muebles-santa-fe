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1D15FF1-BA31-4996-920F-DCFB7E7A4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3" i="1"/>
  <c r="P24" i="1"/>
  <c r="P21" i="1"/>
  <c r="O27" i="1"/>
  <c r="L23" i="1"/>
  <c r="M23" i="1"/>
  <c r="N23" i="1"/>
  <c r="O23" i="1"/>
  <c r="R23" i="1"/>
  <c r="L24" i="1"/>
  <c r="N24" i="1" s="1"/>
  <c r="M24" i="1"/>
  <c r="H24" i="1"/>
  <c r="H23" i="1"/>
  <c r="M21" i="1"/>
  <c r="O24" i="1" l="1"/>
  <c r="R24" i="1"/>
  <c r="L21" i="1"/>
  <c r="N21" i="1" s="1"/>
  <c r="O21" i="1" s="1"/>
  <c r="L22" i="1"/>
  <c r="M22" i="1"/>
  <c r="J41" i="1"/>
  <c r="R22" i="1" l="1"/>
  <c r="N22" i="1"/>
  <c r="O22" i="1"/>
  <c r="L26" i="1"/>
  <c r="S21" i="1"/>
  <c r="R21" i="1"/>
  <c r="R28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0" i="1" l="1"/>
  <c r="P20" i="1" s="1"/>
  <c r="D21" i="3"/>
  <c r="M43" i="3" s="1"/>
  <c r="D12" i="3" s="1"/>
  <c r="F20" i="3"/>
  <c r="F21" i="3" s="1"/>
  <c r="Q24" i="1" l="1"/>
  <c r="Q23" i="1"/>
  <c r="N41" i="1"/>
  <c r="E15" i="3"/>
  <c r="Q22" i="1" l="1"/>
  <c r="F15" i="3"/>
  <c r="H22" i="1" l="1"/>
  <c r="H26" i="1" s="1"/>
  <c r="Q21" i="1"/>
  <c r="H21" i="1" l="1"/>
  <c r="H27" i="1" l="1"/>
  <c r="H28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<sst xmlns="http://schemas.openxmlformats.org/spreadsheetml/2006/main" count="235" uniqueCount="175">
  <si>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</si>
  <si>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</si>
  <si>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</si>
  <si>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</si>
  <si>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</si>
  <si>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</si>
  <si>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</si>
  <si>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</si>
  <si>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</si>
  <si>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</si>
  <si>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</si>
  <si>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</si>
  <si>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</si>
  <si>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</si>
  <si>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</si>
  <si>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</si>
  <si>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</si>
  <si>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</si>
  <si>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</si>
  <si>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</si>
  <si>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</si>
  <si>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</si>
  <si>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</si>
  <si>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</si>
  <si>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</si>
  <si>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</si>
  <si>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</si>
  <si>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</si>
  <si>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</si>
  <si>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</si>
  <si>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</si>
  <si>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</si>
  <si>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</si>
  <si>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</si>
  <si>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</si>
  <si>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</si>
  <si>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</si>
  <si>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</si>
  <si>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</si>
  <si>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</si>
  <si>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</si>
  <si>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</si>
  <si>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</si>
  <si>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</si>
  <si>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</si>
  <si>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</si>
  <si>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</si>
  <si>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</si>
  <si>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</si>
  <si>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</si>
  <si>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</si>
  <si>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</si>
  <si>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</si>
  <si>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</si>
  <si>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</si>
  <si>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</si>
  <si>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</si>
  <si>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</si>
  <si>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</si>
  <si>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</si>
  <si>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</si>
  <si>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</si>
  <si>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</si>
  <si>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</si>
  <si>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</si>
  <si>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</si>
  <si>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</si>
  <si>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</si>
  <si>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</si>
  <si>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</si>
  <si>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</si>
  <si>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</si>
  <si>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</si>
  <si>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</si>
  <si>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</si>
  <si>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</si>
  <si>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</si>
  <si>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</si>
  <si>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</si>
  <si>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</si>
  <si>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</si>
  <si>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</si>
  <si>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</si>
  <si>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</si>
  <si>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</si>
  <si>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</si>
  <si>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</si>
  <si>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</si>
  <si>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</si>
  <si>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</si>
  <si>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</si>
  <si>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</si>
  <si>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</si>
  <si>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</si>
  <si>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</si>
  <si>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</si>
  <si>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</si>
  <si>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</si>
  <si>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</si>
  <si>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</si>
  <si>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</si>
  <si>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</si>
  <si>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</si>
  <si>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</si>
  <si>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</si>
  <si>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</si>
  <si>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</si>
  <si>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</si>
  <si>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</si>
  <si>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</si>
  <si>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</si>
  <si>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</si>
  <si>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</si>
  <si>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</si>
  <si>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</si>
  <si>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</si>
  <si>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</si>
  <si>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</si>
  <si>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</si>
  <si>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</si>
  <si>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</si>
  <si>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</si>
  <si>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</si>
  <si>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</si>
  <si>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</si>
  <si>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</si>
  <si>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</si>
  <si>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</si>
  <si>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</si>
  <si>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</si>
  <si>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</si>
  <si>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</si>
  <si>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</si>
  <si>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</si>
  <si>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</si>
  <si>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</si>
  <si>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</si>
  <si>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</si>
  <si>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</si>
  <si>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</si>
  <si>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</si>
  <si>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</si>
  <si>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</si>
  <si>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</si>
  <si>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</si>
  <si>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</si>
  <si>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</si>
  <si>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</si>
  <si>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</si>
  <si>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</si>
  <si>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</si>
  <si>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</si>
  <si>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</si>
  <si>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</si>
  <si>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</si>
  <si>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</si>
  <si>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</si>
  <si>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</si>
  <si>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</si>
  <si>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</si>
  <si>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</si>
  <si>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</si>
  <si>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</si>
  <si>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</si>
  <si>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</si>
  <si>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</si>
  <si>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</si>
  <si>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</si>
  <si>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10 DIAS HABILES</t>
  </si>
  <si>
    <t>MARIA LUISA</t>
  </si>
  <si>
    <t>+569 9679 9204</t>
  </si>
  <si>
    <t>CUBIERTA SIN RESPALDO FALDON 5 CMS</t>
  </si>
  <si>
    <t>LATERALES CENTRALES MDF 30MM 2 CARAS</t>
  </si>
  <si>
    <t>LATETALES 25MM 2 CARAS</t>
  </si>
  <si>
    <t>GRIS NUBE 2189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</si>
</sst>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F21" sqref="F21:F2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45348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70250.741163055878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171</v>
      </c>
      <c r="D21" s="315">
        <v>2.5</v>
      </c>
      <c r="E21" s="315">
        <v>0.6</v>
      </c>
      <c r="F21" s="314" t="s">
        <v>174</v>
      </c>
      <c r="G21" s="316">
        <v>119441</v>
      </c>
      <c r="H21" s="317">
        <f>G21*B21</f>
        <v>238882</v>
      </c>
      <c r="I21" s="265"/>
      <c r="J21" s="47"/>
      <c r="K21" s="47">
        <v>2</v>
      </c>
      <c r="L21" s="39">
        <f>D21+L$19</f>
        <v>2.5499999999999998</v>
      </c>
      <c r="M21" s="39">
        <f>E21+M19</f>
        <v>0.65</v>
      </c>
      <c r="N21" s="261">
        <f>L21*M21</f>
        <v>1.6575</v>
      </c>
      <c r="O21" s="259">
        <f>N21*K21</f>
        <v>3.3149999999999999</v>
      </c>
      <c r="P21" s="252">
        <f>P$20*N21</f>
        <v>116440.60347776512</v>
      </c>
      <c r="Q21" s="258">
        <f t="shared" ref="Q21" si="1">P21+Q$20</f>
        <v>119440.60347776512</v>
      </c>
      <c r="R21" s="299">
        <f>L21*K21*2</f>
        <v>10.199999999999999</v>
      </c>
      <c r="S21" s="46">
        <f>M21*K21*2</f>
        <v>2.6</v>
      </c>
      <c r="T21" s="9"/>
      <c r="W21" s="4"/>
    </row>
    <row r="22" spans="2:24" ht="18" thickBot="1" x14ac:dyDescent="0.35">
      <c r="B22" s="313">
        <v>2</v>
      </c>
      <c r="C22" s="314" t="s">
        <v>171</v>
      </c>
      <c r="D22" s="315">
        <v>2.2999999999999998</v>
      </c>
      <c r="E22" s="315">
        <v>0.6</v>
      </c>
      <c r="F22" s="314" t="s">
        <v>174</v>
      </c>
      <c r="G22" s="316">
        <v>107308</v>
      </c>
      <c r="H22" s="331">
        <f>G22*B22</f>
        <v>214616</v>
      </c>
      <c r="I22" s="265"/>
      <c r="J22" s="47"/>
      <c r="K22" s="47">
        <v>2</v>
      </c>
      <c r="L22" s="39">
        <f t="shared" ref="L22" si="2">D22+L$19</f>
        <v>2.3499999999999996</v>
      </c>
      <c r="M22" s="39">
        <f t="shared" ref="M22" si="3">E22+M$19</f>
        <v>0.65</v>
      </c>
      <c r="N22" s="261">
        <f>L22*M22</f>
        <v>1.5274999999999999</v>
      </c>
      <c r="O22" s="259">
        <f t="shared" ref="O22" si="4">N22*K22</f>
        <v>3.0549999999999997</v>
      </c>
      <c r="P22" s="252">
        <f t="shared" ref="P22:P24" si="5">P$20*N22</f>
        <v>107308.00712656784</v>
      </c>
      <c r="Q22" s="258">
        <f t="shared" ref="Q22" si="6">P22+Q$20</f>
        <v>110308.00712656784</v>
      </c>
      <c r="R22" s="299">
        <f>L22*K22*2</f>
        <v>9.3999999999999986</v>
      </c>
      <c r="S22" s="46"/>
      <c r="T22" s="9"/>
      <c r="W22" s="4"/>
    </row>
    <row r="23" spans="2:24" ht="18" thickBot="1" x14ac:dyDescent="0.35">
      <c r="B23" s="313">
        <v>2</v>
      </c>
      <c r="C23" s="314" t="s">
        <v>172</v>
      </c>
      <c r="D23" s="315">
        <v>0.75</v>
      </c>
      <c r="E23" s="315">
        <v>0.55000000000000004</v>
      </c>
      <c r="F23" s="314" t="s">
        <v>174</v>
      </c>
      <c r="G23" s="316">
        <v>40250</v>
      </c>
      <c r="H23" s="331">
        <f>G23*B23</f>
        <v>80500</v>
      </c>
      <c r="I23" s="265"/>
      <c r="J23" s="47"/>
      <c r="K23" s="47">
        <v>2</v>
      </c>
      <c r="L23" s="39">
        <f t="shared" ref="L23:L24" si="7">D23+L$19</f>
        <v>0.8</v>
      </c>
      <c r="M23" s="39">
        <f t="shared" ref="M23:M24" si="8">E23+M$19</f>
        <v>0.60000000000000009</v>
      </c>
      <c r="N23" s="261">
        <f t="shared" ref="N23:N24" si="9">L23*M23</f>
        <v>0.48000000000000009</v>
      </c>
      <c r="O23" s="259">
        <f t="shared" ref="O23:O24" si="10">N23*K23</f>
        <v>0.96000000000000019</v>
      </c>
      <c r="P23" s="252">
        <f t="shared" si="5"/>
        <v>33720.355758266829</v>
      </c>
      <c r="Q23" s="258">
        <f t="shared" ref="Q23:Q24" si="11">P23+Q$20</f>
        <v>36720.355758266829</v>
      </c>
      <c r="R23" s="299">
        <f t="shared" ref="R23:R24" si="12">L23*K23*2</f>
        <v>3.2</v>
      </c>
      <c r="S23" s="46"/>
      <c r="T23" s="9"/>
      <c r="W23" s="4"/>
    </row>
    <row r="24" spans="2:24" ht="18" thickBot="1" x14ac:dyDescent="0.35">
      <c r="B24" s="313">
        <v>3</v>
      </c>
      <c r="C24" s="314" t="s">
        <v>173</v>
      </c>
      <c r="D24" s="315">
        <v>0.75</v>
      </c>
      <c r="E24" s="315">
        <v>0.55000000000000004</v>
      </c>
      <c r="F24" s="314" t="s">
        <v>174</v>
      </c>
      <c r="G24" s="316">
        <v>33720</v>
      </c>
      <c r="H24" s="331">
        <f>G24*B24</f>
        <v>101160</v>
      </c>
      <c r="I24" s="265"/>
      <c r="J24" s="47"/>
      <c r="K24" s="47">
        <v>3</v>
      </c>
      <c r="L24" s="39">
        <f t="shared" si="7"/>
        <v>0.8</v>
      </c>
      <c r="M24" s="39">
        <f t="shared" si="8"/>
        <v>0.60000000000000009</v>
      </c>
      <c r="N24" s="261">
        <f t="shared" si="9"/>
        <v>0.48000000000000009</v>
      </c>
      <c r="O24" s="259">
        <f t="shared" si="10"/>
        <v>1.4400000000000004</v>
      </c>
      <c r="P24" s="252">
        <f t="shared" si="5"/>
        <v>33720.355758266829</v>
      </c>
      <c r="Q24" s="258">
        <f t="shared" si="11"/>
        <v>36720.355758266829</v>
      </c>
      <c r="R24" s="299">
        <f t="shared" si="12"/>
        <v>4.8000000000000007</v>
      </c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>
        <f>SUM(H21:H24)</f>
        <v>635158</v>
      </c>
      <c r="I26" s="265"/>
      <c r="J26" s="47"/>
      <c r="K26" s="47"/>
      <c r="L26" s="39">
        <f>SUM(L21:L25)</f>
        <v>6.4999999999999991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120680.02</v>
      </c>
      <c r="I27" s="265"/>
      <c r="J27" s="47"/>
      <c r="K27" s="47"/>
      <c r="L27" s="39"/>
      <c r="M27" s="12"/>
      <c r="N27" s="12"/>
      <c r="O27" s="253">
        <f>SUM(O21:O24)</f>
        <v>8.77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755838.02</v>
      </c>
      <c r="I28" s="265"/>
      <c r="J28" s="47"/>
      <c r="K28" s="47"/>
      <c r="L28" s="39"/>
      <c r="M28" s="12"/>
      <c r="N28" s="12"/>
      <c r="O28" s="253">
        <f>O27</f>
        <v>8.77</v>
      </c>
      <c r="P28" s="14"/>
      <c r="Q28" s="12"/>
      <c r="R28" s="239">
        <f>SUM(R21:R27)</f>
        <v>27.599999999999998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1.754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10.523999999999999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O30*2</f>
        <v>21.047999999999998</v>
      </c>
      <c r="M32" s="12">
        <v>2500</v>
      </c>
      <c r="N32" s="12">
        <f t="shared" ref="N32:N37" si="13">L32*M32</f>
        <v>52619.999999999993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2.1</v>
      </c>
      <c r="M33" s="12">
        <v>23850</v>
      </c>
      <c r="N33" s="12">
        <f t="shared" si="13"/>
        <v>50085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>
        <v>1</v>
      </c>
      <c r="M34" s="250">
        <v>49000</v>
      </c>
      <c r="N34" s="12">
        <f t="shared" si="13"/>
        <v>49000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2.2999999999999998</v>
      </c>
      <c r="M35" s="250">
        <v>55800</v>
      </c>
      <c r="N35" s="12">
        <f t="shared" si="13"/>
        <v>128339.99999999999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3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/>
      <c r="M37" s="12">
        <v>1500</v>
      </c>
      <c r="N37" s="12">
        <f t="shared" si="13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280045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616099</v>
      </c>
      <c r="O39" s="14" t="s">
        <v>141</v>
      </c>
      <c r="P39" s="14"/>
      <c r="Q39" s="40">
        <f>O30/Q38</f>
        <v>2.8375754961173421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66340</v>
      </c>
      <c r="K40" s="250"/>
      <c r="L40" s="14"/>
      <c r="M40" s="12"/>
      <c r="N40" s="12">
        <f>N39/O28</f>
        <v>70250.741163055878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55747.899159663866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45348</v>
      </c>
    </row>
    <row r="6" spans="2:31" ht="16.2" thickBot="1" x14ac:dyDescent="0.35">
      <c r="B6" s="140" t="s">
        <v>2</v>
      </c>
      <c r="C6" s="139" t="str">
        <f>'2229'!C10</f>
        <v>MARIA LUISA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-55936.416700120775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635158</v>
      </c>
      <c r="E11" s="132">
        <f>D11*0.19</f>
        <v>120680.02</v>
      </c>
      <c r="F11" s="131">
        <f>E11+D11</f>
        <v>755838.02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50053.583299879225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181539.09078743961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32053.583299879225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453618.90921256039</v>
      </c>
      <c r="E13" s="221">
        <f>(D11/D12)-1</f>
        <v>2.4987395675771751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23053.583299879225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-15946.416700120775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299539.49979927536</v>
      </c>
      <c r="F15" s="216">
        <f>E15-D12</f>
        <v>118000.40901183576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-15946.416700120775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24053.583299879225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49000</v>
      </c>
      <c r="E18" s="123">
        <f>D18*0.19</f>
        <v>9310</v>
      </c>
      <c r="F18" s="120">
        <f>SUM(D18:E18)</f>
        <v>58310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50085</v>
      </c>
      <c r="E19" s="123">
        <f>D19*0.19</f>
        <v>9516.15</v>
      </c>
      <c r="F19" s="120">
        <f>SUM(D19:E19)</f>
        <v>59601.15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52619.999999999993</v>
      </c>
      <c r="E20" s="121">
        <f>D20*0.19</f>
        <v>9997.7999999999993</v>
      </c>
      <c r="F20" s="120">
        <f>SUM(D20:E20)</f>
        <v>62617.799999999988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151705</v>
      </c>
      <c r="E21" s="116">
        <f>SUM(E18:E20)</f>
        <v>28823.95</v>
      </c>
      <c r="F21" s="115">
        <f>SUM(F18:F20)</f>
        <v>180528.94999999998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91856.07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635158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151705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453618.90921256039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453618.90921256039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2024-02-22T16:04:24Z</cp:lastPrinted>
  <dcterms:created xsi:type="dcterms:W3CDTF">2013-03-18T13:35:42Z</dcterms:created>
  <dcterms:modified xsi:type="dcterms:W3CDTF">2024-02-27T12:39:20Z</dcterms:modified>
</cp:coreProperties>
</file>