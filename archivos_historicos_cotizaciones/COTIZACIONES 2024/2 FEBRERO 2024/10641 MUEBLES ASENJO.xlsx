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F345FEAF-5EF2-4A70-820B-757A811BF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3" i="1"/>
  <c r="H24" i="1"/>
  <c r="H25" i="1"/>
  <c r="H26" i="1"/>
  <c r="P22" i="1"/>
  <c r="P23" i="1"/>
  <c r="P24" i="1"/>
  <c r="P25" i="1"/>
  <c r="P26" i="1"/>
  <c r="P21" i="1"/>
  <c r="N22" i="1"/>
  <c r="R22" i="1"/>
  <c r="R23" i="1"/>
  <c r="R24" i="1"/>
  <c r="R25" i="1"/>
  <c r="R26" i="1"/>
  <c r="R21" i="1"/>
  <c r="O29" i="1"/>
  <c r="M22" i="1"/>
  <c r="M23" i="1"/>
  <c r="M24" i="1"/>
  <c r="M25" i="1"/>
  <c r="M26" i="1"/>
  <c r="M21" i="1"/>
  <c r="K22" i="1"/>
  <c r="L22" i="1"/>
  <c r="O22" i="1"/>
  <c r="K23" i="1"/>
  <c r="L23" i="1"/>
  <c r="K24" i="1"/>
  <c r="L24" i="1"/>
  <c r="K25" i="1"/>
  <c r="L25" i="1"/>
  <c r="K26" i="1"/>
  <c r="L26" i="1"/>
  <c r="K21" i="1"/>
  <c r="N25" i="1" l="1"/>
  <c r="O25" i="1" s="1"/>
  <c r="N23" i="1"/>
  <c r="O23" i="1" s="1"/>
  <c r="L21" i="1"/>
  <c r="N21" i="1" s="1"/>
  <c r="O21" i="1" s="1"/>
  <c r="J43" i="1"/>
  <c r="N26" i="1" l="1"/>
  <c r="O26" i="1" s="1"/>
  <c r="N24" i="1"/>
  <c r="O24" i="1" s="1"/>
  <c r="L28" i="1"/>
  <c r="S21" i="1"/>
  <c r="R30" i="1"/>
  <c r="U36" i="1"/>
  <c r="U37" i="1" s="1"/>
  <c r="N35" i="1" l="1"/>
  <c r="O30" i="1" l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Q41" i="1"/>
  <c r="N40" i="1" l="1"/>
  <c r="N41" i="1" s="1"/>
  <c r="D20" i="3"/>
  <c r="E20" i="3" s="1"/>
  <c r="E21" i="3" s="1"/>
  <c r="N42" i="1" l="1"/>
  <c r="P20" i="1" s="1"/>
  <c r="D21" i="3"/>
  <c r="M43" i="3" s="1"/>
  <c r="D12" i="3" s="1"/>
  <c r="F20" i="3"/>
  <c r="F21" i="3" s="1"/>
  <c r="N43" i="1" l="1"/>
  <c r="E15" i="3"/>
  <c r="Q22" i="1" l="1"/>
  <c r="F15" i="3"/>
  <c r="Q23" i="1" l="1"/>
  <c r="H22" i="1"/>
  <c r="Q21" i="1"/>
  <c r="Q24" i="1" l="1"/>
  <c r="H21" i="1"/>
  <c r="Q26" i="1" l="1"/>
  <c r="Q25" i="1"/>
  <c r="H29" i="1"/>
  <c r="H30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<sst xmlns="http://schemas.openxmlformats.org/spreadsheetml/2006/main" count="240" uniqueCount="175">
  <si>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</si>
  <si>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</si>
  <si>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</si>
  <si>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</si>
  <si>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</si>
  <si>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</si>
  <si>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</si>
  <si>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</si>
  <si>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</si>
  <si>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</si>
  <si>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</si>
  <si>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</si>
  <si>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</si>
  <si>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</si>
  <si>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</si>
  <si>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</si>
  <si>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</si>
  <si>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</si>
  <si>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</si>
  <si>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</si>
  <si>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</si>
  <si>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</si>
  <si>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</si>
  <si>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</si>
  <si>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</si>
  <si>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</si>
  <si>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</si>
  <si>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</si>
  <si>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</si>
  <si>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</si>
  <si>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</si>
  <si>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</si>
  <si>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</si>
  <si>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</si>
  <si>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</si>
  <si>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</si>
  <si>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</si>
  <si>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</si>
  <si>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</si>
  <si>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</si>
  <si>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</si>
  <si>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</si>
  <si>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</si>
  <si>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</si>
  <si>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</si>
  <si>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</si>
  <si>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</si>
  <si>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</si>
  <si>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</si>
  <si>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</si>
  <si>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</si>
  <si>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</si>
  <si>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</si>
  <si>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</si>
  <si>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</si>
  <si>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</si>
  <si>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</si>
  <si>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</si>
  <si>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</si>
  <si>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</si>
  <si>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</si>
  <si>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</si>
  <si>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</si>
  <si>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</si>
  <si>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</si>
  <si>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</si>
  <si>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</si>
  <si>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</si>
  <si>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</si>
  <si>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</si>
  <si>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</si>
  <si>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</si>
  <si>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</si>
  <si>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</si>
  <si>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</si>
  <si>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</si>
  <si>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</si>
  <si>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</si>
  <si>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</si>
  <si>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</si>
  <si>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</si>
  <si>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</si>
  <si>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</si>
  <si>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</si>
  <si>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</si>
  <si>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</si>
  <si>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</si>
  <si>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</si>
  <si>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</si>
  <si>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</si>
  <si>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</si>
  <si>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</si>
  <si>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</si>
  <si>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</si>
  <si>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</si>
  <si>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</si>
  <si>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</si>
  <si>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</si>
  <si>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</si>
  <si>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</si>
  <si>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</si>
  <si>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</si>
  <si>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</si>
  <si>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</si>
  <si>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</si>
  <si>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</si>
  <si>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</si>
  <si>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</si>
  <si>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</si>
  <si>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</si>
  <si>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</si>
  <si>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</si>
  <si>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</si>
  <si>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</si>
  <si>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</si>
  <si>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</si>
  <si>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</si>
  <si>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</si>
  <si>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</si>
  <si>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</si>
  <si>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</si>
  <si>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</si>
  <si>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</si>
  <si>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</si>
  <si>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</si>
  <si>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</si>
  <si>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</si>
  <si>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</si>
  <si>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</si>
  <si>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</si>
  <si>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</si>
  <si>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</si>
  <si>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</si>
  <si>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</si>
  <si>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</si>
  <si>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</si>
  <si>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</si>
  <si>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</si>
  <si>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</si>
  <si>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</si>
  <si>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</si>
  <si>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</si>
  <si>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</si>
  <si>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</si>
  <si>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</si>
  <si>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</si>
  <si>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</si>
  <si>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</si>
  <si>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</si>
  <si>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</si>
  <si>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</si>
  <si>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</si>
  <si>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</si>
  <si>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</si>
  <si>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</si>
  <si>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</si>
  <si>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</si>
  <si>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</si>
  <si>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</si>
  <si>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</si>
  <si>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</si>
  <si>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</si>
  <si>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</si>
  <si>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</si>
  <si>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</si>
  <si>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</si>
  <si>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</si>
  <si>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</si>
  <si>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CUBIERTA CON RESPALDO FRENTE 90° R8</t>
  </si>
  <si>
    <t>5 DIAS HABILES</t>
  </si>
  <si>
    <t>MUEBLES ASENJO</t>
  </si>
  <si>
    <t>LORENA QUEZADA</t>
  </si>
  <si>
    <t>+569 50090723</t>
  </si>
  <si>
    <t>SI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</si>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</sst>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5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6" fontId="32" fillId="0" borderId="57" xfId="0" applyNumberFormat="1" applyFont="1" applyBorder="1" applyAlignment="1">
      <alignment horizontal="center" vertical="center"/>
    </xf>
    <xf numFmtId="166" fontId="32" fillId="0" borderId="58" xfId="0" applyNumberFormat="1" applyFont="1" applyBorder="1" applyAlignment="1">
      <alignment horizontal="center" vertical="center"/>
    </xf>
    <xf numFmtId="166" fontId="32" fillId="0" borderId="59" xfId="0" applyNumberFormat="1" applyFont="1" applyBorder="1" applyAlignment="1">
      <alignment horizontal="center" vertical="center"/>
    </xf>
    <xf numFmtId="167" fontId="11" fillId="0" borderId="34" xfId="2" applyNumberFormat="1" applyFont="1" applyFill="1" applyBorder="1" applyAlignment="1">
      <alignment horizontal="center" vertical="center"/>
    </xf>
    <xf numFmtId="167" fontId="11" fillId="0" borderId="21" xfId="2" applyNumberFormat="1" applyFont="1" applyFill="1" applyBorder="1" applyAlignment="1">
      <alignment horizontal="center" vertical="center"/>
    </xf>
    <xf numFmtId="167" fontId="11" fillId="0" borderId="1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18436</xdr:colOff>
      <xdr:row>27</xdr:row>
      <xdr:rowOff>9525</xdr:rowOff>
    </xdr:from>
    <xdr:to>
      <xdr:col>5</xdr:col>
      <xdr:colOff>1635064</xdr:colOff>
      <xdr:row>30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976864"/>
          <a:ext cx="7290661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NO INCLUYE SERVICIO INSTALACION, CUBIERTA SE ENTREGAN CON SOBRE MEDIDA EN EL LARGO.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3" zoomScale="93" zoomScaleNormal="93" workbookViewId="0">
      <selection activeCell="A29" sqref="A29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10641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170</v>
      </c>
      <c r="D10" s="243"/>
      <c r="E10" s="243"/>
      <c r="F10" s="244" t="s">
        <v>0</v>
      </c>
      <c r="G10" s="277">
        <v>45349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7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171</v>
      </c>
      <c r="G13" s="318"/>
      <c r="H13" s="290"/>
      <c r="P13" s="19"/>
      <c r="Q13" s="25"/>
      <c r="R13" s="19"/>
    </row>
    <row r="14" spans="2:23" x14ac:dyDescent="0.3">
      <c r="B14" s="246" t="s">
        <v>140</v>
      </c>
      <c r="C14" s="325"/>
      <c r="D14" s="247"/>
      <c r="E14" s="247"/>
      <c r="F14" s="326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0" t="s">
        <v>172</v>
      </c>
      <c r="D15" s="321"/>
      <c r="F15" t="s">
        <v>135</v>
      </c>
      <c r="G15" s="319" t="s">
        <v>173</v>
      </c>
      <c r="H15" s="290"/>
    </row>
    <row r="16" spans="2:23" ht="16.8" x14ac:dyDescent="0.4">
      <c r="B16" s="327" t="s">
        <v>3</v>
      </c>
      <c r="C16" s="317"/>
      <c r="D16" s="247"/>
      <c r="E16" s="247"/>
      <c r="F16" s="328" t="s">
        <v>130</v>
      </c>
      <c r="G16" s="329" t="s">
        <v>164</v>
      </c>
      <c r="H16" s="248"/>
    </row>
    <row r="17" spans="2:24" ht="15" thickBot="1" x14ac:dyDescent="0.35">
      <c r="B17" s="322" t="s">
        <v>13</v>
      </c>
      <c r="C17" s="323" t="s">
        <v>167</v>
      </c>
      <c r="D17" s="324"/>
      <c r="E17" s="119"/>
      <c r="F17" s="334" t="s">
        <v>166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54039.669822772528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4</v>
      </c>
      <c r="C21" s="314" t="s">
        <v>168</v>
      </c>
      <c r="D21" s="315">
        <v>0.9</v>
      </c>
      <c r="E21" s="348">
        <v>0.54</v>
      </c>
      <c r="F21" s="330" t="s">
        <v>174</v>
      </c>
      <c r="G21" s="351">
        <v>27722</v>
      </c>
      <c r="H21" s="316">
        <f>G21*B21</f>
        <v>110888</v>
      </c>
      <c r="I21" s="265"/>
      <c r="J21" s="47"/>
      <c r="K21" s="47">
        <f>B21</f>
        <v>4</v>
      </c>
      <c r="L21" s="39">
        <f>D21+L$19</f>
        <v>0.95000000000000007</v>
      </c>
      <c r="M21" s="39">
        <f>E21</f>
        <v>0.54</v>
      </c>
      <c r="N21" s="261">
        <f>L21*M21</f>
        <v>0.51300000000000012</v>
      </c>
      <c r="O21" s="259">
        <f>N21*K21</f>
        <v>2.0520000000000005</v>
      </c>
      <c r="P21" s="252">
        <f>N21*P$20</f>
        <v>27722.350619082314</v>
      </c>
      <c r="Q21" s="258">
        <f t="shared" ref="Q21" si="1">P21+Q$20</f>
        <v>30722.350619082314</v>
      </c>
      <c r="R21" s="299">
        <f>L21*K21</f>
        <v>3.8000000000000003</v>
      </c>
      <c r="S21" s="46">
        <f>M21*K21*2</f>
        <v>4.32</v>
      </c>
      <c r="T21" s="9"/>
      <c r="W21" s="4"/>
    </row>
    <row r="22" spans="2:24" ht="18" thickBot="1" x14ac:dyDescent="0.35">
      <c r="B22" s="332">
        <v>1</v>
      </c>
      <c r="C22" s="314" t="s">
        <v>168</v>
      </c>
      <c r="D22" s="331">
        <v>2.4</v>
      </c>
      <c r="E22" s="349">
        <v>0.56999999999999995</v>
      </c>
      <c r="F22" s="330" t="s">
        <v>174</v>
      </c>
      <c r="G22" s="352">
        <v>75466</v>
      </c>
      <c r="H22" s="333">
        <f>G22*B22</f>
        <v>75466</v>
      </c>
      <c r="I22" s="265"/>
      <c r="J22" s="47"/>
      <c r="K22" s="47">
        <f t="shared" ref="K22:K26" si="2">B22</f>
        <v>1</v>
      </c>
      <c r="L22" s="39">
        <f t="shared" ref="L22:L26" si="3">D22+L$19</f>
        <v>2.4499999999999997</v>
      </c>
      <c r="M22" s="39">
        <f t="shared" ref="M22:M26" si="4">E22</f>
        <v>0.56999999999999995</v>
      </c>
      <c r="N22" s="261">
        <f>L22*M22</f>
        <v>1.3964999999999996</v>
      </c>
      <c r="O22" s="259">
        <f t="shared" ref="O22:O26" si="5">N22*K22</f>
        <v>1.3964999999999996</v>
      </c>
      <c r="P22" s="252">
        <f t="shared" ref="P22:P26" si="6">N22*P$20</f>
        <v>75466.398907501818</v>
      </c>
      <c r="Q22" s="258">
        <f t="shared" ref="Q22:Q26" si="7">P22+Q$20</f>
        <v>78466.398907501818</v>
      </c>
      <c r="R22" s="299">
        <f t="shared" ref="R22:R26" si="8">L22*K22</f>
        <v>2.4499999999999997</v>
      </c>
      <c r="S22" s="46"/>
      <c r="T22" s="9"/>
      <c r="W22" s="4"/>
    </row>
    <row r="23" spans="2:24" ht="18" thickBot="1" x14ac:dyDescent="0.35">
      <c r="B23" s="346">
        <v>1</v>
      </c>
      <c r="C23" s="314" t="s">
        <v>168</v>
      </c>
      <c r="D23" s="347">
        <v>0.8</v>
      </c>
      <c r="E23" s="350">
        <v>0.41</v>
      </c>
      <c r="F23" s="330" t="s">
        <v>174</v>
      </c>
      <c r="G23" s="353">
        <v>18833</v>
      </c>
      <c r="H23" s="333">
        <f t="shared" ref="H23:H26" si="9">G23*B23</f>
        <v>18833</v>
      </c>
      <c r="I23" s="265"/>
      <c r="J23" s="47"/>
      <c r="K23" s="47">
        <f t="shared" si="2"/>
        <v>1</v>
      </c>
      <c r="L23" s="39">
        <f t="shared" si="3"/>
        <v>0.85000000000000009</v>
      </c>
      <c r="M23" s="39">
        <f t="shared" si="4"/>
        <v>0.41</v>
      </c>
      <c r="N23" s="261">
        <f t="shared" ref="N22:N26" si="10">L23*M23</f>
        <v>0.34850000000000003</v>
      </c>
      <c r="O23" s="259">
        <f t="shared" si="5"/>
        <v>0.34850000000000003</v>
      </c>
      <c r="P23" s="252">
        <f t="shared" si="6"/>
        <v>18832.824933236228</v>
      </c>
      <c r="Q23" s="258">
        <f t="shared" si="7"/>
        <v>21832.824933236228</v>
      </c>
      <c r="R23" s="299">
        <f t="shared" si="8"/>
        <v>0.85000000000000009</v>
      </c>
      <c r="S23" s="46"/>
      <c r="T23" s="9"/>
      <c r="W23" s="4"/>
    </row>
    <row r="24" spans="2:24" ht="18" thickBot="1" x14ac:dyDescent="0.35">
      <c r="B24" s="346">
        <v>1</v>
      </c>
      <c r="C24" s="314" t="s">
        <v>168</v>
      </c>
      <c r="D24" s="347">
        <v>1</v>
      </c>
      <c r="E24" s="350">
        <v>0.41</v>
      </c>
      <c r="F24" s="330" t="s">
        <v>174</v>
      </c>
      <c r="G24" s="353">
        <v>23264</v>
      </c>
      <c r="H24" s="333">
        <f t="shared" si="9"/>
        <v>23264</v>
      </c>
      <c r="I24" s="265"/>
      <c r="J24" s="47"/>
      <c r="K24" s="47">
        <f t="shared" si="2"/>
        <v>1</v>
      </c>
      <c r="L24" s="39">
        <f t="shared" si="3"/>
        <v>1.05</v>
      </c>
      <c r="M24" s="39">
        <f t="shared" si="4"/>
        <v>0.41</v>
      </c>
      <c r="N24" s="261">
        <f t="shared" si="10"/>
        <v>0.43049999999999999</v>
      </c>
      <c r="O24" s="259">
        <f t="shared" si="5"/>
        <v>0.43049999999999999</v>
      </c>
      <c r="P24" s="252">
        <f t="shared" si="6"/>
        <v>23264.077858703575</v>
      </c>
      <c r="Q24" s="258">
        <f t="shared" si="7"/>
        <v>26264.077858703575</v>
      </c>
      <c r="R24" s="299">
        <f t="shared" si="8"/>
        <v>1.05</v>
      </c>
      <c r="S24" s="46"/>
      <c r="T24" s="9"/>
      <c r="W24" s="4"/>
    </row>
    <row r="25" spans="2:24" ht="18" thickBot="1" x14ac:dyDescent="0.35">
      <c r="B25" s="346">
        <v>3</v>
      </c>
      <c r="C25" s="314" t="s">
        <v>168</v>
      </c>
      <c r="D25" s="347">
        <v>1.1499999999999999</v>
      </c>
      <c r="E25" s="350">
        <v>0.41</v>
      </c>
      <c r="F25" s="330" t="s">
        <v>174</v>
      </c>
      <c r="G25" s="353">
        <v>26588</v>
      </c>
      <c r="H25" s="333">
        <f t="shared" si="9"/>
        <v>79764</v>
      </c>
      <c r="I25" s="265"/>
      <c r="J25" s="47"/>
      <c r="K25" s="47">
        <f t="shared" si="2"/>
        <v>3</v>
      </c>
      <c r="L25" s="39">
        <f t="shared" si="3"/>
        <v>1.2</v>
      </c>
      <c r="M25" s="39">
        <f t="shared" si="4"/>
        <v>0.41</v>
      </c>
      <c r="N25" s="261">
        <f t="shared" si="10"/>
        <v>0.49199999999999994</v>
      </c>
      <c r="O25" s="259">
        <f t="shared" si="5"/>
        <v>1.4759999999999998</v>
      </c>
      <c r="P25" s="252">
        <f t="shared" si="6"/>
        <v>26587.517552804082</v>
      </c>
      <c r="Q25" s="258">
        <f t="shared" si="7"/>
        <v>29587.517552804082</v>
      </c>
      <c r="R25" s="299">
        <f t="shared" si="8"/>
        <v>3.5999999999999996</v>
      </c>
      <c r="S25" s="46"/>
      <c r="T25" s="9"/>
      <c r="W25" s="4"/>
    </row>
    <row r="26" spans="2:24" ht="17.399999999999999" x14ac:dyDescent="0.3">
      <c r="B26" s="346">
        <v>1</v>
      </c>
      <c r="C26" s="314" t="s">
        <v>168</v>
      </c>
      <c r="D26" s="331">
        <v>0.9</v>
      </c>
      <c r="E26" s="349">
        <v>0.5</v>
      </c>
      <c r="F26" s="330" t="s">
        <v>174</v>
      </c>
      <c r="G26" s="352">
        <v>25669</v>
      </c>
      <c r="H26" s="333">
        <f t="shared" si="9"/>
        <v>25669</v>
      </c>
      <c r="I26" s="265"/>
      <c r="J26" s="47"/>
      <c r="K26" s="47">
        <f t="shared" si="2"/>
        <v>1</v>
      </c>
      <c r="L26" s="39">
        <f t="shared" si="3"/>
        <v>0.95000000000000007</v>
      </c>
      <c r="M26" s="39">
        <f t="shared" si="4"/>
        <v>0.5</v>
      </c>
      <c r="N26" s="261">
        <f t="shared" si="10"/>
        <v>0.47500000000000003</v>
      </c>
      <c r="O26" s="259">
        <f t="shared" si="5"/>
        <v>0.47500000000000003</v>
      </c>
      <c r="P26" s="252">
        <f t="shared" si="6"/>
        <v>25668.843165816954</v>
      </c>
      <c r="Q26" s="258">
        <f t="shared" si="7"/>
        <v>28668.843165816954</v>
      </c>
      <c r="R26" s="299">
        <f t="shared" si="8"/>
        <v>0.95000000000000007</v>
      </c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299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0" t="s">
        <v>29</v>
      </c>
      <c r="H28" s="301">
        <f>SUM(H21:H26)</f>
        <v>333884</v>
      </c>
      <c r="I28" s="265"/>
      <c r="J28" s="47"/>
      <c r="K28" s="47"/>
      <c r="L28" s="39">
        <f>SUM(L21:L27)</f>
        <v>7.45</v>
      </c>
      <c r="M28" s="39"/>
      <c r="N28" s="261"/>
      <c r="O28" s="259"/>
      <c r="P28" s="252"/>
      <c r="Q28" s="258"/>
      <c r="R28" s="299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8" t="s">
        <v>52</v>
      </c>
      <c r="H29" s="296">
        <f>H28*19%</f>
        <v>63437.96</v>
      </c>
      <c r="I29" s="265"/>
      <c r="J29" s="47"/>
      <c r="K29" s="47"/>
      <c r="L29" s="39"/>
      <c r="M29" s="12"/>
      <c r="N29" s="12"/>
      <c r="O29" s="253">
        <f>SUM(O21:O27)</f>
        <v>6.1784999999999997</v>
      </c>
      <c r="P29" s="14"/>
      <c r="Q29" s="12"/>
      <c r="R29" s="239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7">
        <f>H28+H29</f>
        <v>397321.96</v>
      </c>
      <c r="I30" s="265"/>
      <c r="J30" s="47"/>
      <c r="K30" s="47"/>
      <c r="L30" s="39"/>
      <c r="M30" s="12"/>
      <c r="N30" s="12"/>
      <c r="O30" s="253">
        <f>O29</f>
        <v>6.1784999999999997</v>
      </c>
      <c r="P30" s="14"/>
      <c r="Q30" s="12"/>
      <c r="R30" s="239">
        <f>SUM(R21:R29)</f>
        <v>12.7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1.2357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7.4141999999999992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6" t="s">
        <v>22</v>
      </c>
      <c r="U33" s="303" t="s">
        <v>153</v>
      </c>
      <c r="V33" s="307">
        <v>44971</v>
      </c>
      <c r="W33" s="308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7.4141999999999992</v>
      </c>
      <c r="M34" s="12">
        <v>2500</v>
      </c>
      <c r="N34" s="12">
        <f t="shared" ref="N34:N39" si="11">L34*M34</f>
        <v>18535.499999999996</v>
      </c>
      <c r="O34" s="14" t="s">
        <v>22</v>
      </c>
      <c r="P34" s="14"/>
      <c r="Q34" s="14"/>
      <c r="R34" s="241"/>
      <c r="S34" s="14"/>
      <c r="T34" s="306" t="s">
        <v>154</v>
      </c>
      <c r="U34" s="303">
        <v>3625</v>
      </c>
      <c r="V34" s="59" t="s">
        <v>155</v>
      </c>
      <c r="W34" s="308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2</v>
      </c>
      <c r="M35" s="12">
        <v>23850</v>
      </c>
      <c r="N35" s="12">
        <f t="shared" si="11"/>
        <v>47700</v>
      </c>
      <c r="O35" s="39" t="s">
        <v>32</v>
      </c>
      <c r="P35" s="42"/>
      <c r="Q35" s="14"/>
      <c r="R35" s="240"/>
      <c r="S35" s="14"/>
      <c r="T35" s="306"/>
      <c r="U35" s="59">
        <v>906.25</v>
      </c>
      <c r="V35" s="59" t="s">
        <v>156</v>
      </c>
      <c r="W35" s="308"/>
    </row>
    <row r="36" spans="2:23" s="230" customFormat="1" ht="17.399999999999999" x14ac:dyDescent="0.35">
      <c r="I36" s="262"/>
      <c r="J36" s="232"/>
      <c r="K36" s="250"/>
      <c r="L36" s="14">
        <v>2</v>
      </c>
      <c r="M36" s="250">
        <v>33240</v>
      </c>
      <c r="N36" s="12">
        <f t="shared" si="11"/>
        <v>66480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8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/>
      <c r="M37" s="250">
        <v>21105</v>
      </c>
      <c r="N37" s="12">
        <f t="shared" si="11"/>
        <v>0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08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11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5"/>
      <c r="K39" s="250"/>
      <c r="L39" s="266">
        <v>12.7</v>
      </c>
      <c r="M39" s="12">
        <v>1500</v>
      </c>
      <c r="N39" s="12">
        <f t="shared" si="11"/>
        <v>19050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151765.5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N40*2.2</f>
        <v>333884.10000000003</v>
      </c>
      <c r="O41" s="14" t="s">
        <v>141</v>
      </c>
      <c r="P41" s="14"/>
      <c r="Q41" s="40">
        <f>O32/Q40</f>
        <v>1.9990832614322689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66340</v>
      </c>
      <c r="K42" s="250"/>
      <c r="L42" s="14"/>
      <c r="M42" s="12"/>
      <c r="N42" s="12">
        <f>N41/O30</f>
        <v>54039.669822772528</v>
      </c>
      <c r="O42" s="45" t="s">
        <v>25</v>
      </c>
      <c r="P42" s="14"/>
      <c r="Q42" s="14"/>
      <c r="R42"/>
      <c r="S42" s="238"/>
      <c r="T42" s="59" t="s">
        <v>159</v>
      </c>
      <c r="U42" s="303">
        <v>43650</v>
      </c>
    </row>
    <row r="43" spans="2:23" s="230" customFormat="1" ht="17.399999999999999" x14ac:dyDescent="0.35">
      <c r="G43"/>
      <c r="H43" s="230" t="s">
        <v>165</v>
      </c>
      <c r="J43" s="230">
        <f>J42/1.19</f>
        <v>55747.899159663866</v>
      </c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161</v>
      </c>
      <c r="U43" s="304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05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157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45349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10641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-10946.195866787448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333884</v>
      </c>
      <c r="E11" s="132">
        <f>D11*0.19</f>
        <v>63437.96</v>
      </c>
      <c r="F11" s="131">
        <f>E11+D11</f>
        <v>397321.96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95043.804133212558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162549.59078743961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77043.804133212558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171334.40921256039</v>
      </c>
      <c r="E13" s="221">
        <f>(D11/D12)-1</f>
        <v>1.0540439282717626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68043.804133212558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29043.80413321255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268206.82479927532</v>
      </c>
      <c r="F15" s="216">
        <f>E15-D12</f>
        <v>105657.23401183571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29043.80413321255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69043.804133212558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66480</v>
      </c>
      <c r="E18" s="123">
        <f>D18*0.19</f>
        <v>12631.2</v>
      </c>
      <c r="F18" s="120">
        <f>SUM(D18:E18)</f>
        <v>79111.199999999997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47700</v>
      </c>
      <c r="E19" s="123">
        <f>D19*0.19</f>
        <v>9063</v>
      </c>
      <c r="F19" s="120">
        <f>SUM(D19:E19)</f>
        <v>56763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18535.499999999996</v>
      </c>
      <c r="E20" s="121">
        <f>D20*0.19</f>
        <v>3521.7449999999994</v>
      </c>
      <c r="F20" s="120">
        <f>SUM(D20:E20)</f>
        <v>22057.244999999995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132715.5</v>
      </c>
      <c r="E21" s="116">
        <f>SUM(E18:E20)</f>
        <v>25215.945</v>
      </c>
      <c r="F21" s="115">
        <f>SUM(F18:F20)</f>
        <v>157931.44500000001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38222.014999999999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333884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132715.5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171334.40921256039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171334.40921256039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2024-02-23T19:16:17Z</cp:lastPrinted>
  <dcterms:created xsi:type="dcterms:W3CDTF">2013-03-18T13:35:42Z</dcterms:created>
  <dcterms:modified xsi:type="dcterms:W3CDTF">2024-02-27T18:10:02Z</dcterms:modified>
</cp:coreProperties>
</file>