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EC3676CE-25BF-4499-8359-7131F02485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O26" i="1"/>
  <c r="K22" i="1"/>
  <c r="L22" i="1"/>
  <c r="R22" i="1" s="1"/>
  <c r="M22" i="1"/>
  <c r="K21" i="1"/>
  <c r="H22" i="1"/>
  <c r="L21" i="1"/>
  <c r="M21" i="1"/>
  <c r="H21" i="1"/>
  <c r="J40" i="1"/>
  <c r="N22" i="1" l="1"/>
  <c r="O22" i="1" s="1"/>
  <c r="N21" i="1"/>
  <c r="O21" i="1" s="1"/>
  <c r="R21" i="1"/>
  <c r="R27" i="1" s="1"/>
  <c r="L25" i="1"/>
  <c r="U33" i="1"/>
  <c r="U34" i="1" s="1"/>
  <c r="N32" i="1" l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N38" i="1" s="1"/>
  <c r="N39" i="1" s="1"/>
  <c r="D20" i="3"/>
  <c r="E20" i="3" s="1"/>
  <c r="E21" i="3" s="1"/>
  <c r="P20" i="1" l="1"/>
  <c r="P22" i="1" s="1"/>
  <c r="Q22" i="1" s="1"/>
  <c r="D21" i="3"/>
  <c r="M43" i="3" s="1"/>
  <c r="D12" i="3" s="1"/>
  <c r="F20" i="3"/>
  <c r="F21" i="3" s="1"/>
  <c r="P21" i="1" l="1"/>
  <c r="Q21" i="1" s="1"/>
  <c r="N40" i="1"/>
  <c r="E15" i="3"/>
  <c r="F15" i="3" l="1"/>
  <c r="H27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<sst xmlns="http://schemas.openxmlformats.org/spreadsheetml/2006/main" count="234" uniqueCount="176">
  <si>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</si>
  <si>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</si>
  <si>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</si>
  <si>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</si>
  <si>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</si>
  <si>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</si>
  <si>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</si>
  <si>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</si>
  <si>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</si>
  <si>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</si>
  <si>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</si>
  <si>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</si>
  <si>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</si>
  <si>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</si>
  <si>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</si>
  <si>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</si>
  <si>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</si>
  <si>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</si>
  <si>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</si>
  <si>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</si>
  <si>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</si>
  <si>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</si>
  <si>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</si>
  <si>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</si>
  <si>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</si>
  <si>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</si>
  <si>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</si>
  <si>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</si>
  <si>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</si>
  <si>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</si>
  <si>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</si>
  <si>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</si>
  <si>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</si>
  <si>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</si>
  <si>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</si>
  <si>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</si>
  <si>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</si>
  <si>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</si>
  <si>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</si>
  <si>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</si>
  <si>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</si>
  <si>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</si>
  <si>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</si>
  <si>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</si>
  <si>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</si>
  <si>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</si>
  <si>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</si>
  <si>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</si>
  <si>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</si>
  <si>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</si>
  <si>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</si>
  <si>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</si>
  <si>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</si>
  <si>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</si>
  <si>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</si>
  <si>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</si>
  <si>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</si>
  <si>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</si>
  <si>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</si>
  <si>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</si>
  <si>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</si>
  <si>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</si>
  <si>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</si>
  <si>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</si>
  <si>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</si>
  <si>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</si>
  <si>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</si>
  <si>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</si>
  <si>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</si>
  <si>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</si>
  <si>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</si>
  <si>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</si>
  <si>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</si>
  <si>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</si>
  <si>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</si>
  <si>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</si>
  <si>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</si>
  <si>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</si>
  <si>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</si>
  <si>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</si>
  <si>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</si>
  <si>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</si>
  <si>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</si>
  <si>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</si>
  <si>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</si>
  <si>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</si>
  <si>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</si>
  <si>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</si>
  <si>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</si>
  <si>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</si>
  <si>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</si>
  <si>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</si>
  <si>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</si>
  <si>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</si>
  <si>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</si>
  <si>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</si>
  <si>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</si>
  <si>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</si>
  <si>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</si>
  <si>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</si>
  <si>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</si>
  <si>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</si>
  <si>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</si>
  <si>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</si>
  <si>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</si>
  <si>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</si>
  <si>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</si>
  <si>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</si>
  <si>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</si>
  <si>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</si>
  <si>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</si>
  <si>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</si>
  <si>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</si>
  <si>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</si>
  <si>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</si>
  <si>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</si>
  <si>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</si>
  <si>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</si>
  <si>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</si>
  <si>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</si>
  <si>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</si>
  <si>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</si>
  <si>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</si>
  <si>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</si>
  <si>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</si>
  <si>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</si>
  <si>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</si>
  <si>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</si>
  <si>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</si>
  <si>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</si>
  <si>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</si>
  <si>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</si>
  <si>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</si>
  <si>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</si>
  <si>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</si>
  <si>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</si>
  <si>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</si>
  <si>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</si>
  <si>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</si>
  <si>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</si>
  <si>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</si>
  <si>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</si>
  <si>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</si>
  <si>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</si>
  <si>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</si>
  <si>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</si>
  <si>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</si>
  <si>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</si>
  <si>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</si>
  <si>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</si>
  <si>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</si>
  <si>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</si>
  <si>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</si>
  <si>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</si>
  <si>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</si>
  <si>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</si>
  <si>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</si>
  <si>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</si>
  <si>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</si>
  <si>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</si>
  <si>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</si>
  <si>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</si>
  <si>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</si>
  <si>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</si>
  <si>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</si>
  <si>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</si>
  <si>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</si>
  <si>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</si>
  <si>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JAVIER GONZALEZ</t>
  </si>
  <si>
    <t>+569 8357 6739</t>
  </si>
  <si>
    <t>5 DIAS HABILES</t>
  </si>
  <si>
    <t>CUB CON RESPALDO FRENTE 90° R8</t>
  </si>
  <si>
    <t>WHITE MARBLE BR F6</t>
  </si>
  <si>
    <t>ZOCALOS</t>
  </si>
  <si>
    <t>SIN COSTO</t>
  </si>
  <si>
    <t>VALORES NETOS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</si>
</sst>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32" fillId="0" borderId="31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24</xdr:row>
      <xdr:rowOff>9525</xdr:rowOff>
    </xdr:from>
    <xdr:to>
      <xdr:col>5</xdr:col>
      <xdr:colOff>1594096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 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6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10626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168</v>
      </c>
      <c r="D10" s="243"/>
      <c r="E10" s="243"/>
      <c r="F10" s="244" t="s">
        <v>0</v>
      </c>
      <c r="G10" s="277">
        <v>45343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170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4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5"/>
      <c r="H13" s="290"/>
      <c r="P13" s="19"/>
      <c r="Q13" s="25"/>
      <c r="R13" s="19"/>
    </row>
    <row r="14" spans="2:23" x14ac:dyDescent="0.3">
      <c r="B14" s="246" t="s">
        <v>140</v>
      </c>
      <c r="C14" s="322"/>
      <c r="D14" s="247"/>
      <c r="E14" s="247"/>
      <c r="F14" s="323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7" t="s">
        <v>169</v>
      </c>
      <c r="D15" s="318"/>
      <c r="F15" t="s">
        <v>135</v>
      </c>
      <c r="G15" s="316" t="s">
        <v>136</v>
      </c>
      <c r="H15" s="290"/>
    </row>
    <row r="16" spans="2:23" ht="16.8" x14ac:dyDescent="0.4">
      <c r="B16" s="324" t="s">
        <v>3</v>
      </c>
      <c r="C16" s="314"/>
      <c r="D16" s="247"/>
      <c r="E16" s="247"/>
      <c r="F16" s="325" t="s">
        <v>130</v>
      </c>
      <c r="G16" s="326" t="s">
        <v>164</v>
      </c>
      <c r="H16" s="248"/>
    </row>
    <row r="17" spans="2:24" ht="15" thickBot="1" x14ac:dyDescent="0.35">
      <c r="B17" s="319" t="s">
        <v>13</v>
      </c>
      <c r="C17" s="320" t="s">
        <v>167</v>
      </c>
      <c r="D17" s="321"/>
      <c r="E17" s="119"/>
      <c r="F17" s="331" t="s">
        <v>166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148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61492.631578947374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27">
        <v>1</v>
      </c>
      <c r="C21" s="313" t="s">
        <v>171</v>
      </c>
      <c r="D21" s="328">
        <v>2.65</v>
      </c>
      <c r="E21" s="328">
        <v>0.55000000000000004</v>
      </c>
      <c r="F21" s="313" t="s">
        <v>172</v>
      </c>
      <c r="G21" s="329">
        <v>94317</v>
      </c>
      <c r="H21" s="330">
        <f>G21*B21</f>
        <v>94317</v>
      </c>
      <c r="I21" s="265"/>
      <c r="J21" s="47"/>
      <c r="K21" s="47">
        <f>B21</f>
        <v>1</v>
      </c>
      <c r="L21" s="39">
        <f t="shared" ref="L21" si="1">D21+L$19</f>
        <v>2.6999999999999997</v>
      </c>
      <c r="M21" s="39">
        <f t="shared" ref="M21" si="2">E21+M$19</f>
        <v>0.55000000000000004</v>
      </c>
      <c r="N21" s="261">
        <f t="shared" ref="N21" si="3">L21*M21</f>
        <v>1.4849999999999999</v>
      </c>
      <c r="O21" s="259">
        <f t="shared" ref="O21" si="4">N21*K21</f>
        <v>1.4849999999999999</v>
      </c>
      <c r="P21" s="252">
        <f t="shared" ref="P21" si="5">O21*P$20</f>
        <v>91316.557894736849</v>
      </c>
      <c r="Q21" s="258">
        <f t="shared" ref="Q21" si="6">P21+Q$20</f>
        <v>94316.557894736849</v>
      </c>
      <c r="R21" s="299">
        <f>L21*K21*2</f>
        <v>5.3999999999999995</v>
      </c>
      <c r="S21" s="46"/>
      <c r="T21" s="9"/>
      <c r="W21" s="4"/>
    </row>
    <row r="22" spans="2:24" ht="18" thickBot="1" x14ac:dyDescent="0.35">
      <c r="B22" s="327">
        <v>1</v>
      </c>
      <c r="C22" s="313" t="s">
        <v>171</v>
      </c>
      <c r="D22" s="328">
        <v>2</v>
      </c>
      <c r="E22" s="328">
        <v>0.55000000000000004</v>
      </c>
      <c r="F22" s="313" t="s">
        <v>172</v>
      </c>
      <c r="G22" s="329">
        <v>72333</v>
      </c>
      <c r="H22" s="330">
        <f>G22*B22</f>
        <v>72333</v>
      </c>
      <c r="I22" s="265"/>
      <c r="J22" s="47"/>
      <c r="K22" s="47">
        <f>B22</f>
        <v>1</v>
      </c>
      <c r="L22" s="39">
        <f t="shared" ref="L22" si="7">D22+L$19</f>
        <v>2.0499999999999998</v>
      </c>
      <c r="M22" s="39">
        <f t="shared" ref="M22" si="8">E22+M$19</f>
        <v>0.55000000000000004</v>
      </c>
      <c r="N22" s="261">
        <f t="shared" ref="N22" si="9">L22*M22</f>
        <v>1.1274999999999999</v>
      </c>
      <c r="O22" s="259">
        <f t="shared" ref="O22" si="10">N22*K22</f>
        <v>1.1274999999999999</v>
      </c>
      <c r="P22" s="252">
        <f t="shared" ref="P22" si="11">O22*P$20</f>
        <v>69332.942105263166</v>
      </c>
      <c r="Q22" s="258">
        <f t="shared" ref="Q22" si="12">P22+Q$20</f>
        <v>72332.942105263166</v>
      </c>
      <c r="R22" s="299">
        <f>L22*K22*2</f>
        <v>4.0999999999999996</v>
      </c>
      <c r="S22" s="46"/>
      <c r="T22" s="9"/>
      <c r="W22" s="4"/>
    </row>
    <row r="23" spans="2:24" ht="18" thickBot="1" x14ac:dyDescent="0.35">
      <c r="B23" s="327">
        <v>3</v>
      </c>
      <c r="C23" s="313" t="s">
        <v>173</v>
      </c>
      <c r="D23" s="328">
        <v>3</v>
      </c>
      <c r="E23" s="328">
        <v>0.1</v>
      </c>
      <c r="F23" s="313" t="s">
        <v>174</v>
      </c>
      <c r="G23" s="329"/>
      <c r="H23" s="330"/>
      <c r="I23" s="265"/>
      <c r="J23" s="47"/>
      <c r="K23" s="47"/>
      <c r="L23" s="39"/>
      <c r="M23" s="39"/>
      <c r="N23" s="261"/>
      <c r="O23" s="259"/>
      <c r="P23" s="252"/>
      <c r="Q23" s="258"/>
      <c r="R23" s="299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 t="s">
        <v>175</v>
      </c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299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0" t="s">
        <v>29</v>
      </c>
      <c r="H25" s="301">
        <f>SUM(H21:H24)</f>
        <v>166650</v>
      </c>
      <c r="I25" s="265"/>
      <c r="J25" s="47"/>
      <c r="K25" s="47"/>
      <c r="L25" s="39">
        <f>SUM(L21:L24)</f>
        <v>4.75</v>
      </c>
      <c r="M25" s="39"/>
      <c r="N25" s="261"/>
      <c r="O25" s="259"/>
      <c r="P25" s="252"/>
      <c r="Q25" s="258"/>
      <c r="R25" s="299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298" t="s">
        <v>52</v>
      </c>
      <c r="H26" s="296"/>
      <c r="I26" s="265"/>
      <c r="J26" s="47"/>
      <c r="K26" s="47"/>
      <c r="L26" s="39"/>
      <c r="M26" s="12"/>
      <c r="N26" s="12"/>
      <c r="O26" s="253">
        <f>SUM(O21:O22)</f>
        <v>2.6124999999999998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297">
        <f>H25+H26</f>
        <v>166650</v>
      </c>
      <c r="I27" s="265"/>
      <c r="J27" s="47"/>
      <c r="K27" s="47"/>
      <c r="L27" s="39"/>
      <c r="M27" s="12"/>
      <c r="N27" s="12"/>
      <c r="O27" s="253">
        <f>O26</f>
        <v>2.6124999999999998</v>
      </c>
      <c r="P27" s="14"/>
      <c r="Q27" s="12"/>
      <c r="R27" s="239">
        <f>SUM(R21:R26)</f>
        <v>9.5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0.52249999999999996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3.1349999999999998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06" t="s">
        <v>22</v>
      </c>
      <c r="U30" s="303" t="s">
        <v>153</v>
      </c>
      <c r="V30" s="307">
        <v>44971</v>
      </c>
      <c r="W30" s="308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3.1349999999999998</v>
      </c>
      <c r="M31" s="12">
        <v>3500</v>
      </c>
      <c r="N31" s="12">
        <f t="shared" ref="N31:N36" si="13">L31*M31</f>
        <v>10972.5</v>
      </c>
      <c r="O31" s="14" t="s">
        <v>22</v>
      </c>
      <c r="P31" s="14"/>
      <c r="Q31" s="14"/>
      <c r="R31" s="241"/>
      <c r="S31" s="14"/>
      <c r="T31" s="306" t="s">
        <v>154</v>
      </c>
      <c r="U31" s="303">
        <v>3625</v>
      </c>
      <c r="V31" s="59" t="s">
        <v>155</v>
      </c>
      <c r="W31" s="308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0.5</v>
      </c>
      <c r="M32" s="12">
        <v>23850</v>
      </c>
      <c r="N32" s="12">
        <f t="shared" si="13"/>
        <v>11925</v>
      </c>
      <c r="O32" s="39" t="s">
        <v>32</v>
      </c>
      <c r="P32" s="42"/>
      <c r="Q32" s="14"/>
      <c r="R32" s="240"/>
      <c r="S32" s="14"/>
      <c r="T32" s="306"/>
      <c r="U32" s="59">
        <v>906.25</v>
      </c>
      <c r="V32" s="59" t="s">
        <v>156</v>
      </c>
      <c r="W32" s="308"/>
    </row>
    <row r="33" spans="2:23" s="230" customFormat="1" ht="17.399999999999999" x14ac:dyDescent="0.35">
      <c r="I33" s="262"/>
      <c r="J33" s="232"/>
      <c r="K33" s="250"/>
      <c r="L33" s="14"/>
      <c r="M33" s="250">
        <v>55750</v>
      </c>
      <c r="N33" s="12">
        <f t="shared" si="13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08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2</v>
      </c>
      <c r="M34" s="250">
        <v>21500</v>
      </c>
      <c r="N34" s="12">
        <f t="shared" si="13"/>
        <v>43000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08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13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295"/>
      <c r="K36" s="250"/>
      <c r="L36" s="266">
        <v>4.75</v>
      </c>
      <c r="M36" s="12">
        <v>1500</v>
      </c>
      <c r="N36" s="12">
        <f t="shared" si="13"/>
        <v>7125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73022.5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160649.5</v>
      </c>
      <c r="O38" s="14" t="s">
        <v>141</v>
      </c>
      <c r="P38" s="14"/>
      <c r="Q38" s="40">
        <f>O29/Q37</f>
        <v>0.84528688524590156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39500</v>
      </c>
      <c r="K39" s="250"/>
      <c r="L39" s="14"/>
      <c r="M39" s="12"/>
      <c r="N39" s="12">
        <f>N38/O27</f>
        <v>61492.631578947374</v>
      </c>
      <c r="O39" s="45" t="s">
        <v>25</v>
      </c>
      <c r="P39" s="14"/>
      <c r="Q39" s="14"/>
      <c r="R39"/>
      <c r="S39" s="238"/>
      <c r="T39" s="59" t="s">
        <v>159</v>
      </c>
      <c r="U39" s="303">
        <v>43650</v>
      </c>
    </row>
    <row r="40" spans="2:23" s="230" customFormat="1" ht="17.399999999999999" x14ac:dyDescent="0.35">
      <c r="G40"/>
      <c r="H40" s="230" t="s">
        <v>165</v>
      </c>
      <c r="J40" s="230">
        <f>J39/1.19</f>
        <v>33193.277310924372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04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05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45343</v>
      </c>
    </row>
    <row r="6" spans="2:31" ht="16.2" thickBot="1" x14ac:dyDescent="0.35">
      <c r="B6" s="140" t="s">
        <v>2</v>
      </c>
      <c r="C6" s="139" t="str">
        <f>'2229'!C10</f>
        <v>JAVIER GONZALEZ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10626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-13273.812533454106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166650</v>
      </c>
      <c r="E11" s="132">
        <f>D11*0.19</f>
        <v>31663.5</v>
      </c>
      <c r="F11" s="131">
        <f>E11+D11</f>
        <v>198313.5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92716.187466545889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52731.590787439614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74716.187466545889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113918.40921256039</v>
      </c>
      <c r="E13" s="221">
        <f>(D11/D12)-1</f>
        <v>2.1603446342395412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65716.187466545889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26716.187466545896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87007.124799275363</v>
      </c>
      <c r="F15" s="216">
        <f>E15-D12</f>
        <v>34275.534011835749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26716.187466545896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66716.187466545889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11925</v>
      </c>
      <c r="E19" s="123">
        <f>D19*0.19</f>
        <v>2265.75</v>
      </c>
      <c r="F19" s="120">
        <f>SUM(D19:E19)</f>
        <v>14190.75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10972.5</v>
      </c>
      <c r="E20" s="121">
        <f>D20*0.19</f>
        <v>2084.7750000000001</v>
      </c>
      <c r="F20" s="120">
        <f>SUM(D20:E20)</f>
        <v>13057.275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22897.5</v>
      </c>
      <c r="E21" s="116">
        <f>SUM(E18:E20)</f>
        <v>4350.5249999999996</v>
      </c>
      <c r="F21" s="115">
        <f>SUM(F18:F20)</f>
        <v>27248.025000000001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27312.974999999999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166650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22897.5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113918.40921256039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113918.40921256039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2024-02-05T18:54:25Z</cp:lastPrinted>
  <dcterms:created xsi:type="dcterms:W3CDTF">2013-03-18T13:35:42Z</dcterms:created>
  <dcterms:modified xsi:type="dcterms:W3CDTF">2024-02-21T19:26:22Z</dcterms:modified>
</cp:coreProperties>
</file>