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2 FEBRERO 2024\"/>
    </mc:Choice>
  </mc:AlternateContent>
  <xr:revisionPtr revIDLastSave="0" documentId="13_ncr:1_{4E4F5F59-5109-4C79-8ABF-59357B4AD58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H23" i="1"/>
  <c r="M21" i="1"/>
  <c r="L21" i="1" l="1"/>
  <c r="N21" i="1" s="1"/>
  <c r="O21" i="1" s="1"/>
  <c r="L22" i="1"/>
  <c r="M22" i="1"/>
  <c r="J40" i="1"/>
  <c r="R22" i="1" l="1"/>
  <c r="N22" i="1"/>
  <c r="O22" i="1" s="1"/>
  <c r="L25" i="1"/>
  <c r="S21" i="1"/>
  <c r="R21" i="1"/>
  <c r="R27" i="1" s="1"/>
  <c r="U33" i="1"/>
  <c r="U34" i="1" s="1"/>
  <c r="O26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39" i="1" l="1"/>
  <c r="P20" i="1" s="1"/>
  <c r="D21" i="3"/>
  <c r="M43" i="3" s="1"/>
  <c r="D12" i="3" s="1"/>
  <c r="F20" i="3"/>
  <c r="F21" i="3" s="1"/>
  <c r="P21" i="1" l="1"/>
  <c r="N40" i="1"/>
  <c r="E15" i="3"/>
  <c r="Q22" i="1" l="1"/>
  <c r="F15" i="3"/>
  <c r="H22" i="1" l="1"/>
  <c r="Q21" i="1"/>
  <c r="H21" i="1" l="1"/>
  <c r="H25" i="1" s="1"/>
  <c r="H26" i="1" l="1"/>
  <c r="H27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<sst xmlns="http://schemas.openxmlformats.org/spreadsheetml/2006/main" count="232" uniqueCount="174">
  <si>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</si>
  <si>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</si>
  <si>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</si>
  <si>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</si>
  <si>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</si>
  <si>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</si>
  <si>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</si>
  <si>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</si>
  <si>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</si>
  <si>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</si>
  <si>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</si>
  <si>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</si>
  <si>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</si>
  <si>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</si>
  <si>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</si>
  <si>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</si>
  <si>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</si>
  <si>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</si>
  <si>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</si>
  <si>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</si>
  <si>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</si>
  <si>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</si>
  <si>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</si>
  <si>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</si>
  <si>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</si>
  <si>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</si>
  <si>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</si>
  <si>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</si>
  <si>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</si>
  <si>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</si>
  <si>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</si>
  <si>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</si>
  <si>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</si>
  <si>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</si>
  <si>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</si>
  <si>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</si>
  <si>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</si>
  <si>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</si>
  <si>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</si>
  <si>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</si>
  <si>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</si>
  <si>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</si>
  <si>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</si>
  <si>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</si>
  <si>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</si>
  <si>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</si>
  <si>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</si>
  <si>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</si>
  <si>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</si>
  <si>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</si>
  <si>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</si>
  <si>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</si>
  <si>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</si>
  <si>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</si>
  <si>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</si>
  <si>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</si>
  <si>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</si>
  <si>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</si>
  <si>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</si>
  <si>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</si>
  <si>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</si>
  <si>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</si>
  <si>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</si>
  <si>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</si>
  <si>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</si>
  <si>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</si>
  <si>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</si>
  <si>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</si>
  <si>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</si>
  <si>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</si>
  <si>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</si>
  <si>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</si>
  <si>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</si>
  <si>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</si>
  <si>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</si>
  <si>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</si>
  <si>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</si>
  <si>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</si>
  <si>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</si>
  <si>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</si>
  <si>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</si>
  <si>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</si>
  <si>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</si>
  <si>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</si>
  <si>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</si>
  <si>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</si>
  <si>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</si>
  <si>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</si>
  <si>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</si>
  <si>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</si>
  <si>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</si>
  <si>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</si>
  <si>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</si>
  <si>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</si>
  <si>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</si>
  <si>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</si>
  <si>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</si>
  <si>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</si>
  <si>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</si>
  <si>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</si>
  <si>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</si>
  <si>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</si>
  <si>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</si>
  <si>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</si>
  <si>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</si>
  <si>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</si>
  <si>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</si>
  <si>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</si>
  <si>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</si>
  <si>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</si>
  <si>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</si>
  <si>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</si>
  <si>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</si>
  <si>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</si>
  <si>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</si>
  <si>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</si>
  <si>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</si>
  <si>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</si>
  <si>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</si>
  <si>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</si>
  <si>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</si>
  <si>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</si>
  <si>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</si>
  <si>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</si>
  <si>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</si>
  <si>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</si>
  <si>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</si>
  <si>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</si>
  <si>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</si>
  <si>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</si>
  <si>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</si>
  <si>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</si>
  <si>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</si>
  <si>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</si>
  <si>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</si>
  <si>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</si>
  <si>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</si>
  <si>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</si>
  <si>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</si>
  <si>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</si>
  <si>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</si>
  <si>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</si>
  <si>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</si>
  <si>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</si>
  <si>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</si>
  <si>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</si>
  <si>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</si>
  <si>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</si>
  <si>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</si>
  <si>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</si>
  <si>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</si>
  <si>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</si>
  <si>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</si>
  <si>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</si>
  <si>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</si>
  <si>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</si>
  <si>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</si>
  <si>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</si>
  <si>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</si>
  <si>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</si>
  <si>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</si>
  <si>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</si>
  <si>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</si>
  <si>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</si>
  <si>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</si>
  <si>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</si>
  <si>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</si>
  <si>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</si>
  <si>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CUBIERTA CON RESPALDO FRENTE 90° R8</t>
  </si>
  <si>
    <t>SERVICIO DE CORTE 45°</t>
  </si>
  <si>
    <t>5 DIAS HABILES</t>
  </si>
  <si>
    <t>ALVARO</t>
  </si>
  <si>
    <t>+569 6847 1096</t>
  </si>
  <si>
    <t>CLASSIC 3111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</si>
</sst>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24</xdr:row>
      <xdr:rowOff>9525</xdr:rowOff>
    </xdr:from>
    <xdr:to>
      <xdr:col>5</xdr:col>
      <xdr:colOff>1635064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INSTALACION, CUBIERTA SE ENTREGAN CON SOBRE MEDIDA EN EL LARGO.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3" zoomScaleNormal="93" workbookViewId="0">
      <selection activeCell="P23" sqref="P23"/>
    </sheetView>
  </sheetViews>
  <sheetFormatPr baseColWidth="10" defaultRowHeight="15" x14ac:dyDescent="0.25"/>
  <cols>
    <col min="1" max="1" width="6" customWidth="1"/>
    <col min="2" max="2" width="10.5703125" customWidth="1"/>
    <col min="3" max="3" width="52.7109375" customWidth="1"/>
    <col min="4" max="4" width="11.140625" customWidth="1"/>
    <col min="5" max="5" width="10.5703125" customWidth="1"/>
    <col min="6" max="6" width="33.8554687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292" t="s">
        <v>127</v>
      </c>
      <c r="C8" s="293"/>
      <c r="D8" s="294">
        <v>10640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09" t="s">
        <v>163</v>
      </c>
      <c r="C10" s="279" t="s">
        <v>171</v>
      </c>
      <c r="D10" s="243"/>
      <c r="E10" s="243"/>
      <c r="F10" s="244" t="s">
        <v>0</v>
      </c>
      <c r="G10" s="277">
        <v>45345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8" t="s">
        <v>12</v>
      </c>
      <c r="C11" s="302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5" x14ac:dyDescent="0.3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25">
      <c r="B13" s="288" t="s">
        <v>147</v>
      </c>
      <c r="G13" s="319"/>
      <c r="H13" s="290"/>
      <c r="P13" s="19"/>
      <c r="Q13" s="25"/>
      <c r="R13" s="19"/>
    </row>
    <row r="14" spans="2:23" x14ac:dyDescent="0.25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75" x14ac:dyDescent="0.25">
      <c r="B15" s="288" t="s">
        <v>4</v>
      </c>
      <c r="C15" s="321" t="s">
        <v>172</v>
      </c>
      <c r="D15" s="322"/>
      <c r="F15" t="s">
        <v>135</v>
      </c>
      <c r="G15" s="320" t="s">
        <v>136</v>
      </c>
      <c r="H15" s="290"/>
    </row>
    <row r="16" spans="2:23" ht="16.5" x14ac:dyDescent="0.3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.75" thickBot="1" x14ac:dyDescent="0.3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">
      <c r="I18" s="47"/>
      <c r="J18" s="5"/>
      <c r="U18" s="9"/>
      <c r="W18" s="6"/>
      <c r="X18" s="6"/>
    </row>
    <row r="19" spans="2:24" ht="13.5" customHeight="1" x14ac:dyDescent="0.25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68885.602605863198</v>
      </c>
      <c r="Q20" s="258">
        <v>3000</v>
      </c>
      <c r="R20" s="38"/>
      <c r="S20" s="14" t="s">
        <v>129</v>
      </c>
      <c r="T20" s="9"/>
      <c r="W20" s="4"/>
    </row>
    <row r="21" spans="2:24" ht="17.25" x14ac:dyDescent="0.25">
      <c r="B21" s="313">
        <v>1</v>
      </c>
      <c r="C21" s="314" t="s">
        <v>168</v>
      </c>
      <c r="D21" s="315">
        <v>2.5750000000000002</v>
      </c>
      <c r="E21" s="315">
        <v>0.55000000000000004</v>
      </c>
      <c r="F21" s="314" t="s">
        <v>173</v>
      </c>
      <c r="G21" s="316">
        <v>99507</v>
      </c>
      <c r="H21" s="317">
        <f>G21*B21</f>
        <v>99507</v>
      </c>
      <c r="I21" s="265"/>
      <c r="J21" s="47"/>
      <c r="K21" s="47">
        <v>1</v>
      </c>
      <c r="L21" s="39">
        <f>D21+L$19</f>
        <v>2.625</v>
      </c>
      <c r="M21" s="39">
        <f>E21+M19</f>
        <v>0.55000000000000004</v>
      </c>
      <c r="N21" s="261">
        <f>L21*M21</f>
        <v>1.4437500000000001</v>
      </c>
      <c r="O21" s="259">
        <f>N21*K21</f>
        <v>1.4437500000000001</v>
      </c>
      <c r="P21" s="252">
        <f>P20*N21</f>
        <v>99453.588762215004</v>
      </c>
      <c r="Q21" s="258">
        <f t="shared" ref="Q21" si="1">P21+Q$20</f>
        <v>102453.588762215</v>
      </c>
      <c r="R21" s="299">
        <f>L21*K21*2</f>
        <v>5.25</v>
      </c>
      <c r="S21" s="46">
        <f>M21*K21*2</f>
        <v>1.1000000000000001</v>
      </c>
      <c r="T21" s="9"/>
      <c r="W21" s="4"/>
    </row>
    <row r="22" spans="2:24" ht="17.25" x14ac:dyDescent="0.25">
      <c r="B22" s="347">
        <v>1</v>
      </c>
      <c r="C22" s="344" t="s">
        <v>168</v>
      </c>
      <c r="D22" s="345">
        <v>1.93</v>
      </c>
      <c r="E22" s="345">
        <v>0.55000000000000004</v>
      </c>
      <c r="F22" s="344" t="s">
        <v>173</v>
      </c>
      <c r="G22" s="346">
        <v>71520</v>
      </c>
      <c r="H22" s="348">
        <f>G22*B22</f>
        <v>71520</v>
      </c>
      <c r="I22" s="265"/>
      <c r="J22" s="47"/>
      <c r="K22" s="47">
        <v>1</v>
      </c>
      <c r="L22" s="39">
        <f t="shared" ref="L22" si="2">D22+L$19</f>
        <v>1.98</v>
      </c>
      <c r="M22" s="39">
        <f t="shared" ref="M22" si="3">E22+M$19</f>
        <v>0.55000000000000004</v>
      </c>
      <c r="N22" s="261">
        <f>L22*M22</f>
        <v>1.089</v>
      </c>
      <c r="O22" s="259">
        <f t="shared" ref="O22" si="4">N22*K22</f>
        <v>1.089</v>
      </c>
      <c r="P22" s="252">
        <f>P20*N22</f>
        <v>75016.42123778502</v>
      </c>
      <c r="Q22" s="258">
        <f t="shared" ref="Q22" si="5">P22+Q$20</f>
        <v>78016.42123778502</v>
      </c>
      <c r="R22" s="299">
        <f>L22*K22*2</f>
        <v>3.96</v>
      </c>
      <c r="S22" s="46"/>
      <c r="T22" s="9"/>
      <c r="W22" s="4"/>
    </row>
    <row r="23" spans="2:24" ht="18" thickBot="1" x14ac:dyDescent="0.3">
      <c r="B23" s="349">
        <v>1</v>
      </c>
      <c r="C23" s="350" t="s">
        <v>169</v>
      </c>
      <c r="D23" s="351"/>
      <c r="E23" s="351"/>
      <c r="F23" s="350"/>
      <c r="G23" s="352">
        <v>20000</v>
      </c>
      <c r="H23" s="331">
        <f>G23*B23</f>
        <v>20000</v>
      </c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25" x14ac:dyDescent="0.25">
      <c r="B25" s="286"/>
      <c r="C25" s="286"/>
      <c r="D25" s="287"/>
      <c r="E25" s="287"/>
      <c r="F25" s="286"/>
      <c r="G25" s="300" t="s">
        <v>29</v>
      </c>
      <c r="H25" s="301">
        <f>SUM(H21:H22)</f>
        <v>171027</v>
      </c>
      <c r="I25" s="265"/>
      <c r="J25" s="47"/>
      <c r="K25" s="47"/>
      <c r="L25" s="39">
        <f>SUM(L21:L24)</f>
        <v>4.6050000000000004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25" x14ac:dyDescent="0.25">
      <c r="B26" s="280"/>
      <c r="C26" s="283"/>
      <c r="D26" s="284"/>
      <c r="E26" s="284"/>
      <c r="F26" s="285"/>
      <c r="G26" s="298" t="s">
        <v>52</v>
      </c>
      <c r="H26" s="296">
        <f>H25*19%</f>
        <v>32495.13</v>
      </c>
      <c r="I26" s="265"/>
      <c r="J26" s="47"/>
      <c r="K26" s="47"/>
      <c r="L26" s="39"/>
      <c r="M26" s="12"/>
      <c r="N26" s="12"/>
      <c r="O26" s="253">
        <f>SUM(O21:O22)</f>
        <v>2.5327500000000001</v>
      </c>
      <c r="P26" s="14"/>
      <c r="Q26" s="12"/>
      <c r="R26" s="239"/>
      <c r="S26" s="14"/>
      <c r="T26" s="9"/>
      <c r="W26" s="4"/>
    </row>
    <row r="27" spans="2:24" ht="18" thickBot="1" x14ac:dyDescent="0.3">
      <c r="B27" s="276"/>
      <c r="C27" s="282"/>
      <c r="D27" s="272"/>
      <c r="E27" s="272"/>
      <c r="F27" s="273"/>
      <c r="G27" s="281" t="s">
        <v>6</v>
      </c>
      <c r="H27" s="297">
        <f>H25+H26</f>
        <v>203522.13</v>
      </c>
      <c r="I27" s="265"/>
      <c r="J27" s="47"/>
      <c r="K27" s="47"/>
      <c r="L27" s="39"/>
      <c r="M27" s="12"/>
      <c r="N27" s="12"/>
      <c r="O27" s="253">
        <f>O26</f>
        <v>2.5327500000000001</v>
      </c>
      <c r="P27" s="14"/>
      <c r="Q27" s="12"/>
      <c r="R27" s="239">
        <f>SUM(R21:R26)</f>
        <v>9.2100000000000009</v>
      </c>
      <c r="S27" s="14"/>
      <c r="T27" s="9"/>
      <c r="W27" s="4"/>
    </row>
    <row r="28" spans="2:24" ht="17.25" x14ac:dyDescent="0.25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0.50655000000000006</v>
      </c>
      <c r="P28" s="39" t="s">
        <v>131</v>
      </c>
      <c r="Q28" s="42"/>
      <c r="R28" s="240"/>
      <c r="S28" s="14"/>
      <c r="T28" s="9"/>
      <c r="W28" s="4"/>
    </row>
    <row r="29" spans="2:24" ht="17.25" x14ac:dyDescent="0.25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3.0392999999999999</v>
      </c>
      <c r="P29" s="14"/>
      <c r="Q29" s="14"/>
      <c r="R29" s="238">
        <v>40</v>
      </c>
      <c r="S29" s="14"/>
      <c r="T29" s="9"/>
      <c r="W29" s="4"/>
    </row>
    <row r="30" spans="2:24" ht="17.25" x14ac:dyDescent="0.3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25" x14ac:dyDescent="0.3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3.0392999999999999</v>
      </c>
      <c r="M31" s="12">
        <v>3500</v>
      </c>
      <c r="N31" s="12">
        <f t="shared" ref="N31:N36" si="6">L31*M31</f>
        <v>10637.55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25" x14ac:dyDescent="0.3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0.82</v>
      </c>
      <c r="M32" s="12">
        <v>23850</v>
      </c>
      <c r="N32" s="12">
        <f t="shared" si="6"/>
        <v>19557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25" x14ac:dyDescent="0.3">
      <c r="I33" s="262"/>
      <c r="J33" s="232"/>
      <c r="K33" s="250"/>
      <c r="L33" s="14"/>
      <c r="M33" s="250">
        <v>55750</v>
      </c>
      <c r="N33" s="12">
        <f t="shared" si="6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25" x14ac:dyDescent="0.3">
      <c r="B34" s="24" t="s">
        <v>152</v>
      </c>
      <c r="I34" s="262"/>
      <c r="J34" s="232"/>
      <c r="K34" s="250"/>
      <c r="L34" s="14">
        <v>2</v>
      </c>
      <c r="M34" s="250">
        <v>21105</v>
      </c>
      <c r="N34" s="12">
        <f t="shared" si="6"/>
        <v>42210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25" x14ac:dyDescent="0.3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6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25" x14ac:dyDescent="0.3">
      <c r="B36" s="29" t="s">
        <v>126</v>
      </c>
      <c r="C36"/>
      <c r="D36"/>
      <c r="E36"/>
      <c r="F36" s="229" t="s">
        <v>16</v>
      </c>
      <c r="I36" s="295"/>
      <c r="K36" s="250"/>
      <c r="L36" s="266">
        <v>4.5999999999999996</v>
      </c>
      <c r="M36" s="12">
        <v>1500</v>
      </c>
      <c r="N36" s="12">
        <f t="shared" si="6"/>
        <v>6899.9999999999991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25" x14ac:dyDescent="0.3">
      <c r="K37" s="250"/>
      <c r="L37" s="14"/>
      <c r="M37" s="12"/>
      <c r="N37" s="12">
        <f>SUM(N31:N36)</f>
        <v>79304.55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25" x14ac:dyDescent="0.3">
      <c r="K38" s="250"/>
      <c r="L38" s="254" t="s">
        <v>34</v>
      </c>
      <c r="M38" s="12"/>
      <c r="N38" s="255">
        <f>N37*2.2</f>
        <v>174470.01</v>
      </c>
      <c r="O38" s="14" t="s">
        <v>141</v>
      </c>
      <c r="P38" s="14"/>
      <c r="Q38" s="40">
        <f>O29/Q37</f>
        <v>0.81948339085418465</v>
      </c>
      <c r="R38"/>
      <c r="S38" s="257"/>
    </row>
    <row r="39" spans="2:23" s="230" customFormat="1" ht="17.25" x14ac:dyDescent="0.3">
      <c r="G39"/>
      <c r="H39" s="260"/>
      <c r="I39" s="260"/>
      <c r="J39" s="230">
        <v>66340</v>
      </c>
      <c r="K39" s="250"/>
      <c r="L39" s="14"/>
      <c r="M39" s="12"/>
      <c r="N39" s="12">
        <f>N38/O27</f>
        <v>68885.602605863198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25" x14ac:dyDescent="0.3">
      <c r="G40"/>
      <c r="H40" s="230" t="s">
        <v>165</v>
      </c>
      <c r="J40" s="230">
        <f>J39/1.19</f>
        <v>55747.899159663866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25" x14ac:dyDescent="0.3">
      <c r="G41" s="23"/>
      <c r="K41" s="12"/>
      <c r="S41" s="238"/>
      <c r="T41" s="59" t="s">
        <v>162</v>
      </c>
      <c r="U41" s="305">
        <v>395.37</v>
      </c>
    </row>
    <row r="42" spans="2:23" s="230" customFormat="1" ht="17.25" x14ac:dyDescent="0.3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5" customHeight="1" x14ac:dyDescent="0.25">
      <c r="K43" s="12"/>
      <c r="T43" s="59"/>
      <c r="U43" s="59"/>
    </row>
    <row r="44" spans="2:23" x14ac:dyDescent="0.25">
      <c r="K44" s="250"/>
    </row>
    <row r="45" spans="2:23" x14ac:dyDescent="0.25">
      <c r="K45" s="250"/>
      <c r="S45" s="270"/>
    </row>
    <row r="46" spans="2:23" x14ac:dyDescent="0.25">
      <c r="K46" s="250"/>
    </row>
    <row r="47" spans="2:23" ht="15" customHeight="1" x14ac:dyDescent="0.25"/>
    <row r="49" spans="14:19" x14ac:dyDescent="0.25">
      <c r="N49">
        <v>40935</v>
      </c>
      <c r="O49" t="s">
        <v>17</v>
      </c>
      <c r="P49" t="s">
        <v>27</v>
      </c>
    </row>
    <row r="51" spans="14:19" x14ac:dyDescent="0.25">
      <c r="N51" s="54"/>
      <c r="O51" s="54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59" spans="14:19" x14ac:dyDescent="0.25">
      <c r="R59" s="18"/>
      <c r="S59" s="18"/>
    </row>
    <row r="60" spans="14:19" x14ac:dyDescent="0.25">
      <c r="R60" s="18"/>
      <c r="S60" s="18"/>
    </row>
    <row r="63" spans="14:19" x14ac:dyDescent="0.25">
      <c r="N63" s="43"/>
    </row>
    <row r="64" spans="14:19" x14ac:dyDescent="0.25">
      <c r="N64" s="43"/>
    </row>
    <row r="65" spans="3:14" x14ac:dyDescent="0.25">
      <c r="N65" s="6"/>
    </row>
    <row r="66" spans="3:14" x14ac:dyDescent="0.25">
      <c r="N66" s="6"/>
    </row>
    <row r="74" spans="3:14" x14ac:dyDescent="0.25">
      <c r="C74" t="s">
        <v>149</v>
      </c>
    </row>
    <row r="75" spans="3:14" x14ac:dyDescent="0.25">
      <c r="C75" t="s">
        <v>148</v>
      </c>
    </row>
    <row r="78" spans="3:14" x14ac:dyDescent="0.25">
      <c r="C78" t="s">
        <v>148</v>
      </c>
    </row>
    <row r="155" spans="3:3" x14ac:dyDescent="0.25">
      <c r="C155" t="s">
        <v>148</v>
      </c>
    </row>
    <row r="156" spans="3:3" x14ac:dyDescent="0.25">
      <c r="C156" t="s">
        <v>150</v>
      </c>
    </row>
    <row r="157" spans="3:3" x14ac:dyDescent="0.25">
      <c r="C157" t="s">
        <v>151</v>
      </c>
    </row>
    <row r="582" spans="3:3" x14ac:dyDescent="0.25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106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45345</v>
      </c>
    </row>
    <row r="6" spans="2:31" ht="16.5" thickBot="1" x14ac:dyDescent="0.3">
      <c r="B6" s="140" t="s">
        <v>2</v>
      </c>
      <c r="C6" s="139" t="str">
        <f>'2229'!C10</f>
        <v>ALVARO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5" thickBot="1" x14ac:dyDescent="0.3">
      <c r="B8" s="140" t="s">
        <v>101</v>
      </c>
      <c r="C8" s="139">
        <f>'2229'!D8</f>
        <v>10640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.75" thickBot="1" x14ac:dyDescent="0.3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-11996.623783454108</v>
      </c>
    </row>
    <row r="10" spans="2:31" ht="16.5" thickBot="1" x14ac:dyDescent="0.3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94</v>
      </c>
      <c r="D11" s="133">
        <f>'2229'!H25</f>
        <v>171027</v>
      </c>
      <c r="E11" s="132">
        <f>D11*0.19</f>
        <v>32495.13</v>
      </c>
      <c r="F11" s="131">
        <f>E11+D11</f>
        <v>203522.13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93993.37621654589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98</v>
      </c>
      <c r="D12" s="136">
        <f>SUM(M43:M45)</f>
        <v>60028.64078743961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75993.37621654589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92</v>
      </c>
      <c r="D13" s="217">
        <f>D11-D12</f>
        <v>110998.35921256039</v>
      </c>
      <c r="E13" s="221">
        <f>(D11/D12)-1</f>
        <v>1.8490899969833348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66993.37621654589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27993.37621654589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122</v>
      </c>
      <c r="D15" s="214">
        <v>0.65</v>
      </c>
      <c r="E15" s="215">
        <f>(100%+D15)*D12</f>
        <v>99047.257299275356</v>
      </c>
      <c r="F15" s="216">
        <f>E15-D12</f>
        <v>39018.616511835746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27993.37621654589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67993.37621654589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32</v>
      </c>
      <c r="D19" s="122">
        <f>'2229'!N32</f>
        <v>19557</v>
      </c>
      <c r="E19" s="123">
        <f>D19*0.19</f>
        <v>3715.83</v>
      </c>
      <c r="F19" s="120">
        <f>SUM(D19:E19)</f>
        <v>23272.83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'2229'!N31</f>
        <v>10637.55</v>
      </c>
      <c r="E20" s="121">
        <f>D20*0.19</f>
        <v>2021.1344999999999</v>
      </c>
      <c r="F20" s="120">
        <f>SUM(D20:E20)</f>
        <v>12658.684499999999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30194.55</v>
      </c>
      <c r="E21" s="116">
        <f>SUM(E18:E20)</f>
        <v>5736.9645</v>
      </c>
      <c r="F21" s="115">
        <f>SUM(F18:F20)</f>
        <v>35931.514500000005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.75" thickBot="1" x14ac:dyDescent="0.3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.75" thickBot="1" x14ac:dyDescent="0.3">
      <c r="B40" s="68" t="s">
        <v>53</v>
      </c>
      <c r="C40" s="67" t="s">
        <v>52</v>
      </c>
      <c r="D40" s="66">
        <f>E11-E21</f>
        <v>26758.165500000003</v>
      </c>
    </row>
    <row r="41" spans="2:16" ht="15.75" thickBot="1" x14ac:dyDescent="0.3">
      <c r="H41" s="341" t="s">
        <v>61</v>
      </c>
      <c r="I41" s="342"/>
      <c r="J41" s="342"/>
      <c r="K41" s="342"/>
      <c r="L41" s="342"/>
      <c r="M41" s="343"/>
    </row>
    <row r="42" spans="2:16" ht="15.75" thickBot="1" x14ac:dyDescent="0.3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171027</v>
      </c>
    </row>
    <row r="43" spans="2:16" ht="15.75" thickBot="1" x14ac:dyDescent="0.3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30194.55</v>
      </c>
    </row>
    <row r="44" spans="2:16" x14ac:dyDescent="0.25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51</v>
      </c>
      <c r="J46" s="172"/>
      <c r="K46" s="172"/>
      <c r="L46" s="173"/>
      <c r="M46" s="62">
        <f>M42-(SUM(M43:M45))</f>
        <v>110998.35921256039</v>
      </c>
    </row>
    <row r="47" spans="2:16" x14ac:dyDescent="0.25">
      <c r="I47" s="162" t="s">
        <v>50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49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48</v>
      </c>
      <c r="J49" s="172"/>
      <c r="K49" s="172"/>
      <c r="L49" s="173"/>
      <c r="M49" s="62">
        <f>M46-SUM(M47:M48)</f>
        <v>110998.35921256039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2024-02-23T19:16:17Z</cp:lastPrinted>
  <dcterms:created xsi:type="dcterms:W3CDTF">2013-03-18T13:35:42Z</dcterms:created>
  <dcterms:modified xsi:type="dcterms:W3CDTF">2024-02-23T19:16:49Z</dcterms:modified>
</cp:coreProperties>
</file>