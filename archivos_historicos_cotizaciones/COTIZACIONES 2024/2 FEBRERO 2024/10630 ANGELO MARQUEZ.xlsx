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64F11C47-77BB-4304-8050-E2B67DA3A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O21" i="1" s="1"/>
  <c r="M21" i="1"/>
  <c r="L21" i="1"/>
  <c r="L22" i="1"/>
  <c r="R22" i="1" s="1"/>
  <c r="M22" i="1"/>
  <c r="J39" i="1"/>
  <c r="N22" i="1" l="1"/>
  <c r="O22" i="1" s="1"/>
  <c r="L24" i="1"/>
  <c r="S21" i="1"/>
  <c r="R21" i="1"/>
  <c r="R26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N38" i="1" s="1"/>
  <c r="D20" i="3"/>
  <c r="E20" i="3" s="1"/>
  <c r="E21" i="3" s="1"/>
  <c r="P20" i="1" l="1"/>
  <c r="P21" i="1" s="1"/>
  <c r="D21" i="3"/>
  <c r="M43" i="3" s="1"/>
  <c r="D12" i="3" s="1"/>
  <c r="F20" i="3"/>
  <c r="F21" i="3" s="1"/>
  <c r="P22" i="1" l="1"/>
  <c r="N39" i="1"/>
  <c r="E15" i="3"/>
  <c r="Q22" i="1" l="1"/>
  <c r="F15" i="3"/>
  <c r="H22" i="1" l="1"/>
  <c r="Q21" i="1"/>
  <c r="H21" i="1" l="1"/>
  <c r="H25" i="1" l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<sst xmlns="http://schemas.openxmlformats.org/spreadsheetml/2006/main" count="232" uniqueCount="176">
  <si>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</si>
  <si>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</si>
  <si>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</si>
  <si>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</si>
  <si>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</si>
  <si>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</si>
  <si>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</si>
  <si>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</si>
  <si>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</si>
  <si>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</si>
  <si>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</si>
  <si>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</si>
  <si>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</si>
  <si>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</si>
  <si>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</si>
  <si>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</si>
  <si>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</si>
  <si>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</si>
  <si>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</si>
  <si>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</si>
  <si>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</si>
  <si>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</si>
  <si>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</si>
  <si>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</si>
  <si>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</si>
  <si>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</si>
  <si>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</si>
  <si>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</si>
  <si>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</si>
  <si>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</si>
  <si>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</si>
  <si>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</si>
  <si>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</si>
  <si>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</si>
  <si>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</si>
  <si>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</si>
  <si>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</si>
  <si>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</si>
  <si>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</si>
  <si>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</si>
  <si>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</si>
  <si>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</si>
  <si>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</si>
  <si>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</si>
  <si>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</si>
  <si>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</si>
  <si>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</si>
  <si>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</si>
  <si>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</si>
  <si>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</si>
  <si>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</si>
  <si>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</si>
  <si>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</si>
  <si>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</si>
  <si>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</si>
  <si>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</si>
  <si>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</si>
  <si>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</si>
  <si>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</si>
  <si>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</si>
  <si>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</si>
  <si>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</si>
  <si>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</si>
  <si>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</si>
  <si>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</si>
  <si>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</si>
  <si>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</si>
  <si>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</si>
  <si>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</si>
  <si>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</si>
  <si>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</si>
  <si>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</si>
  <si>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</si>
  <si>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</si>
  <si>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</si>
  <si>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</si>
  <si>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</si>
  <si>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</si>
  <si>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</si>
  <si>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</si>
  <si>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</si>
  <si>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</si>
  <si>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</si>
  <si>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</si>
  <si>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</si>
  <si>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</si>
  <si>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</si>
  <si>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</si>
  <si>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</si>
  <si>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</si>
  <si>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</si>
  <si>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</si>
  <si>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</si>
  <si>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</si>
  <si>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</si>
  <si>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</si>
  <si>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</si>
  <si>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</si>
  <si>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</si>
  <si>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</si>
  <si>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</si>
  <si>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</si>
  <si>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</si>
  <si>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</si>
  <si>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</si>
  <si>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</si>
  <si>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</si>
  <si>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</si>
  <si>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</si>
  <si>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</si>
  <si>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</si>
  <si>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</si>
  <si>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</si>
  <si>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</si>
  <si>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</si>
  <si>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</si>
  <si>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</si>
  <si>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</si>
  <si>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</si>
  <si>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</si>
  <si>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</si>
  <si>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</si>
  <si>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</si>
  <si>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</si>
  <si>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</si>
  <si>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</si>
  <si>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</si>
  <si>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</si>
  <si>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</si>
  <si>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</si>
  <si>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</si>
  <si>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</si>
  <si>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</si>
  <si>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</si>
  <si>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</si>
  <si>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</si>
  <si>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</si>
  <si>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</si>
  <si>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</si>
  <si>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</si>
  <si>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</si>
  <si>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</si>
  <si>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</si>
  <si>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</si>
  <si>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</si>
  <si>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</si>
  <si>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</si>
  <si>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</si>
  <si>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</si>
  <si>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</si>
  <si>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</si>
  <si>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</si>
  <si>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</si>
  <si>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</si>
  <si>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</si>
  <si>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</si>
  <si>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</si>
  <si>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</si>
  <si>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</si>
  <si>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</si>
  <si>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</si>
  <si>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</si>
  <si>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</si>
  <si>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</si>
  <si>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</si>
  <si>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</si>
  <si>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</si>
  <si>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5 DIAS HABILES</t>
  </si>
  <si>
    <t>CUB CON RESPALDO FRENTE 90° R8</t>
  </si>
  <si>
    <t>VALORES NETOS</t>
  </si>
  <si>
    <t>ANGELO MARQUEZ</t>
  </si>
  <si>
    <t>+569 8</t>
  </si>
  <si>
    <t>VALDIVIA</t>
  </si>
  <si>
    <t>POR TRANSPORTES</t>
  </si>
  <si>
    <t>PORTLAND MAPLE 10077 SF</t>
  </si>
  <si>
    <t>WHITE ASHWOOD 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</si>
</sst>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DESPUNTE ES TUYO, LO ENVIAMOS JUNTO CON LA CUBIERTA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5.2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45338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173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172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104494.05405405407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168</v>
      </c>
      <c r="D21" s="315">
        <v>1.8</v>
      </c>
      <c r="E21" s="315">
        <v>0.5</v>
      </c>
      <c r="F21" s="314" t="s">
        <v>175</v>
      </c>
      <c r="G21" s="316">
        <v>102088</v>
      </c>
      <c r="H21" s="317">
        <f>G21*B21</f>
        <v>102088</v>
      </c>
      <c r="I21" s="265"/>
      <c r="J21" s="47"/>
      <c r="K21" s="47">
        <v>1</v>
      </c>
      <c r="L21" s="39">
        <f>D21+L$19</f>
        <v>1.85</v>
      </c>
      <c r="M21" s="39">
        <f>E21</f>
        <v>0.5</v>
      </c>
      <c r="N21" s="261">
        <f>L21*M21</f>
        <v>0.92500000000000004</v>
      </c>
      <c r="O21" s="259">
        <f>N21*K21</f>
        <v>0.92500000000000004</v>
      </c>
      <c r="P21" s="252">
        <f>N21*P20</f>
        <v>96657.000000000015</v>
      </c>
      <c r="Q21" s="258">
        <f t="shared" ref="Q21" si="1">P21+Q$20</f>
        <v>99657.000000000015</v>
      </c>
      <c r="R21" s="299">
        <f>L21*K21*2</f>
        <v>3.7</v>
      </c>
      <c r="S21" s="46">
        <f>M21*K21*2</f>
        <v>1</v>
      </c>
      <c r="T21" s="9"/>
      <c r="W21" s="4"/>
    </row>
    <row r="22" spans="2:24" ht="18" thickBot="1" x14ac:dyDescent="0.35">
      <c r="B22" s="331">
        <v>1</v>
      </c>
      <c r="C22" s="314" t="s">
        <v>168</v>
      </c>
      <c r="D22" s="332">
        <v>1.8</v>
      </c>
      <c r="E22" s="332">
        <v>0.5</v>
      </c>
      <c r="F22" s="314" t="s">
        <v>174</v>
      </c>
      <c r="G22" s="333">
        <v>99657</v>
      </c>
      <c r="H22" s="334">
        <f>G22*B22</f>
        <v>99657</v>
      </c>
      <c r="I22" s="265"/>
      <c r="J22" s="47"/>
      <c r="K22" s="47"/>
      <c r="L22" s="39">
        <f t="shared" ref="L22" si="2">D22+L$19</f>
        <v>1.85</v>
      </c>
      <c r="M22" s="39">
        <f t="shared" ref="M22" si="3">E22+M$19</f>
        <v>0.5</v>
      </c>
      <c r="N22" s="261">
        <f t="shared" ref="N22" si="4">L22*M22</f>
        <v>0.92500000000000004</v>
      </c>
      <c r="O22" s="259">
        <f t="shared" ref="O22" si="5">N22*K22</f>
        <v>0</v>
      </c>
      <c r="P22" s="252">
        <f t="shared" ref="P22" si="6">O22*P$20</f>
        <v>0</v>
      </c>
      <c r="Q22" s="258">
        <f t="shared" ref="Q22" si="7">P22+Q$20</f>
        <v>3000</v>
      </c>
      <c r="R22" s="299">
        <f>L22*K22*2</f>
        <v>0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 t="s">
        <v>169</v>
      </c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/>
      <c r="I24" s="265"/>
      <c r="J24" s="47"/>
      <c r="K24" s="47"/>
      <c r="L24" s="39">
        <f>SUM(L21:L23)</f>
        <v>3.7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0</v>
      </c>
      <c r="I25" s="265"/>
      <c r="J25" s="47"/>
      <c r="K25" s="47"/>
      <c r="L25" s="39"/>
      <c r="M25" s="12"/>
      <c r="N25" s="12"/>
      <c r="O25" s="253">
        <f>SUM(O21:O22)</f>
        <v>0.92500000000000004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0</v>
      </c>
      <c r="I26" s="265"/>
      <c r="J26" s="47"/>
      <c r="K26" s="47"/>
      <c r="L26" s="39"/>
      <c r="M26" s="12"/>
      <c r="N26" s="12"/>
      <c r="O26" s="253">
        <f>O25</f>
        <v>0.92500000000000004</v>
      </c>
      <c r="P26" s="14"/>
      <c r="Q26" s="12"/>
      <c r="R26" s="239">
        <f>SUM(R21:R25)</f>
        <v>3.7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0.18500000000000003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1.1100000000000001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1.1100000000000001</v>
      </c>
      <c r="M30" s="12">
        <v>3500</v>
      </c>
      <c r="N30" s="12">
        <f t="shared" ref="N30:N35" si="8">L30*M30</f>
        <v>3885.0000000000005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23850</v>
      </c>
      <c r="N31" s="12">
        <f t="shared" si="8"/>
        <v>7155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/>
      <c r="M32" s="250">
        <v>55750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30120</v>
      </c>
      <c r="N33" s="12">
        <f t="shared" si="8"/>
        <v>30120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v>1.85</v>
      </c>
      <c r="M35" s="12">
        <v>1500</v>
      </c>
      <c r="N35" s="12">
        <f t="shared" si="8"/>
        <v>2775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43935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96657.000000000015</v>
      </c>
      <c r="O37" s="14" t="s">
        <v>141</v>
      </c>
      <c r="P37" s="14"/>
      <c r="Q37" s="40">
        <f>O28/Q36</f>
        <v>0.29928817946505609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56950</v>
      </c>
      <c r="K38" s="250"/>
      <c r="L38" s="14"/>
      <c r="M38" s="12"/>
      <c r="N38" s="12">
        <f>N37/O26</f>
        <v>104494.05405405407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47857.142857142862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45338</v>
      </c>
    </row>
    <row r="6" spans="2:31" ht="16.2" thickBot="1" x14ac:dyDescent="0.35">
      <c r="B6" s="140" t="s">
        <v>2</v>
      </c>
      <c r="C6" s="139" t="str">
        <f>'2229'!C10</f>
        <v>ANGELO MARQUEZ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11240.374966545894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117230.37496654589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40874.090787439614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99230.374966545889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-40874.090787439614</v>
      </c>
      <c r="E13" s="221">
        <f>(D11/D12)-1</f>
        <v>-1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90230.374966545889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51230.374966545896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67442.249799275363</v>
      </c>
      <c r="F15" s="216">
        <f>E15-D12</f>
        <v>26568.159011835749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51230.374966545896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91230.374966545889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7155</v>
      </c>
      <c r="E19" s="123">
        <f>D19*0.19</f>
        <v>1359.45</v>
      </c>
      <c r="F19" s="120">
        <f>SUM(D19:E19)</f>
        <v>8514.4500000000007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3885.0000000000005</v>
      </c>
      <c r="E20" s="121">
        <f>D20*0.19</f>
        <v>738.15000000000009</v>
      </c>
      <c r="F20" s="120">
        <f>SUM(D20:E20)</f>
        <v>4623.1500000000005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11040</v>
      </c>
      <c r="E21" s="116">
        <f>SUM(E18:E20)</f>
        <v>2097.6000000000004</v>
      </c>
      <c r="F21" s="115">
        <f>SUM(F18:F20)</f>
        <v>13137.600000000002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-2097.6000000000004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11040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-40874.090787439614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-40874.090787439614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2024-02-16T13:40:38Z</dcterms:modified>
</cp:coreProperties>
</file>