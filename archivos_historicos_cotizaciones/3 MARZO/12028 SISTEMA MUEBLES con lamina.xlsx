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E592C866-8A9E-4549-9F88-E81C44E22F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2" i="1" l="1"/>
  <c r="P24" i="1"/>
  <c r="L23" i="1" l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Q23" i="1"/>
  <c r="S23" i="1" s="1"/>
  <c r="R23" i="1"/>
  <c r="Q24" i="1"/>
  <c r="S24" i="1" s="1"/>
  <c r="R24" i="1"/>
  <c r="Q25" i="1"/>
  <c r="S25" i="1" s="1"/>
  <c r="R25" i="1"/>
  <c r="Q26" i="1"/>
  <c r="S26" i="1" s="1"/>
  <c r="R26" i="1"/>
  <c r="Q27" i="1"/>
  <c r="R27" i="1"/>
  <c r="Q28" i="1"/>
  <c r="S28" i="1" s="1"/>
  <c r="R28" i="1"/>
  <c r="Q29" i="1"/>
  <c r="S29" i="1" s="1"/>
  <c r="R29" i="1"/>
  <c r="Q30" i="1"/>
  <c r="S30" i="1" s="1"/>
  <c r="R30" i="1"/>
  <c r="Q31" i="1"/>
  <c r="S31" i="1" s="1"/>
  <c r="R31" i="1"/>
  <c r="Q32" i="1"/>
  <c r="S32" i="1" s="1"/>
  <c r="R32" i="1"/>
  <c r="Q33" i="1"/>
  <c r="S33" i="1" s="1"/>
  <c r="R33" i="1"/>
  <c r="Q34" i="1"/>
  <c r="S34" i="1" s="1"/>
  <c r="R34" i="1"/>
  <c r="Q35" i="1"/>
  <c r="S35" i="1" s="1"/>
  <c r="R35" i="1"/>
  <c r="Q36" i="1"/>
  <c r="S36" i="1" s="1"/>
  <c r="R36" i="1"/>
  <c r="Q22" i="1"/>
  <c r="R22" i="1"/>
  <c r="L22" i="1"/>
  <c r="D27" i="6"/>
  <c r="C27" i="6"/>
  <c r="C49" i="6"/>
  <c r="S27" i="1" l="1"/>
  <c r="T32" i="1"/>
  <c r="T29" i="1"/>
  <c r="T26" i="1"/>
  <c r="T36" i="1"/>
  <c r="T28" i="1"/>
  <c r="T33" i="1"/>
  <c r="T25" i="1"/>
  <c r="T34" i="1"/>
  <c r="T30" i="1"/>
  <c r="T35" i="1"/>
  <c r="T31" i="1"/>
  <c r="T27" i="1"/>
  <c r="T23" i="1"/>
  <c r="T24" i="1"/>
  <c r="W36" i="1"/>
  <c r="W35" i="1"/>
  <c r="W34" i="1"/>
  <c r="W33" i="1"/>
  <c r="W32" i="1"/>
  <c r="W31" i="1"/>
  <c r="W30" i="1"/>
  <c r="W29" i="1"/>
  <c r="W27" i="1"/>
  <c r="W26" i="1"/>
  <c r="W25" i="1"/>
  <c r="W24" i="1"/>
  <c r="W22" i="1"/>
  <c r="S22" i="1"/>
  <c r="T22" i="1" s="1"/>
  <c r="T40" i="1" l="1"/>
  <c r="N5" i="6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R21" i="1"/>
  <c r="K5" i="6" l="1"/>
  <c r="D14" i="6"/>
  <c r="E14" i="6"/>
  <c r="E21" i="6"/>
  <c r="D21" i="6"/>
  <c r="L5" i="6"/>
  <c r="M5" i="6"/>
  <c r="D2" i="7"/>
  <c r="D8" i="6"/>
  <c r="Q21" i="1"/>
  <c r="Q40" i="1" l="1"/>
  <c r="W21" i="1"/>
  <c r="X21" i="1"/>
  <c r="X39" i="1" s="1"/>
  <c r="S21" i="1"/>
  <c r="T21" i="1" s="1"/>
  <c r="O54" i="1"/>
  <c r="W42" i="1" l="1"/>
  <c r="W43" i="1" s="1"/>
  <c r="W44" i="1" s="1"/>
  <c r="Z47" i="1"/>
  <c r="Z48" i="1" s="1"/>
  <c r="T41" i="1" l="1"/>
  <c r="R20" i="1"/>
  <c r="P20" i="1"/>
  <c r="T42" i="1" l="1"/>
  <c r="T43" i="1" s="1"/>
  <c r="Q45" i="1" s="1"/>
  <c r="S47" i="1"/>
  <c r="V51" i="1"/>
  <c r="V52" i="1" l="1"/>
  <c r="S46" i="1" s="1"/>
  <c r="S4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S50" i="1"/>
  <c r="S49" i="1"/>
  <c r="F18" i="3" l="1"/>
  <c r="S45" i="1" l="1"/>
  <c r="S51" i="1" s="1"/>
  <c r="S53" i="1" l="1"/>
  <c r="D20" i="3"/>
  <c r="E20" i="3" s="1"/>
  <c r="E21" i="3" s="1"/>
  <c r="U20" i="1" l="1"/>
  <c r="D21" i="3"/>
  <c r="M43" i="3" s="1"/>
  <c r="D12" i="3" s="1"/>
  <c r="F20" i="3"/>
  <c r="F21" i="3" s="1"/>
  <c r="U22" i="1" l="1"/>
  <c r="U32" i="1"/>
  <c r="U26" i="1"/>
  <c r="U28" i="1"/>
  <c r="V28" i="1" s="1"/>
  <c r="W28" i="1" s="1"/>
  <c r="U25" i="1"/>
  <c r="U30" i="1"/>
  <c r="U31" i="1"/>
  <c r="U23" i="1"/>
  <c r="V23" i="1" s="1"/>
  <c r="U33" i="1"/>
  <c r="U29" i="1"/>
  <c r="U36" i="1"/>
  <c r="U34" i="1"/>
  <c r="U35" i="1"/>
  <c r="U27" i="1"/>
  <c r="U24" i="1"/>
  <c r="V24" i="1" s="1"/>
  <c r="S54" i="1"/>
  <c r="E15" i="3"/>
  <c r="V40" i="1" l="1"/>
  <c r="W23" i="1"/>
  <c r="W40" i="1" s="1"/>
  <c r="U21" i="1"/>
  <c r="F15" i="3"/>
  <c r="L21" i="1" l="1"/>
  <c r="L39" i="1" s="1"/>
  <c r="L40" i="1" l="1"/>
  <c r="L41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<sst xmlns="http://schemas.openxmlformats.org/spreadsheetml/2006/main" count="603" uniqueCount="333">
  <si>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</si>
  <si>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</si>
  <si>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</si>
  <si>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</si>
  <si>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</si>
  <si>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</si>
  <si>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</si>
  <si>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</si>
  <si>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</si>
  <si>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</si>
  <si>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</si>
  <si>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</si>
  <si>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</si>
  <si>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</si>
  <si>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</si>
  <si>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</si>
  <si>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</si>
  <si>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</si>
  <si>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</si>
  <si>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</si>
  <si>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</si>
  <si>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</si>
  <si>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</si>
  <si>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</si>
  <si>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</si>
  <si>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</si>
  <si>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</si>
  <si>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</si>
  <si>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</si>
  <si>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</si>
  <si>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</si>
  <si>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</si>
  <si>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</si>
  <si>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</si>
  <si>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</si>
  <si>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</si>
  <si>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</si>
  <si>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</si>
  <si>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</si>
  <si>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</si>
  <si>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</si>
  <si>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</si>
  <si>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</si>
  <si>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</si>
  <si>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</si>
  <si>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</si>
  <si>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</si>
  <si>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</si>
  <si>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</si>
  <si>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</si>
  <si>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</si>
  <si>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</si>
  <si>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</si>
  <si>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</si>
  <si>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</si>
  <si>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</si>
  <si>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</si>
  <si>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</si>
  <si>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</si>
  <si>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</si>
  <si>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</si>
  <si>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</si>
  <si>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</si>
  <si>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</si>
  <si>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</si>
  <si>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</si>
  <si>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</si>
  <si>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</si>
  <si>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</si>
  <si>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</si>
  <si>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</si>
  <si>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</si>
  <si>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</si>
  <si>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</si>
  <si>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</si>
  <si>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</si>
  <si>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</si>
  <si>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</si>
  <si>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</si>
  <si>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</si>
  <si>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</si>
  <si>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</si>
  <si>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</si>
  <si>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</si>
  <si>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</si>
  <si>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</si>
  <si>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</si>
  <si>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</si>
  <si>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</si>
  <si>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</si>
  <si>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</si>
  <si>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</si>
  <si>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</si>
  <si>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</si>
  <si>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</si>
  <si>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</si>
  <si>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</si>
  <si>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</si>
  <si>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</si>
  <si>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</si>
  <si>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</si>
  <si>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</si>
  <si>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</si>
  <si>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</si>
  <si>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</si>
  <si>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</si>
  <si>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</si>
  <si>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</si>
  <si>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</si>
  <si>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</si>
  <si>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</si>
  <si>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</si>
  <si>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</si>
  <si>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</si>
  <si>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</si>
  <si>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</si>
  <si>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</si>
  <si>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</si>
  <si>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</si>
  <si>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</si>
  <si>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</si>
  <si>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</si>
  <si>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</si>
  <si>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</si>
  <si>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</si>
  <si>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</si>
  <si>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</si>
  <si>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</si>
  <si>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</si>
  <si>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</si>
  <si>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</si>
  <si>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</si>
  <si>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</si>
  <si>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</si>
  <si>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</si>
  <si>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</si>
  <si>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</si>
  <si>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</si>
  <si>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</si>
  <si>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</si>
  <si>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</si>
  <si>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</si>
  <si>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</si>
  <si>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</si>
  <si>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</si>
  <si>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</si>
  <si>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</si>
  <si>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</si>
  <si>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</si>
  <si>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</si>
  <si>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</si>
  <si>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</si>
  <si>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</si>
  <si>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</si>
  <si>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</si>
  <si>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</si>
  <si>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</si>
  <si>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</si>
  <si>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</si>
  <si>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</si>
  <si>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</si>
  <si>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</si>
  <si>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</si>
  <si>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</si>
  <si>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</si>
  <si>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</si>
  <si>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</si>
  <si>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</si>
  <si>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</si>
  <si>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</si>
  <si>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</si>
  <si>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</si>
  <si>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</si>
  <si>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</si>
  <si>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</si>
  <si>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</si>
  <si>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</si>
  <si>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</si>
  <si>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</si>
  <si>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</si>
  <si>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</si>
  <si>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</si>
  <si>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</si>
  <si>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</si>
  <si>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</si>
  <si>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</si>
  <si>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</si>
  <si>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</si>
  <si>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</si>
  <si>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</si>
  <si>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</si>
  <si>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</si>
  <si>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</si>
  <si>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</si>
  <si>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</si>
  <si>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</si>
  <si>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</si>
  <si>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</si>
  <si>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</si>
  <si>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</si>
  <si>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</si>
  <si>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</si>
  <si>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</si>
  <si>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</si>
  <si>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</si>
  <si>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</si>
  <si>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</si>
  <si>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</si>
  <si>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</si>
  <si>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</si>
  <si>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</si>
  <si>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</si>
  <si>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</si>
  <si>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</si>
  <si>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</si>
  <si>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</si>
  <si>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</si>
  <si>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</si>
  <si>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</si>
  <si>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</si>
  <si>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</si>
  <si>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</si>
  <si>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</si>
  <si>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</si>
  <si>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</si>
  <si>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</si>
  <si>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</si>
  <si>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</si>
  <si>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</si>
  <si>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</si>
  <si>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</si>
  <si>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</si>
  <si>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</si>
  <si>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</si>
  <si>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</si>
  <si>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</si>
  <si>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</si>
  <si>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</si>
  <si>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</si>
  <si>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</si>
  <si>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</si>
  <si>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</si>
  <si>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</si>
  <si>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</si>
  <si>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</si>
  <si>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</si>
  <si>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</si>
  <si>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</si>
  <si>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</si>
  <si>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</si>
  <si>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</si>
  <si>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</si>
  <si>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</si>
  <si>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</si>
  <si>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</si>
  <si>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</si>
  <si>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</si>
  <si>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</si>
  <si>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</si>
  <si>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</si>
  <si>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</si>
  <si>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</si>
  <si>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</si>
  <si>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</si>
  <si>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</si>
  <si>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</si>
  <si>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</si>
  <si>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</si>
  <si>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</si>
  <si>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</si>
  <si>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</si>
  <si>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</si>
  <si>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</si>
  <si>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</si>
  <si>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</si>
  <si>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</si>
  <si>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</si>
  <si>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</si>
  <si>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</si>
  <si>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</si>
  <si>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</si>
  <si>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</si>
  <si>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</si>
  <si>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</si>
  <si>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</si>
  <si>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</si>
  <si>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</si>
  <si>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</si>
  <si>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GLACIAL WHITE 22191 SF</t>
  </si>
  <si>
    <t>N° 12021</t>
  </si>
  <si>
    <t xml:space="preserve">SISTEMA MUEBLES </t>
  </si>
  <si>
    <t>77.091.475-2</t>
  </si>
  <si>
    <t xml:space="preserve">+569 </t>
  </si>
  <si>
    <t>15 DIAS HABILES</t>
  </si>
  <si>
    <t>TRASCARA</t>
  </si>
  <si>
    <t>C1</t>
  </si>
  <si>
    <t>C3</t>
  </si>
  <si>
    <t>C4</t>
  </si>
  <si>
    <t>C5</t>
  </si>
  <si>
    <t>C6</t>
  </si>
  <si>
    <t>C7</t>
  </si>
  <si>
    <t>2802-3</t>
  </si>
  <si>
    <t>MISMA LAMINA</t>
  </si>
  <si>
    <t>CUBIERTA SIN RESPALDO FRENTE 180°</t>
  </si>
  <si>
    <t>CUB MESA FRENTE 180° 2 LADOS</t>
  </si>
  <si>
    <t>MDF25MM</t>
  </si>
  <si>
    <t>CORNISA FRENTE 90° R8 1 LADO</t>
  </si>
  <si>
    <t>BALANCE</t>
  </si>
  <si>
    <t>CORNISA FRENTE 180° R8 1 LADO</t>
  </si>
  <si>
    <t>2802-4</t>
  </si>
  <si>
    <t>C11</t>
  </si>
  <si>
    <t>C12</t>
  </si>
  <si>
    <t>CENEFA 90° 2 LADOS R8</t>
  </si>
  <si>
    <t>C13</t>
  </si>
  <si>
    <t>C14</t>
  </si>
  <si>
    <t>C15</t>
  </si>
  <si>
    <t>C16</t>
  </si>
  <si>
    <t>C17</t>
  </si>
  <si>
    <t>C18</t>
  </si>
  <si>
    <t>2802-5</t>
  </si>
  <si>
    <t>18mm</t>
  </si>
  <si>
    <t>30mm</t>
  </si>
  <si>
    <t>balance</t>
  </si>
  <si>
    <t>formato grande</t>
  </si>
  <si>
    <t>estándar</t>
  </si>
  <si>
    <t>despunte</t>
  </si>
  <si>
    <t xml:space="preserve">BALANCE </t>
  </si>
  <si>
    <t>1 + 1 balance</t>
  </si>
  <si>
    <t>25mm</t>
  </si>
  <si>
    <t>laminas</t>
  </si>
  <si>
    <t>mdf25</t>
  </si>
  <si>
    <t>mdf18</t>
  </si>
  <si>
    <t>mdf30mm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</si>
</sst>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  <numFmt numFmtId="176" formatCode="_-* #,##0.0_-;\-* #,##0.0_-;_-* &quot;-&quot;??_-;_-@_-"/>
  </numFmts>
  <fonts count="5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9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27" fillId="8" borderId="0" xfId="0" applyFont="1" applyFill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2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29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29" fillId="0" borderId="1" xfId="8" applyFont="1" applyBorder="1" applyAlignment="1">
      <alignment horizontal="center" vertical="center"/>
    </xf>
    <xf numFmtId="42" fontId="29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2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0" fontId="33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4" fillId="20" borderId="39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51" fillId="0" borderId="27" xfId="8" applyFont="1" applyFill="1" applyBorder="1"/>
    <xf numFmtId="42" fontId="51" fillId="18" borderId="20" xfId="8" applyFont="1" applyFill="1" applyBorder="1"/>
    <xf numFmtId="42" fontId="51" fillId="0" borderId="29" xfId="8" applyFont="1" applyFill="1" applyBorder="1"/>
    <xf numFmtId="166" fontId="50" fillId="0" borderId="1" xfId="0" applyNumberFormat="1" applyFont="1" applyBorder="1" applyAlignment="1">
      <alignment horizontal="center" vertical="center"/>
    </xf>
    <xf numFmtId="0" fontId="52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  <xf numFmtId="167" fontId="0" fillId="25" borderId="0" xfId="0" applyNumberFormat="1" applyFill="1"/>
    <xf numFmtId="167" fontId="0" fillId="16" borderId="0" xfId="0" applyNumberFormat="1" applyFill="1"/>
    <xf numFmtId="167" fontId="0" fillId="26" borderId="0" xfId="0" applyNumberFormat="1" applyFill="1"/>
    <xf numFmtId="167" fontId="11" fillId="27" borderId="0" xfId="2" applyNumberFormat="1" applyFont="1" applyFill="1" applyBorder="1" applyAlignment="1">
      <alignment horizontal="center" vertical="center"/>
    </xf>
    <xf numFmtId="176" fontId="11" fillId="27" borderId="0" xfId="2" applyNumberFormat="1" applyFont="1" applyFill="1" applyBorder="1" applyAlignment="1">
      <alignment horizontal="center" vertical="center"/>
    </xf>
    <xf numFmtId="166" fontId="29" fillId="0" borderId="1" xfId="0" applyNumberFormat="1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167" fontId="22" fillId="0" borderId="0" xfId="0" applyNumberFormat="1" applyFont="1" applyAlignment="1">
      <alignment horizontal="center"/>
    </xf>
    <xf numFmtId="42" fontId="22" fillId="0" borderId="0" xfId="0" applyNumberFormat="1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42</xdr:row>
      <xdr:rowOff>8194</xdr:rowOff>
    </xdr:from>
    <xdr:to>
      <xdr:col>12</xdr:col>
      <xdr:colOff>8193</xdr:colOff>
      <xdr:row>45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10</xdr:col>
      <xdr:colOff>222885</xdr:colOff>
      <xdr:row>44</xdr:row>
      <xdr:rowOff>154305</xdr:rowOff>
    </xdr:from>
    <xdr:to>
      <xdr:col>11</xdr:col>
      <xdr:colOff>853440</xdr:colOff>
      <xdr:row>44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42</xdr:row>
      <xdr:rowOff>9525</xdr:rowOff>
    </xdr:from>
    <xdr:to>
      <xdr:col>8</xdr:col>
      <xdr:colOff>1745226</xdr:colOff>
      <xdr:row>45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24581</xdr:colOff>
      <xdr:row>38</xdr:row>
      <xdr:rowOff>0</xdr:rowOff>
    </xdr:from>
    <xdr:to>
      <xdr:col>8</xdr:col>
      <xdr:colOff>1728839</xdr:colOff>
      <xdr:row>40</xdr:row>
      <xdr:rowOff>221225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8" y="4555613"/>
          <a:ext cx="6292646" cy="66367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SEGUN DETALLE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C596"/>
  <sheetViews>
    <sheetView tabSelected="1" topLeftCell="A30" zoomScale="93" zoomScaleNormal="93" workbookViewId="0">
      <selection activeCell="J41" sqref="J4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9.77734375" customWidth="1"/>
    <col min="5" max="5" width="9.21875" customWidth="1"/>
    <col min="6" max="6" width="10.5546875" customWidth="1"/>
    <col min="7" max="7" width="7.44140625" customWidth="1"/>
    <col min="8" max="8" width="8.5546875" customWidth="1"/>
    <col min="9" max="9" width="28.88671875" customWidth="1"/>
    <col min="10" max="10" width="20.44140625" customWidth="1"/>
    <col min="11" max="11" width="11.5546875" customWidth="1"/>
    <col min="12" max="12" width="13.33203125" customWidth="1"/>
    <col min="13" max="13" width="15.44140625" customWidth="1"/>
    <col min="14" max="14" width="13.44140625" customWidth="1"/>
    <col min="16" max="16" width="9.5546875" style="18" customWidth="1"/>
    <col min="17" max="17" width="8.88671875" customWidth="1"/>
    <col min="18" max="18" width="8.33203125" customWidth="1"/>
    <col min="19" max="19" width="9.44140625" customWidth="1"/>
    <col min="20" max="20" width="7.6640625" customWidth="1"/>
    <col min="21" max="21" width="9.44140625" customWidth="1"/>
    <col min="22" max="22" width="10.109375" customWidth="1"/>
    <col min="23" max="23" width="8.88671875" customWidth="1"/>
    <col min="24" max="24" width="9.6640625" customWidth="1"/>
    <col min="25" max="25" width="9.33203125" customWidth="1"/>
    <col min="26" max="26" width="9.6640625" customWidth="1"/>
    <col min="27" max="27" width="10.88671875" customWidth="1"/>
    <col min="28" max="28" width="10.44140625" customWidth="1"/>
    <col min="29" max="29" width="9" customWidth="1"/>
  </cols>
  <sheetData>
    <row r="2" spans="2:28" ht="15.6" x14ac:dyDescent="0.3">
      <c r="I2" s="242" t="s">
        <v>140</v>
      </c>
      <c r="J2" s="242"/>
      <c r="U2" s="2"/>
      <c r="V2" s="2"/>
      <c r="W2" s="3"/>
      <c r="X2" s="3"/>
      <c r="Y2" s="2"/>
      <c r="Z2" s="2"/>
      <c r="AA2" s="3"/>
      <c r="AB2" s="4"/>
    </row>
    <row r="3" spans="2:28" x14ac:dyDescent="0.3">
      <c r="I3" s="59" t="s">
        <v>136</v>
      </c>
      <c r="J3" s="59"/>
      <c r="U3" s="2"/>
      <c r="V3" s="2"/>
      <c r="W3" s="3"/>
      <c r="X3" s="3"/>
      <c r="Y3" s="2"/>
      <c r="Z3" s="2"/>
      <c r="AA3" s="3"/>
      <c r="AB3" s="4"/>
    </row>
    <row r="4" spans="2:28" x14ac:dyDescent="0.3">
      <c r="I4" s="59" t="s">
        <v>141</v>
      </c>
      <c r="J4" s="59"/>
      <c r="U4" s="2"/>
      <c r="V4" s="2"/>
      <c r="W4" s="3"/>
      <c r="X4" s="3"/>
      <c r="Y4" s="2"/>
      <c r="Z4" s="2"/>
      <c r="AA4" s="3"/>
      <c r="AB4" s="4"/>
    </row>
    <row r="5" spans="2:28" x14ac:dyDescent="0.3">
      <c r="I5" s="59" t="s">
        <v>14</v>
      </c>
      <c r="J5" s="59"/>
      <c r="U5" s="2"/>
      <c r="V5" s="2"/>
      <c r="W5" s="3"/>
      <c r="X5" s="3"/>
      <c r="Y5" s="2"/>
      <c r="Z5" s="2"/>
      <c r="AA5" s="3"/>
      <c r="AB5" s="4"/>
    </row>
    <row r="6" spans="2:28" ht="15.6" x14ac:dyDescent="0.3">
      <c r="I6" s="59" t="s">
        <v>161</v>
      </c>
      <c r="J6" s="59"/>
      <c r="S6" s="33" t="s">
        <v>19</v>
      </c>
      <c r="U6" s="2"/>
      <c r="V6" s="2"/>
      <c r="W6" s="3"/>
      <c r="X6" s="3"/>
      <c r="Y6" s="2"/>
      <c r="Z6" s="2"/>
      <c r="AA6" s="3"/>
    </row>
    <row r="7" spans="2:28" ht="15" thickBot="1" x14ac:dyDescent="0.35">
      <c r="I7" s="59" t="s">
        <v>123</v>
      </c>
      <c r="J7" s="59"/>
      <c r="U7" s="2"/>
      <c r="V7" s="2"/>
      <c r="W7" s="3"/>
      <c r="X7" s="3"/>
      <c r="Y7" s="2"/>
      <c r="Z7" s="2"/>
      <c r="AA7" s="3"/>
    </row>
    <row r="8" spans="2:28" ht="21.6" thickBot="1" x14ac:dyDescent="0.45">
      <c r="B8" s="401" t="s">
        <v>125</v>
      </c>
      <c r="C8" s="402"/>
      <c r="D8" s="403" t="s">
        <v>289</v>
      </c>
      <c r="I8" s="59"/>
      <c r="J8" s="59"/>
      <c r="O8" s="52"/>
      <c r="V8" s="2"/>
      <c r="W8" s="3"/>
      <c r="X8" s="3"/>
      <c r="Y8" s="2"/>
      <c r="Z8" s="2"/>
      <c r="AA8" s="3"/>
    </row>
    <row r="9" spans="2:28" ht="15" thickBot="1" x14ac:dyDescent="0.35">
      <c r="V9" s="2"/>
      <c r="W9" s="3"/>
      <c r="X9" s="3"/>
      <c r="Y9" s="4"/>
      <c r="Z9" s="2"/>
      <c r="AA9" s="3"/>
    </row>
    <row r="10" spans="2:28" x14ac:dyDescent="0.3">
      <c r="B10" s="294" t="s">
        <v>159</v>
      </c>
      <c r="C10" s="423" t="s">
        <v>290</v>
      </c>
      <c r="D10" s="243"/>
      <c r="E10" s="243"/>
      <c r="F10" s="243"/>
      <c r="G10" s="243"/>
      <c r="H10" s="243"/>
      <c r="I10" s="412" t="s">
        <v>277</v>
      </c>
      <c r="J10" s="412"/>
      <c r="K10" s="275">
        <v>45725</v>
      </c>
      <c r="L10" s="244"/>
      <c r="O10" s="1"/>
      <c r="V10" s="2"/>
      <c r="W10" s="3"/>
      <c r="X10" s="3"/>
      <c r="Y10" s="4"/>
      <c r="Z10" s="2"/>
      <c r="AA10" s="3"/>
    </row>
    <row r="11" spans="2:28" ht="16.8" x14ac:dyDescent="0.4">
      <c r="B11" s="413" t="s">
        <v>12</v>
      </c>
      <c r="C11" s="414" t="s">
        <v>291</v>
      </c>
      <c r="I11" s="29" t="s">
        <v>286</v>
      </c>
      <c r="J11" s="29"/>
      <c r="K11" s="415" t="s">
        <v>293</v>
      </c>
      <c r="L11" s="416"/>
      <c r="U11" s="19"/>
      <c r="V11" s="25" t="s">
        <v>18</v>
      </c>
      <c r="W11" s="19"/>
    </row>
    <row r="12" spans="2:28" x14ac:dyDescent="0.3">
      <c r="B12" s="245" t="s">
        <v>142</v>
      </c>
      <c r="C12" s="411"/>
      <c r="D12" s="246"/>
      <c r="E12" s="246"/>
      <c r="F12" s="246"/>
      <c r="G12" s="246"/>
      <c r="H12" s="246"/>
      <c r="I12" s="298" t="s">
        <v>126</v>
      </c>
      <c r="J12" s="298"/>
      <c r="K12" s="276" t="s">
        <v>133</v>
      </c>
      <c r="L12" s="247"/>
      <c r="U12" s="19"/>
      <c r="V12" s="25"/>
      <c r="W12" s="19"/>
    </row>
    <row r="13" spans="2:28" x14ac:dyDescent="0.3">
      <c r="B13" s="413" t="s">
        <v>143</v>
      </c>
      <c r="I13" s="29" t="s">
        <v>134</v>
      </c>
      <c r="J13" s="29"/>
      <c r="K13" s="417" t="s">
        <v>133</v>
      </c>
      <c r="L13" s="416"/>
      <c r="U13" s="19"/>
      <c r="V13" s="25"/>
      <c r="W13" s="19"/>
    </row>
    <row r="14" spans="2:28" x14ac:dyDescent="0.3">
      <c r="B14" s="245" t="s">
        <v>137</v>
      </c>
      <c r="C14" s="422"/>
      <c r="D14" s="246"/>
      <c r="E14" s="246"/>
      <c r="F14" s="246"/>
      <c r="G14" s="246"/>
      <c r="H14" s="246"/>
      <c r="I14" s="298" t="s">
        <v>285</v>
      </c>
      <c r="J14" s="298"/>
      <c r="K14" s="285" t="s">
        <v>133</v>
      </c>
      <c r="L14" s="247"/>
      <c r="O14" s="29"/>
      <c r="U14" s="20"/>
      <c r="V14" s="26" t="s">
        <v>17</v>
      </c>
      <c r="W14" s="20"/>
    </row>
    <row r="15" spans="2:28" ht="15.6" x14ac:dyDescent="0.3">
      <c r="B15" s="413" t="s">
        <v>4</v>
      </c>
      <c r="C15" s="424" t="s">
        <v>292</v>
      </c>
      <c r="D15" s="418"/>
      <c r="I15" s="29" t="s">
        <v>284</v>
      </c>
      <c r="J15" s="29"/>
      <c r="K15" s="75" t="s">
        <v>133</v>
      </c>
      <c r="L15" s="416"/>
    </row>
    <row r="16" spans="2:28" ht="16.8" x14ac:dyDescent="0.4">
      <c r="B16" s="299" t="s">
        <v>3</v>
      </c>
      <c r="C16" s="295"/>
      <c r="D16" s="246"/>
      <c r="E16" s="246"/>
      <c r="F16" s="246"/>
      <c r="G16" s="246"/>
      <c r="H16" s="246"/>
      <c r="I16" s="300" t="s">
        <v>128</v>
      </c>
      <c r="J16" s="300"/>
      <c r="K16" s="435" t="s">
        <v>160</v>
      </c>
      <c r="L16" s="247"/>
    </row>
    <row r="17" spans="2:29" ht="15" thickBot="1" x14ac:dyDescent="0.35">
      <c r="B17" s="419" t="s">
        <v>13</v>
      </c>
      <c r="C17" s="296" t="s">
        <v>287</v>
      </c>
      <c r="D17" s="297"/>
      <c r="E17" s="119"/>
      <c r="F17" s="119"/>
      <c r="G17" s="119"/>
      <c r="H17" s="119"/>
      <c r="I17" s="420" t="s">
        <v>179</v>
      </c>
      <c r="J17" s="420"/>
      <c r="K17" s="420" t="s">
        <v>180</v>
      </c>
      <c r="L17" s="421"/>
      <c r="M17" s="262"/>
      <c r="N17" s="262"/>
      <c r="X17" s="6"/>
      <c r="Y17" s="6"/>
    </row>
    <row r="18" spans="2:29" ht="15.75" customHeight="1" thickBot="1" x14ac:dyDescent="0.35">
      <c r="N18" s="47"/>
      <c r="O18" s="5"/>
      <c r="Z18" s="9"/>
      <c r="AB18" s="6"/>
      <c r="AC18" s="6"/>
    </row>
    <row r="19" spans="2:29" ht="13.5" customHeight="1" thickBot="1" x14ac:dyDescent="0.35">
      <c r="B19" s="436" t="s">
        <v>95</v>
      </c>
      <c r="C19" s="437"/>
      <c r="D19" s="437"/>
      <c r="E19" s="437"/>
      <c r="F19" s="437"/>
      <c r="G19" s="437"/>
      <c r="H19" s="437"/>
      <c r="I19" s="437"/>
      <c r="J19" s="437"/>
      <c r="K19" s="437"/>
      <c r="L19" s="438"/>
      <c r="M19" s="263"/>
      <c r="N19" s="263"/>
      <c r="O19" s="5"/>
      <c r="P19" s="249"/>
      <c r="Q19" s="14">
        <v>0.08</v>
      </c>
      <c r="R19" s="14"/>
      <c r="S19" s="14"/>
      <c r="T19" s="250" t="s">
        <v>6</v>
      </c>
      <c r="U19" s="36" t="s">
        <v>20</v>
      </c>
      <c r="V19" s="37" t="s">
        <v>132</v>
      </c>
      <c r="W19" s="10" t="s">
        <v>135</v>
      </c>
      <c r="Y19" s="9"/>
      <c r="Z19" s="9"/>
      <c r="AB19" s="6"/>
      <c r="AC19" s="6"/>
    </row>
    <row r="20" spans="2:29" ht="17.399999999999999" x14ac:dyDescent="0.3">
      <c r="B20" s="404" t="s">
        <v>7</v>
      </c>
      <c r="C20" s="405" t="s">
        <v>1</v>
      </c>
      <c r="D20" s="405" t="s">
        <v>10</v>
      </c>
      <c r="E20" s="405" t="s">
        <v>11</v>
      </c>
      <c r="F20" s="426" t="s">
        <v>265</v>
      </c>
      <c r="G20" s="405" t="s">
        <v>1</v>
      </c>
      <c r="H20" s="405" t="s">
        <v>275</v>
      </c>
      <c r="I20" s="405" t="s">
        <v>8</v>
      </c>
      <c r="J20" s="405" t="s">
        <v>294</v>
      </c>
      <c r="K20" s="405" t="s">
        <v>5</v>
      </c>
      <c r="L20" s="406" t="s">
        <v>6</v>
      </c>
      <c r="M20" s="264" t="s">
        <v>323</v>
      </c>
      <c r="N20" s="264" t="s">
        <v>324</v>
      </c>
      <c r="O20" s="47"/>
      <c r="P20" s="267" t="str">
        <f>B20</f>
        <v>UNIDAD</v>
      </c>
      <c r="Q20" s="266" t="s">
        <v>130</v>
      </c>
      <c r="R20" s="39" t="str">
        <f>E20</f>
        <v>ANCHO</v>
      </c>
      <c r="S20" s="260" t="s">
        <v>131</v>
      </c>
      <c r="T20" s="258" t="s">
        <v>16</v>
      </c>
      <c r="U20" s="251">
        <f>S53</f>
        <v>181220.05220015493</v>
      </c>
      <c r="V20" s="257">
        <v>3000</v>
      </c>
      <c r="W20" s="38"/>
      <c r="X20" s="14" t="s">
        <v>127</v>
      </c>
      <c r="Y20" s="9"/>
      <c r="AB20" s="4"/>
    </row>
    <row r="21" spans="2:29" ht="17.399999999999999" x14ac:dyDescent="0.3">
      <c r="B21" s="427">
        <v>1</v>
      </c>
      <c r="C21" s="428" t="s">
        <v>303</v>
      </c>
      <c r="D21" s="464">
        <v>1.046</v>
      </c>
      <c r="E21" s="464">
        <v>0.49</v>
      </c>
      <c r="F21" s="434" t="s">
        <v>305</v>
      </c>
      <c r="G21" s="429" t="s">
        <v>295</v>
      </c>
      <c r="H21" s="429" t="s">
        <v>301</v>
      </c>
      <c r="I21" s="427" t="s">
        <v>288</v>
      </c>
      <c r="J21" s="427" t="s">
        <v>302</v>
      </c>
      <c r="K21" s="430">
        <v>49816</v>
      </c>
      <c r="L21" s="430">
        <f>K21*B21</f>
        <v>49816</v>
      </c>
      <c r="M21" s="462" t="s">
        <v>325</v>
      </c>
      <c r="N21" s="264"/>
      <c r="O21" s="47"/>
      <c r="P21" s="47"/>
      <c r="Q21" s="39">
        <f>D21+Q$19</f>
        <v>1.1260000000000001</v>
      </c>
      <c r="R21" s="39">
        <f>E21+$R$19</f>
        <v>0.49</v>
      </c>
      <c r="S21" s="260">
        <f t="shared" ref="S21" si="0">Q21*R21</f>
        <v>0.55174000000000001</v>
      </c>
      <c r="T21" s="258">
        <f t="shared" ref="T21" si="1">S21*P21</f>
        <v>0</v>
      </c>
      <c r="U21" s="251">
        <f t="shared" ref="U21" si="2">U$20*S21</f>
        <v>99986.351600913476</v>
      </c>
      <c r="V21" s="301"/>
      <c r="W21" s="287">
        <f>Q21*P21</f>
        <v>0</v>
      </c>
      <c r="X21" s="46">
        <f>R21*2*P21*2</f>
        <v>0</v>
      </c>
      <c r="Y21" s="9"/>
      <c r="AB21" s="4"/>
    </row>
    <row r="22" spans="2:29" ht="17.399999999999999" x14ac:dyDescent="0.3">
      <c r="B22" s="427">
        <v>7</v>
      </c>
      <c r="C22" s="428" t="s">
        <v>304</v>
      </c>
      <c r="D22" s="464">
        <v>1.05</v>
      </c>
      <c r="E22" s="464">
        <v>0.38700000000000001</v>
      </c>
      <c r="F22" s="434" t="s">
        <v>305</v>
      </c>
      <c r="G22" s="429" t="s">
        <v>296</v>
      </c>
      <c r="H22" s="429" t="s">
        <v>301</v>
      </c>
      <c r="I22" s="427" t="s">
        <v>288</v>
      </c>
      <c r="J22" s="427" t="s">
        <v>302</v>
      </c>
      <c r="K22" s="430">
        <v>40107</v>
      </c>
      <c r="L22" s="430">
        <f>K22*B22</f>
        <v>280749</v>
      </c>
      <c r="M22" s="462"/>
      <c r="N22" s="264"/>
      <c r="O22" s="47"/>
      <c r="P22" s="47"/>
      <c r="Q22" s="39">
        <f>D22+Q$19</f>
        <v>1.1300000000000001</v>
      </c>
      <c r="R22" s="39">
        <f>E22+$R$19</f>
        <v>0.38700000000000001</v>
      </c>
      <c r="S22" s="260">
        <f t="shared" ref="S22" si="3">Q22*R22</f>
        <v>0.43731000000000003</v>
      </c>
      <c r="T22" s="258">
        <f t="shared" ref="T22" si="4">S22*P22</f>
        <v>0</v>
      </c>
      <c r="U22" s="251">
        <f t="shared" ref="U22" si="5">U$20*S22</f>
        <v>79249.34102764976</v>
      </c>
      <c r="V22" s="301"/>
      <c r="W22" s="287">
        <f>Q22*P22</f>
        <v>0</v>
      </c>
      <c r="X22" s="46"/>
      <c r="Y22" s="9"/>
      <c r="AB22" s="4"/>
    </row>
    <row r="23" spans="2:29" ht="17.399999999999999" x14ac:dyDescent="0.3">
      <c r="B23" s="427">
        <v>7</v>
      </c>
      <c r="C23" s="428" t="s">
        <v>306</v>
      </c>
      <c r="D23" s="464">
        <v>1.05</v>
      </c>
      <c r="E23" s="464">
        <v>0.18</v>
      </c>
      <c r="F23" s="434" t="s">
        <v>274</v>
      </c>
      <c r="G23" s="429" t="s">
        <v>297</v>
      </c>
      <c r="H23" s="429" t="s">
        <v>301</v>
      </c>
      <c r="I23" s="427" t="s">
        <v>288</v>
      </c>
      <c r="J23" s="427" t="s">
        <v>307</v>
      </c>
      <c r="K23" s="430">
        <v>23370</v>
      </c>
      <c r="L23" s="430">
        <f t="shared" ref="L23:L36" si="6">K23*B23</f>
        <v>163590</v>
      </c>
      <c r="M23" s="302"/>
      <c r="N23" s="264" t="s">
        <v>327</v>
      </c>
      <c r="O23" s="459" t="s">
        <v>320</v>
      </c>
      <c r="P23" s="461"/>
      <c r="Q23" s="39">
        <f t="shared" ref="Q23:Q36" si="7">D23+Q$19</f>
        <v>1.1300000000000001</v>
      </c>
      <c r="R23" s="39">
        <f t="shared" ref="R23:R36" si="8">E23+$R$19</f>
        <v>0.18</v>
      </c>
      <c r="S23" s="260">
        <f t="shared" ref="S23:S36" si="9">Q23*R23</f>
        <v>0.20340000000000003</v>
      </c>
      <c r="T23" s="258">
        <f t="shared" ref="T23:T36" si="10">S23*P23</f>
        <v>0</v>
      </c>
      <c r="U23" s="251">
        <f t="shared" ref="U23:U36" si="11">U$20*S23</f>
        <v>36860.158617511515</v>
      </c>
      <c r="V23" s="301">
        <f t="shared" ref="V23:V36" si="12">U23+V$20</f>
        <v>39860.158617511515</v>
      </c>
      <c r="W23" s="38">
        <f>V23*P23</f>
        <v>0</v>
      </c>
      <c r="X23" s="46"/>
      <c r="Y23" s="9"/>
      <c r="AB23" s="4"/>
    </row>
    <row r="24" spans="2:29" ht="17.399999999999999" x14ac:dyDescent="0.3">
      <c r="B24" s="427">
        <v>7</v>
      </c>
      <c r="C24" s="428" t="s">
        <v>308</v>
      </c>
      <c r="D24" s="464">
        <v>1.05</v>
      </c>
      <c r="E24" s="464">
        <v>0.155</v>
      </c>
      <c r="F24" s="434" t="s">
        <v>155</v>
      </c>
      <c r="G24" s="429" t="s">
        <v>298</v>
      </c>
      <c r="H24" s="429" t="s">
        <v>301</v>
      </c>
      <c r="I24" s="427" t="s">
        <v>288</v>
      </c>
      <c r="J24" s="427" t="s">
        <v>302</v>
      </c>
      <c r="K24" s="430">
        <v>32390</v>
      </c>
      <c r="L24" s="430">
        <f t="shared" si="6"/>
        <v>226730</v>
      </c>
      <c r="M24" s="302"/>
      <c r="N24" s="264"/>
      <c r="O24" s="460" t="s">
        <v>321</v>
      </c>
      <c r="P24" s="461">
        <f t="shared" ref="P22:P36" si="13">B24</f>
        <v>7</v>
      </c>
      <c r="Q24" s="39">
        <f t="shared" si="7"/>
        <v>1.1300000000000001</v>
      </c>
      <c r="R24" s="39">
        <f t="shared" si="8"/>
        <v>0.155</v>
      </c>
      <c r="S24" s="260">
        <f t="shared" si="9"/>
        <v>0.17515000000000003</v>
      </c>
      <c r="T24" s="258">
        <f t="shared" si="10"/>
        <v>1.2260500000000003</v>
      </c>
      <c r="U24" s="251">
        <f t="shared" si="11"/>
        <v>31740.69214285714</v>
      </c>
      <c r="V24" s="301">
        <f t="shared" si="12"/>
        <v>34740.692142857137</v>
      </c>
      <c r="W24" s="287">
        <f t="shared" ref="W23:W36" si="14">Q24*P24</f>
        <v>7.910000000000001</v>
      </c>
      <c r="X24" s="46"/>
      <c r="Y24" s="9"/>
      <c r="AB24" s="4"/>
    </row>
    <row r="25" spans="2:29" ht="17.399999999999999" x14ac:dyDescent="0.3">
      <c r="B25" s="427">
        <v>1</v>
      </c>
      <c r="C25" s="428" t="s">
        <v>304</v>
      </c>
      <c r="D25" s="464">
        <v>1.05</v>
      </c>
      <c r="E25" s="464">
        <v>1.0629999999999999</v>
      </c>
      <c r="F25" s="434" t="s">
        <v>305</v>
      </c>
      <c r="G25" s="429" t="s">
        <v>299</v>
      </c>
      <c r="H25" s="429" t="s">
        <v>301</v>
      </c>
      <c r="I25" s="427" t="s">
        <v>288</v>
      </c>
      <c r="J25" s="466" t="s">
        <v>326</v>
      </c>
      <c r="K25" s="430">
        <v>104923</v>
      </c>
      <c r="L25" s="430">
        <f t="shared" si="6"/>
        <v>104923</v>
      </c>
      <c r="M25" s="302"/>
      <c r="N25" s="465">
        <v>1</v>
      </c>
      <c r="O25" s="47"/>
      <c r="P25" s="461"/>
      <c r="Q25" s="39">
        <f t="shared" si="7"/>
        <v>1.1300000000000001</v>
      </c>
      <c r="R25" s="39">
        <f t="shared" si="8"/>
        <v>1.0629999999999999</v>
      </c>
      <c r="S25" s="260">
        <f t="shared" si="9"/>
        <v>1.20119</v>
      </c>
      <c r="T25" s="258">
        <f t="shared" si="10"/>
        <v>0</v>
      </c>
      <c r="U25" s="251">
        <f t="shared" si="11"/>
        <v>217679.71450230409</v>
      </c>
      <c r="V25" s="301"/>
      <c r="W25" s="287">
        <f t="shared" si="14"/>
        <v>0</v>
      </c>
      <c r="X25" s="46"/>
      <c r="Y25" s="9"/>
      <c r="AB25" s="4"/>
    </row>
    <row r="26" spans="2:29" ht="17.399999999999999" x14ac:dyDescent="0.3">
      <c r="B26" s="427">
        <v>6</v>
      </c>
      <c r="C26" s="428" t="s">
        <v>303</v>
      </c>
      <c r="D26" s="464">
        <v>1.05</v>
      </c>
      <c r="E26" s="464">
        <v>0.7</v>
      </c>
      <c r="F26" s="434" t="s">
        <v>305</v>
      </c>
      <c r="G26" s="429" t="s">
        <v>300</v>
      </c>
      <c r="H26" s="429" t="s">
        <v>301</v>
      </c>
      <c r="I26" s="427" t="s">
        <v>288</v>
      </c>
      <c r="J26" s="466" t="s">
        <v>326</v>
      </c>
      <c r="K26" s="430">
        <v>70118</v>
      </c>
      <c r="L26" s="430">
        <f t="shared" si="6"/>
        <v>420708</v>
      </c>
      <c r="M26" s="462">
        <v>1</v>
      </c>
      <c r="N26" s="264"/>
      <c r="O26" s="47"/>
      <c r="P26" s="461"/>
      <c r="Q26" s="39">
        <f t="shared" si="7"/>
        <v>1.1300000000000001</v>
      </c>
      <c r="R26" s="39">
        <f t="shared" si="8"/>
        <v>0.7</v>
      </c>
      <c r="S26" s="260">
        <f t="shared" si="9"/>
        <v>0.79100000000000004</v>
      </c>
      <c r="T26" s="258">
        <f t="shared" si="10"/>
        <v>0</v>
      </c>
      <c r="U26" s="251">
        <f t="shared" si="11"/>
        <v>143345.06129032254</v>
      </c>
      <c r="V26" s="301"/>
      <c r="W26" s="287">
        <f t="shared" si="14"/>
        <v>0</v>
      </c>
      <c r="X26" s="46"/>
      <c r="Y26" s="9"/>
      <c r="AB26" s="4"/>
    </row>
    <row r="27" spans="2:29" ht="17.399999999999999" x14ac:dyDescent="0.3">
      <c r="B27" s="427">
        <v>1</v>
      </c>
      <c r="C27" s="428" t="s">
        <v>304</v>
      </c>
      <c r="D27" s="464">
        <v>1.05</v>
      </c>
      <c r="E27" s="464">
        <v>1.0629999999999999</v>
      </c>
      <c r="F27" s="434" t="s">
        <v>305</v>
      </c>
      <c r="G27" s="429" t="s">
        <v>299</v>
      </c>
      <c r="H27" s="429" t="s">
        <v>309</v>
      </c>
      <c r="I27" s="427" t="s">
        <v>288</v>
      </c>
      <c r="J27" s="466" t="s">
        <v>326</v>
      </c>
      <c r="K27" s="430">
        <v>104923</v>
      </c>
      <c r="L27" s="430">
        <f t="shared" si="6"/>
        <v>104923</v>
      </c>
      <c r="M27" s="302"/>
      <c r="N27" s="465"/>
      <c r="O27" s="47"/>
      <c r="P27" s="461"/>
      <c r="Q27" s="39">
        <f t="shared" si="7"/>
        <v>1.1300000000000001</v>
      </c>
      <c r="R27" s="39">
        <f t="shared" si="8"/>
        <v>1.0629999999999999</v>
      </c>
      <c r="S27" s="260">
        <f t="shared" si="9"/>
        <v>1.20119</v>
      </c>
      <c r="T27" s="258">
        <f t="shared" si="10"/>
        <v>0</v>
      </c>
      <c r="U27" s="251">
        <f t="shared" si="11"/>
        <v>217679.71450230409</v>
      </c>
      <c r="V27" s="301"/>
      <c r="W27" s="287">
        <f t="shared" si="14"/>
        <v>0</v>
      </c>
      <c r="X27" s="46"/>
      <c r="Y27" s="9"/>
      <c r="AB27" s="4"/>
    </row>
    <row r="28" spans="2:29" ht="17.399999999999999" x14ac:dyDescent="0.3">
      <c r="B28" s="427">
        <v>1</v>
      </c>
      <c r="C28" s="428" t="s">
        <v>306</v>
      </c>
      <c r="D28" s="464">
        <v>2.89</v>
      </c>
      <c r="E28" s="464">
        <v>0.18</v>
      </c>
      <c r="F28" s="434" t="s">
        <v>274</v>
      </c>
      <c r="G28" s="429" t="s">
        <v>297</v>
      </c>
      <c r="H28" s="429" t="s">
        <v>309</v>
      </c>
      <c r="I28" s="427" t="s">
        <v>288</v>
      </c>
      <c r="J28" s="466" t="s">
        <v>307</v>
      </c>
      <c r="K28" s="430">
        <v>51283</v>
      </c>
      <c r="L28" s="430">
        <f t="shared" si="6"/>
        <v>51283</v>
      </c>
      <c r="M28" s="302"/>
      <c r="N28" s="264" t="s">
        <v>327</v>
      </c>
      <c r="O28" s="459" t="s">
        <v>320</v>
      </c>
      <c r="P28" s="461"/>
      <c r="Q28" s="39">
        <f t="shared" si="7"/>
        <v>2.97</v>
      </c>
      <c r="R28" s="39">
        <f t="shared" si="8"/>
        <v>0.18</v>
      </c>
      <c r="S28" s="260">
        <f t="shared" si="9"/>
        <v>0.53459999999999996</v>
      </c>
      <c r="T28" s="258">
        <f t="shared" si="10"/>
        <v>0</v>
      </c>
      <c r="U28" s="251">
        <f t="shared" si="11"/>
        <v>96880.239906202813</v>
      </c>
      <c r="V28" s="301">
        <f t="shared" si="12"/>
        <v>99880.239906202813</v>
      </c>
      <c r="W28" s="38">
        <f>V28*P28</f>
        <v>0</v>
      </c>
      <c r="X28" s="46"/>
      <c r="Y28" s="9"/>
      <c r="AB28" s="4"/>
    </row>
    <row r="29" spans="2:29" ht="17.399999999999999" x14ac:dyDescent="0.3">
      <c r="B29" s="427">
        <v>2</v>
      </c>
      <c r="C29" s="428" t="s">
        <v>312</v>
      </c>
      <c r="D29" s="464">
        <v>1.65</v>
      </c>
      <c r="E29" s="464">
        <v>0.38700000000000001</v>
      </c>
      <c r="F29" s="434" t="s">
        <v>305</v>
      </c>
      <c r="G29" s="429" t="s">
        <v>310</v>
      </c>
      <c r="H29" s="429" t="s">
        <v>309</v>
      </c>
      <c r="I29" s="427" t="s">
        <v>288</v>
      </c>
      <c r="J29" s="466" t="s">
        <v>302</v>
      </c>
      <c r="K29" s="430">
        <v>59809</v>
      </c>
      <c r="L29" s="430">
        <f t="shared" si="6"/>
        <v>119618</v>
      </c>
      <c r="M29" s="463">
        <v>0.5</v>
      </c>
      <c r="N29" s="264"/>
      <c r="O29" s="47"/>
      <c r="P29" s="47"/>
      <c r="Q29" s="39">
        <f t="shared" si="7"/>
        <v>1.73</v>
      </c>
      <c r="R29" s="39">
        <f t="shared" si="8"/>
        <v>0.38700000000000001</v>
      </c>
      <c r="S29" s="260">
        <f t="shared" si="9"/>
        <v>0.66951000000000005</v>
      </c>
      <c r="T29" s="258">
        <f t="shared" si="10"/>
        <v>0</v>
      </c>
      <c r="U29" s="251">
        <f t="shared" si="11"/>
        <v>121328.63714852573</v>
      </c>
      <c r="V29" s="301"/>
      <c r="W29" s="287">
        <f t="shared" si="14"/>
        <v>0</v>
      </c>
      <c r="X29" s="46"/>
      <c r="Y29" s="9"/>
      <c r="AB29" s="4"/>
    </row>
    <row r="30" spans="2:29" ht="17.399999999999999" x14ac:dyDescent="0.3">
      <c r="B30" s="427">
        <v>1</v>
      </c>
      <c r="C30" s="428" t="s">
        <v>303</v>
      </c>
      <c r="D30" s="464">
        <v>2.89</v>
      </c>
      <c r="E30" s="464">
        <v>0.8</v>
      </c>
      <c r="F30" s="434" t="s">
        <v>305</v>
      </c>
      <c r="G30" s="429" t="s">
        <v>311</v>
      </c>
      <c r="H30" s="429" t="s">
        <v>309</v>
      </c>
      <c r="I30" s="427" t="s">
        <v>288</v>
      </c>
      <c r="J30" s="466" t="s">
        <v>307</v>
      </c>
      <c r="K30" s="430">
        <v>204608</v>
      </c>
      <c r="L30" s="430">
        <f t="shared" si="6"/>
        <v>204608</v>
      </c>
      <c r="M30" s="302"/>
      <c r="N30" s="465">
        <v>1</v>
      </c>
      <c r="O30" s="47"/>
      <c r="P30" s="461"/>
      <c r="Q30" s="39">
        <f t="shared" si="7"/>
        <v>2.97</v>
      </c>
      <c r="R30" s="39">
        <f t="shared" si="8"/>
        <v>0.8</v>
      </c>
      <c r="S30" s="260">
        <f t="shared" si="9"/>
        <v>2.3760000000000003</v>
      </c>
      <c r="T30" s="258">
        <f t="shared" si="10"/>
        <v>0</v>
      </c>
      <c r="U30" s="251">
        <f t="shared" si="11"/>
        <v>430578.84402756818</v>
      </c>
      <c r="V30" s="301"/>
      <c r="W30" s="287">
        <f t="shared" si="14"/>
        <v>0</v>
      </c>
      <c r="X30" s="46"/>
      <c r="Y30" s="9"/>
      <c r="AB30" s="4"/>
    </row>
    <row r="31" spans="2:29" ht="15.6" x14ac:dyDescent="0.3">
      <c r="B31" s="427">
        <v>1</v>
      </c>
      <c r="C31" s="428" t="s">
        <v>304</v>
      </c>
      <c r="D31" s="464">
        <v>1.575</v>
      </c>
      <c r="E31" s="464">
        <v>1.0629999999999999</v>
      </c>
      <c r="F31" s="434" t="s">
        <v>305</v>
      </c>
      <c r="G31" s="429" t="s">
        <v>313</v>
      </c>
      <c r="H31" s="429" t="s">
        <v>319</v>
      </c>
      <c r="I31" s="427" t="s">
        <v>288</v>
      </c>
      <c r="J31" s="466" t="s">
        <v>307</v>
      </c>
      <c r="K31" s="430">
        <v>152277</v>
      </c>
      <c r="L31" s="430">
        <f t="shared" si="6"/>
        <v>152277</v>
      </c>
      <c r="M31" s="462">
        <v>1</v>
      </c>
      <c r="O31" s="47"/>
      <c r="P31" s="461"/>
      <c r="Q31" s="39">
        <f t="shared" si="7"/>
        <v>1.655</v>
      </c>
      <c r="R31" s="39">
        <f t="shared" si="8"/>
        <v>1.0629999999999999</v>
      </c>
      <c r="S31" s="260">
        <f t="shared" si="9"/>
        <v>1.7592649999999999</v>
      </c>
      <c r="T31" s="258">
        <f t="shared" si="10"/>
        <v>0</v>
      </c>
      <c r="U31" s="251">
        <f t="shared" si="11"/>
        <v>318814.09513390553</v>
      </c>
      <c r="V31" s="301"/>
      <c r="W31" s="287">
        <f t="shared" si="14"/>
        <v>0</v>
      </c>
      <c r="X31" s="46"/>
      <c r="Y31" s="9"/>
      <c r="AB31" s="4"/>
    </row>
    <row r="32" spans="2:29" ht="17.399999999999999" x14ac:dyDescent="0.3">
      <c r="B32" s="427">
        <v>1</v>
      </c>
      <c r="C32" s="428" t="s">
        <v>304</v>
      </c>
      <c r="D32" s="464">
        <v>1.4750000000000001</v>
      </c>
      <c r="E32" s="464">
        <v>1.0629999999999999</v>
      </c>
      <c r="F32" s="434" t="s">
        <v>305</v>
      </c>
      <c r="G32" s="429" t="s">
        <v>314</v>
      </c>
      <c r="H32" s="429" t="s">
        <v>319</v>
      </c>
      <c r="I32" s="427" t="s">
        <v>288</v>
      </c>
      <c r="J32" s="466" t="s">
        <v>307</v>
      </c>
      <c r="K32" s="430">
        <v>143257</v>
      </c>
      <c r="L32" s="430">
        <f t="shared" si="6"/>
        <v>143257</v>
      </c>
      <c r="M32" s="462"/>
      <c r="N32" s="264"/>
      <c r="O32" s="47"/>
      <c r="P32" s="461"/>
      <c r="Q32" s="39">
        <f t="shared" si="7"/>
        <v>1.5550000000000002</v>
      </c>
      <c r="R32" s="39">
        <f t="shared" si="8"/>
        <v>1.0629999999999999</v>
      </c>
      <c r="S32" s="260">
        <f t="shared" si="9"/>
        <v>1.652965</v>
      </c>
      <c r="T32" s="258">
        <f t="shared" si="10"/>
        <v>0</v>
      </c>
      <c r="U32" s="251">
        <f t="shared" si="11"/>
        <v>299550.40358502907</v>
      </c>
      <c r="V32" s="301"/>
      <c r="W32" s="287">
        <f t="shared" si="14"/>
        <v>0</v>
      </c>
      <c r="X32" s="46"/>
      <c r="Y32" s="9"/>
      <c r="AB32" s="4"/>
    </row>
    <row r="33" spans="1:28" ht="17.399999999999999" x14ac:dyDescent="0.3">
      <c r="B33" s="427">
        <v>4</v>
      </c>
      <c r="C33" s="428" t="s">
        <v>312</v>
      </c>
      <c r="D33" s="464">
        <v>1.575</v>
      </c>
      <c r="E33" s="464">
        <v>0.4</v>
      </c>
      <c r="F33" s="434" t="s">
        <v>305</v>
      </c>
      <c r="G33" s="429" t="s">
        <v>315</v>
      </c>
      <c r="H33" s="429" t="s">
        <v>319</v>
      </c>
      <c r="I33" s="427" t="s">
        <v>288</v>
      </c>
      <c r="J33" s="466" t="s">
        <v>302</v>
      </c>
      <c r="K33" s="430">
        <v>59172</v>
      </c>
      <c r="L33" s="430">
        <f t="shared" si="6"/>
        <v>236688</v>
      </c>
      <c r="M33" s="463">
        <v>1.5</v>
      </c>
      <c r="N33" s="264"/>
      <c r="O33" s="47"/>
      <c r="P33" s="47"/>
      <c r="Q33" s="39">
        <f t="shared" si="7"/>
        <v>1.655</v>
      </c>
      <c r="R33" s="39">
        <f t="shared" si="8"/>
        <v>0.4</v>
      </c>
      <c r="S33" s="260">
        <f t="shared" si="9"/>
        <v>0.66200000000000003</v>
      </c>
      <c r="T33" s="258">
        <f t="shared" si="10"/>
        <v>0</v>
      </c>
      <c r="U33" s="251">
        <f t="shared" si="11"/>
        <v>119967.67455650256</v>
      </c>
      <c r="V33" s="301"/>
      <c r="W33" s="287">
        <f t="shared" si="14"/>
        <v>0</v>
      </c>
      <c r="X33" s="46"/>
      <c r="Y33" s="9"/>
      <c r="AB33" s="4"/>
    </row>
    <row r="34" spans="1:28" ht="17.399999999999999" x14ac:dyDescent="0.3">
      <c r="B34" s="427">
        <v>5</v>
      </c>
      <c r="C34" s="428" t="s">
        <v>312</v>
      </c>
      <c r="D34" s="464">
        <v>1.4750000000000001</v>
      </c>
      <c r="E34" s="464">
        <v>0.4</v>
      </c>
      <c r="F34" s="434" t="s">
        <v>305</v>
      </c>
      <c r="G34" s="429" t="s">
        <v>316</v>
      </c>
      <c r="H34" s="429" t="s">
        <v>319</v>
      </c>
      <c r="I34" s="427" t="s">
        <v>288</v>
      </c>
      <c r="J34" s="466" t="s">
        <v>302</v>
      </c>
      <c r="K34" s="430">
        <v>55778</v>
      </c>
      <c r="L34" s="430">
        <f t="shared" si="6"/>
        <v>278890</v>
      </c>
      <c r="M34" s="462">
        <v>1</v>
      </c>
      <c r="N34" s="264"/>
      <c r="O34" s="47"/>
      <c r="P34" s="47"/>
      <c r="Q34" s="39">
        <f t="shared" si="7"/>
        <v>1.5550000000000002</v>
      </c>
      <c r="R34" s="39">
        <f t="shared" si="8"/>
        <v>0.4</v>
      </c>
      <c r="S34" s="260">
        <f t="shared" si="9"/>
        <v>0.62200000000000011</v>
      </c>
      <c r="T34" s="258">
        <f t="shared" si="10"/>
        <v>0</v>
      </c>
      <c r="U34" s="251">
        <f t="shared" si="11"/>
        <v>112718.87246849638</v>
      </c>
      <c r="V34" s="301"/>
      <c r="W34" s="287">
        <f t="shared" si="14"/>
        <v>0</v>
      </c>
      <c r="X34" s="46"/>
      <c r="Y34" s="9"/>
      <c r="AB34" s="4"/>
    </row>
    <row r="35" spans="1:28" ht="17.399999999999999" x14ac:dyDescent="0.3">
      <c r="B35" s="427">
        <v>4</v>
      </c>
      <c r="C35" s="428" t="s">
        <v>303</v>
      </c>
      <c r="D35" s="464">
        <v>1.575</v>
      </c>
      <c r="E35" s="464">
        <v>0.79</v>
      </c>
      <c r="F35" s="434" t="s">
        <v>305</v>
      </c>
      <c r="G35" s="429" t="s">
        <v>317</v>
      </c>
      <c r="H35" s="429" t="s">
        <v>319</v>
      </c>
      <c r="I35" s="427" t="s">
        <v>288</v>
      </c>
      <c r="J35" s="466" t="s">
        <v>307</v>
      </c>
      <c r="K35" s="430">
        <v>113940</v>
      </c>
      <c r="L35" s="430">
        <f t="shared" si="6"/>
        <v>455760</v>
      </c>
      <c r="M35" s="463">
        <v>4.5</v>
      </c>
      <c r="N35" s="264"/>
      <c r="O35" s="47"/>
      <c r="P35" s="461"/>
      <c r="Q35" s="39">
        <f t="shared" si="7"/>
        <v>1.655</v>
      </c>
      <c r="R35" s="39">
        <f t="shared" si="8"/>
        <v>0.79</v>
      </c>
      <c r="S35" s="260">
        <f t="shared" si="9"/>
        <v>1.30745</v>
      </c>
      <c r="T35" s="258">
        <f t="shared" si="10"/>
        <v>0</v>
      </c>
      <c r="U35" s="251">
        <f t="shared" si="11"/>
        <v>236936.15724909256</v>
      </c>
      <c r="V35" s="301"/>
      <c r="W35" s="287">
        <f t="shared" si="14"/>
        <v>0</v>
      </c>
      <c r="X35" s="46"/>
      <c r="Y35" s="9"/>
      <c r="AB35" s="4"/>
    </row>
    <row r="36" spans="1:28" ht="17.399999999999999" x14ac:dyDescent="0.3">
      <c r="B36" s="427">
        <v>5</v>
      </c>
      <c r="C36" s="428" t="s">
        <v>303</v>
      </c>
      <c r="D36" s="464">
        <v>1.4750000000000001</v>
      </c>
      <c r="E36" s="464">
        <v>0.79</v>
      </c>
      <c r="F36" s="434" t="s">
        <v>305</v>
      </c>
      <c r="G36" s="429" t="s">
        <v>318</v>
      </c>
      <c r="H36" s="429" t="s">
        <v>319</v>
      </c>
      <c r="I36" s="427" t="s">
        <v>288</v>
      </c>
      <c r="J36" s="466" t="s">
        <v>307</v>
      </c>
      <c r="K36" s="430">
        <v>107236</v>
      </c>
      <c r="L36" s="430">
        <f t="shared" si="6"/>
        <v>536180</v>
      </c>
      <c r="M36" s="462"/>
      <c r="N36" s="264"/>
      <c r="O36" s="47"/>
      <c r="P36" s="461"/>
      <c r="Q36" s="39">
        <f t="shared" si="7"/>
        <v>1.5550000000000002</v>
      </c>
      <c r="R36" s="39">
        <f t="shared" si="8"/>
        <v>0.79</v>
      </c>
      <c r="S36" s="260">
        <f t="shared" si="9"/>
        <v>1.2284500000000003</v>
      </c>
      <c r="T36" s="258">
        <f t="shared" si="10"/>
        <v>0</v>
      </c>
      <c r="U36" s="251">
        <f t="shared" si="11"/>
        <v>222619.77312528036</v>
      </c>
      <c r="V36" s="301"/>
      <c r="W36" s="287">
        <f t="shared" si="14"/>
        <v>0</v>
      </c>
      <c r="X36" s="46"/>
      <c r="Y36" s="9"/>
      <c r="AB36" s="4"/>
    </row>
    <row r="37" spans="1:28" ht="17.399999999999999" x14ac:dyDescent="0.3">
      <c r="B37" s="283"/>
      <c r="C37" s="320"/>
      <c r="D37" s="284"/>
      <c r="E37" s="284"/>
      <c r="F37" s="284"/>
      <c r="G37" s="284"/>
      <c r="H37" s="284"/>
      <c r="I37" s="283"/>
      <c r="J37" s="283"/>
      <c r="K37" s="302"/>
      <c r="L37" s="302"/>
      <c r="M37" s="302"/>
      <c r="N37" s="264"/>
      <c r="O37" s="47"/>
      <c r="P37" s="47"/>
      <c r="Q37" s="39"/>
      <c r="R37" s="39"/>
      <c r="S37" s="260"/>
      <c r="T37" s="258"/>
      <c r="U37" s="251"/>
      <c r="V37" s="301"/>
      <c r="W37" s="287"/>
      <c r="X37" s="46"/>
      <c r="Y37" s="9"/>
      <c r="AB37" s="4"/>
    </row>
    <row r="38" spans="1:28" ht="18" thickBot="1" x14ac:dyDescent="0.35">
      <c r="B38" s="283"/>
      <c r="C38" s="320"/>
      <c r="D38" s="284"/>
      <c r="E38" s="284"/>
      <c r="F38" s="284"/>
      <c r="G38" s="284"/>
      <c r="H38" s="284"/>
      <c r="I38" s="283"/>
      <c r="J38" s="283"/>
      <c r="K38" s="264"/>
      <c r="L38" s="303"/>
      <c r="M38" s="305"/>
      <c r="N38" s="233"/>
      <c r="O38" s="47"/>
      <c r="P38" s="47"/>
      <c r="Q38" s="39"/>
      <c r="R38" s="39"/>
      <c r="S38" s="260"/>
      <c r="T38" s="258"/>
      <c r="U38" s="251"/>
      <c r="V38" s="257"/>
      <c r="W38" s="287"/>
      <c r="X38" s="14"/>
      <c r="Y38" s="9"/>
      <c r="AB38" s="4"/>
    </row>
    <row r="39" spans="1:28" ht="17.399999999999999" x14ac:dyDescent="0.3">
      <c r="B39" s="283"/>
      <c r="C39" s="283"/>
      <c r="D39" s="284"/>
      <c r="E39" s="284"/>
      <c r="F39" s="284"/>
      <c r="G39" s="284"/>
      <c r="H39" s="284"/>
      <c r="I39" s="283"/>
      <c r="J39" s="283"/>
      <c r="K39" s="306" t="s">
        <v>28</v>
      </c>
      <c r="L39" s="431">
        <f>SUM(L21:L36)</f>
        <v>3530000</v>
      </c>
      <c r="M39" s="304"/>
      <c r="N39" s="264">
        <v>2258362</v>
      </c>
      <c r="O39" s="47"/>
      <c r="P39" s="47"/>
      <c r="Q39" s="39"/>
      <c r="R39" s="39"/>
      <c r="S39" s="260"/>
      <c r="T39" s="258"/>
      <c r="U39" s="251"/>
      <c r="V39" s="257"/>
      <c r="W39" s="287"/>
      <c r="X39" s="46">
        <f>SUM(X21:X21)</f>
        <v>0</v>
      </c>
      <c r="Y39" s="9"/>
      <c r="AB39" s="4"/>
    </row>
    <row r="40" spans="1:28" ht="17.399999999999999" x14ac:dyDescent="0.3">
      <c r="B40" s="277"/>
      <c r="C40" s="280"/>
      <c r="D40" s="281"/>
      <c r="E40" s="281"/>
      <c r="F40" s="281"/>
      <c r="G40" s="281"/>
      <c r="H40" s="281"/>
      <c r="I40" s="282"/>
      <c r="J40" s="282"/>
      <c r="K40" s="286" t="s">
        <v>51</v>
      </c>
      <c r="L40" s="432">
        <f>L39*19%</f>
        <v>670700</v>
      </c>
      <c r="M40" s="304"/>
      <c r="N40" s="264"/>
      <c r="O40" s="47"/>
      <c r="P40" s="47"/>
      <c r="Q40" s="39">
        <f>SUM(Q21:Q39)</f>
        <v>25.206000000000003</v>
      </c>
      <c r="R40" s="12"/>
      <c r="S40" s="12"/>
      <c r="T40" s="252">
        <f>SUM(T21:T37)</f>
        <v>1.2260500000000003</v>
      </c>
      <c r="U40" s="14"/>
      <c r="V40" s="12">
        <f>SUM(V22:V39)</f>
        <v>174481.09066657146</v>
      </c>
      <c r="W40" s="13">
        <f>SUM(W23:W39)</f>
        <v>7.910000000000001</v>
      </c>
      <c r="X40" s="46"/>
      <c r="Y40" s="9"/>
      <c r="AB40" s="4"/>
    </row>
    <row r="41" spans="1:28" ht="18" thickBot="1" x14ac:dyDescent="0.35">
      <c r="B41" s="274"/>
      <c r="C41" s="279"/>
      <c r="D41" s="271"/>
      <c r="E41" s="271"/>
      <c r="F41" s="271"/>
      <c r="G41" s="271"/>
      <c r="H41" s="271"/>
      <c r="I41" s="272"/>
      <c r="J41" s="272"/>
      <c r="K41" s="278" t="s">
        <v>6</v>
      </c>
      <c r="L41" s="433">
        <f>L39+L40</f>
        <v>4200700</v>
      </c>
      <c r="M41" s="304"/>
      <c r="N41" s="264"/>
      <c r="O41" s="47"/>
      <c r="P41" s="47"/>
      <c r="Q41" s="39"/>
      <c r="R41" s="12"/>
      <c r="S41" s="12"/>
      <c r="T41" s="252">
        <f>T40</f>
        <v>1.2260500000000003</v>
      </c>
      <c r="U41" s="14"/>
      <c r="V41" s="12"/>
      <c r="W41" s="239"/>
      <c r="X41" s="46"/>
      <c r="Y41" s="9"/>
      <c r="AB41" s="4"/>
    </row>
    <row r="42" spans="1:28" ht="17.399999999999999" x14ac:dyDescent="0.3">
      <c r="B42" s="274"/>
      <c r="C42" s="270"/>
      <c r="D42" s="271"/>
      <c r="E42" s="271"/>
      <c r="F42" s="271"/>
      <c r="G42" s="271"/>
      <c r="H42" s="271"/>
      <c r="I42" s="272"/>
      <c r="J42" s="272"/>
      <c r="N42" s="264"/>
      <c r="O42" s="47"/>
      <c r="P42" s="47"/>
      <c r="Q42" s="14"/>
      <c r="R42" s="12"/>
      <c r="S42" s="12"/>
      <c r="T42" s="39">
        <f>T41*20%</f>
        <v>0.24521000000000007</v>
      </c>
      <c r="U42" s="39" t="s">
        <v>129</v>
      </c>
      <c r="V42" s="42"/>
      <c r="W42" s="240">
        <f>W41+X39</f>
        <v>0</v>
      </c>
      <c r="X42" s="14"/>
      <c r="Y42" s="9"/>
      <c r="AB42" s="4"/>
    </row>
    <row r="43" spans="1:28" ht="17.399999999999999" x14ac:dyDescent="0.35">
      <c r="B43" s="268"/>
      <c r="C43" s="230"/>
      <c r="D43" s="230"/>
      <c r="E43" s="233"/>
      <c r="F43" s="233"/>
      <c r="G43" s="233"/>
      <c r="H43" s="233"/>
      <c r="I43" s="234"/>
      <c r="J43" s="234"/>
      <c r="K43" s="230"/>
      <c r="L43" s="273"/>
      <c r="M43" s="273"/>
      <c r="N43" s="264"/>
      <c r="O43" s="47"/>
      <c r="P43" s="47"/>
      <c r="Q43" s="14"/>
      <c r="R43" s="12"/>
      <c r="S43" s="12"/>
      <c r="T43" s="46">
        <f>T41+T42</f>
        <v>1.4712600000000005</v>
      </c>
      <c r="U43" s="14"/>
      <c r="V43" s="14"/>
      <c r="W43" s="238">
        <f>W42*20%</f>
        <v>0</v>
      </c>
      <c r="X43" s="14"/>
      <c r="Y43" s="9"/>
      <c r="AB43" s="4"/>
    </row>
    <row r="44" spans="1:28" ht="17.399999999999999" x14ac:dyDescent="0.35">
      <c r="B44" s="235"/>
      <c r="C44" s="236"/>
      <c r="D44" s="237"/>
      <c r="E44" s="235"/>
      <c r="F44" s="235"/>
      <c r="G44" s="235"/>
      <c r="H44" s="235"/>
      <c r="I44" s="230"/>
      <c r="J44" s="230"/>
      <c r="K44" s="230"/>
      <c r="M44" s="273"/>
      <c r="N44" s="264" t="s">
        <v>329</v>
      </c>
      <c r="O44" s="47" t="s">
        <v>329</v>
      </c>
      <c r="P44" s="47" t="s">
        <v>329</v>
      </c>
      <c r="Q44" s="14"/>
      <c r="R44" s="14"/>
      <c r="S44" s="14"/>
      <c r="T44" s="14"/>
      <c r="U44" s="14"/>
      <c r="V44" s="14"/>
      <c r="W44" s="240">
        <f>W42+W43</f>
        <v>0</v>
      </c>
      <c r="X44" s="14"/>
      <c r="Y44" s="291" t="s">
        <v>21</v>
      </c>
      <c r="Z44" s="288" t="s">
        <v>149</v>
      </c>
      <c r="AA44" s="292">
        <v>44971</v>
      </c>
      <c r="AB44" s="293"/>
    </row>
    <row r="45" spans="1:28" ht="17.399999999999999" x14ac:dyDescent="0.35"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N45" s="264" t="s">
        <v>321</v>
      </c>
      <c r="O45" s="47" t="s">
        <v>328</v>
      </c>
      <c r="P45" s="47" t="s">
        <v>320</v>
      </c>
      <c r="Q45" s="39">
        <f>T43*2</f>
        <v>2.9425200000000009</v>
      </c>
      <c r="R45" s="12">
        <v>3500</v>
      </c>
      <c r="S45" s="12">
        <f t="shared" ref="S45:S50" si="15">Q45*R45</f>
        <v>10298.820000000003</v>
      </c>
      <c r="T45" s="14" t="s">
        <v>21</v>
      </c>
      <c r="U45" s="14"/>
      <c r="V45" s="14"/>
      <c r="W45" s="241"/>
      <c r="X45" s="14"/>
      <c r="Y45" s="291" t="s">
        <v>150</v>
      </c>
      <c r="Z45" s="288">
        <v>3625</v>
      </c>
      <c r="AA45" s="59" t="s">
        <v>151</v>
      </c>
      <c r="AB45" s="293"/>
    </row>
    <row r="46" spans="1:28" ht="17.399999999999999" x14ac:dyDescent="0.35">
      <c r="A46" s="230"/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N46" s="264"/>
      <c r="O46" s="47"/>
      <c r="P46" s="47">
        <v>1</v>
      </c>
      <c r="Q46" s="248">
        <v>1</v>
      </c>
      <c r="R46" s="12">
        <v>43500</v>
      </c>
      <c r="S46" s="12">
        <f t="shared" si="15"/>
        <v>43500</v>
      </c>
      <c r="T46" s="39" t="s">
        <v>31</v>
      </c>
      <c r="U46" s="42"/>
      <c r="V46" s="14"/>
      <c r="W46" s="240"/>
      <c r="X46" s="14"/>
      <c r="Y46" s="291"/>
      <c r="Z46" s="59">
        <v>906.25</v>
      </c>
      <c r="AA46" s="59" t="s">
        <v>152</v>
      </c>
      <c r="AB46" s="293"/>
    </row>
    <row r="47" spans="1:28" s="230" customFormat="1" ht="17.399999999999999" x14ac:dyDescent="0.35">
      <c r="B47" s="24" t="s">
        <v>148</v>
      </c>
      <c r="N47" s="261">
        <v>2</v>
      </c>
      <c r="O47" s="232">
        <v>12</v>
      </c>
      <c r="P47" s="249"/>
      <c r="Q47" s="14"/>
      <c r="R47" s="249">
        <v>36831</v>
      </c>
      <c r="S47" s="12">
        <f t="shared" si="15"/>
        <v>0</v>
      </c>
      <c r="T47" s="39" t="s">
        <v>30</v>
      </c>
      <c r="U47" s="42"/>
      <c r="W47" s="240"/>
      <c r="X47" s="255"/>
      <c r="Y47" s="59"/>
      <c r="Z47" s="59">
        <f>Z46*20%</f>
        <v>181.25</v>
      </c>
      <c r="AA47" s="293" t="s">
        <v>153</v>
      </c>
      <c r="AB47" s="59"/>
    </row>
    <row r="48" spans="1:28" s="230" customFormat="1" ht="17.399999999999999" x14ac:dyDescent="0.35">
      <c r="B48" s="24" t="s">
        <v>162</v>
      </c>
      <c r="C48"/>
      <c r="D48"/>
      <c r="E48"/>
      <c r="F48"/>
      <c r="G48"/>
      <c r="H48"/>
      <c r="I48"/>
      <c r="J48"/>
      <c r="N48" s="261"/>
      <c r="O48" s="232">
        <v>2</v>
      </c>
      <c r="P48" s="249">
        <v>2</v>
      </c>
      <c r="Q48" s="14">
        <v>2</v>
      </c>
      <c r="R48" s="249">
        <v>22475</v>
      </c>
      <c r="S48" s="12">
        <f t="shared" si="15"/>
        <v>44950</v>
      </c>
      <c r="T48" s="14" t="s">
        <v>139</v>
      </c>
      <c r="U48" s="17"/>
      <c r="W48" s="238"/>
      <c r="X48" s="255"/>
      <c r="Y48" s="59"/>
      <c r="Z48" s="59">
        <f>Z46+Z47</f>
        <v>1087.5</v>
      </c>
      <c r="AA48" s="293" t="s">
        <v>154</v>
      </c>
      <c r="AB48" s="59"/>
    </row>
    <row r="49" spans="1:28" s="230" customFormat="1" ht="17.399999999999999" x14ac:dyDescent="0.35">
      <c r="A49" s="230" t="s">
        <v>283</v>
      </c>
      <c r="B49" s="29" t="s">
        <v>124</v>
      </c>
      <c r="C49"/>
      <c r="D49"/>
      <c r="E49"/>
      <c r="F49"/>
      <c r="G49"/>
      <c r="H49"/>
      <c r="I49" s="229" t="s">
        <v>15</v>
      </c>
      <c r="J49" s="229"/>
      <c r="N49" s="261"/>
      <c r="O49" s="259">
        <v>9</v>
      </c>
      <c r="P49" s="249"/>
      <c r="Q49" s="248"/>
      <c r="R49" s="249">
        <v>13910</v>
      </c>
      <c r="S49" s="12">
        <f t="shared" si="15"/>
        <v>0</v>
      </c>
      <c r="T49" s="14" t="s">
        <v>322</v>
      </c>
      <c r="U49" s="14"/>
      <c r="V49" s="230">
        <v>1.52</v>
      </c>
      <c r="W49" s="238"/>
      <c r="X49" s="238"/>
    </row>
    <row r="50" spans="1:28" s="230" customFormat="1" ht="17.399999999999999" x14ac:dyDescent="0.35">
      <c r="N50" s="468" t="s">
        <v>330</v>
      </c>
      <c r="O50" s="467" t="s">
        <v>331</v>
      </c>
      <c r="P50" s="249" t="s">
        <v>332</v>
      </c>
      <c r="Q50" s="265"/>
      <c r="R50" s="12">
        <v>1500</v>
      </c>
      <c r="S50" s="12">
        <f t="shared" si="15"/>
        <v>0</v>
      </c>
      <c r="T50" s="14" t="s">
        <v>22</v>
      </c>
      <c r="U50" s="14"/>
      <c r="V50">
        <v>2.44</v>
      </c>
      <c r="W50"/>
      <c r="X50" s="238"/>
      <c r="AB50" s="231"/>
    </row>
    <row r="51" spans="1:28" s="230" customFormat="1" ht="17.399999999999999" x14ac:dyDescent="0.35">
      <c r="N51" s="234">
        <v>13</v>
      </c>
      <c r="O51" s="234">
        <v>1</v>
      </c>
      <c r="P51" s="249"/>
      <c r="Q51" s="14"/>
      <c r="R51" s="12"/>
      <c r="S51" s="12">
        <f>SUM(S45:S50)</f>
        <v>98748.82</v>
      </c>
      <c r="T51" s="39" t="s">
        <v>23</v>
      </c>
      <c r="U51" s="14"/>
      <c r="V51">
        <f>V49*V50</f>
        <v>3.7088000000000001</v>
      </c>
      <c r="W51"/>
      <c r="X51" s="238"/>
      <c r="AB51" s="231"/>
    </row>
    <row r="52" spans="1:28" s="230" customFormat="1" ht="17.399999999999999" x14ac:dyDescent="0.35">
      <c r="P52" s="249"/>
      <c r="Q52" s="253" t="s">
        <v>33</v>
      </c>
      <c r="R52" s="12"/>
      <c r="S52" s="254">
        <f>S51*2.7</f>
        <v>266621.81400000001</v>
      </c>
      <c r="T52" s="14" t="s">
        <v>138</v>
      </c>
      <c r="U52" s="14"/>
      <c r="V52" s="40">
        <f>T43/V51</f>
        <v>0.39669434857635905</v>
      </c>
      <c r="W52"/>
      <c r="X52" s="256"/>
    </row>
    <row r="53" spans="1:28" s="230" customFormat="1" ht="17.399999999999999" x14ac:dyDescent="0.35">
      <c r="K53"/>
      <c r="L53" s="259"/>
      <c r="M53" s="259"/>
      <c r="N53" s="259"/>
      <c r="O53" s="230">
        <v>42800</v>
      </c>
      <c r="P53" s="249"/>
      <c r="Q53" s="14"/>
      <c r="R53" s="12"/>
      <c r="S53" s="12">
        <f>S52/T43</f>
        <v>181220.05220015493</v>
      </c>
      <c r="T53" s="45" t="s">
        <v>24</v>
      </c>
      <c r="U53" s="14"/>
      <c r="V53" s="14"/>
      <c r="W53"/>
      <c r="X53" s="238"/>
      <c r="Y53" s="59" t="s">
        <v>155</v>
      </c>
      <c r="Z53" s="288">
        <v>43650</v>
      </c>
    </row>
    <row r="54" spans="1:28" s="230" customFormat="1" ht="17.399999999999999" x14ac:dyDescent="0.35">
      <c r="K54"/>
      <c r="O54" s="230">
        <f>O53/1.19</f>
        <v>35966.386554621851</v>
      </c>
      <c r="P54" s="249"/>
      <c r="Q54" s="13"/>
      <c r="R54" s="14"/>
      <c r="S54" s="17">
        <f>S52/S51</f>
        <v>2.6999999999999997</v>
      </c>
      <c r="T54" s="15"/>
      <c r="U54"/>
      <c r="V54"/>
      <c r="W54"/>
      <c r="X54" s="238"/>
      <c r="Y54" s="59" t="s">
        <v>157</v>
      </c>
      <c r="Z54" s="289" t="s">
        <v>156</v>
      </c>
      <c r="AA54" s="59">
        <v>2.4</v>
      </c>
    </row>
    <row r="55" spans="1:28" s="230" customFormat="1" ht="17.399999999999999" x14ac:dyDescent="0.35">
      <c r="K55" s="23"/>
      <c r="P55" s="12"/>
      <c r="X55" s="238"/>
      <c r="Y55" s="59" t="s">
        <v>158</v>
      </c>
      <c r="Z55" s="290">
        <v>395.37</v>
      </c>
    </row>
    <row r="56" spans="1:28" s="230" customFormat="1" ht="17.399999999999999" x14ac:dyDescent="0.35">
      <c r="B56"/>
      <c r="C56" s="228"/>
      <c r="D56" s="22"/>
      <c r="E56" s="22"/>
      <c r="F56" s="22"/>
      <c r="G56" s="22"/>
      <c r="H56" s="22"/>
      <c r="I56" s="21"/>
      <c r="J56" s="21"/>
      <c r="K56" s="23"/>
      <c r="P56" s="12"/>
      <c r="X56" s="238"/>
      <c r="Y56" s="59" t="s">
        <v>153</v>
      </c>
      <c r="Z56" s="59">
        <v>474.45</v>
      </c>
    </row>
    <row r="57" spans="1:28" ht="14.4" customHeight="1" x14ac:dyDescent="0.3">
      <c r="P57" s="12"/>
      <c r="Y57" s="59"/>
      <c r="Z57" s="59"/>
    </row>
    <row r="58" spans="1:28" x14ac:dyDescent="0.3">
      <c r="P58" s="249"/>
    </row>
    <row r="59" spans="1:28" x14ac:dyDescent="0.3">
      <c r="P59" s="249"/>
      <c r="X59" s="269"/>
    </row>
    <row r="60" spans="1:28" x14ac:dyDescent="0.3">
      <c r="P60" s="249"/>
    </row>
    <row r="61" spans="1:28" ht="15" customHeight="1" x14ac:dyDescent="0.3"/>
    <row r="63" spans="1:28" x14ac:dyDescent="0.3">
      <c r="S63">
        <v>40935</v>
      </c>
      <c r="T63" t="s">
        <v>16</v>
      </c>
      <c r="U63" t="s">
        <v>26</v>
      </c>
    </row>
    <row r="65" spans="19:24" x14ac:dyDescent="0.3">
      <c r="S65" s="54"/>
      <c r="T65" s="54"/>
    </row>
    <row r="66" spans="19:24" x14ac:dyDescent="0.3">
      <c r="W66" s="18"/>
      <c r="X66" s="18"/>
    </row>
    <row r="67" spans="19:24" x14ac:dyDescent="0.3">
      <c r="W67" s="18"/>
      <c r="X67" s="18"/>
    </row>
    <row r="68" spans="19:24" x14ac:dyDescent="0.3">
      <c r="W68" s="18"/>
      <c r="X68" s="18"/>
    </row>
    <row r="69" spans="19:24" x14ac:dyDescent="0.3">
      <c r="W69" s="18"/>
      <c r="X69" s="18"/>
    </row>
    <row r="70" spans="19:24" x14ac:dyDescent="0.3">
      <c r="W70" s="18"/>
      <c r="X70" s="18"/>
    </row>
    <row r="71" spans="19:24" x14ac:dyDescent="0.3">
      <c r="W71" s="18"/>
      <c r="X71" s="18"/>
    </row>
    <row r="72" spans="19:24" x14ac:dyDescent="0.3">
      <c r="W72" s="18"/>
      <c r="X72" s="18"/>
    </row>
    <row r="73" spans="19:24" x14ac:dyDescent="0.3">
      <c r="W73" s="18"/>
      <c r="X73" s="18"/>
    </row>
    <row r="74" spans="19:24" x14ac:dyDescent="0.3">
      <c r="W74" s="18"/>
      <c r="X74" s="18"/>
    </row>
    <row r="77" spans="19:24" x14ac:dyDescent="0.3">
      <c r="S77" s="43"/>
    </row>
    <row r="78" spans="19:24" x14ac:dyDescent="0.3">
      <c r="S78" s="43"/>
    </row>
    <row r="79" spans="19:24" x14ac:dyDescent="0.3">
      <c r="S79" s="6"/>
    </row>
    <row r="80" spans="19:24" x14ac:dyDescent="0.3">
      <c r="S80" s="6"/>
    </row>
    <row r="88" spans="3:3" x14ac:dyDescent="0.3">
      <c r="C88" t="s">
        <v>145</v>
      </c>
    </row>
    <row r="89" spans="3:3" x14ac:dyDescent="0.3">
      <c r="C89" t="s">
        <v>144</v>
      </c>
    </row>
    <row r="92" spans="3:3" x14ac:dyDescent="0.3">
      <c r="C92" t="s">
        <v>144</v>
      </c>
    </row>
    <row r="169" spans="3:3" x14ac:dyDescent="0.3">
      <c r="C169" t="s">
        <v>144</v>
      </c>
    </row>
    <row r="170" spans="3:3" x14ac:dyDescent="0.3">
      <c r="C170" t="s">
        <v>146</v>
      </c>
    </row>
    <row r="171" spans="3:3" x14ac:dyDescent="0.3">
      <c r="C171" t="s">
        <v>147</v>
      </c>
    </row>
    <row r="596" spans="3:3" x14ac:dyDescent="0.3">
      <c r="C596" t="s">
        <v>144</v>
      </c>
    </row>
  </sheetData>
  <mergeCells count="1">
    <mergeCell ref="B19:L19"/>
  </mergeCells>
  <phoneticPr fontId="31" type="noConversion"/>
  <hyperlinks>
    <hyperlink ref="I4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'2229'!K10</f>
        <v>45725</v>
      </c>
    </row>
    <row r="6" spans="2:31" ht="16.2" thickBot="1" x14ac:dyDescent="0.35">
      <c r="B6" s="140" t="s">
        <v>2</v>
      </c>
      <c r="C6" s="139" t="str">
        <f>'2229'!C10</f>
        <v xml:space="preserve">SISTEMA MUEBLES 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0" t="s">
        <v>98</v>
      </c>
      <c r="I7" s="441"/>
      <c r="J7" s="441"/>
      <c r="K7" s="442"/>
      <c r="N7" s="75"/>
      <c r="O7" s="4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12021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-565334.28286678751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'2229'!L39</f>
        <v>3530000</v>
      </c>
      <c r="E11" s="132">
        <f>D11*0.19</f>
        <v>670700</v>
      </c>
      <c r="F11" s="131">
        <f>E11+D11</f>
        <v>4200700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-459344.28286678751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83632.910787439614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-477344.28286678751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3446367.0892125606</v>
      </c>
      <c r="E13" s="221">
        <f>(D11/D12)-1</f>
        <v>41.208264267780955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-486344.28286678751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-525344.28286678751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137994.30279927535</v>
      </c>
      <c r="F15" s="216">
        <f>E15-D12</f>
        <v>54361.392011835735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-525344.28286678751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-485344.28286678751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'2229'!S47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'2229'!S46</f>
        <v>43500</v>
      </c>
      <c r="E19" s="123">
        <f>D19*0.19</f>
        <v>8265</v>
      </c>
      <c r="F19" s="120">
        <f>SUM(D19:E19)</f>
        <v>51765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'2229'!S45</f>
        <v>10298.820000000003</v>
      </c>
      <c r="E20" s="121">
        <f>D20*0.19</f>
        <v>1956.7758000000006</v>
      </c>
      <c r="F20" s="120">
        <f>SUM(D20:E20)</f>
        <v>12255.595800000005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53798.820000000007</v>
      </c>
      <c r="E21" s="116">
        <f>SUM(E18:E20)</f>
        <v>10221.775800000001</v>
      </c>
      <c r="F21" s="115">
        <f>SUM(F18:F20)</f>
        <v>64020.595800000003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660478.22420000006</v>
      </c>
    </row>
    <row r="41" spans="2:16" ht="15" thickBot="1" x14ac:dyDescent="0.35">
      <c r="H41" s="443" t="s">
        <v>60</v>
      </c>
      <c r="I41" s="444"/>
      <c r="J41" s="444"/>
      <c r="K41" s="444"/>
      <c r="L41" s="444"/>
      <c r="M41" s="4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3530000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53798.820000000007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3446367.0892125606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3446367.0892125606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0" t="s">
        <v>125</v>
      </c>
      <c r="C8" s="311"/>
      <c r="D8" s="312" t="str">
        <f>'2229'!D8</f>
        <v>N° 12021</v>
      </c>
      <c r="E8" s="138"/>
      <c r="F8" s="313" t="s">
        <v>165</v>
      </c>
      <c r="G8" s="314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4" t="s">
        <v>166</v>
      </c>
      <c r="C10" s="345" t="str">
        <f>IF('2229'!C10="","",'2229'!C10)</f>
        <v xml:space="preserve">SISTEMA MUEBLES </v>
      </c>
      <c r="D10" s="345"/>
      <c r="E10" s="345"/>
      <c r="F10" s="346" t="s">
        <v>167</v>
      </c>
      <c r="G10" s="347">
        <f>'2229'!K10</f>
        <v>45725</v>
      </c>
      <c r="H10" s="34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4" t="s">
        <v>12</v>
      </c>
      <c r="C11" s="246" t="str">
        <f>IF('2229'!C11="","",'2229'!C11)</f>
        <v>77.091.475-2</v>
      </c>
      <c r="D11" s="340"/>
      <c r="E11" s="340"/>
      <c r="F11" s="340" t="s">
        <v>168</v>
      </c>
      <c r="G11" s="335">
        <f>WORKDAY(G10,5)</f>
        <v>45730</v>
      </c>
      <c r="H11" s="336"/>
      <c r="I11" s="138"/>
    </row>
    <row r="12" spans="1:17" ht="15.6" x14ac:dyDescent="0.3">
      <c r="A12" s="138"/>
      <c r="B12" s="349" t="s">
        <v>169</v>
      </c>
      <c r="C12" s="350" t="str">
        <f>IF('2229'!C12="","",'2229'!C12)</f>
        <v/>
      </c>
      <c r="D12" s="350"/>
      <c r="E12" s="350"/>
      <c r="F12" s="350" t="s">
        <v>181</v>
      </c>
      <c r="G12" s="350" t="str">
        <f>'2229'!K14</f>
        <v>NO</v>
      </c>
      <c r="H12" s="351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1"/>
      <c r="H13" s="247"/>
      <c r="I13" s="138"/>
    </row>
    <row r="14" spans="1:17" ht="15.6" x14ac:dyDescent="0.3">
      <c r="A14" s="138"/>
      <c r="B14" s="349" t="s">
        <v>137</v>
      </c>
      <c r="C14" s="350" t="str">
        <f>IF('2229'!C14="","",'2229'!C14)</f>
        <v/>
      </c>
      <c r="D14" s="350"/>
      <c r="E14" s="350"/>
      <c r="F14" s="350" t="s">
        <v>171</v>
      </c>
      <c r="G14" s="352" t="s">
        <v>172</v>
      </c>
      <c r="H14" s="351"/>
      <c r="I14" s="138"/>
    </row>
    <row r="15" spans="1:17" ht="15.6" x14ac:dyDescent="0.3">
      <c r="A15" s="138"/>
      <c r="B15" s="334" t="s">
        <v>4</v>
      </c>
      <c r="C15" s="246" t="str">
        <f>IF('2229'!C15="","",'2229'!C15)</f>
        <v xml:space="preserve">+569 </v>
      </c>
      <c r="D15" s="342"/>
      <c r="E15" s="340"/>
      <c r="F15" s="340" t="s">
        <v>173</v>
      </c>
      <c r="G15" s="340" t="str">
        <f>'2229'!K12</f>
        <v>NO</v>
      </c>
      <c r="H15" s="336"/>
      <c r="I15" s="138"/>
    </row>
    <row r="16" spans="1:17" ht="15.6" x14ac:dyDescent="0.3">
      <c r="A16" s="138"/>
      <c r="B16" s="349" t="s">
        <v>3</v>
      </c>
      <c r="C16" s="350" t="str">
        <f>IF('2229'!C16="","",'2229'!C16)</f>
        <v/>
      </c>
      <c r="D16" s="350"/>
      <c r="E16" s="350"/>
      <c r="F16" s="350" t="s">
        <v>174</v>
      </c>
      <c r="G16" s="350" t="str">
        <f>'2229'!K16</f>
        <v>ABONO 50% SALDO C/ENTREGA</v>
      </c>
      <c r="H16" s="351"/>
      <c r="I16" s="138"/>
    </row>
    <row r="17" spans="1:16" ht="16.2" thickBot="1" x14ac:dyDescent="0.35">
      <c r="A17" s="138"/>
      <c r="B17" s="337" t="s">
        <v>13</v>
      </c>
      <c r="C17" s="343" t="str">
        <f>IF('2229'!C17="","",'2229'!C17)</f>
        <v>SANTIAGO</v>
      </c>
      <c r="D17" s="338"/>
      <c r="E17" s="339"/>
      <c r="F17" s="446" t="s">
        <v>175</v>
      </c>
      <c r="G17" s="446"/>
      <c r="H17" s="447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8" t="s">
        <v>176</v>
      </c>
      <c r="C20" s="449"/>
      <c r="D20" s="449"/>
      <c r="E20" s="449"/>
      <c r="F20" s="449"/>
      <c r="G20" s="449"/>
      <c r="H20" s="450"/>
      <c r="I20" s="138"/>
    </row>
    <row r="21" spans="1:16" ht="16.2" thickBot="1" x14ac:dyDescent="0.35">
      <c r="A21" s="138"/>
      <c r="B21" s="353" t="s">
        <v>7</v>
      </c>
      <c r="C21" s="354" t="s">
        <v>1</v>
      </c>
      <c r="D21" s="354" t="s">
        <v>10</v>
      </c>
      <c r="E21" s="354" t="s">
        <v>11</v>
      </c>
      <c r="F21" s="355" t="s">
        <v>8</v>
      </c>
      <c r="G21" s="353" t="s">
        <v>5</v>
      </c>
      <c r="H21" s="355" t="s">
        <v>6</v>
      </c>
      <c r="I21" s="138"/>
    </row>
    <row r="22" spans="1:16" ht="15.6" x14ac:dyDescent="0.3">
      <c r="A22" s="138"/>
      <c r="B22" s="307">
        <f>'2229'!B21</f>
        <v>1</v>
      </c>
      <c r="C22" s="308" t="s">
        <v>35</v>
      </c>
      <c r="D22" s="316">
        <f>'2229'!D21*1000</f>
        <v>1046</v>
      </c>
      <c r="E22" s="316">
        <f>'2229'!E21*1000</f>
        <v>490</v>
      </c>
      <c r="F22" s="317" t="str">
        <f>'2229'!I21</f>
        <v>GLACIAL WHITE 22191 SF</v>
      </c>
      <c r="G22" s="309">
        <f>'2229'!K21</f>
        <v>49816</v>
      </c>
      <c r="H22" s="318">
        <f>G22*B22</f>
        <v>49816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19"/>
      <c r="H23" s="319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0"/>
      <c r="G24" s="319"/>
      <c r="H24" s="319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2" t="s">
        <v>28</v>
      </c>
      <c r="H25" s="323">
        <f>SUM(H22:H24)</f>
        <v>49816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4" t="s">
        <v>29</v>
      </c>
      <c r="H26" s="325">
        <f>H25*19%</f>
        <v>9465.0400000000009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26" t="s">
        <v>6</v>
      </c>
      <c r="H27" s="327">
        <f>H25+H26</f>
        <v>59281.04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28"/>
      <c r="H28" s="329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0" t="s">
        <v>177</v>
      </c>
      <c r="C30" s="331"/>
      <c r="D30" s="332"/>
      <c r="E30" s="332"/>
      <c r="F30" s="321"/>
      <c r="G30" s="138"/>
      <c r="H30" s="138"/>
      <c r="I30" s="138"/>
    </row>
    <row r="31" spans="1:16" ht="15.6" x14ac:dyDescent="0.3">
      <c r="A31" s="138"/>
      <c r="B31" s="330" t="s">
        <v>178</v>
      </c>
      <c r="C31" s="331"/>
      <c r="D31" s="332"/>
      <c r="E31" s="332"/>
      <c r="F31" s="321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3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1" t="s">
        <v>182</v>
      </c>
      <c r="C2" s="451"/>
      <c r="D2" s="451"/>
      <c r="E2" s="356"/>
      <c r="G2" s="451" t="s">
        <v>183</v>
      </c>
      <c r="H2" s="451"/>
      <c r="I2" s="451"/>
      <c r="P2" s="452" t="s">
        <v>184</v>
      </c>
      <c r="Q2" s="452"/>
      <c r="R2" s="452"/>
    </row>
    <row r="3" spans="2:18" x14ac:dyDescent="0.3">
      <c r="B3" s="358" t="s">
        <v>130</v>
      </c>
      <c r="C3" s="358" t="s">
        <v>11</v>
      </c>
      <c r="D3" s="358" t="s">
        <v>1</v>
      </c>
      <c r="E3" s="359"/>
      <c r="G3" s="358" t="s">
        <v>130</v>
      </c>
      <c r="H3" s="358" t="s">
        <v>11</v>
      </c>
      <c r="I3" s="358" t="s">
        <v>1</v>
      </c>
      <c r="P3" s="358" t="s">
        <v>130</v>
      </c>
      <c r="Q3" s="358" t="s">
        <v>11</v>
      </c>
      <c r="R3" s="358" t="s">
        <v>1</v>
      </c>
    </row>
    <row r="4" spans="2:18" x14ac:dyDescent="0.3">
      <c r="B4" s="360">
        <v>40</v>
      </c>
      <c r="C4" s="360">
        <v>60</v>
      </c>
      <c r="D4" s="361" t="s">
        <v>185</v>
      </c>
      <c r="E4" s="246" t="s">
        <v>186</v>
      </c>
      <c r="G4" s="357">
        <v>50</v>
      </c>
      <c r="H4" s="357">
        <v>100</v>
      </c>
      <c r="I4" s="362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0">
        <v>40</v>
      </c>
      <c r="C5" s="360">
        <v>90</v>
      </c>
      <c r="D5" s="361" t="s">
        <v>189</v>
      </c>
      <c r="E5" s="246" t="s">
        <v>190</v>
      </c>
      <c r="G5" s="357">
        <v>50</v>
      </c>
      <c r="H5" s="357"/>
      <c r="I5" s="362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0">
        <v>40</v>
      </c>
      <c r="C6" s="360">
        <v>100</v>
      </c>
      <c r="D6" s="361" t="s">
        <v>193</v>
      </c>
      <c r="E6" s="246" t="s">
        <v>194</v>
      </c>
      <c r="G6" s="360">
        <v>50</v>
      </c>
      <c r="H6" s="360">
        <v>100</v>
      </c>
      <c r="I6" s="361" t="s">
        <v>193</v>
      </c>
      <c r="P6">
        <v>50</v>
      </c>
      <c r="Q6">
        <v>-30</v>
      </c>
      <c r="R6" t="s">
        <v>195</v>
      </c>
    </row>
    <row r="7" spans="2:18" x14ac:dyDescent="0.3">
      <c r="B7" s="360">
        <v>40</v>
      </c>
      <c r="C7" s="360">
        <v>150</v>
      </c>
      <c r="D7" s="361" t="s">
        <v>196</v>
      </c>
      <c r="E7" s="246" t="s">
        <v>197</v>
      </c>
      <c r="G7" s="360">
        <v>50</v>
      </c>
      <c r="H7" s="360"/>
      <c r="I7" s="361" t="s">
        <v>196</v>
      </c>
      <c r="P7">
        <v>50</v>
      </c>
      <c r="Q7">
        <v>-30</v>
      </c>
      <c r="R7" t="s">
        <v>198</v>
      </c>
    </row>
    <row r="8" spans="2:18" x14ac:dyDescent="0.3">
      <c r="B8" s="360">
        <v>40</v>
      </c>
      <c r="C8" s="360">
        <v>100</v>
      </c>
      <c r="D8" s="361" t="s">
        <v>199</v>
      </c>
      <c r="E8" s="246" t="s">
        <v>200</v>
      </c>
      <c r="G8" s="360">
        <v>50</v>
      </c>
      <c r="H8" s="360">
        <v>100</v>
      </c>
      <c r="I8" s="361" t="s">
        <v>199</v>
      </c>
      <c r="L8" s="452" t="s">
        <v>184</v>
      </c>
      <c r="M8" s="452"/>
      <c r="N8" s="452"/>
      <c r="P8">
        <v>50</v>
      </c>
      <c r="Q8">
        <v>-30</v>
      </c>
      <c r="R8" t="s">
        <v>201</v>
      </c>
    </row>
    <row r="9" spans="2:18" x14ac:dyDescent="0.3">
      <c r="B9" s="360">
        <v>40</v>
      </c>
      <c r="C9" s="360">
        <v>50</v>
      </c>
      <c r="D9" s="361" t="s">
        <v>202</v>
      </c>
      <c r="E9" s="246" t="s">
        <v>203</v>
      </c>
      <c r="G9" s="360">
        <v>50</v>
      </c>
      <c r="H9" s="360">
        <v>100</v>
      </c>
      <c r="I9" s="361" t="s">
        <v>204</v>
      </c>
      <c r="L9" s="358" t="s">
        <v>130</v>
      </c>
      <c r="M9" s="358" t="s">
        <v>11</v>
      </c>
      <c r="N9" s="358" t="s">
        <v>1</v>
      </c>
      <c r="P9">
        <v>50</v>
      </c>
      <c r="Q9">
        <v>0</v>
      </c>
      <c r="R9" t="s">
        <v>205</v>
      </c>
    </row>
    <row r="10" spans="2:18" x14ac:dyDescent="0.3">
      <c r="B10" s="360">
        <v>40</v>
      </c>
      <c r="C10" s="360">
        <v>80</v>
      </c>
      <c r="D10" s="361" t="s">
        <v>206</v>
      </c>
      <c r="E10" s="246" t="s">
        <v>207</v>
      </c>
      <c r="G10" s="360">
        <v>50</v>
      </c>
      <c r="H10" s="360"/>
      <c r="I10" s="361" t="s">
        <v>208</v>
      </c>
      <c r="L10" s="360">
        <v>50</v>
      </c>
      <c r="M10" s="360">
        <v>-30</v>
      </c>
      <c r="N10" s="361" t="s">
        <v>188</v>
      </c>
      <c r="P10">
        <v>50</v>
      </c>
      <c r="Q10">
        <v>0</v>
      </c>
      <c r="R10" t="s">
        <v>209</v>
      </c>
    </row>
    <row r="11" spans="2:18" x14ac:dyDescent="0.3">
      <c r="B11" s="360">
        <v>40</v>
      </c>
      <c r="C11" s="360">
        <v>60</v>
      </c>
      <c r="D11" s="361" t="s">
        <v>210</v>
      </c>
      <c r="E11" s="246" t="s">
        <v>211</v>
      </c>
      <c r="G11" s="360">
        <v>50</v>
      </c>
      <c r="H11" s="360">
        <v>100</v>
      </c>
      <c r="I11" s="361" t="s">
        <v>202</v>
      </c>
      <c r="L11" s="360">
        <v>50</v>
      </c>
      <c r="M11" s="360">
        <v>0</v>
      </c>
      <c r="N11" s="361" t="s">
        <v>212</v>
      </c>
      <c r="P11">
        <v>50</v>
      </c>
      <c r="Q11">
        <v>0</v>
      </c>
      <c r="R11" t="s">
        <v>213</v>
      </c>
    </row>
    <row r="12" spans="2:18" x14ac:dyDescent="0.3">
      <c r="B12" s="360">
        <v>40</v>
      </c>
      <c r="C12" s="360">
        <v>100</v>
      </c>
      <c r="D12" s="361" t="s">
        <v>214</v>
      </c>
      <c r="E12" s="246" t="s">
        <v>215</v>
      </c>
      <c r="G12" s="360">
        <v>50</v>
      </c>
      <c r="H12" s="360"/>
      <c r="I12" s="361" t="s">
        <v>206</v>
      </c>
      <c r="L12" s="360">
        <v>50</v>
      </c>
      <c r="M12" s="360">
        <v>-2</v>
      </c>
      <c r="N12" s="361" t="s">
        <v>216</v>
      </c>
      <c r="P12">
        <v>50</v>
      </c>
      <c r="Q12">
        <v>0</v>
      </c>
      <c r="R12" t="s">
        <v>217</v>
      </c>
    </row>
    <row r="13" spans="2:18" x14ac:dyDescent="0.3">
      <c r="B13" s="360">
        <v>40</v>
      </c>
      <c r="C13" s="360">
        <v>130</v>
      </c>
      <c r="D13" s="361" t="s">
        <v>218</v>
      </c>
      <c r="E13" s="246" t="s">
        <v>219</v>
      </c>
      <c r="G13" s="360">
        <v>50</v>
      </c>
      <c r="H13" s="360">
        <v>-30</v>
      </c>
      <c r="I13" s="361" t="s">
        <v>188</v>
      </c>
      <c r="P13">
        <v>50</v>
      </c>
      <c r="Q13">
        <v>0</v>
      </c>
      <c r="R13" t="s">
        <v>220</v>
      </c>
    </row>
    <row r="14" spans="2:18" x14ac:dyDescent="0.3">
      <c r="B14" s="360">
        <v>40</v>
      </c>
      <c r="C14" s="360">
        <v>150</v>
      </c>
      <c r="D14" s="361" t="s">
        <v>195</v>
      </c>
      <c r="E14" s="246"/>
      <c r="G14" s="360">
        <v>50</v>
      </c>
      <c r="H14" s="360">
        <v>-30</v>
      </c>
      <c r="I14" s="361" t="s">
        <v>195</v>
      </c>
    </row>
    <row r="15" spans="2:18" x14ac:dyDescent="0.3">
      <c r="B15" s="360">
        <v>40</v>
      </c>
      <c r="C15" s="360">
        <v>150</v>
      </c>
      <c r="D15" s="361" t="s">
        <v>221</v>
      </c>
      <c r="E15" s="246" t="s">
        <v>222</v>
      </c>
      <c r="G15" s="360">
        <v>50</v>
      </c>
      <c r="H15" s="360">
        <v>-30</v>
      </c>
      <c r="I15" s="361" t="s">
        <v>198</v>
      </c>
      <c r="P15">
        <v>50</v>
      </c>
      <c r="Q15">
        <v>0</v>
      </c>
      <c r="R15" t="s">
        <v>223</v>
      </c>
    </row>
    <row r="16" spans="2:18" x14ac:dyDescent="0.3">
      <c r="B16" s="360">
        <v>40</v>
      </c>
      <c r="C16" s="360">
        <v>130</v>
      </c>
      <c r="D16" s="361" t="s">
        <v>224</v>
      </c>
      <c r="E16" s="246" t="s">
        <v>225</v>
      </c>
      <c r="G16" s="360">
        <v>50</v>
      </c>
      <c r="H16" s="360">
        <v>-30</v>
      </c>
      <c r="I16" s="361" t="s">
        <v>226</v>
      </c>
      <c r="P16">
        <v>50</v>
      </c>
      <c r="Q16">
        <v>0</v>
      </c>
      <c r="R16" t="s">
        <v>227</v>
      </c>
    </row>
    <row r="17" spans="2:18" x14ac:dyDescent="0.3">
      <c r="B17" s="360">
        <v>40</v>
      </c>
      <c r="C17" s="360">
        <v>150</v>
      </c>
      <c r="D17" s="361" t="s">
        <v>213</v>
      </c>
      <c r="E17" s="246" t="s">
        <v>228</v>
      </c>
      <c r="G17" s="360">
        <v>50</v>
      </c>
      <c r="H17" s="360"/>
      <c r="I17" s="361" t="s">
        <v>213</v>
      </c>
      <c r="P17">
        <v>50</v>
      </c>
      <c r="Q17">
        <v>0</v>
      </c>
      <c r="R17" t="s">
        <v>229</v>
      </c>
    </row>
    <row r="18" spans="2:18" x14ac:dyDescent="0.3">
      <c r="B18" s="360">
        <v>140</v>
      </c>
      <c r="C18" s="360">
        <v>150</v>
      </c>
      <c r="D18" s="361" t="s">
        <v>217</v>
      </c>
      <c r="E18" s="246" t="s">
        <v>230</v>
      </c>
      <c r="G18" s="360">
        <v>50</v>
      </c>
      <c r="H18" s="360"/>
      <c r="I18" s="361" t="s">
        <v>217</v>
      </c>
      <c r="P18">
        <v>50</v>
      </c>
      <c r="Q18">
        <v>0</v>
      </c>
      <c r="R18" t="s">
        <v>231</v>
      </c>
    </row>
    <row r="19" spans="2:18" x14ac:dyDescent="0.3">
      <c r="B19" s="360">
        <v>150</v>
      </c>
      <c r="C19" s="360">
        <v>150</v>
      </c>
      <c r="D19" s="361" t="s">
        <v>220</v>
      </c>
      <c r="E19" s="246" t="s">
        <v>232</v>
      </c>
      <c r="G19" s="360">
        <v>50</v>
      </c>
      <c r="H19" s="360"/>
      <c r="I19" s="361" t="s">
        <v>220</v>
      </c>
      <c r="P19">
        <v>50</v>
      </c>
      <c r="Q19">
        <v>0</v>
      </c>
      <c r="R19" t="s">
        <v>233</v>
      </c>
    </row>
    <row r="20" spans="2:18" x14ac:dyDescent="0.3">
      <c r="B20" s="360">
        <v>40</v>
      </c>
      <c r="C20" s="360">
        <v>100</v>
      </c>
      <c r="D20" s="361" t="s">
        <v>234</v>
      </c>
      <c r="E20" s="246" t="s">
        <v>235</v>
      </c>
      <c r="G20" s="360">
        <v>50</v>
      </c>
      <c r="H20" s="360">
        <v>0</v>
      </c>
      <c r="I20" s="361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0">
        <v>100</v>
      </c>
      <c r="C21" s="360">
        <v>100</v>
      </c>
      <c r="D21" s="361" t="s">
        <v>238</v>
      </c>
      <c r="E21" s="246" t="s">
        <v>239</v>
      </c>
      <c r="G21" s="360">
        <v>50</v>
      </c>
      <c r="H21" s="360">
        <v>0</v>
      </c>
      <c r="I21" s="361" t="s">
        <v>238</v>
      </c>
      <c r="P21">
        <v>50</v>
      </c>
      <c r="Q21">
        <v>0</v>
      </c>
      <c r="R21" t="s">
        <v>240</v>
      </c>
    </row>
    <row r="22" spans="2:18" x14ac:dyDescent="0.3">
      <c r="B22" s="360">
        <v>100</v>
      </c>
      <c r="C22" s="360">
        <v>100</v>
      </c>
      <c r="D22" s="361" t="s">
        <v>223</v>
      </c>
      <c r="E22" s="246" t="s">
        <v>241</v>
      </c>
      <c r="G22" s="357"/>
      <c r="H22" s="357"/>
      <c r="I22" s="362" t="s">
        <v>223</v>
      </c>
      <c r="P22">
        <v>50</v>
      </c>
      <c r="Q22">
        <v>0</v>
      </c>
      <c r="R22" t="s">
        <v>242</v>
      </c>
    </row>
    <row r="23" spans="2:18" x14ac:dyDescent="0.3">
      <c r="B23" s="360">
        <v>40</v>
      </c>
      <c r="C23" s="360">
        <v>150</v>
      </c>
      <c r="D23" s="361" t="s">
        <v>227</v>
      </c>
      <c r="E23" s="246" t="s">
        <v>243</v>
      </c>
      <c r="G23" s="360">
        <v>50</v>
      </c>
      <c r="H23" s="360"/>
      <c r="I23" s="361" t="s">
        <v>227</v>
      </c>
      <c r="R23" t="s">
        <v>244</v>
      </c>
    </row>
    <row r="24" spans="2:18" x14ac:dyDescent="0.3">
      <c r="B24" s="360">
        <v>140</v>
      </c>
      <c r="C24" s="360">
        <v>150</v>
      </c>
      <c r="D24" s="361" t="s">
        <v>229</v>
      </c>
      <c r="E24" s="246" t="s">
        <v>245</v>
      </c>
      <c r="G24" s="360">
        <v>50</v>
      </c>
      <c r="H24" s="360"/>
      <c r="I24" s="361" t="s">
        <v>229</v>
      </c>
      <c r="R24" t="s">
        <v>246</v>
      </c>
    </row>
    <row r="25" spans="2:18" x14ac:dyDescent="0.3">
      <c r="B25" s="360">
        <v>150</v>
      </c>
      <c r="C25" s="360">
        <v>150</v>
      </c>
      <c r="D25" s="361" t="s">
        <v>231</v>
      </c>
      <c r="E25" s="246" t="s">
        <v>247</v>
      </c>
      <c r="G25" s="360">
        <v>50</v>
      </c>
      <c r="H25" s="360"/>
      <c r="I25" s="361" t="s">
        <v>231</v>
      </c>
      <c r="R25" t="s">
        <v>193</v>
      </c>
    </row>
    <row r="26" spans="2:18" x14ac:dyDescent="0.3">
      <c r="B26" s="360">
        <v>40</v>
      </c>
      <c r="C26" s="360">
        <v>77</v>
      </c>
      <c r="D26" s="361" t="s">
        <v>233</v>
      </c>
      <c r="E26" s="246" t="s">
        <v>248</v>
      </c>
      <c r="G26" s="360">
        <v>50</v>
      </c>
      <c r="H26" s="360"/>
      <c r="I26" s="361" t="s">
        <v>233</v>
      </c>
      <c r="R26" t="s">
        <v>196</v>
      </c>
    </row>
    <row r="27" spans="2:18" x14ac:dyDescent="0.3">
      <c r="B27" s="360">
        <v>110</v>
      </c>
      <c r="C27" s="360">
        <v>77</v>
      </c>
      <c r="D27" s="361" t="s">
        <v>237</v>
      </c>
      <c r="E27" s="246" t="s">
        <v>249</v>
      </c>
      <c r="G27" s="360">
        <v>50</v>
      </c>
      <c r="H27" s="360"/>
      <c r="I27" s="361" t="s">
        <v>237</v>
      </c>
      <c r="R27" t="s">
        <v>199</v>
      </c>
    </row>
    <row r="28" spans="2:18" x14ac:dyDescent="0.3">
      <c r="B28" s="360">
        <v>120</v>
      </c>
      <c r="C28" s="360">
        <v>77</v>
      </c>
      <c r="D28" s="361" t="s">
        <v>240</v>
      </c>
      <c r="E28" s="246" t="s">
        <v>250</v>
      </c>
      <c r="G28" s="360">
        <v>50</v>
      </c>
      <c r="H28" s="360"/>
      <c r="I28" s="361" t="s">
        <v>240</v>
      </c>
      <c r="R28" t="s">
        <v>204</v>
      </c>
    </row>
    <row r="29" spans="2:18" x14ac:dyDescent="0.3">
      <c r="B29" s="360">
        <v>40</v>
      </c>
      <c r="C29" s="360">
        <v>50</v>
      </c>
      <c r="D29" s="361" t="s">
        <v>242</v>
      </c>
      <c r="E29" s="246" t="s">
        <v>251</v>
      </c>
      <c r="G29" s="360">
        <v>50</v>
      </c>
      <c r="H29" s="360"/>
      <c r="I29" s="361" t="s">
        <v>242</v>
      </c>
      <c r="R29" t="s">
        <v>208</v>
      </c>
    </row>
    <row r="30" spans="2:18" x14ac:dyDescent="0.3">
      <c r="B30" s="360">
        <v>40</v>
      </c>
      <c r="C30" s="360">
        <v>60</v>
      </c>
      <c r="D30" s="361" t="s">
        <v>252</v>
      </c>
      <c r="E30" s="246" t="s">
        <v>253</v>
      </c>
      <c r="G30" s="360">
        <v>50</v>
      </c>
      <c r="H30" s="360"/>
      <c r="I30" s="361" t="s">
        <v>209</v>
      </c>
      <c r="R30" t="s">
        <v>202</v>
      </c>
    </row>
    <row r="31" spans="2:18" x14ac:dyDescent="0.3">
      <c r="B31" s="360">
        <v>40</v>
      </c>
      <c r="C31" s="360">
        <v>100</v>
      </c>
      <c r="D31" s="361" t="s">
        <v>205</v>
      </c>
      <c r="E31" s="246" t="s">
        <v>254</v>
      </c>
      <c r="G31" s="360">
        <v>50</v>
      </c>
      <c r="H31" s="360"/>
      <c r="I31" s="361" t="s">
        <v>205</v>
      </c>
      <c r="R31" t="s">
        <v>206</v>
      </c>
    </row>
    <row r="32" spans="2:18" x14ac:dyDescent="0.3">
      <c r="B32" s="360">
        <v>40</v>
      </c>
      <c r="C32" s="360">
        <v>60</v>
      </c>
      <c r="D32" s="361" t="s">
        <v>255</v>
      </c>
      <c r="E32" s="246" t="s">
        <v>256</v>
      </c>
      <c r="G32" s="360">
        <v>50</v>
      </c>
      <c r="H32" s="360"/>
      <c r="I32" s="361" t="s">
        <v>255</v>
      </c>
      <c r="R32" t="s">
        <v>257</v>
      </c>
    </row>
    <row r="33" spans="2:18" x14ac:dyDescent="0.3">
      <c r="B33" s="360">
        <v>40</v>
      </c>
      <c r="C33" s="360">
        <v>90</v>
      </c>
      <c r="D33" s="361" t="s">
        <v>258</v>
      </c>
      <c r="E33" s="246" t="s">
        <v>259</v>
      </c>
      <c r="G33" s="360">
        <v>50</v>
      </c>
      <c r="H33" s="360">
        <v>-2</v>
      </c>
      <c r="I33" s="361" t="s">
        <v>258</v>
      </c>
      <c r="R33" t="s">
        <v>260</v>
      </c>
    </row>
    <row r="34" spans="2:18" x14ac:dyDescent="0.3">
      <c r="B34" s="360">
        <v>40</v>
      </c>
      <c r="C34" s="360">
        <v>90</v>
      </c>
      <c r="D34" s="361" t="s">
        <v>261</v>
      </c>
      <c r="E34" s="246"/>
      <c r="G34" s="360">
        <v>50</v>
      </c>
      <c r="H34" s="360">
        <v>-2</v>
      </c>
      <c r="I34" s="361" t="s">
        <v>261</v>
      </c>
    </row>
    <row r="35" spans="2:18" x14ac:dyDescent="0.3">
      <c r="B35" s="360">
        <v>40</v>
      </c>
      <c r="C35" s="360">
        <v>90</v>
      </c>
      <c r="D35" s="361" t="s">
        <v>257</v>
      </c>
      <c r="E35" s="246" t="s">
        <v>262</v>
      </c>
      <c r="G35" s="360">
        <v>50</v>
      </c>
      <c r="H35" s="360">
        <v>-2</v>
      </c>
      <c r="I35" s="361" t="s">
        <v>257</v>
      </c>
      <c r="R35" t="s">
        <v>263</v>
      </c>
    </row>
    <row r="36" spans="2:18" x14ac:dyDescent="0.3">
      <c r="B36" s="363">
        <v>40</v>
      </c>
      <c r="C36" s="363">
        <v>90</v>
      </c>
      <c r="D36" s="364" t="s">
        <v>260</v>
      </c>
      <c r="G36" s="360">
        <v>50</v>
      </c>
      <c r="H36" s="360">
        <v>-2</v>
      </c>
      <c r="I36" s="361" t="s">
        <v>260</v>
      </c>
      <c r="R36" t="s">
        <v>258</v>
      </c>
    </row>
    <row r="37" spans="2:18" x14ac:dyDescent="0.3">
      <c r="B37" s="363">
        <v>40</v>
      </c>
      <c r="C37" s="363">
        <v>90</v>
      </c>
      <c r="D37" s="364" t="s">
        <v>263</v>
      </c>
      <c r="G37" s="360">
        <v>50</v>
      </c>
      <c r="H37" s="360">
        <v>-2</v>
      </c>
      <c r="I37" s="361" t="s">
        <v>263</v>
      </c>
      <c r="R37" t="s">
        <v>261</v>
      </c>
    </row>
    <row r="48" spans="2:18" x14ac:dyDescent="0.3">
      <c r="B48" s="360">
        <v>40</v>
      </c>
      <c r="C48" s="360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7" t="s">
        <v>265</v>
      </c>
      <c r="L3" s="457"/>
      <c r="M3" s="457" t="s">
        <v>266</v>
      </c>
      <c r="N3" s="457"/>
    </row>
    <row r="4" spans="1:14" ht="15.75" customHeight="1" x14ac:dyDescent="0.3">
      <c r="A4" s="138"/>
      <c r="B4" s="138"/>
      <c r="C4" s="365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66" t="s">
        <v>267</v>
      </c>
      <c r="D5" s="367" t="str">
        <f>'NOTA DE VENTA'!$C$10</f>
        <v xml:space="preserve">SISTEMA MUEBLES </v>
      </c>
      <c r="E5" s="315"/>
      <c r="F5" s="315"/>
      <c r="G5" s="138"/>
      <c r="K5">
        <f>LOOKUP(F14,REGLAS!$I$4:$I$37,REGLAS!$G$4:$G$37)+J14</f>
        <v>2070</v>
      </c>
      <c r="L5">
        <f>LOOKUP(F14,REGLAS!$I$4:$I$37,REGLAS!$H$4:$H$37)+K14</f>
        <v>460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68"/>
      <c r="D6" s="369"/>
      <c r="E6" s="138"/>
      <c r="F6" s="138"/>
      <c r="G6" s="138"/>
    </row>
    <row r="7" spans="1:14" ht="15.6" x14ac:dyDescent="0.3">
      <c r="A7" s="138"/>
      <c r="B7" s="138"/>
      <c r="C7" s="391" t="str">
        <f>'NOTA DE VENTA'!$F$10</f>
        <v>FECHA :</v>
      </c>
      <c r="D7" s="400">
        <f>'NOTA DE VENTA'!$G$10</f>
        <v>45725</v>
      </c>
      <c r="E7" s="138"/>
      <c r="F7" s="138"/>
      <c r="G7" s="138"/>
    </row>
    <row r="8" spans="1:14" ht="15.6" x14ac:dyDescent="0.3">
      <c r="A8" s="138"/>
      <c r="B8" s="138"/>
      <c r="C8" s="365" t="s">
        <v>268</v>
      </c>
      <c r="D8" s="399">
        <f>'NOTA DE VENTA'!$G$11</f>
        <v>45730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8" t="s">
        <v>265</v>
      </c>
      <c r="B10" s="458"/>
      <c r="C10" s="458"/>
      <c r="D10" s="458"/>
      <c r="E10" s="458"/>
      <c r="F10" s="458"/>
      <c r="G10" s="138"/>
    </row>
    <row r="11" spans="1:14" ht="15.6" x14ac:dyDescent="0.3">
      <c r="A11" s="138"/>
      <c r="B11" s="138"/>
      <c r="C11" s="371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28" t="s">
        <v>130</v>
      </c>
      <c r="E12" s="328" t="s">
        <v>11</v>
      </c>
      <c r="F12" s="138"/>
      <c r="G12" s="138"/>
    </row>
    <row r="13" spans="1:14" ht="15.6" x14ac:dyDescent="0.3">
      <c r="A13" s="328" t="s">
        <v>87</v>
      </c>
      <c r="B13" s="372" t="s">
        <v>96</v>
      </c>
      <c r="C13" s="372" t="s">
        <v>25</v>
      </c>
      <c r="D13" s="373">
        <v>80</v>
      </c>
      <c r="E13" s="373">
        <v>-30</v>
      </c>
      <c r="F13" s="372" t="s">
        <v>269</v>
      </c>
      <c r="G13" s="138"/>
      <c r="J13" s="374" t="s">
        <v>130</v>
      </c>
      <c r="K13" s="374" t="s">
        <v>11</v>
      </c>
    </row>
    <row r="14" spans="1:14" ht="15.6" x14ac:dyDescent="0.3">
      <c r="A14" s="375" t="s">
        <v>31</v>
      </c>
      <c r="B14" s="376">
        <f t="shared" ref="B14" si="0">I14</f>
        <v>1</v>
      </c>
      <c r="C14" s="376"/>
      <c r="D14" s="376">
        <f>LOOKUP(F14,REGLAS!$I$4:$I$37,REGLAS!$G$4:$G$37)+J14</f>
        <v>2070</v>
      </c>
      <c r="E14" s="377">
        <f>LOOKUP(F14,REGLAS!$I$4:$I$37,REGLAS!$H$4:$H$37)+K14</f>
        <v>460</v>
      </c>
      <c r="F14" s="378" t="str">
        <f>C27</f>
        <v>CUB C/R R8</v>
      </c>
      <c r="G14" s="138"/>
      <c r="I14" s="379">
        <f>I21</f>
        <v>1</v>
      </c>
      <c r="J14" s="150">
        <f t="shared" ref="J14:K14" si="1">D27</f>
        <v>2020</v>
      </c>
      <c r="K14" s="150">
        <f t="shared" si="1"/>
        <v>490</v>
      </c>
    </row>
    <row r="15" spans="1:14" ht="15.6" x14ac:dyDescent="0.3">
      <c r="A15" s="328"/>
      <c r="B15" s="52"/>
      <c r="C15" s="52"/>
      <c r="D15" s="52"/>
      <c r="E15" s="380"/>
      <c r="F15" s="52"/>
      <c r="G15" s="138"/>
      <c r="I15" s="381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8" t="s">
        <v>266</v>
      </c>
      <c r="B17" s="458"/>
      <c r="C17" s="458"/>
      <c r="D17" s="458"/>
      <c r="E17" s="458"/>
      <c r="F17" s="458"/>
      <c r="G17" s="138"/>
    </row>
    <row r="18" spans="1:11" ht="10.5" customHeight="1" x14ac:dyDescent="0.3">
      <c r="A18" s="138"/>
      <c r="B18" s="138"/>
      <c r="C18" s="371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28" t="s">
        <v>130</v>
      </c>
      <c r="E19" s="328" t="s">
        <v>11</v>
      </c>
      <c r="F19" s="138"/>
      <c r="G19" s="138"/>
    </row>
    <row r="20" spans="1:11" ht="15.6" x14ac:dyDescent="0.3">
      <c r="A20" s="328" t="s">
        <v>87</v>
      </c>
      <c r="B20" s="382" t="s">
        <v>96</v>
      </c>
      <c r="C20" s="382" t="s">
        <v>25</v>
      </c>
      <c r="D20" s="383">
        <v>40</v>
      </c>
      <c r="E20" s="383">
        <v>130</v>
      </c>
      <c r="F20" s="382" t="s">
        <v>269</v>
      </c>
      <c r="G20" s="138"/>
      <c r="J20" s="374" t="s">
        <v>130</v>
      </c>
      <c r="K20" s="374" t="s">
        <v>11</v>
      </c>
    </row>
    <row r="21" spans="1:11" ht="15.6" x14ac:dyDescent="0.3">
      <c r="A21" s="375" t="s">
        <v>270</v>
      </c>
      <c r="B21" s="384">
        <f t="shared" ref="B21" si="2">I21</f>
        <v>1</v>
      </c>
      <c r="C21" s="384"/>
      <c r="D21" s="384">
        <f>LOOKUP(F14,REGLAS!$D$4:$D$37,REGLAS!$B$4:$B$37)+J21</f>
        <v>2060</v>
      </c>
      <c r="E21" s="384">
        <f>LOOKUP(F14,REGLAS!$D$4:$D$37,REGLAS!$C$4:$C$37)+K21</f>
        <v>620</v>
      </c>
      <c r="F21" s="385" t="str">
        <f>C27</f>
        <v>CUB C/R R8</v>
      </c>
      <c r="G21" s="138"/>
      <c r="I21" s="379">
        <f>B27</f>
        <v>1</v>
      </c>
      <c r="J21" s="150">
        <f>D27</f>
        <v>2020</v>
      </c>
      <c r="K21" s="150">
        <f>E27</f>
        <v>490</v>
      </c>
    </row>
    <row r="22" spans="1:11" ht="15.6" x14ac:dyDescent="0.3">
      <c r="A22" s="386"/>
      <c r="B22" s="52"/>
      <c r="C22" s="52"/>
      <c r="D22" s="52"/>
      <c r="E22" s="52"/>
      <c r="F22" s="52"/>
      <c r="G22" s="138"/>
      <c r="I22" s="381"/>
      <c r="J22" s="6"/>
      <c r="K22" s="6"/>
    </row>
    <row r="23" spans="1:11" ht="16.2" thickBot="1" x14ac:dyDescent="0.35">
      <c r="A23" s="328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28"/>
      <c r="B24" s="387" t="s">
        <v>271</v>
      </c>
      <c r="C24" s="388"/>
      <c r="D24" s="388"/>
      <c r="E24" s="388"/>
      <c r="F24" s="389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28" t="s">
        <v>87</v>
      </c>
      <c r="B26" s="390" t="s">
        <v>96</v>
      </c>
      <c r="C26" s="390" t="s">
        <v>269</v>
      </c>
      <c r="D26" s="390" t="s">
        <v>130</v>
      </c>
      <c r="E26" s="390" t="s">
        <v>11</v>
      </c>
      <c r="F26" s="390" t="s">
        <v>8</v>
      </c>
      <c r="G26" s="138"/>
    </row>
    <row r="27" spans="1:11" ht="15.6" x14ac:dyDescent="0.3">
      <c r="A27" s="375" t="s">
        <v>31</v>
      </c>
      <c r="B27" s="376">
        <f>'[1]4637'!B21</f>
        <v>1</v>
      </c>
      <c r="C27" s="378" t="str">
        <f>C49</f>
        <v>CUB C/R R8</v>
      </c>
      <c r="D27" s="378">
        <f t="shared" ref="D27:F27" si="3">D49</f>
        <v>2020</v>
      </c>
      <c r="E27" s="378">
        <f t="shared" si="3"/>
        <v>490</v>
      </c>
      <c r="F27" s="378" t="str">
        <f t="shared" si="3"/>
        <v>GLACIAL WHITE 22191 SF</v>
      </c>
      <c r="G27" s="138"/>
    </row>
    <row r="28" spans="1:11" ht="15.6" x14ac:dyDescent="0.3">
      <c r="A28" s="386"/>
      <c r="B28" s="52"/>
      <c r="C28" s="52"/>
      <c r="D28" s="52"/>
      <c r="E28" s="52"/>
      <c r="F28" s="52"/>
      <c r="G28" s="138"/>
    </row>
    <row r="29" spans="1:11" ht="15.6" x14ac:dyDescent="0.3">
      <c r="A29" s="328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5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66" t="s">
        <v>267</v>
      </c>
      <c r="D40" s="367" t="str">
        <f>'[1]4637'!C10</f>
        <v>FMR MAKING SPA</v>
      </c>
      <c r="E40" s="315"/>
      <c r="F40" s="315"/>
      <c r="G40" s="138"/>
    </row>
    <row r="41" spans="1:7" ht="4.5" customHeight="1" x14ac:dyDescent="0.3">
      <c r="A41" s="138"/>
      <c r="B41" s="138"/>
      <c r="C41" s="368"/>
      <c r="D41" s="369"/>
      <c r="E41" s="138"/>
      <c r="F41" s="138"/>
      <c r="G41" s="138"/>
    </row>
    <row r="42" spans="1:7" ht="15.6" x14ac:dyDescent="0.3">
      <c r="A42" s="138"/>
      <c r="B42" s="138"/>
      <c r="C42" s="391" t="str">
        <f>'[1]4637'!F11</f>
        <v>FECHA LIMITE :</v>
      </c>
      <c r="D42" s="370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8" t="s">
        <v>272</v>
      </c>
      <c r="B45" s="458"/>
      <c r="C45" s="458"/>
      <c r="D45" s="458"/>
      <c r="E45" s="458"/>
      <c r="F45" s="458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3" t="s">
        <v>95</v>
      </c>
      <c r="C47" s="454"/>
      <c r="D47" s="455"/>
      <c r="E47" s="455"/>
      <c r="F47" s="456"/>
      <c r="G47" s="138"/>
    </row>
    <row r="48" spans="1:7" s="59" customFormat="1" ht="12.75" customHeight="1" x14ac:dyDescent="0.3">
      <c r="A48" s="138"/>
      <c r="B48" s="382" t="s">
        <v>96</v>
      </c>
      <c r="C48" s="392" t="s">
        <v>25</v>
      </c>
      <c r="D48" s="393" t="s">
        <v>130</v>
      </c>
      <c r="E48" s="393" t="s">
        <v>11</v>
      </c>
      <c r="F48" s="394" t="s">
        <v>273</v>
      </c>
      <c r="G48" s="138"/>
    </row>
    <row r="49" spans="1:7" s="59" customFormat="1" ht="15" customHeight="1" x14ac:dyDescent="0.3">
      <c r="A49" s="375" t="s">
        <v>274</v>
      </c>
      <c r="B49" s="395">
        <f>'[1]4637'!B21</f>
        <v>1</v>
      </c>
      <c r="C49" s="396" t="str">
        <f>'NOTA DE VENTA'!$C22</f>
        <v>CUB C/R R8</v>
      </c>
      <c r="D49" s="425">
        <v>2020</v>
      </c>
      <c r="E49" s="425">
        <f>'NOTA DE VENTA'!E22</f>
        <v>490</v>
      </c>
      <c r="F49" s="425" t="str">
        <f>'NOTA DE VENTA'!F22</f>
        <v>GLACIAL WHITE 22191 SF</v>
      </c>
      <c r="G49" s="138"/>
    </row>
    <row r="50" spans="1:7" s="59" customFormat="1" ht="15" customHeight="1" x14ac:dyDescent="0.3">
      <c r="A50" s="386"/>
      <c r="B50" s="328"/>
      <c r="C50" s="397"/>
      <c r="D50" s="328"/>
      <c r="E50" s="328"/>
      <c r="F50" s="328"/>
      <c r="G50" s="138"/>
    </row>
    <row r="51" spans="1:7" s="59" customFormat="1" ht="15" customHeight="1" x14ac:dyDescent="0.3">
      <c r="A51" s="139"/>
      <c r="B51" s="328"/>
      <c r="C51" s="328"/>
      <c r="D51" s="328"/>
      <c r="E51" s="328"/>
      <c r="F51" s="328"/>
      <c r="G51" s="138"/>
    </row>
    <row r="52" spans="1:7" ht="15.6" x14ac:dyDescent="0.3">
      <c r="A52" s="52"/>
      <c r="B52" s="52"/>
      <c r="C52" s="138"/>
      <c r="D52" s="52"/>
      <c r="E52" s="52"/>
      <c r="F52" s="368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398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0"/>
  </cols>
  <sheetData>
    <row r="1" spans="1:13" x14ac:dyDescent="0.3">
      <c r="A1" s="407" t="s">
        <v>275</v>
      </c>
      <c r="B1" s="408" t="s">
        <v>276</v>
      </c>
      <c r="C1" s="407" t="s">
        <v>277</v>
      </c>
      <c r="D1" s="407" t="s">
        <v>278</v>
      </c>
      <c r="E1" s="407" t="s">
        <v>279</v>
      </c>
      <c r="F1" s="407" t="s">
        <v>95</v>
      </c>
      <c r="G1" s="407" t="s">
        <v>8</v>
      </c>
      <c r="H1" s="409" t="s">
        <v>28</v>
      </c>
      <c r="I1" s="409" t="s">
        <v>51</v>
      </c>
      <c r="J1" s="409" t="s">
        <v>6</v>
      </c>
      <c r="K1" s="409" t="s">
        <v>280</v>
      </c>
      <c r="L1" s="409" t="s">
        <v>281</v>
      </c>
      <c r="M1" s="407" t="s">
        <v>282</v>
      </c>
    </row>
    <row r="2" spans="1:13" x14ac:dyDescent="0.3">
      <c r="A2">
        <f>'NOTA DE VENTA'!$G$8</f>
        <v>0</v>
      </c>
      <c r="B2" t="str">
        <f>'NOTA DE VENTA'!$D$8</f>
        <v>N° 12021</v>
      </c>
      <c r="C2" s="1">
        <f>'NOTA DE VENTA'!$G$10</f>
        <v>45725</v>
      </c>
      <c r="D2" s="1">
        <f>'NOTA DE VENTA'!$G$11</f>
        <v>45730</v>
      </c>
      <c r="E2" t="str">
        <f>'NOTA DE VENTA'!$C$10</f>
        <v xml:space="preserve">SISTEMA MUEBLES </v>
      </c>
      <c r="F2" t="str">
        <f>'NOTA DE VENTA'!$C$22</f>
        <v>CUB C/R R8</v>
      </c>
      <c r="G2" t="str">
        <f>'NOTA DE VENTA'!$F$22</f>
        <v>GLACIAL WHITE 22191 SF</v>
      </c>
      <c r="H2" s="410">
        <f>'NOTA DE VENTA'!$H$25</f>
        <v>49816</v>
      </c>
      <c r="I2" s="410">
        <f>H2*0.19</f>
        <v>9465.0400000000009</v>
      </c>
      <c r="J2" s="410">
        <f>I2+H2</f>
        <v>59281.04</v>
      </c>
      <c r="L2" s="61">
        <f>J2-K2</f>
        <v>59281.04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2026-03-09T22:45:41Z</cp:lastPrinted>
  <dcterms:created xsi:type="dcterms:W3CDTF">2013-03-18T13:35:42Z</dcterms:created>
  <dcterms:modified xsi:type="dcterms:W3CDTF">2026-03-09T22:47:41Z</dcterms:modified>
</cp:coreProperties>
</file>