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17BF71FA-778C-4029-BE23-1B3F6F0F5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40" i="1"/>
  <c r="P28" i="1"/>
  <c r="L22" i="1"/>
  <c r="M22" i="1"/>
  <c r="N22" i="1"/>
  <c r="O22" i="1"/>
  <c r="P22" i="1" s="1"/>
  <c r="S22" i="1"/>
  <c r="L21" i="1" l="1"/>
  <c r="K34" i="1"/>
  <c r="K30" i="1"/>
  <c r="K36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Q22" i="1" s="1"/>
  <c r="R22" i="1" s="1"/>
  <c r="D21" i="3"/>
  <c r="M43" i="3" s="1"/>
  <c r="D12" i="3" s="1"/>
  <c r="F20" i="3"/>
  <c r="F21" i="3" s="1"/>
  <c r="O42" i="1" l="1"/>
  <c r="E15" i="3"/>
  <c r="Q21" i="1" l="1"/>
  <c r="F15" i="3"/>
  <c r="R21" i="1" l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<sst xmlns="http://schemas.openxmlformats.org/spreadsheetml/2006/main" count="488" uniqueCount="294">
  <si>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</si>
  <si>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</si>
  <si>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</si>
  <si>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</si>
  <si>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</si>
  <si>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</si>
  <si>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</si>
  <si>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</si>
  <si>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</si>
  <si>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</si>
  <si>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</si>
  <si>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</si>
  <si>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</si>
  <si>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</si>
  <si>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</si>
  <si>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</si>
  <si>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</si>
  <si>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</si>
  <si>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</si>
  <si>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</si>
  <si>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</si>
  <si>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</si>
  <si>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</si>
  <si>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</si>
  <si>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</si>
  <si>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</si>
  <si>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</si>
  <si>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</si>
  <si>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</si>
  <si>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</si>
  <si>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</si>
  <si>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</si>
  <si>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</si>
  <si>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</si>
  <si>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</si>
  <si>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</si>
  <si>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</si>
  <si>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</si>
  <si>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</si>
  <si>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</si>
  <si>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</si>
  <si>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</si>
  <si>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</si>
  <si>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</si>
  <si>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</si>
  <si>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</si>
  <si>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</si>
  <si>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</si>
  <si>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</si>
  <si>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</si>
  <si>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</si>
  <si>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</si>
  <si>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</si>
  <si>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</si>
  <si>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</si>
  <si>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</si>
  <si>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</si>
  <si>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</si>
  <si>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</si>
  <si>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</si>
  <si>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</si>
  <si>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</si>
  <si>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</si>
  <si>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</si>
  <si>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</si>
  <si>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</si>
  <si>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</si>
  <si>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</si>
  <si>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</si>
  <si>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</si>
  <si>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</si>
  <si>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</si>
  <si>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</si>
  <si>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</si>
  <si>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</si>
  <si>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</si>
  <si>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</si>
  <si>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</si>
  <si>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</si>
  <si>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</si>
  <si>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</si>
  <si>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</si>
  <si>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</si>
  <si>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</si>
  <si>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</si>
  <si>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</si>
  <si>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</si>
  <si>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</si>
  <si>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</si>
  <si>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</si>
  <si>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</si>
  <si>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</si>
  <si>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</si>
  <si>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</si>
  <si>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</si>
  <si>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</si>
  <si>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</si>
  <si>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</si>
  <si>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</si>
  <si>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</si>
  <si>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</si>
  <si>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</si>
  <si>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</si>
  <si>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</si>
  <si>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</si>
  <si>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</si>
  <si>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</si>
  <si>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</si>
  <si>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</si>
  <si>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</si>
  <si>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</si>
  <si>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</si>
  <si>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</si>
  <si>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</si>
  <si>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</si>
  <si>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</si>
  <si>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</si>
  <si>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</si>
  <si>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</si>
  <si>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</si>
  <si>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</si>
  <si>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</si>
  <si>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</si>
  <si>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</si>
  <si>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</si>
  <si>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</si>
  <si>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</si>
  <si>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</si>
  <si>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</si>
  <si>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</si>
  <si>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</si>
  <si>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</si>
  <si>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</si>
  <si>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</si>
  <si>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</si>
  <si>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</si>
  <si>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</si>
  <si>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</si>
  <si>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</si>
  <si>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</si>
  <si>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</si>
  <si>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</si>
  <si>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</si>
  <si>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</si>
  <si>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</si>
  <si>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</si>
  <si>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</si>
  <si>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</si>
  <si>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</si>
  <si>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</si>
  <si>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</si>
  <si>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</si>
  <si>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</si>
  <si>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</si>
  <si>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</si>
  <si>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</si>
  <si>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</si>
  <si>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</si>
  <si>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</si>
  <si>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</si>
  <si>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</si>
  <si>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</si>
  <si>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</si>
  <si>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</si>
  <si>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</si>
  <si>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</si>
  <si>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</si>
  <si>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</si>
  <si>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</si>
  <si>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</si>
  <si>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</si>
  <si>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</si>
  <si>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</si>
  <si>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</si>
  <si>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</si>
  <si>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</si>
  <si>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</si>
  <si>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</si>
  <si>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</si>
  <si>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</si>
  <si>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</si>
  <si>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</si>
  <si>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</si>
  <si>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</si>
  <si>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</si>
  <si>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</si>
  <si>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</si>
  <si>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</si>
  <si>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</si>
  <si>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</si>
  <si>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</si>
  <si>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</si>
  <si>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</si>
  <si>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</si>
  <si>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</si>
  <si>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</si>
  <si>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</si>
  <si>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</si>
  <si>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</si>
  <si>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</si>
  <si>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</si>
  <si>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</si>
  <si>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</si>
  <si>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</si>
  <si>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</si>
  <si>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</si>
  <si>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</si>
  <si>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</si>
  <si>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</si>
  <si>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</si>
  <si>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</si>
  <si>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</si>
  <si>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</si>
  <si>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</si>
  <si>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</si>
  <si>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</si>
  <si>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</si>
  <si>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</si>
  <si>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</si>
  <si>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</si>
  <si>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</si>
  <si>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</si>
  <si>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</si>
  <si>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</si>
  <si>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</si>
  <si>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</si>
  <si>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</si>
  <si>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</si>
  <si>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</si>
  <si>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</si>
  <si>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</si>
  <si>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</si>
  <si>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</si>
  <si>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</si>
  <si>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</si>
  <si>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</si>
  <si>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</si>
  <si>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</si>
  <si>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</si>
  <si>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</si>
  <si>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</si>
  <si>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</si>
  <si>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</si>
  <si>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</si>
  <si>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</si>
  <si>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</si>
  <si>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</si>
  <si>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</si>
  <si>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</si>
  <si>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</si>
  <si>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</si>
  <si>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</si>
  <si>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</si>
  <si>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</si>
  <si>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</si>
  <si>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</si>
  <si>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</si>
  <si>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</si>
  <si>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</si>
  <si>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</si>
  <si>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</si>
  <si>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</si>
  <si>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</si>
  <si>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</si>
  <si>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</si>
  <si>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</si>
  <si>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</si>
  <si>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</si>
  <si>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</si>
  <si>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</si>
  <si>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</si>
  <si>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</si>
  <si>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</si>
  <si>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</si>
  <si>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</si>
  <si>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</si>
  <si>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</si>
  <si>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</si>
  <si>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</si>
  <si>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</si>
  <si>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</si>
  <si>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</si>
  <si>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</si>
  <si>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</si>
  <si>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</si>
  <si>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</si>
  <si>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</si>
  <si>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</si>
  <si>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S/R 180°</t>
  </si>
  <si>
    <t>5 DIAS HABILES</t>
  </si>
  <si>
    <t>N° 12046</t>
  </si>
  <si>
    <t>GASTON PEREZ</t>
  </si>
  <si>
    <t>+56 9 9373 4659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</si>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</sst>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5" zoomScale="93" zoomScaleNormal="93" workbookViewId="0">
      <selection activeCell="M24" sqref="M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291</v>
      </c>
      <c r="D10" s="243"/>
      <c r="E10" s="243"/>
      <c r="F10" s="418" t="s">
        <v>277</v>
      </c>
      <c r="G10" s="275">
        <v>46097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289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79613.8214965441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1</v>
      </c>
      <c r="C21" s="433" t="s">
        <v>288</v>
      </c>
      <c r="D21" s="430">
        <v>2.6</v>
      </c>
      <c r="E21" s="430">
        <v>0.63</v>
      </c>
      <c r="F21" s="429" t="s">
        <v>293</v>
      </c>
      <c r="G21" s="431">
        <v>134420</v>
      </c>
      <c r="H21" s="431">
        <f>G21*B21</f>
        <v>134420</v>
      </c>
      <c r="I21" s="306"/>
      <c r="J21" s="264"/>
      <c r="K21" s="47"/>
      <c r="L21" s="47">
        <f>B21</f>
        <v>1</v>
      </c>
      <c r="M21" s="39">
        <f>D21+M$19</f>
        <v>2.68</v>
      </c>
      <c r="N21" s="39">
        <f>E21+$N$19</f>
        <v>0.63</v>
      </c>
      <c r="O21" s="260">
        <f t="shared" ref="O21" si="0">M21*N21</f>
        <v>1.6884000000000001</v>
      </c>
      <c r="P21" s="258">
        <f t="shared" ref="P21" si="1">O21*L21</f>
        <v>1.6884000000000001</v>
      </c>
      <c r="Q21" s="251">
        <f t="shared" ref="Q21" si="2">Q$20*O21</f>
        <v>134419.97621476508</v>
      </c>
      <c r="R21" s="305">
        <f t="shared" ref="R21" si="3">Q21+R$20</f>
        <v>137419.97621476508</v>
      </c>
      <c r="S21" s="290">
        <f>M21*L21</f>
        <v>2.68</v>
      </c>
      <c r="T21" s="46">
        <f>N21*2*L21*2</f>
        <v>2.52</v>
      </c>
      <c r="U21" s="9"/>
      <c r="X21" s="4"/>
    </row>
    <row r="22" spans="2:25" ht="17.399999999999999" x14ac:dyDescent="0.3">
      <c r="B22" s="429">
        <v>2</v>
      </c>
      <c r="C22" s="433" t="s">
        <v>288</v>
      </c>
      <c r="D22" s="430">
        <v>2.6</v>
      </c>
      <c r="E22" s="430">
        <v>0.43</v>
      </c>
      <c r="F22" s="429" t="s">
        <v>293</v>
      </c>
      <c r="G22" s="431">
        <v>91747</v>
      </c>
      <c r="H22" s="431">
        <f>G22*B22</f>
        <v>183494</v>
      </c>
      <c r="I22" s="306"/>
      <c r="J22" s="264"/>
      <c r="K22" s="47"/>
      <c r="L22" s="47">
        <f>B22</f>
        <v>2</v>
      </c>
      <c r="M22" s="39">
        <f>D22+M$19</f>
        <v>2.68</v>
      </c>
      <c r="N22" s="39">
        <f>E22+$N$19</f>
        <v>0.43</v>
      </c>
      <c r="O22" s="260">
        <f t="shared" ref="O22" si="4">M22*N22</f>
        <v>1.1524000000000001</v>
      </c>
      <c r="P22" s="258">
        <f t="shared" ref="P22" si="5">O22*L22</f>
        <v>2.3048000000000002</v>
      </c>
      <c r="Q22" s="251">
        <f t="shared" ref="Q22" si="6">Q$20*O22</f>
        <v>91746.967892617424</v>
      </c>
      <c r="R22" s="305">
        <f t="shared" ref="R22" si="7">Q22+R$20</f>
        <v>94746.967892617424</v>
      </c>
      <c r="S22" s="290">
        <f>M22*L22</f>
        <v>5.36</v>
      </c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317914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SUM(T21:T24)</f>
        <v>2.52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60403.66</v>
      </c>
      <c r="I28" s="308"/>
      <c r="J28" s="264"/>
      <c r="K28" s="47">
        <v>450</v>
      </c>
      <c r="L28" s="47"/>
      <c r="M28" s="39">
        <f>SUM(M21:M27)</f>
        <v>5.36</v>
      </c>
      <c r="N28" s="12"/>
      <c r="O28" s="12"/>
      <c r="P28" s="252">
        <f>SUM(P21:P22)</f>
        <v>3.9932000000000003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378317.66000000003</v>
      </c>
      <c r="I29" s="308"/>
      <c r="J29" s="264"/>
      <c r="K29" s="47">
        <v>60</v>
      </c>
      <c r="L29" s="47"/>
      <c r="M29" s="39"/>
      <c r="N29" s="12"/>
      <c r="O29" s="12"/>
      <c r="P29" s="252">
        <f>P28</f>
        <v>3.9932000000000003</v>
      </c>
      <c r="Q29" s="14"/>
      <c r="R29" s="12"/>
      <c r="S29" s="239">
        <f>SUM(S21:S28)</f>
        <v>8.0400000000000009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>
        <f>SUM(K28:K29)</f>
        <v>510</v>
      </c>
      <c r="L30" s="47"/>
      <c r="M30" s="14"/>
      <c r="N30" s="12"/>
      <c r="O30" s="12"/>
      <c r="P30" s="39">
        <f>P29*20%</f>
        <v>0.79864000000000013</v>
      </c>
      <c r="Q30" s="39" t="s">
        <v>129</v>
      </c>
      <c r="R30" s="42"/>
      <c r="S30" s="240">
        <f>S29+T27</f>
        <v>10.56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4.7918400000000005</v>
      </c>
      <c r="Q31" s="14"/>
      <c r="R31" s="14"/>
      <c r="S31" s="238">
        <f>S30*20%</f>
        <v>2.1120000000000001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>
        <v>600</v>
      </c>
      <c r="L32" s="47"/>
      <c r="M32" s="14"/>
      <c r="N32" s="14"/>
      <c r="O32" s="14"/>
      <c r="P32" s="14"/>
      <c r="Q32" s="14"/>
      <c r="R32" s="14"/>
      <c r="S32" s="240">
        <f>S30+S31</f>
        <v>12.672000000000001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>
        <v>60</v>
      </c>
      <c r="L33" s="47"/>
      <c r="M33" s="39">
        <f>P31</f>
        <v>4.7918400000000005</v>
      </c>
      <c r="N33" s="12">
        <v>3500</v>
      </c>
      <c r="O33" s="12">
        <f t="shared" ref="O33:O38" si="8">M33*N33</f>
        <v>16771.440000000002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>
        <f>SUM(K32:K33)</f>
        <v>660</v>
      </c>
      <c r="L34" s="47"/>
      <c r="M34" s="248">
        <v>1.5</v>
      </c>
      <c r="N34" s="12">
        <v>23500</v>
      </c>
      <c r="O34" s="12">
        <f t="shared" si="8"/>
        <v>35250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8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>
        <f>K30+K34</f>
        <v>1170</v>
      </c>
      <c r="L36" s="249"/>
      <c r="M36" s="14">
        <v>2</v>
      </c>
      <c r="N36" s="249">
        <v>43101</v>
      </c>
      <c r="O36" s="12">
        <f t="shared" si="8"/>
        <v>86202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8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8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138223.44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O39*2.3</f>
        <v>317913.91199999995</v>
      </c>
      <c r="P40" s="14" t="s">
        <v>138</v>
      </c>
      <c r="Q40" s="14"/>
      <c r="R40" s="40">
        <f>P31/R39</f>
        <v>1.292018981880932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51290</v>
      </c>
      <c r="L41" s="249"/>
      <c r="M41" s="14"/>
      <c r="N41" s="12"/>
      <c r="O41" s="12">
        <f>O40/P29</f>
        <v>79613.8214965441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43100.840336134454</v>
      </c>
      <c r="L42" s="249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46097</v>
      </c>
    </row>
    <row r="6" spans="2:31" ht="16.2" thickBot="1" x14ac:dyDescent="0.35">
      <c r="B6" s="140" t="s">
        <v>2</v>
      </c>
      <c r="C6" s="139" t="str">
        <f>'2229'!C10</f>
        <v>GASTON PEREZ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-30475.395700120775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317914</v>
      </c>
      <c r="E11" s="132">
        <f>D11*0.19</f>
        <v>60403.66</v>
      </c>
      <c r="F11" s="131">
        <f>E11+D11</f>
        <v>378317.66000000003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75514.604299879225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81855.530787439609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57514.604299879225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236058.46921256039</v>
      </c>
      <c r="E13" s="221">
        <f>(D11/D12)-1</f>
        <v>2.8838426303233082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48514.604299879225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9514.6042998792254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135061.62579927535</v>
      </c>
      <c r="F15" s="216">
        <f>E15-D12</f>
        <v>53206.095011835743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9514.6042998792254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49514.604299879225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16771.440000000002</v>
      </c>
      <c r="E20" s="121">
        <f>D20*0.19</f>
        <v>3186.5736000000006</v>
      </c>
      <c r="F20" s="120">
        <f>SUM(D20:E20)</f>
        <v>19958.013600000002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52021.440000000002</v>
      </c>
      <c r="E21" s="116">
        <f>SUM(E18:E20)</f>
        <v>9884.0735999999997</v>
      </c>
      <c r="F21" s="115">
        <f>SUM(F18:F20)</f>
        <v>61905.513600000006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50519.5864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317914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52021.440000000002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236058.46921256039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236058.46921256039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GASTON PEREZ</v>
      </c>
      <c r="D10" s="350"/>
      <c r="E10" s="350"/>
      <c r="F10" s="351" t="s">
        <v>167</v>
      </c>
      <c r="G10" s="352">
        <f>'2229'!G10</f>
        <v>46097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+56 9 9373 4659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180°</v>
      </c>
      <c r="D22" s="321">
        <f>'2229'!D21*1000</f>
        <v>2600</v>
      </c>
      <c r="E22" s="321">
        <f>'2229'!E21*1000</f>
        <v>630</v>
      </c>
      <c r="F22" s="322" t="str">
        <f>'2229'!F21</f>
        <v>HUMO 2108 MT</v>
      </c>
      <c r="G22" s="314">
        <f>'2229'!G21</f>
        <v>134420</v>
      </c>
      <c r="H22" s="323">
        <f>G22*B22</f>
        <v>134420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134420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25539.8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159959.79999999999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GASTON PEREZ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46104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12046</v>
      </c>
      <c r="C2" s="1">
        <f>'NOTA DE VENTA'!$G$10</f>
        <v>46097</v>
      </c>
      <c r="D2" s="1">
        <f>'NOTA DE VENTA'!$G$11</f>
        <v>46104</v>
      </c>
      <c r="E2" t="str">
        <f>'NOTA DE VENTA'!$C$10</f>
        <v>GASTON PEREZ</v>
      </c>
      <c r="F2" t="str">
        <f>'NOTA DE VENTA'!$C$22</f>
        <v>CUB S/R 180°</v>
      </c>
      <c r="G2" t="str">
        <f>'NOTA DE VENTA'!$F$22</f>
        <v>HUMO 2108 MT</v>
      </c>
      <c r="H2" s="416">
        <f>'NOTA DE VENTA'!$H$25</f>
        <v>134420</v>
      </c>
      <c r="I2" s="416">
        <f>H2*0.19</f>
        <v>25539.8</v>
      </c>
      <c r="J2" s="416">
        <f>I2+H2</f>
        <v>159959.79999999999</v>
      </c>
      <c r="L2" s="61">
        <f>J2-K2</f>
        <v>159959.79999999999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2026-03-16T21:09:41Z</dcterms:modified>
</cp:coreProperties>
</file>