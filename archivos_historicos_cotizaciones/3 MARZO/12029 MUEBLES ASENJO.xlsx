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A2048C92-D8F6-4010-AF04-F5820BC94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L22" i="1"/>
  <c r="M22" i="1"/>
  <c r="N22" i="1"/>
  <c r="O22" i="1"/>
  <c r="P22" i="1" s="1"/>
  <c r="S22" i="1"/>
  <c r="L23" i="1"/>
  <c r="M23" i="1"/>
  <c r="N23" i="1"/>
  <c r="O23" i="1"/>
  <c r="P23" i="1" s="1"/>
  <c r="L24" i="1"/>
  <c r="M24" i="1"/>
  <c r="N24" i="1"/>
  <c r="O24" i="1"/>
  <c r="P24" i="1" s="1"/>
  <c r="H22" i="1"/>
  <c r="M21" i="1"/>
  <c r="L21" i="1"/>
  <c r="S21" i="1" l="1"/>
  <c r="N21" i="1" l="1"/>
  <c r="O21" i="1" l="1"/>
  <c r="P21" i="1" s="1"/>
  <c r="P29" i="1" s="1"/>
  <c r="S30" i="1"/>
  <c r="M29" i="1"/>
  <c r="T28" i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4" i="1" l="1"/>
  <c r="R24" i="1" s="1"/>
  <c r="Q22" i="1"/>
  <c r="R22" i="1" s="1"/>
  <c r="Q23" i="1"/>
  <c r="R23" i="1" s="1"/>
  <c r="Q21" i="1"/>
  <c r="O43" i="1"/>
  <c r="E15" i="3"/>
  <c r="R21" i="1" l="1"/>
  <c r="H21" i="1"/>
  <c r="F15" i="3"/>
  <c r="H28" i="1" l="1"/>
  <c r="H29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<sst xmlns="http://schemas.openxmlformats.org/spreadsheetml/2006/main" count="236" uniqueCount="176">
  <si>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</si>
  <si>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</si>
  <si>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</si>
  <si>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</si>
  <si>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</si>
  <si>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</si>
  <si>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</si>
  <si>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</si>
  <si>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</si>
  <si>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</si>
  <si>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</si>
  <si>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</si>
  <si>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</si>
  <si>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</si>
  <si>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</si>
  <si>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</si>
  <si>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</si>
  <si>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</si>
  <si>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</si>
  <si>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</si>
  <si>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</si>
  <si>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</si>
  <si>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</si>
  <si>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</si>
  <si>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</si>
  <si>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</si>
  <si>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</si>
  <si>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</si>
  <si>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</si>
  <si>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</si>
  <si>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</si>
  <si>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</si>
  <si>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</si>
  <si>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</si>
  <si>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</si>
  <si>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</si>
  <si>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</si>
  <si>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</si>
  <si>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</si>
  <si>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</si>
  <si>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</si>
  <si>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</si>
  <si>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</si>
  <si>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</si>
  <si>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</si>
  <si>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</si>
  <si>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</si>
  <si>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</si>
  <si>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</si>
  <si>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</si>
  <si>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</si>
  <si>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</si>
  <si>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</si>
  <si>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</si>
  <si>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</si>
  <si>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</si>
  <si>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</si>
  <si>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</si>
  <si>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</si>
  <si>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</si>
  <si>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</si>
  <si>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</si>
  <si>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</si>
  <si>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</si>
  <si>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</si>
  <si>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</si>
  <si>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</si>
  <si>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</si>
  <si>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</si>
  <si>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</si>
  <si>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</si>
  <si>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</si>
  <si>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</si>
  <si>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</si>
  <si>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</si>
  <si>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</si>
  <si>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</si>
  <si>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</si>
  <si>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</si>
  <si>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</si>
  <si>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</si>
  <si>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</si>
  <si>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</si>
  <si>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</si>
  <si>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</si>
  <si>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</si>
  <si>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</si>
  <si>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</si>
  <si>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</si>
  <si>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</si>
  <si>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</si>
  <si>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</si>
  <si>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</si>
  <si>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</si>
  <si>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</si>
  <si>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</si>
  <si>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</si>
  <si>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</si>
  <si>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</si>
  <si>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</si>
  <si>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</si>
  <si>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</si>
  <si>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</si>
  <si>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</si>
  <si>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</si>
  <si>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</si>
  <si>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</si>
  <si>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</si>
  <si>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</si>
  <si>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</si>
  <si>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</si>
  <si>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</si>
  <si>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</si>
  <si>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</si>
  <si>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</si>
  <si>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</si>
  <si>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</si>
  <si>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</si>
  <si>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</si>
  <si>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</si>
  <si>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</si>
  <si>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</si>
  <si>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</si>
  <si>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</si>
  <si>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</si>
  <si>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</si>
  <si>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</si>
  <si>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</si>
  <si>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</si>
  <si>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</si>
  <si>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</si>
  <si>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</si>
  <si>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</si>
  <si>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</si>
  <si>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</si>
  <si>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</si>
  <si>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</si>
  <si>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</si>
  <si>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</si>
  <si>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</si>
  <si>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</si>
  <si>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</si>
  <si>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</si>
  <si>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</si>
  <si>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</si>
  <si>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</si>
  <si>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</si>
  <si>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</si>
  <si>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</si>
  <si>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</si>
  <si>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</si>
  <si>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</si>
  <si>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</si>
  <si>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</si>
  <si>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</si>
  <si>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</si>
  <si>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</si>
  <si>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</si>
  <si>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</si>
  <si>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</si>
  <si>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</si>
  <si>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</si>
  <si>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</si>
  <si>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</si>
  <si>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</si>
  <si>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</si>
  <si>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</si>
  <si>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</si>
  <si>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</si>
  <si>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</si>
  <si>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</si>
  <si>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</si>
  <si>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5 DIAS HABILES</t>
  </si>
  <si>
    <t>CUB S/R 90° R8</t>
  </si>
  <si>
    <t>CORN 21387 SF</t>
  </si>
  <si>
    <t>N° 12029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</si>
</sst>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25913</xdr:rowOff>
    </xdr:from>
    <xdr:to>
      <xdr:col>5</xdr:col>
      <xdr:colOff>1728839</xdr:colOff>
      <xdr:row>30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6" zoomScale="84" zoomScaleNormal="84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46090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42022.966487381062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2">
        <v>1.45</v>
      </c>
      <c r="E21" s="332">
        <v>0.6</v>
      </c>
      <c r="F21" s="330" t="s">
        <v>174</v>
      </c>
      <c r="G21" s="331">
        <v>41577</v>
      </c>
      <c r="H21" s="331">
        <f t="shared" ref="H21" si="1">G21*B21</f>
        <v>41577</v>
      </c>
      <c r="I21" s="320"/>
      <c r="J21" s="265"/>
      <c r="K21" s="47"/>
      <c r="L21" s="333">
        <f>B21</f>
        <v>1</v>
      </c>
      <c r="M21" s="39">
        <f>D21+M$19</f>
        <v>1.53</v>
      </c>
      <c r="N21" s="39">
        <f t="shared" ref="N21" si="2">E21+$N$19</f>
        <v>0.6</v>
      </c>
      <c r="O21" s="261">
        <f t="shared" ref="O21" si="3">M21*N21</f>
        <v>0.91799999999999993</v>
      </c>
      <c r="P21" s="259">
        <f t="shared" ref="P21" si="4">O21*L21</f>
        <v>0.91799999999999993</v>
      </c>
      <c r="Q21" s="252">
        <f t="shared" ref="Q21" si="5">Q$20*O21</f>
        <v>38577.083235415812</v>
      </c>
      <c r="R21" s="319">
        <f t="shared" ref="R21" si="6">Q21+R$20</f>
        <v>41577.083235415812</v>
      </c>
      <c r="S21" s="297">
        <f t="shared" ref="S21" si="7">L21*M21</f>
        <v>1.53</v>
      </c>
      <c r="T21" s="46"/>
      <c r="U21" s="9"/>
      <c r="X21" s="4"/>
    </row>
    <row r="22" spans="2:25" ht="17.399999999999999" x14ac:dyDescent="0.3">
      <c r="B22" s="330">
        <v>1</v>
      </c>
      <c r="C22" s="330" t="s">
        <v>171</v>
      </c>
      <c r="D22" s="332">
        <v>2.25</v>
      </c>
      <c r="E22" s="332">
        <v>0.6</v>
      </c>
      <c r="F22" s="330" t="s">
        <v>174</v>
      </c>
      <c r="G22" s="331">
        <v>61748</v>
      </c>
      <c r="H22" s="331">
        <f t="shared" ref="H22" si="8">G22*B22</f>
        <v>61748</v>
      </c>
      <c r="I22" s="320"/>
      <c r="J22" s="265"/>
      <c r="K22" s="47"/>
      <c r="L22" s="333">
        <f t="shared" ref="L22:L24" si="9">B22</f>
        <v>1</v>
      </c>
      <c r="M22" s="39">
        <f t="shared" ref="M22:M24" si="10">D22+M$19</f>
        <v>2.33</v>
      </c>
      <c r="N22" s="39">
        <f t="shared" ref="N22:N24" si="11">E22+$N$19</f>
        <v>0.6</v>
      </c>
      <c r="O22" s="261">
        <f t="shared" ref="O22:O24" si="12">M22*N22</f>
        <v>1.3979999999999999</v>
      </c>
      <c r="P22" s="259">
        <f t="shared" ref="P22:P24" si="13">O22*L22</f>
        <v>1.3979999999999999</v>
      </c>
      <c r="Q22" s="252">
        <f t="shared" ref="Q22:Q24" si="14">Q$20*O22</f>
        <v>58748.107149358722</v>
      </c>
      <c r="R22" s="319">
        <f t="shared" ref="R22:R24" si="15">Q22+R$20</f>
        <v>61748.107149358722</v>
      </c>
      <c r="S22" s="297">
        <f t="shared" ref="S22:S24" si="16">L22*M22</f>
        <v>2.33</v>
      </c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2">
        <v>2.25</v>
      </c>
      <c r="E23" s="332">
        <v>0.6</v>
      </c>
      <c r="F23" s="330" t="s">
        <v>174</v>
      </c>
      <c r="G23" s="331">
        <v>58748</v>
      </c>
      <c r="H23" s="331">
        <f t="shared" ref="H23:H24" si="17">G23*B23</f>
        <v>58748</v>
      </c>
      <c r="I23" s="320"/>
      <c r="J23" s="265"/>
      <c r="K23" s="47"/>
      <c r="L23" s="333">
        <f t="shared" si="9"/>
        <v>1</v>
      </c>
      <c r="M23" s="39">
        <f t="shared" si="10"/>
        <v>2.33</v>
      </c>
      <c r="N23" s="39">
        <f t="shared" si="11"/>
        <v>0.6</v>
      </c>
      <c r="O23" s="261">
        <f t="shared" si="12"/>
        <v>1.3979999999999999</v>
      </c>
      <c r="P23" s="259">
        <f t="shared" si="13"/>
        <v>1.3979999999999999</v>
      </c>
      <c r="Q23" s="252">
        <f t="shared" si="14"/>
        <v>58748.107149358722</v>
      </c>
      <c r="R23" s="319">
        <f t="shared" si="15"/>
        <v>61748.107149358722</v>
      </c>
      <c r="S23" s="297"/>
      <c r="T23" s="46"/>
      <c r="U23" s="9"/>
      <c r="X23" s="4"/>
    </row>
    <row r="24" spans="2:25" ht="17.399999999999999" x14ac:dyDescent="0.3">
      <c r="B24" s="330">
        <v>2</v>
      </c>
      <c r="C24" s="330" t="s">
        <v>173</v>
      </c>
      <c r="D24" s="332">
        <v>1.4</v>
      </c>
      <c r="E24" s="332">
        <v>0.70499999999999996</v>
      </c>
      <c r="F24" s="330" t="s">
        <v>174</v>
      </c>
      <c r="G24" s="331">
        <v>43847</v>
      </c>
      <c r="H24" s="331">
        <f t="shared" si="17"/>
        <v>87694</v>
      </c>
      <c r="I24" s="320"/>
      <c r="J24" s="265"/>
      <c r="K24" s="47"/>
      <c r="L24" s="333">
        <f t="shared" si="9"/>
        <v>2</v>
      </c>
      <c r="M24" s="39">
        <f t="shared" si="10"/>
        <v>1.48</v>
      </c>
      <c r="N24" s="39">
        <f t="shared" si="11"/>
        <v>0.70499999999999996</v>
      </c>
      <c r="O24" s="261">
        <f t="shared" si="12"/>
        <v>1.0433999999999999</v>
      </c>
      <c r="P24" s="259">
        <f t="shared" si="13"/>
        <v>2.0867999999999998</v>
      </c>
      <c r="Q24" s="252">
        <f t="shared" si="14"/>
        <v>43846.763232933394</v>
      </c>
      <c r="R24" s="319">
        <f t="shared" si="15"/>
        <v>46846.763232933394</v>
      </c>
      <c r="S24" s="297"/>
      <c r="T24" s="46"/>
      <c r="U24" s="9"/>
      <c r="X24" s="4"/>
    </row>
    <row r="25" spans="2:25" ht="17.399999999999999" x14ac:dyDescent="0.3">
      <c r="B25" s="346"/>
      <c r="C25" s="346"/>
      <c r="D25" s="347"/>
      <c r="E25" s="347"/>
      <c r="F25" s="346"/>
      <c r="G25" s="320"/>
      <c r="H25" s="320"/>
      <c r="I25" s="320"/>
      <c r="J25" s="265"/>
      <c r="K25" s="47"/>
      <c r="L25" s="333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333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249767</v>
      </c>
      <c r="I28" s="322"/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0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47455.73</v>
      </c>
      <c r="I29" s="322"/>
      <c r="J29" s="265"/>
      <c r="K29" s="47"/>
      <c r="L29" s="47"/>
      <c r="M29" s="39">
        <f>SUM(M21:M28)</f>
        <v>7.67</v>
      </c>
      <c r="N29" s="12"/>
      <c r="O29" s="12"/>
      <c r="P29" s="253">
        <f>SUM(P21:P27)</f>
        <v>5.8007999999999988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297222.73</v>
      </c>
      <c r="I30" s="322"/>
      <c r="J30" s="265"/>
      <c r="K30" s="47"/>
      <c r="L30" s="47"/>
      <c r="M30" s="39"/>
      <c r="N30" s="12"/>
      <c r="O30" s="12"/>
      <c r="P30" s="253">
        <f>P29</f>
        <v>5.8007999999999988</v>
      </c>
      <c r="Q30" s="14"/>
      <c r="R30" s="12"/>
      <c r="S30" s="239">
        <f>SUM(S21:S29)</f>
        <v>3.8600000000000003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1.1601599999999999</v>
      </c>
      <c r="Q31" s="39" t="s">
        <v>130</v>
      </c>
      <c r="R31" s="42"/>
      <c r="S31" s="240">
        <f>S30+T28</f>
        <v>3.8600000000000003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6.9609599999999983</v>
      </c>
      <c r="Q32" s="14"/>
      <c r="R32" s="14"/>
      <c r="S32" s="238">
        <f>S31*20%</f>
        <v>0.77200000000000013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4.6320000000000006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6.9609599999999983</v>
      </c>
      <c r="N34" s="12">
        <v>1500</v>
      </c>
      <c r="O34" s="12">
        <f t="shared" ref="O34:O39" si="18">M34*N34</f>
        <v>10441.439999999997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2</v>
      </c>
      <c r="N35" s="12">
        <v>23500</v>
      </c>
      <c r="O35" s="12">
        <f t="shared" si="18"/>
        <v>47000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23500</v>
      </c>
      <c r="O36" s="12">
        <f t="shared" si="18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2</v>
      </c>
      <c r="N37" s="250">
        <v>28354</v>
      </c>
      <c r="O37" s="12">
        <f t="shared" si="18"/>
        <v>56708</v>
      </c>
      <c r="P37" s="14" t="s">
        <v>170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15700</v>
      </c>
      <c r="O38" s="12">
        <f t="shared" si="18"/>
        <v>0</v>
      </c>
      <c r="P38" s="14" t="s">
        <v>32</v>
      </c>
      <c r="Q38" s="14"/>
      <c r="R38" s="230">
        <v>1.83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>
        <v>3.86</v>
      </c>
      <c r="N39" s="12">
        <v>500</v>
      </c>
      <c r="O39" s="12">
        <f t="shared" si="18"/>
        <v>1930</v>
      </c>
      <c r="P39" s="14" t="s">
        <v>22</v>
      </c>
      <c r="Q39" s="14"/>
      <c r="R39">
        <v>2.5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116079.44</v>
      </c>
      <c r="P40" s="39" t="s">
        <v>23</v>
      </c>
      <c r="Q40" s="14"/>
      <c r="R40">
        <f>R38*R39</f>
        <v>4.5750000000000002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O40*2.1</f>
        <v>243766.82400000002</v>
      </c>
      <c r="P41" s="14" t="s">
        <v>140</v>
      </c>
      <c r="Q41" s="14"/>
      <c r="R41" s="40">
        <f>P32/R40</f>
        <v>1.5215213114754094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L42" s="250"/>
      <c r="M42" s="14"/>
      <c r="N42" s="12"/>
      <c r="O42" s="12">
        <f>O41/P30</f>
        <v>42022.966487381062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J44" s="260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-17627.062366787442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249767</v>
      </c>
      <c r="E11" s="132">
        <f>D11*0.19</f>
        <v>47455.73</v>
      </c>
      <c r="F11" s="131">
        <f>E11+D11</f>
        <v>297222.73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88362.937633212554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87275.530787439609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70362.937633212554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162491.46921256039</v>
      </c>
      <c r="E13" s="221">
        <f>(D11/D12)-1</f>
        <v>1.8618216096366109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61362.937633212554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22362.937633212558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144004.62579927535</v>
      </c>
      <c r="F15" s="216">
        <f>E15-D12</f>
        <v>56729.095011835743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22362.937633212558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62362.937633212554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10441.439999999997</v>
      </c>
      <c r="E20" s="121">
        <f>D20*0.19</f>
        <v>1983.8735999999994</v>
      </c>
      <c r="F20" s="120">
        <f>SUM(D20:E20)</f>
        <v>12425.313599999996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57441.439999999995</v>
      </c>
      <c r="E21" s="116">
        <f>SUM(E18:E20)</f>
        <v>10913.873599999999</v>
      </c>
      <c r="F21" s="115">
        <f>SUM(F18:F20)</f>
        <v>68355.313599999994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36541.856400000004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249767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57441.439999999995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162491.46921256039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162491.46921256039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2026-03-10T14:46:26Z</dcterms:modified>
</cp:coreProperties>
</file>