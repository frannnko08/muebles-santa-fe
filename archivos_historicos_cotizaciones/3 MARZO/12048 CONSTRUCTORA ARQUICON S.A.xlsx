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1420F8D0-7743-4D88-A779-3BD50F24E6EA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 s="1"/>
  <c r="P23" i="1" s="1"/>
  <c r="S23" i="1"/>
  <c r="L24" i="1"/>
  <c r="M24" i="1"/>
  <c r="N24" i="1"/>
  <c r="L22" i="1"/>
  <c r="M22" i="1"/>
  <c r="N22" i="1"/>
  <c r="S24" i="1" l="1"/>
  <c r="O24" i="1"/>
  <c r="P24" i="1" s="1"/>
  <c r="S22" i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8" i="1" l="1"/>
  <c r="S29" i="1"/>
  <c r="T27" i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4" i="1" l="1"/>
  <c r="Q23" i="1"/>
  <c r="Q22" i="1"/>
  <c r="O42" i="1"/>
  <c r="E15" i="3"/>
  <c r="R23" i="1" l="1"/>
  <c r="G23" i="1" s="1"/>
  <c r="H23" i="1" s="1"/>
  <c r="R24" i="1"/>
  <c r="G24" i="1" s="1"/>
  <c r="H24" i="1" s="1"/>
  <c r="R22" i="1"/>
  <c r="G22" i="1" s="1"/>
  <c r="H22" i="1" s="1"/>
  <c r="Q21" i="1"/>
  <c r="F15" i="3"/>
  <c r="R21" i="1" l="1"/>
  <c r="G21" i="1" s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<sst xmlns="http://schemas.openxmlformats.org/spreadsheetml/2006/main" count="497" uniqueCount="300">
  <si>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</si>
  <si>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</si>
  <si>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</si>
  <si>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</si>
  <si>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</si>
  <si>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</si>
  <si>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</si>
  <si>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</si>
  <si>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</si>
  <si>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</si>
  <si>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</si>
  <si>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</si>
  <si>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</si>
  <si>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</si>
  <si>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</si>
  <si>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</si>
  <si>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</si>
  <si>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</si>
  <si>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</si>
  <si>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</si>
  <si>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</si>
  <si>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</si>
  <si>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</si>
  <si>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</si>
  <si>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</si>
  <si>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</si>
  <si>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</si>
  <si>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</si>
  <si>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</si>
  <si>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</si>
  <si>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</si>
  <si>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</si>
  <si>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</si>
  <si>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</si>
  <si>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</si>
  <si>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</si>
  <si>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</si>
  <si>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</si>
  <si>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</si>
  <si>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</si>
  <si>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</si>
  <si>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</si>
  <si>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</si>
  <si>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</si>
  <si>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</si>
  <si>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</si>
  <si>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</si>
  <si>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</si>
  <si>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</si>
  <si>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</si>
  <si>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</si>
  <si>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</si>
  <si>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</si>
  <si>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</si>
  <si>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</si>
  <si>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</si>
  <si>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</si>
  <si>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</si>
  <si>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</si>
  <si>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</si>
  <si>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</si>
  <si>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</si>
  <si>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</si>
  <si>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</si>
  <si>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</si>
  <si>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</si>
  <si>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</si>
  <si>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</si>
  <si>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</si>
  <si>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</si>
  <si>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</si>
  <si>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</si>
  <si>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</si>
  <si>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</si>
  <si>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</si>
  <si>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</si>
  <si>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</si>
  <si>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</si>
  <si>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</si>
  <si>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</si>
  <si>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</si>
  <si>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</si>
  <si>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</si>
  <si>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</si>
  <si>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</si>
  <si>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</si>
  <si>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</si>
  <si>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</si>
  <si>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</si>
  <si>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</si>
  <si>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</si>
  <si>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</si>
  <si>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</si>
  <si>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</si>
  <si>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</si>
  <si>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</si>
  <si>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</si>
  <si>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</si>
  <si>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</si>
  <si>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</si>
  <si>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</si>
  <si>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</si>
  <si>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</si>
  <si>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</si>
  <si>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</si>
  <si>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</si>
  <si>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</si>
  <si>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</si>
  <si>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</si>
  <si>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</si>
  <si>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</si>
  <si>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</si>
  <si>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</si>
  <si>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</si>
  <si>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</si>
  <si>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</si>
  <si>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</si>
  <si>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</si>
  <si>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</si>
  <si>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</si>
  <si>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</si>
  <si>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</si>
  <si>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</si>
  <si>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</si>
  <si>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</si>
  <si>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</si>
  <si>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</si>
  <si>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</si>
  <si>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</si>
  <si>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</si>
  <si>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</si>
  <si>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</si>
  <si>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</si>
  <si>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</si>
  <si>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</si>
  <si>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</si>
  <si>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</si>
  <si>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</si>
  <si>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</si>
  <si>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</si>
  <si>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</si>
  <si>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</si>
  <si>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</si>
  <si>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</si>
  <si>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</si>
  <si>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</si>
  <si>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</si>
  <si>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</si>
  <si>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</si>
  <si>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</si>
  <si>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</si>
  <si>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</si>
  <si>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</si>
  <si>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</si>
  <si>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</si>
  <si>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</si>
  <si>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</si>
  <si>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</si>
  <si>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</si>
  <si>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</si>
  <si>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</si>
  <si>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</si>
  <si>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</si>
  <si>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</si>
  <si>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</si>
  <si>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</si>
  <si>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</si>
  <si>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</si>
  <si>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</si>
  <si>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</si>
  <si>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</si>
  <si>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</si>
  <si>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</si>
  <si>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</si>
  <si>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</si>
  <si>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</si>
  <si>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</si>
  <si>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</si>
  <si>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</si>
  <si>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</si>
  <si>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</si>
  <si>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</si>
  <si>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</si>
  <si>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</si>
  <si>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</si>
  <si>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</si>
  <si>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</si>
  <si>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</si>
  <si>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</si>
  <si>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</si>
  <si>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</si>
  <si>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</si>
  <si>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</si>
  <si>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</si>
  <si>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</si>
  <si>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</si>
  <si>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</si>
  <si>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</si>
  <si>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</si>
  <si>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</si>
  <si>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</si>
  <si>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</si>
  <si>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</si>
  <si>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</si>
  <si>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</si>
  <si>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</si>
  <si>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</si>
  <si>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</si>
  <si>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</si>
  <si>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</si>
  <si>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</si>
  <si>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</si>
  <si>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</si>
  <si>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</si>
  <si>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</si>
  <si>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</si>
  <si>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</si>
  <si>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</si>
  <si>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</si>
  <si>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</si>
  <si>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</si>
  <si>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</si>
  <si>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</si>
  <si>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</si>
  <si>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</si>
  <si>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</si>
  <si>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</si>
  <si>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</si>
  <si>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</si>
  <si>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</si>
  <si>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</si>
  <si>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</si>
  <si>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</si>
  <si>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</si>
  <si>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</si>
  <si>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</si>
  <si>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</si>
  <si>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</si>
  <si>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</si>
  <si>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</si>
  <si>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</si>
  <si>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</si>
  <si>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</si>
  <si>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</si>
  <si>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</si>
  <si>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</si>
  <si>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</si>
  <si>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</si>
  <si>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</si>
  <si>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</si>
  <si>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</si>
  <si>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</si>
  <si>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</si>
  <si>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</si>
  <si>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</si>
  <si>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</si>
  <si>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</si>
  <si>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</si>
  <si>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</si>
  <si>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</si>
  <si>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</si>
  <si>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</si>
  <si>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</si>
  <si>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</si>
  <si>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</si>
  <si>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</si>
  <si>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</si>
  <si>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</si>
  <si>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</si>
  <si>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</si>
  <si>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</si>
  <si>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</si>
  <si>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</si>
  <si>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</si>
  <si>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</si>
  <si>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</si>
  <si>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</si>
  <si>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</si>
  <si>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</si>
  <si>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</si>
  <si>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</si>
  <si>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</si>
  <si>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</si>
  <si>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</si>
  <si>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</si>
  <si>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</si>
  <si>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</si>
  <si>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</si>
  <si>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</si>
  <si>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CONSTRUCTORA AQUICON S.A</t>
  </si>
  <si>
    <t>CAMILA ROJAS</t>
  </si>
  <si>
    <t>+569 6304 1786</t>
  </si>
  <si>
    <t>CUB ENCHAPE RECTO 1 CARA</t>
  </si>
  <si>
    <t>HAYA 1750 MT</t>
  </si>
  <si>
    <t>TAPACANTO PVC 29*2</t>
  </si>
  <si>
    <t>76.236.409-3</t>
  </si>
  <si>
    <t>CONSTRUCCIÓN</t>
  </si>
  <si>
    <t xml:space="preserve">gerencia@arquiconsa.cl </t>
  </si>
  <si>
    <t>Sanchez Fontecilla 3815, Puente Alto</t>
  </si>
  <si>
    <t>N° 12048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</si>
</sst>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ENCHAPADAS.</a:t>
          </a:r>
        </a:p>
        <a:p>
          <a:pPr algn="l"/>
          <a:r>
            <a:rPr lang="es-CL" sz="1200" b="1" baseline="0"/>
            <a:t>ENCHAPADAS CON TAPACANTO PVC 2mm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30mm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rencia@arquiconsa.cl%20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2" zoomScale="93" zoomScaleNormal="93" workbookViewId="0">
      <selection activeCell="B30" sqref="B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46098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295</v>
      </c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296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 t="s">
        <v>297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298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52" t="s">
        <v>95</v>
      </c>
      <c r="C19" s="453"/>
      <c r="D19" s="453"/>
      <c r="E19" s="453"/>
      <c r="F19" s="453"/>
      <c r="G19" s="453"/>
      <c r="H19" s="454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94830.074060933955</v>
      </c>
      <c r="R20" s="257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292</v>
      </c>
      <c r="D21" s="432">
        <v>2.4</v>
      </c>
      <c r="E21" s="432">
        <v>0.75</v>
      </c>
      <c r="F21" s="313" t="s">
        <v>293</v>
      </c>
      <c r="G21" s="314">
        <f>R21</f>
        <v>186706.36000514432</v>
      </c>
      <c r="H21" s="433">
        <f>G21*B21</f>
        <v>186706.36000514432</v>
      </c>
      <c r="I21" s="306"/>
      <c r="J21" s="264"/>
      <c r="K21" s="47"/>
      <c r="L21" s="47">
        <f>B21</f>
        <v>1</v>
      </c>
      <c r="M21" s="39">
        <f>D21+M$19</f>
        <v>2.42</v>
      </c>
      <c r="N21" s="39">
        <f>E21+$N$19</f>
        <v>0.77</v>
      </c>
      <c r="O21" s="260">
        <f t="shared" ref="O21" si="0">M21*N21</f>
        <v>1.8633999999999999</v>
      </c>
      <c r="P21" s="258">
        <f t="shared" ref="P21" si="1">O21*L21</f>
        <v>1.8633999999999999</v>
      </c>
      <c r="Q21" s="251">
        <f t="shared" ref="Q21" si="2">Q$20*O21</f>
        <v>176706.36000514432</v>
      </c>
      <c r="R21" s="305">
        <f t="shared" ref="R21" si="3">Q21+R$20</f>
        <v>186706.36000514432</v>
      </c>
      <c r="S21" s="290">
        <f>M21*L21*2</f>
        <v>4.84</v>
      </c>
      <c r="T21" s="46">
        <f>N21*2*L21*2</f>
        <v>3.08</v>
      </c>
      <c r="U21" s="9"/>
      <c r="X21" s="4"/>
    </row>
    <row r="22" spans="2:25" ht="17.399999999999999" x14ac:dyDescent="0.3">
      <c r="B22" s="444">
        <v>1</v>
      </c>
      <c r="C22" s="441" t="s">
        <v>292</v>
      </c>
      <c r="D22" s="442">
        <v>2.42</v>
      </c>
      <c r="E22" s="442">
        <v>0.68</v>
      </c>
      <c r="F22" s="440" t="s">
        <v>293</v>
      </c>
      <c r="G22" s="443">
        <f>R22</f>
        <v>171969.7664960752</v>
      </c>
      <c r="H22" s="445">
        <f>G22*B22</f>
        <v>171969.7664960752</v>
      </c>
      <c r="I22" s="306"/>
      <c r="J22" s="264"/>
      <c r="K22" s="47"/>
      <c r="L22" s="47">
        <f t="shared" ref="L22:L24" si="4">B22</f>
        <v>1</v>
      </c>
      <c r="M22" s="39">
        <f t="shared" ref="M22:M24" si="5">D22+M$19</f>
        <v>2.44</v>
      </c>
      <c r="N22" s="39">
        <f t="shared" ref="N22:N24" si="6">E22+$N$19</f>
        <v>0.70000000000000007</v>
      </c>
      <c r="O22" s="260">
        <f t="shared" ref="O22:O24" si="7">M22*N22</f>
        <v>1.7080000000000002</v>
      </c>
      <c r="P22" s="258">
        <f t="shared" ref="P22:P24" si="8">O22*L22</f>
        <v>1.7080000000000002</v>
      </c>
      <c r="Q22" s="251">
        <f t="shared" ref="Q22:Q24" si="9">Q$20*O22</f>
        <v>161969.7664960752</v>
      </c>
      <c r="R22" s="305">
        <f t="shared" ref="R22:R24" si="10">Q22+R$20</f>
        <v>171969.7664960752</v>
      </c>
      <c r="S22" s="290">
        <f t="shared" ref="S22:S24" si="11">M22*L22*2</f>
        <v>4.88</v>
      </c>
      <c r="T22" s="46"/>
      <c r="U22" s="9"/>
      <c r="X22" s="4"/>
    </row>
    <row r="23" spans="2:25" ht="17.399999999999999" x14ac:dyDescent="0.3">
      <c r="B23" s="446">
        <v>2</v>
      </c>
      <c r="C23" s="447" t="s">
        <v>292</v>
      </c>
      <c r="D23" s="448">
        <v>0.9</v>
      </c>
      <c r="E23" s="448">
        <v>0.25</v>
      </c>
      <c r="F23" s="449" t="s">
        <v>293</v>
      </c>
      <c r="G23" s="450">
        <f>R23</f>
        <v>33555.790396736003</v>
      </c>
      <c r="H23" s="451">
        <f>G23*B23</f>
        <v>67111.580793472007</v>
      </c>
      <c r="I23" s="306"/>
      <c r="J23" s="264"/>
      <c r="K23" s="47"/>
      <c r="L23" s="47">
        <f t="shared" ref="L23" si="12">B23</f>
        <v>2</v>
      </c>
      <c r="M23" s="39">
        <f t="shared" ref="M23" si="13">D23+M$19</f>
        <v>0.92</v>
      </c>
      <c r="N23" s="39">
        <f t="shared" ref="N23" si="14">E23+$N$19</f>
        <v>0.27</v>
      </c>
      <c r="O23" s="260">
        <f t="shared" ref="O23" si="15">M23*N23</f>
        <v>0.24840000000000004</v>
      </c>
      <c r="P23" s="258">
        <f t="shared" ref="P23" si="16">O23*L23</f>
        <v>0.49680000000000007</v>
      </c>
      <c r="Q23" s="251">
        <f t="shared" ref="Q23" si="17">Q$20*O23</f>
        <v>23555.790396736</v>
      </c>
      <c r="R23" s="305">
        <f t="shared" ref="R23" si="18">Q23+R$20</f>
        <v>33555.790396736003</v>
      </c>
      <c r="S23" s="290">
        <f t="shared" ref="S23" si="19">M23*L23*2</f>
        <v>3.68</v>
      </c>
      <c r="T23" s="46"/>
      <c r="U23" s="9"/>
      <c r="X23" s="4"/>
    </row>
    <row r="24" spans="2:25" ht="18" thickBot="1" x14ac:dyDescent="0.35">
      <c r="B24" s="434">
        <v>2</v>
      </c>
      <c r="C24" s="435" t="s">
        <v>292</v>
      </c>
      <c r="D24" s="436">
        <v>0.67</v>
      </c>
      <c r="E24" s="436">
        <v>0.3</v>
      </c>
      <c r="F24" s="437" t="s">
        <v>293</v>
      </c>
      <c r="G24" s="438">
        <f>R24</f>
        <v>30938.48035265422</v>
      </c>
      <c r="H24" s="439">
        <f>G24*B24</f>
        <v>61876.96070530844</v>
      </c>
      <c r="I24" s="306"/>
      <c r="J24" s="264"/>
      <c r="K24" s="47"/>
      <c r="L24" s="47">
        <f t="shared" si="4"/>
        <v>2</v>
      </c>
      <c r="M24" s="39">
        <f t="shared" si="5"/>
        <v>0.69000000000000006</v>
      </c>
      <c r="N24" s="39">
        <f t="shared" si="6"/>
        <v>0.32</v>
      </c>
      <c r="O24" s="260">
        <f t="shared" si="7"/>
        <v>0.22080000000000002</v>
      </c>
      <c r="P24" s="258">
        <f t="shared" si="8"/>
        <v>0.44160000000000005</v>
      </c>
      <c r="Q24" s="251">
        <f t="shared" si="9"/>
        <v>20938.48035265422</v>
      </c>
      <c r="R24" s="305">
        <f t="shared" si="10"/>
        <v>30938.48035265422</v>
      </c>
      <c r="S24" s="290">
        <f t="shared" si="11"/>
        <v>2.7600000000000002</v>
      </c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487664.66799999995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3.08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92656.286919999984</v>
      </c>
      <c r="I28" s="308"/>
      <c r="J28" s="264"/>
      <c r="K28" s="47"/>
      <c r="L28" s="47"/>
      <c r="M28" s="39">
        <f>SUM(M21:M27)</f>
        <v>6.47</v>
      </c>
      <c r="N28" s="12"/>
      <c r="O28" s="12"/>
      <c r="P28" s="252">
        <f>SUM(P21:P25)</f>
        <v>4.5098000000000003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580320.95491999993</v>
      </c>
      <c r="I29" s="308"/>
      <c r="J29" s="264"/>
      <c r="K29" s="47"/>
      <c r="L29" s="47"/>
      <c r="M29" s="39"/>
      <c r="N29" s="12"/>
      <c r="O29" s="12"/>
      <c r="P29" s="252">
        <f>P28</f>
        <v>4.5098000000000003</v>
      </c>
      <c r="Q29" s="14"/>
      <c r="R29" s="12"/>
      <c r="S29" s="239">
        <f>SUM(S21:S28)</f>
        <v>16.16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0.90196000000000009</v>
      </c>
      <c r="Q30" s="39" t="s">
        <v>129</v>
      </c>
      <c r="R30" s="42"/>
      <c r="S30" s="240">
        <f>S29+T27</f>
        <v>19.240000000000002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5.4117600000000001</v>
      </c>
      <c r="Q31" s="14"/>
      <c r="R31" s="14"/>
      <c r="S31" s="238">
        <f>S30*20%</f>
        <v>3.8480000000000008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23.088000000000001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5.4117600000000001</v>
      </c>
      <c r="N33" s="12">
        <v>3500</v>
      </c>
      <c r="O33" s="12">
        <f t="shared" ref="O33:O38" si="20">M33*N33</f>
        <v>18941.16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1.5</v>
      </c>
      <c r="N34" s="12">
        <v>42000</v>
      </c>
      <c r="O34" s="12">
        <f t="shared" si="20"/>
        <v>63000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47000</v>
      </c>
      <c r="O35" s="12">
        <f t="shared" si="20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2</v>
      </c>
      <c r="N36" s="249">
        <v>27000</v>
      </c>
      <c r="O36" s="12">
        <f t="shared" si="20"/>
        <v>54000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20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1</v>
      </c>
      <c r="N38" s="12">
        <v>50000</v>
      </c>
      <c r="O38" s="12">
        <f t="shared" si="20"/>
        <v>50000</v>
      </c>
      <c r="P38" s="14" t="s">
        <v>294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185941.16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O39*2.3</f>
        <v>427664.66799999995</v>
      </c>
      <c r="P40" s="14" t="s">
        <v>138</v>
      </c>
      <c r="Q40" s="14"/>
      <c r="R40" s="40">
        <f>P31/R39</f>
        <v>1.459167385677308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94830.074060933955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  <hyperlink ref="C14" r:id="rId2" xr:uid="{DB6B6379-605A-4D21-A555-08FD98CD1CC9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46098</v>
      </c>
    </row>
    <row r="6" spans="2:31" ht="16.2" thickBot="1" x14ac:dyDescent="0.35">
      <c r="B6" s="140" t="s">
        <v>2</v>
      </c>
      <c r="C6" s="139" t="str">
        <f>'2229'!C10</f>
        <v>CONSTRUCTORA AQUICON S.A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6" t="s">
        <v>98</v>
      </c>
      <c r="I7" s="457"/>
      <c r="J7" s="457"/>
      <c r="K7" s="458"/>
      <c r="N7" s="75"/>
      <c r="O7" s="45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-50539.250700120763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487664.66799999995</v>
      </c>
      <c r="E11" s="132">
        <f>D11*0.19</f>
        <v>92656.286919999984</v>
      </c>
      <c r="F11" s="131">
        <f>E11+D11</f>
        <v>580320.95491999993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55450.749299879237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111775.25078743961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37450.749299879237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375889.41721256031</v>
      </c>
      <c r="E13" s="221">
        <f>(D11/D12)-1</f>
        <v>3.3629038142565255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28450.749299879237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-10549.250700120763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184429.16379927535</v>
      </c>
      <c r="F15" s="216">
        <f>E15-D12</f>
        <v>72653.913011835743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-10549.250700120763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29450.749299879237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63000</v>
      </c>
      <c r="E19" s="123">
        <f>D19*0.19</f>
        <v>11970</v>
      </c>
      <c r="F19" s="120">
        <f>SUM(D19:E19)</f>
        <v>74970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18941.16</v>
      </c>
      <c r="E20" s="121">
        <f>D20*0.19</f>
        <v>3598.8204000000001</v>
      </c>
      <c r="F20" s="120">
        <f>SUM(D20:E20)</f>
        <v>22539.9804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81941.16</v>
      </c>
      <c r="E21" s="116">
        <f>SUM(E18:E20)</f>
        <v>15568.820400000001</v>
      </c>
      <c r="F21" s="115">
        <f>SUM(F18:F20)</f>
        <v>97509.9804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77087.466519999987</v>
      </c>
    </row>
    <row r="41" spans="2:16" ht="15" thickBot="1" x14ac:dyDescent="0.35">
      <c r="H41" s="459" t="s">
        <v>60</v>
      </c>
      <c r="I41" s="460"/>
      <c r="J41" s="460"/>
      <c r="K41" s="460"/>
      <c r="L41" s="460"/>
      <c r="M41" s="46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487664.66799999995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81941.16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375889.41721256031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375889.41721256031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CONSTRUCTORA AQUICON S.A</v>
      </c>
      <c r="D10" s="350"/>
      <c r="E10" s="350"/>
      <c r="F10" s="351" t="s">
        <v>167</v>
      </c>
      <c r="G10" s="352">
        <f>'2229'!G10</f>
        <v>46098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76.236.409-3</v>
      </c>
      <c r="D11" s="345"/>
      <c r="E11" s="345"/>
      <c r="F11" s="345" t="s">
        <v>168</v>
      </c>
      <c r="G11" s="340">
        <f>WORKDAY(G10,5)</f>
        <v>46105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CONSTRUCCIÓN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CAMILA ROJAS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 xml:space="preserve">gerencia@arquiconsa.cl 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+569 6304 1786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Sanchez Fontecilla 3815, Puente Alto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62" t="s">
        <v>175</v>
      </c>
      <c r="G17" s="462"/>
      <c r="H17" s="46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64" t="s">
        <v>176</v>
      </c>
      <c r="C20" s="465"/>
      <c r="D20" s="465"/>
      <c r="E20" s="465"/>
      <c r="F20" s="465"/>
      <c r="G20" s="465"/>
      <c r="H20" s="46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ENCHAPE RECTO 1 CARA</v>
      </c>
      <c r="D22" s="321">
        <f>'2229'!D21*1000</f>
        <v>2400</v>
      </c>
      <c r="E22" s="321">
        <f>'2229'!E21*1000</f>
        <v>750</v>
      </c>
      <c r="F22" s="322" t="str">
        <f>'2229'!F21</f>
        <v>HAYA 1750 MT</v>
      </c>
      <c r="G22" s="314">
        <f>'2229'!G21</f>
        <v>186706.36000514432</v>
      </c>
      <c r="H22" s="323">
        <f>G22*B22</f>
        <v>186706.36000514432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186706.36000514432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35474.208400977419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222180.56840612175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7" t="s">
        <v>182</v>
      </c>
      <c r="C2" s="467"/>
      <c r="D2" s="467"/>
      <c r="E2" s="361"/>
      <c r="G2" s="467" t="s">
        <v>183</v>
      </c>
      <c r="H2" s="467"/>
      <c r="I2" s="467"/>
      <c r="P2" s="468" t="s">
        <v>184</v>
      </c>
      <c r="Q2" s="468"/>
      <c r="R2" s="46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8" t="s">
        <v>184</v>
      </c>
      <c r="M8" s="468"/>
      <c r="N8" s="46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73" t="s">
        <v>265</v>
      </c>
      <c r="L3" s="473"/>
      <c r="M3" s="473" t="s">
        <v>266</v>
      </c>
      <c r="N3" s="47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CONSTRUCTORA AQUICON S.A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46105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74" t="s">
        <v>265</v>
      </c>
      <c r="B10" s="474"/>
      <c r="C10" s="474"/>
      <c r="D10" s="474"/>
      <c r="E10" s="474"/>
      <c r="F10" s="47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74" t="s">
        <v>266</v>
      </c>
      <c r="B17" s="474"/>
      <c r="C17" s="474"/>
      <c r="D17" s="474"/>
      <c r="E17" s="474"/>
      <c r="F17" s="47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74" t="s">
        <v>272</v>
      </c>
      <c r="B45" s="474"/>
      <c r="C45" s="474"/>
      <c r="D45" s="474"/>
      <c r="E45" s="474"/>
      <c r="F45" s="47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9" t="s">
        <v>95</v>
      </c>
      <c r="C47" s="470"/>
      <c r="D47" s="471"/>
      <c r="E47" s="471"/>
      <c r="F47" s="47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12048</v>
      </c>
      <c r="C2" s="1">
        <f>'NOTA DE VENTA'!$G$10</f>
        <v>46098</v>
      </c>
      <c r="D2" s="1">
        <f>'NOTA DE VENTA'!$G$11</f>
        <v>46105</v>
      </c>
      <c r="E2" t="str">
        <f>'NOTA DE VENTA'!$C$10</f>
        <v>CONSTRUCTORA AQUICON S.A</v>
      </c>
      <c r="F2" t="str">
        <f>'NOTA DE VENTA'!$C$22</f>
        <v>CUB ENCHAPE RECTO 1 CARA</v>
      </c>
      <c r="G2" t="str">
        <f>'NOTA DE VENTA'!$F$22</f>
        <v>HAYA 1750 MT</v>
      </c>
      <c r="H2" s="416">
        <f>'NOTA DE VENTA'!$H$25</f>
        <v>186706.36000514432</v>
      </c>
      <c r="I2" s="416">
        <f>H2*0.19</f>
        <v>35474.208400977419</v>
      </c>
      <c r="J2" s="416">
        <f>I2+H2</f>
        <v>222180.56840612175</v>
      </c>
      <c r="L2" s="61">
        <f>J2-K2</f>
        <v>222180.56840612175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2026-03-10T17:54:00Z</cp:lastPrinted>
  <dcterms:created xsi:type="dcterms:W3CDTF">2013-03-18T13:35:42Z</dcterms:created>
  <dcterms:modified xsi:type="dcterms:W3CDTF">2026-03-23T20:02:59Z</dcterms:modified>
</cp:coreProperties>
</file>