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71205854-0368-44C6-AB51-C8FA73032A5F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<sst xmlns="http://schemas.openxmlformats.org/spreadsheetml/2006/main" count="488" uniqueCount="295">
  <si>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</si>
  <si>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</si>
  <si>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</si>
  <si>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</si>
  <si>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</si>
  <si>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</si>
  <si>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</si>
  <si>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</si>
  <si>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</si>
  <si>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</si>
  <si>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</si>
  <si>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</si>
  <si>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</si>
  <si>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</si>
  <si>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</si>
  <si>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</si>
  <si>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</si>
  <si>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</si>
  <si>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</si>
  <si>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</si>
  <si>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</si>
  <si>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</si>
  <si>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</si>
  <si>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</si>
  <si>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</si>
  <si>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</si>
  <si>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</si>
  <si>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</si>
  <si>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</si>
  <si>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</si>
  <si>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</si>
  <si>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</si>
  <si>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</si>
  <si>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</si>
  <si>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</si>
  <si>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</si>
  <si>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</si>
  <si>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</si>
  <si>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</si>
  <si>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</si>
  <si>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</si>
  <si>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</si>
  <si>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</si>
  <si>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</si>
  <si>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</si>
  <si>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</si>
  <si>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</si>
  <si>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</si>
  <si>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</si>
  <si>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</si>
  <si>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</si>
  <si>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</si>
  <si>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</si>
  <si>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</si>
  <si>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</si>
  <si>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</si>
  <si>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</si>
  <si>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</si>
  <si>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</si>
  <si>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</si>
  <si>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</si>
  <si>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</si>
  <si>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</si>
  <si>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</si>
  <si>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</si>
  <si>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</si>
  <si>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</si>
  <si>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</si>
  <si>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</si>
  <si>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</si>
  <si>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</si>
  <si>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</si>
  <si>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</si>
  <si>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</si>
  <si>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</si>
  <si>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</si>
  <si>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</si>
  <si>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</si>
  <si>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</si>
  <si>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</si>
  <si>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</si>
  <si>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</si>
  <si>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</si>
  <si>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</si>
  <si>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</si>
  <si>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</si>
  <si>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</si>
  <si>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</si>
  <si>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</si>
  <si>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</si>
  <si>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</si>
  <si>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</si>
  <si>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</si>
  <si>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</si>
  <si>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</si>
  <si>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</si>
  <si>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</si>
  <si>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</si>
  <si>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</si>
  <si>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</si>
  <si>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</si>
  <si>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</si>
  <si>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</si>
  <si>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</si>
  <si>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</si>
  <si>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</si>
  <si>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</si>
  <si>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</si>
  <si>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</si>
  <si>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</si>
  <si>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</si>
  <si>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</si>
  <si>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</si>
  <si>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</si>
  <si>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</si>
  <si>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</si>
  <si>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</si>
  <si>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</si>
  <si>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</si>
  <si>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</si>
  <si>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</si>
  <si>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</si>
  <si>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</si>
  <si>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</si>
  <si>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</si>
  <si>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</si>
  <si>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</si>
  <si>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</si>
  <si>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</si>
  <si>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</si>
  <si>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</si>
  <si>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</si>
  <si>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</si>
  <si>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</si>
  <si>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</si>
  <si>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</si>
  <si>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</si>
  <si>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</si>
  <si>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</si>
  <si>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</si>
  <si>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</si>
  <si>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</si>
  <si>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</si>
  <si>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</si>
  <si>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</si>
  <si>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</si>
  <si>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</si>
  <si>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</si>
  <si>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</si>
  <si>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</si>
  <si>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</si>
  <si>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</si>
  <si>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</si>
  <si>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</si>
  <si>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</si>
  <si>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</si>
  <si>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</si>
  <si>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</si>
  <si>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</si>
  <si>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</si>
  <si>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</si>
  <si>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</si>
  <si>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</si>
  <si>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</si>
  <si>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</si>
  <si>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</si>
  <si>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</si>
  <si>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</si>
  <si>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</si>
  <si>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</si>
  <si>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</si>
  <si>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</si>
  <si>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</si>
  <si>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</si>
  <si>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</si>
  <si>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</si>
  <si>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</si>
  <si>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</si>
  <si>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</si>
  <si>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</si>
  <si>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</si>
  <si>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</si>
  <si>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</si>
  <si>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</si>
  <si>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</si>
  <si>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</si>
  <si>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</si>
  <si>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</si>
  <si>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</si>
  <si>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</si>
  <si>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</si>
  <si>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</si>
  <si>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</si>
  <si>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</si>
  <si>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</si>
  <si>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</si>
  <si>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</si>
  <si>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</si>
  <si>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</si>
  <si>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</si>
  <si>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</si>
  <si>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</si>
  <si>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</si>
  <si>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</si>
  <si>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</si>
  <si>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</si>
  <si>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</si>
  <si>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</si>
  <si>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</si>
  <si>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</si>
  <si>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</si>
  <si>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</si>
  <si>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</si>
  <si>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</si>
  <si>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</si>
  <si>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</si>
  <si>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</si>
  <si>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</si>
  <si>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</si>
  <si>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</si>
  <si>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</si>
  <si>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</si>
  <si>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</si>
  <si>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</si>
  <si>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</si>
  <si>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</si>
  <si>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</si>
  <si>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</si>
  <si>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</si>
  <si>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</si>
  <si>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</si>
  <si>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</si>
  <si>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</si>
  <si>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</si>
  <si>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</si>
  <si>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</si>
  <si>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</si>
  <si>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</si>
  <si>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</si>
  <si>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</si>
  <si>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</si>
  <si>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</si>
  <si>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</si>
  <si>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</si>
  <si>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</si>
  <si>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</si>
  <si>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</si>
  <si>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</si>
  <si>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</si>
  <si>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</si>
  <si>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</si>
  <si>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</si>
  <si>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</si>
  <si>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</si>
  <si>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</si>
  <si>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</si>
  <si>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</si>
  <si>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</si>
  <si>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</si>
  <si>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</si>
  <si>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</si>
  <si>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</si>
  <si>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</si>
  <si>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</si>
  <si>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</si>
  <si>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</si>
  <si>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</si>
  <si>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</si>
  <si>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</si>
  <si>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</si>
  <si>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</si>
  <si>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</si>
  <si>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</si>
  <si>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</si>
  <si>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</si>
  <si>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</si>
  <si>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</si>
  <si>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</si>
  <si>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</si>
  <si>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</si>
  <si>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</si>
  <si>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</si>
  <si>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</si>
  <si>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</si>
  <si>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</si>
  <si>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</si>
  <si>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</si>
  <si>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</si>
  <si>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ALEJANDRA FARIAS</t>
  </si>
  <si>
    <t>+569 9544 0201</t>
  </si>
  <si>
    <t>CUB SIN RESPALDO FTE 90° R19</t>
  </si>
  <si>
    <t>NEW BLACK GRANITE BR</t>
  </si>
  <si>
    <t>5 DIAS HABILES</t>
  </si>
  <si>
    <t>SERVICIO INSTALACION</t>
  </si>
  <si>
    <t>N° 12018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</si>
</sst>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20771</xdr:colOff>
      <xdr:row>22</xdr:row>
      <xdr:rowOff>112664</xdr:rowOff>
    </xdr:from>
    <xdr:to>
      <xdr:col>5</xdr:col>
      <xdr:colOff>1732649</xdr:colOff>
      <xdr:row>27</xdr:row>
      <xdr:rowOff>20485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0448" y="4516696"/>
          <a:ext cx="6310507" cy="100370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PARA</a:t>
          </a:r>
          <a:r>
            <a:rPr lang="es-CL" sz="1200" b="1" baseline="0"/>
            <a:t> EL SERVICIO DE INSTALACION SE ABONAN $25.000 PARA REALIZAR UNA VISITA Y RECTIFICAR MEDIDAS, ESTE MONTO QUEDA COMO ABONO AL TOTAL.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7" sqref="A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288</v>
      </c>
      <c r="D10" s="243"/>
      <c r="E10" s="243"/>
      <c r="F10" s="417" t="s">
        <v>277</v>
      </c>
      <c r="G10" s="275">
        <v>46085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289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51057.168338907475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290</v>
      </c>
      <c r="D21" s="432">
        <v>2.91</v>
      </c>
      <c r="E21" s="432">
        <v>0.6</v>
      </c>
      <c r="F21" s="313" t="s">
        <v>291</v>
      </c>
      <c r="G21" s="314">
        <v>93597</v>
      </c>
      <c r="H21" s="433">
        <f>G21*B21</f>
        <v>93597</v>
      </c>
      <c r="I21" s="306"/>
      <c r="J21" s="264"/>
      <c r="K21" s="47"/>
      <c r="L21" s="47">
        <f>B21</f>
        <v>1</v>
      </c>
      <c r="M21" s="39">
        <f>D21+M$19</f>
        <v>2.99</v>
      </c>
      <c r="N21" s="39">
        <f>E21+$N$19</f>
        <v>0.6</v>
      </c>
      <c r="O21" s="260">
        <f t="shared" ref="O21" si="0">M21*N21</f>
        <v>1.794</v>
      </c>
      <c r="P21" s="258">
        <f t="shared" ref="P21" si="1">O21*L21</f>
        <v>1.794</v>
      </c>
      <c r="Q21" s="251">
        <f t="shared" ref="Q21" si="2">Q$20*O21</f>
        <v>91596.560000000012</v>
      </c>
      <c r="R21" s="305">
        <f t="shared" ref="R21" si="3">Q21+R$20</f>
        <v>94596.560000000012</v>
      </c>
      <c r="S21" s="290">
        <f>M21*L21</f>
        <v>2.99</v>
      </c>
      <c r="T21" s="46">
        <f>N21*2*L21*2</f>
        <v>2.4</v>
      </c>
      <c r="U21" s="9"/>
      <c r="X21" s="4"/>
    </row>
    <row r="22" spans="1:25" ht="18" thickBot="1" x14ac:dyDescent="0.35">
      <c r="B22" s="457">
        <v>1</v>
      </c>
      <c r="C22" s="458" t="s">
        <v>293</v>
      </c>
      <c r="D22" s="459"/>
      <c r="E22" s="459"/>
      <c r="F22" s="460"/>
      <c r="G22" s="461">
        <v>100000</v>
      </c>
      <c r="H22" s="462">
        <f>G22*B22</f>
        <v>100000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193597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36783.43</v>
      </c>
      <c r="I26" s="308"/>
      <c r="J26" s="264"/>
      <c r="K26" s="47"/>
      <c r="L26" s="47"/>
      <c r="M26" s="39">
        <f>SUM(M21:M25)</f>
        <v>2.99</v>
      </c>
      <c r="N26" s="12"/>
      <c r="O26" s="12"/>
      <c r="P26" s="252">
        <f>SUM(P21:P21)</f>
        <v>1.794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230380.43</v>
      </c>
      <c r="I27" s="308"/>
      <c r="J27" s="264"/>
      <c r="K27" s="47"/>
      <c r="L27" s="47"/>
      <c r="M27" s="39"/>
      <c r="N27" s="12"/>
      <c r="O27" s="12"/>
      <c r="P27" s="252">
        <f>P26</f>
        <v>1.794</v>
      </c>
      <c r="Q27" s="14"/>
      <c r="R27" s="12"/>
      <c r="S27" s="239">
        <f>SUM(S21:S26)</f>
        <v>2.99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0.35880000000000001</v>
      </c>
      <c r="Q28" s="39" t="s">
        <v>129</v>
      </c>
      <c r="R28" s="42"/>
      <c r="S28" s="240">
        <f>S27+T25</f>
        <v>5.3900000000000006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2.1528</v>
      </c>
      <c r="Q29" s="14"/>
      <c r="R29" s="14"/>
      <c r="S29" s="238">
        <f>S28*20%</f>
        <v>1.0780000000000001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6.4680000000000009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2.1528</v>
      </c>
      <c r="N31" s="12">
        <v>3500</v>
      </c>
      <c r="O31" s="12">
        <f t="shared" ref="O31:O36" si="4">M31*N31</f>
        <v>7534.8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23500</v>
      </c>
      <c r="O32" s="12">
        <f t="shared" si="4"/>
        <v>14100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41634.800000000003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91596.560000000012</v>
      </c>
      <c r="P38" s="14" t="s">
        <v>138</v>
      </c>
      <c r="Q38" s="14"/>
      <c r="R38" s="40">
        <f>P29/R37</f>
        <v>0.58045729076790331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51057.168338907475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46085</v>
      </c>
    </row>
    <row r="6" spans="2:31" ht="16.2" thickBot="1" x14ac:dyDescent="0.35">
      <c r="B6" s="140" t="s">
        <v>2</v>
      </c>
      <c r="C6" s="139" t="str">
        <f>'2229'!C10</f>
        <v>ALEJANDRA FARIAS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12018 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-18112.221700120775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193597</v>
      </c>
      <c r="E11" s="132">
        <f>D11*0.19</f>
        <v>36783.43</v>
      </c>
      <c r="F11" s="131">
        <f>E11+D11</f>
        <v>230380.43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87877.778299879225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51468.89078743961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69877.778299879225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142128.1092125604</v>
      </c>
      <c r="E13" s="221">
        <f>(D11/D12)-1</f>
        <v>2.7614371912449514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60877.778299879225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21877.778299879225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84923.669799275347</v>
      </c>
      <c r="F15" s="216">
        <f>E15-D12</f>
        <v>33454.779011835737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21877.778299879225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61877.778299879225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7534.8</v>
      </c>
      <c r="E20" s="121">
        <f>D20*0.19</f>
        <v>1431.6120000000001</v>
      </c>
      <c r="F20" s="120">
        <f>SUM(D20:E20)</f>
        <v>8966.4120000000003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21634.799999999999</v>
      </c>
      <c r="E21" s="116">
        <f>SUM(E18:E20)</f>
        <v>4110.6120000000001</v>
      </c>
      <c r="F21" s="115">
        <f>SUM(F18:F20)</f>
        <v>25745.412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32672.817999999999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193597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21634.799999999999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142128.1092125604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142128.1092125604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12018 B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ALEJANDRA FARIAS</v>
      </c>
      <c r="D10" s="350"/>
      <c r="E10" s="350"/>
      <c r="F10" s="351" t="s">
        <v>167</v>
      </c>
      <c r="G10" s="352">
        <f>'2229'!G10</f>
        <v>46085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+569 9544 0201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2910</v>
      </c>
      <c r="E22" s="321">
        <f>'2229'!E21*1000</f>
        <v>600</v>
      </c>
      <c r="F22" s="322" t="str">
        <f>'2229'!F21</f>
        <v>NEW BLACK GRANITE BR</v>
      </c>
      <c r="G22" s="314">
        <f>'2229'!G21</f>
        <v>93597</v>
      </c>
      <c r="H22" s="323">
        <f>G22*B22</f>
        <v>93597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93597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17783.43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111380.43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ALEJANDRA FARIAS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NEW BLACK GRANITE BR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NEW BLACK GRANITE BR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12018 B</v>
      </c>
      <c r="C2" s="1">
        <f>'NOTA DE VENTA'!$G$10</f>
        <v>46085</v>
      </c>
      <c r="D2" s="1">
        <f>'NOTA DE VENTA'!$G$11</f>
        <v>46092</v>
      </c>
      <c r="E2" t="str">
        <f>'NOTA DE VENTA'!$C$10</f>
        <v>ALEJANDRA FARIAS</v>
      </c>
      <c r="F2" t="str">
        <f>'NOTA DE VENTA'!$C$22</f>
        <v>CUB C/R R8</v>
      </c>
      <c r="G2" t="str">
        <f>'NOTA DE VENTA'!$F$22</f>
        <v>NEW BLACK GRANITE BR</v>
      </c>
      <c r="H2" s="415">
        <f>'NOTA DE VENTA'!$H$25</f>
        <v>93597</v>
      </c>
      <c r="I2" s="415">
        <f>H2*0.19</f>
        <v>17783.43</v>
      </c>
      <c r="J2" s="415">
        <f>I2+H2</f>
        <v>111380.43</v>
      </c>
      <c r="L2" s="61">
        <f>J2-K2</f>
        <v>111380.43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2026-03-04T19:47:16Z</cp:lastPrinted>
  <dcterms:created xsi:type="dcterms:W3CDTF">2013-03-18T13:35:42Z</dcterms:created>
  <dcterms:modified xsi:type="dcterms:W3CDTF">2026-03-04T20:17:38Z</dcterms:modified>
</cp:coreProperties>
</file>