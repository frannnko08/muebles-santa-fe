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3 MARZO\"/>
    </mc:Choice>
  </mc:AlternateContent>
  <xr:revisionPtr revIDLastSave="0" documentId="13_ncr:1_{9890A2F7-37D7-42D9-AD83-D6088899F1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" i="1" l="1"/>
  <c r="M26" i="1"/>
  <c r="L22" i="1"/>
  <c r="M22" i="1"/>
  <c r="N22" i="1"/>
  <c r="O22" i="1" s="1"/>
  <c r="P22" i="1" l="1"/>
  <c r="L21" i="1"/>
  <c r="K32" i="1"/>
  <c r="K28" i="1"/>
  <c r="K34" i="1" s="1"/>
  <c r="N5" i="6" l="1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K21" i="6" l="1"/>
  <c r="K14" i="6"/>
  <c r="J21" i="6"/>
  <c r="J14" i="6"/>
  <c r="F14" i="6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S21" i="1" l="1"/>
  <c r="S27" i="1" s="1"/>
  <c r="T21" i="1"/>
  <c r="T25" i="1" s="1"/>
  <c r="O21" i="1"/>
  <c r="P21" i="1" s="1"/>
  <c r="P26" i="1" s="1"/>
  <c r="K40" i="1"/>
  <c r="S28" i="1" l="1"/>
  <c r="S29" i="1" s="1"/>
  <c r="S30" i="1" s="1"/>
  <c r="V33" i="1"/>
  <c r="V34" i="1" s="1"/>
  <c r="P27" i="1" l="1"/>
  <c r="N20" i="1"/>
  <c r="L20" i="1"/>
  <c r="P28" i="1" l="1"/>
  <c r="P29" i="1" s="1"/>
  <c r="M31" i="1" s="1"/>
  <c r="O33" i="1"/>
  <c r="R37" i="1"/>
  <c r="R38" i="1" l="1"/>
  <c r="O32" i="1" s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D21" i="3"/>
  <c r="M43" i="3" s="1"/>
  <c r="D12" i="3" s="1"/>
  <c r="F20" i="3"/>
  <c r="F21" i="3" s="1"/>
  <c r="Q22" i="1" l="1"/>
  <c r="O40" i="1"/>
  <c r="E15" i="3"/>
  <c r="R22" i="1" l="1"/>
  <c r="G22" i="1"/>
  <c r="H22" i="1" s="1"/>
  <c r="Q21" i="1"/>
  <c r="G21" i="1" s="1"/>
  <c r="F15" i="3"/>
  <c r="R21" i="1" l="1"/>
  <c r="H21" i="1" l="1"/>
  <c r="H25" i="1" s="1"/>
  <c r="H26" i="1" l="1"/>
  <c r="H27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<sst xmlns="http://schemas.openxmlformats.org/spreadsheetml/2006/main" count="489" uniqueCount="295">
  <si>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</si>
  <si>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</si>
  <si>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</si>
  <si>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</si>
  <si>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</si>
  <si>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</si>
  <si>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</si>
  <si>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</si>
  <si>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</si>
  <si>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</si>
  <si>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</si>
  <si>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</si>
  <si>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</si>
  <si>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</si>
  <si>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</si>
  <si>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</si>
  <si>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</si>
  <si>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</si>
  <si>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</si>
  <si>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</si>
  <si>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</si>
  <si>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</si>
  <si>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</si>
  <si>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</si>
  <si>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</si>
  <si>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</si>
  <si>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</si>
  <si>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</si>
  <si>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</si>
  <si>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</si>
  <si>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</si>
  <si>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</si>
  <si>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</si>
  <si>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</si>
  <si>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</si>
  <si>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</si>
  <si>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</si>
  <si>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</si>
  <si>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</si>
  <si>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</si>
  <si>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</si>
  <si>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</si>
  <si>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</si>
  <si>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</si>
  <si>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</si>
  <si>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</si>
  <si>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</si>
  <si>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</si>
  <si>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</si>
  <si>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</si>
  <si>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</si>
  <si>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</si>
  <si>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</si>
  <si>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</si>
  <si>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</si>
  <si>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</si>
  <si>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</si>
  <si>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</si>
  <si>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</si>
  <si>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</si>
  <si>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</si>
  <si>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</si>
  <si>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</si>
  <si>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</si>
  <si>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</si>
  <si>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</si>
  <si>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</si>
  <si>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</si>
  <si>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</si>
  <si>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</si>
  <si>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</si>
  <si>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</si>
  <si>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</si>
  <si>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</si>
  <si>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</si>
  <si>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</si>
  <si>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</si>
  <si>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</si>
  <si>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</si>
  <si>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</si>
  <si>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</si>
  <si>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</si>
  <si>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</si>
  <si>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</si>
  <si>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</si>
  <si>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</si>
  <si>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</si>
  <si>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</si>
  <si>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</si>
  <si>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</si>
  <si>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</si>
  <si>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</si>
  <si>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</si>
  <si>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</si>
  <si>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</si>
  <si>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</si>
  <si>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</si>
  <si>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</si>
  <si>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</si>
  <si>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</si>
  <si>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</si>
  <si>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</si>
  <si>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</si>
  <si>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</si>
  <si>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</si>
  <si>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</si>
  <si>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</si>
  <si>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</si>
  <si>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</si>
  <si>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</si>
  <si>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</si>
  <si>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</si>
  <si>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</si>
  <si>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</si>
  <si>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</si>
  <si>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</si>
  <si>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</si>
  <si>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</si>
  <si>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</si>
  <si>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</si>
  <si>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</si>
  <si>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</si>
  <si>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</si>
  <si>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</si>
  <si>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</si>
  <si>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</si>
  <si>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</si>
  <si>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</si>
  <si>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</si>
  <si>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</si>
  <si>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</si>
  <si>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</si>
  <si>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</si>
  <si>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</si>
  <si>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</si>
  <si>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</si>
  <si>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</si>
  <si>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</si>
  <si>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</si>
  <si>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</si>
  <si>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</si>
  <si>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</si>
  <si>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</si>
  <si>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</si>
  <si>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</si>
  <si>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</si>
  <si>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</si>
  <si>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</si>
  <si>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</si>
  <si>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</si>
  <si>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</si>
  <si>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</si>
  <si>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</si>
  <si>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</si>
  <si>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</si>
  <si>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</si>
  <si>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</si>
  <si>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</si>
  <si>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</si>
  <si>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</si>
  <si>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</si>
  <si>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</si>
  <si>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</si>
  <si>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</si>
  <si>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</si>
  <si>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</si>
  <si>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</si>
  <si>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</si>
  <si>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</si>
  <si>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</si>
  <si>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</si>
  <si>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</si>
  <si>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</si>
  <si>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</si>
  <si>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</si>
  <si>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</si>
  <si>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</si>
  <si>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</si>
  <si>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</si>
  <si>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</si>
  <si>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</si>
  <si>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</si>
  <si>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</si>
  <si>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</si>
  <si>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</si>
  <si>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</si>
  <si>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</si>
  <si>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</si>
  <si>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</si>
  <si>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</si>
  <si>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</si>
  <si>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</si>
  <si>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</si>
  <si>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</si>
  <si>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</si>
  <si>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</si>
  <si>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</si>
  <si>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</si>
  <si>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</si>
  <si>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</si>
  <si>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</si>
  <si>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</si>
  <si>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</si>
  <si>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</si>
  <si>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</si>
  <si>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</si>
  <si>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</si>
  <si>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</si>
  <si>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</si>
  <si>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</si>
  <si>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</si>
  <si>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</si>
  <si>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</si>
  <si>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</si>
  <si>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</si>
  <si>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</si>
  <si>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</si>
  <si>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</si>
  <si>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</si>
  <si>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</si>
  <si>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</si>
  <si>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</si>
  <si>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</si>
  <si>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</si>
  <si>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</si>
  <si>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</si>
  <si>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</si>
  <si>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</si>
  <si>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</si>
  <si>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</si>
  <si>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</si>
  <si>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</si>
  <si>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</si>
  <si>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</si>
  <si>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</si>
  <si>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</si>
  <si>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</si>
  <si>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</si>
  <si>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</si>
  <si>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</si>
  <si>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</si>
  <si>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</si>
  <si>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</si>
  <si>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</si>
  <si>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</si>
  <si>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</si>
  <si>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</si>
  <si>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</si>
  <si>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</si>
  <si>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</si>
  <si>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</si>
  <si>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</si>
  <si>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</si>
  <si>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</si>
  <si>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</si>
  <si>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</si>
  <si>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</si>
  <si>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</si>
  <si>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</si>
  <si>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</si>
  <si>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</si>
  <si>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</si>
  <si>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</si>
  <si>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</si>
  <si>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</si>
  <si>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</si>
  <si>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</si>
  <si>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</si>
  <si>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</si>
  <si>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</si>
  <si>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</si>
  <si>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</si>
  <si>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</si>
  <si>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</si>
  <si>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</si>
  <si>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</si>
  <si>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</si>
  <si>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</si>
  <si>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</si>
  <si>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</si>
  <si>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</si>
  <si>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</si>
  <si>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</si>
  <si>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</si>
  <si>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</si>
  <si>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</si>
  <si>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</si>
  <si>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</si>
  <si>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5 DIAS HABILES</t>
  </si>
  <si>
    <t>+569 7865 8972</t>
  </si>
  <si>
    <t>N° 12049</t>
  </si>
  <si>
    <t>ESPACIO UNICO</t>
  </si>
  <si>
    <t>LEANDRO</t>
  </si>
  <si>
    <t>COLORES VARIADOS</t>
  </si>
  <si>
    <t>CUB CON RESPALDO FTE 90°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</si>
</sst>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39" fillId="0" borderId="1" xfId="0" applyFont="1" applyBorder="1" applyAlignment="1">
      <alignment horizontal="center" vertical="center"/>
    </xf>
    <xf numFmtId="0" fontId="34" fillId="0" borderId="0" xfId="0" quotePrefix="1" applyFont="1" applyAlignment="1">
      <alignment horizontal="left"/>
    </xf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165" fontId="0" fillId="0" borderId="0" xfId="0" applyNumberFormat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215079</xdr:rowOff>
    </xdr:from>
    <xdr:to>
      <xdr:col>5</xdr:col>
      <xdr:colOff>1732649</xdr:colOff>
      <xdr:row>26</xdr:row>
      <xdr:rowOff>219320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479434"/>
          <a:ext cx="6331278" cy="6597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 CUBIERTA SE ENTREGA CON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C19" zoomScale="93" zoomScaleNormal="93" workbookViewId="0">
      <selection activeCell="M32" sqref="M32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2" t="s">
        <v>291</v>
      </c>
      <c r="D10" s="243"/>
      <c r="E10" s="243"/>
      <c r="F10" s="418" t="s">
        <v>277</v>
      </c>
      <c r="G10" s="275">
        <v>46098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288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C13" t="s">
        <v>292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4" t="s">
        <v>289</v>
      </c>
      <c r="D15" s="424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5" t="s">
        <v>13</v>
      </c>
      <c r="C17" s="299" t="s">
        <v>287</v>
      </c>
      <c r="D17" s="300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40" t="s">
        <v>95</v>
      </c>
      <c r="C19" s="441"/>
      <c r="D19" s="441"/>
      <c r="E19" s="441"/>
      <c r="F19" s="441"/>
      <c r="G19" s="441"/>
      <c r="H19" s="442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O39</f>
        <v>36361.559633027529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312">
        <v>10</v>
      </c>
      <c r="C21" s="435" t="s">
        <v>294</v>
      </c>
      <c r="D21" s="436">
        <v>1.21</v>
      </c>
      <c r="E21" s="436">
        <v>0.52</v>
      </c>
      <c r="F21" s="313" t="s">
        <v>293</v>
      </c>
      <c r="G21" s="314">
        <f>Q21</f>
        <v>24391.33420183487</v>
      </c>
      <c r="H21" s="437">
        <f>G21*B21</f>
        <v>243913.34201834869</v>
      </c>
      <c r="I21" s="306"/>
      <c r="J21" s="264"/>
      <c r="K21" s="47"/>
      <c r="L21" s="47">
        <f>B21</f>
        <v>10</v>
      </c>
      <c r="M21" s="39">
        <f>D21+M$19</f>
        <v>1.29</v>
      </c>
      <c r="N21" s="39">
        <f>E21+$N$19</f>
        <v>0.52</v>
      </c>
      <c r="O21" s="260">
        <f t="shared" ref="O21" si="0">M21*N21</f>
        <v>0.67080000000000006</v>
      </c>
      <c r="P21" s="258">
        <f t="shared" ref="P21" si="1">O21*L21</f>
        <v>6.7080000000000002</v>
      </c>
      <c r="Q21" s="251">
        <f t="shared" ref="Q21" si="2">Q$20*O21</f>
        <v>24391.33420183487</v>
      </c>
      <c r="R21" s="305">
        <f t="shared" ref="R21" si="3">Q21+R$20</f>
        <v>27391.33420183487</v>
      </c>
      <c r="S21" s="290">
        <f>M21*L21</f>
        <v>12.9</v>
      </c>
      <c r="T21" s="46">
        <f>N21*2*L21*2</f>
        <v>20.8</v>
      </c>
      <c r="U21" s="9"/>
      <c r="X21" s="4"/>
    </row>
    <row r="22" spans="1:25" ht="17.399999999999999" x14ac:dyDescent="0.3">
      <c r="B22" s="438">
        <v>10</v>
      </c>
      <c r="C22" s="433" t="s">
        <v>294</v>
      </c>
      <c r="D22" s="430">
        <v>0.81</v>
      </c>
      <c r="E22" s="430">
        <v>0.52</v>
      </c>
      <c r="F22" s="429" t="s">
        <v>293</v>
      </c>
      <c r="G22" s="431">
        <f>Q22</f>
        <v>16828.129798165141</v>
      </c>
      <c r="H22" s="439">
        <f>G22*B22</f>
        <v>168281.29798165141</v>
      </c>
      <c r="I22" s="306"/>
      <c r="J22" s="264"/>
      <c r="K22" s="47"/>
      <c r="L22" s="47">
        <f>B22</f>
        <v>10</v>
      </c>
      <c r="M22" s="39">
        <f>D22+M$19</f>
        <v>0.89</v>
      </c>
      <c r="N22" s="39">
        <f>E22+$N$19</f>
        <v>0.52</v>
      </c>
      <c r="O22" s="260">
        <f t="shared" ref="O22" si="4">M22*N22</f>
        <v>0.46280000000000004</v>
      </c>
      <c r="P22" s="258">
        <f t="shared" ref="P22" si="5">O22*L22</f>
        <v>4.6280000000000001</v>
      </c>
      <c r="Q22" s="251">
        <f t="shared" ref="Q22" si="6">Q$20*O22</f>
        <v>16828.129798165141</v>
      </c>
      <c r="R22" s="305">
        <f t="shared" ref="R22" si="7">Q22+R$20</f>
        <v>19828.129798165141</v>
      </c>
      <c r="S22" s="290"/>
      <c r="T22" s="46"/>
      <c r="U22" s="9"/>
      <c r="X22" s="4"/>
    </row>
    <row r="23" spans="1:25" ht="17.399999999999999" x14ac:dyDescent="0.3">
      <c r="B23" s="283"/>
      <c r="C23" s="325"/>
      <c r="D23" s="284"/>
      <c r="E23" s="284"/>
      <c r="F23" s="283"/>
      <c r="G23" s="306"/>
      <c r="H23" s="306"/>
      <c r="I23" s="306"/>
      <c r="J23" s="264"/>
      <c r="K23" s="47"/>
      <c r="L23" s="47"/>
      <c r="M23" s="39"/>
      <c r="N23" s="39"/>
      <c r="O23" s="260"/>
      <c r="P23" s="258"/>
      <c r="Q23" s="251"/>
      <c r="R23" s="305"/>
      <c r="S23" s="290"/>
      <c r="T23" s="46"/>
      <c r="U23" s="9"/>
      <c r="X23" s="4"/>
    </row>
    <row r="24" spans="1:25" ht="18" thickBot="1" x14ac:dyDescent="0.35">
      <c r="B24" s="283"/>
      <c r="C24" s="325"/>
      <c r="D24" s="284"/>
      <c r="E24" s="284"/>
      <c r="F24" s="283"/>
      <c r="G24" s="264"/>
      <c r="H24" s="307"/>
      <c r="I24" s="309"/>
      <c r="J24" s="233"/>
      <c r="K24" s="47"/>
      <c r="L24" s="47"/>
      <c r="M24" s="39"/>
      <c r="N24" s="39"/>
      <c r="O24" s="260"/>
      <c r="P24" s="258"/>
      <c r="Q24" s="251"/>
      <c r="R24" s="257"/>
      <c r="S24" s="290"/>
      <c r="T24" s="14"/>
      <c r="U24" s="9"/>
      <c r="X24" s="4"/>
    </row>
    <row r="25" spans="1:25" ht="17.399999999999999" x14ac:dyDescent="0.3">
      <c r="B25" s="283"/>
      <c r="C25" s="283"/>
      <c r="D25" s="284"/>
      <c r="E25" s="284"/>
      <c r="F25" s="283"/>
      <c r="G25" s="310" t="s">
        <v>28</v>
      </c>
      <c r="H25" s="311">
        <f>SUM(H21:H23)</f>
        <v>412194.64000000013</v>
      </c>
      <c r="I25" s="308"/>
      <c r="J25" s="264"/>
      <c r="K25" s="47"/>
      <c r="L25" s="47"/>
      <c r="M25" s="39"/>
      <c r="N25" s="39"/>
      <c r="O25" s="260"/>
      <c r="P25" s="258"/>
      <c r="Q25" s="251"/>
      <c r="R25" s="257"/>
      <c r="S25" s="290"/>
      <c r="T25" s="46">
        <f>SUM(T21:T23)</f>
        <v>20.8</v>
      </c>
      <c r="U25" s="9"/>
      <c r="X25" s="4"/>
    </row>
    <row r="26" spans="1:25" ht="17.399999999999999" x14ac:dyDescent="0.3">
      <c r="B26" s="277"/>
      <c r="C26" s="280"/>
      <c r="D26" s="281"/>
      <c r="E26" s="281"/>
      <c r="F26" s="282"/>
      <c r="G26" s="289" t="s">
        <v>51</v>
      </c>
      <c r="H26" s="287">
        <f>H25*19%</f>
        <v>78316.981600000028</v>
      </c>
      <c r="I26" s="308"/>
      <c r="J26" s="264"/>
      <c r="K26" s="47">
        <v>450</v>
      </c>
      <c r="L26" s="463">
        <f>M26*10</f>
        <v>21.8</v>
      </c>
      <c r="M26" s="39">
        <f>SUM(M21:M25)</f>
        <v>2.1800000000000002</v>
      </c>
      <c r="N26" s="12"/>
      <c r="O26" s="12"/>
      <c r="P26" s="252">
        <f>SUM(P21:P22)</f>
        <v>11.336</v>
      </c>
      <c r="Q26" s="14"/>
      <c r="R26" s="12"/>
      <c r="S26" s="239"/>
      <c r="T26" s="46"/>
      <c r="U26" s="9"/>
      <c r="X26" s="4"/>
    </row>
    <row r="27" spans="1:25" ht="18" thickBot="1" x14ac:dyDescent="0.35">
      <c r="B27" s="274"/>
      <c r="C27" s="279"/>
      <c r="D27" s="271"/>
      <c r="E27" s="271"/>
      <c r="F27" s="272"/>
      <c r="G27" s="278" t="s">
        <v>6</v>
      </c>
      <c r="H27" s="288">
        <f>H25+H26</f>
        <v>490511.62160000019</v>
      </c>
      <c r="I27" s="308"/>
      <c r="J27" s="264"/>
      <c r="K27" s="47">
        <v>60</v>
      </c>
      <c r="L27" s="47"/>
      <c r="M27" s="39"/>
      <c r="N27" s="12"/>
      <c r="O27" s="12"/>
      <c r="P27" s="252">
        <f>P26</f>
        <v>11.336</v>
      </c>
      <c r="Q27" s="14"/>
      <c r="R27" s="12"/>
      <c r="S27" s="239">
        <f>SUM(S21:S26)</f>
        <v>12.9</v>
      </c>
      <c r="T27" s="46"/>
      <c r="U27" s="9"/>
      <c r="X27" s="4"/>
    </row>
    <row r="28" spans="1:25" ht="17.399999999999999" x14ac:dyDescent="0.3">
      <c r="B28" s="274"/>
      <c r="C28" s="270"/>
      <c r="D28" s="271"/>
      <c r="E28" s="271"/>
      <c r="F28" s="272"/>
      <c r="J28" s="264"/>
      <c r="K28" s="47">
        <f>SUM(K26:K27)</f>
        <v>510</v>
      </c>
      <c r="L28" s="47"/>
      <c r="M28" s="14"/>
      <c r="N28" s="12"/>
      <c r="O28" s="12"/>
      <c r="P28" s="39">
        <f>P27*20%</f>
        <v>2.2672000000000003</v>
      </c>
      <c r="Q28" s="39" t="s">
        <v>129</v>
      </c>
      <c r="R28" s="42"/>
      <c r="S28" s="240">
        <f>S27+T25</f>
        <v>33.700000000000003</v>
      </c>
      <c r="T28" s="14"/>
      <c r="U28" s="9"/>
      <c r="X28" s="4"/>
    </row>
    <row r="29" spans="1:25" ht="17.399999999999999" x14ac:dyDescent="0.35">
      <c r="B29" s="268"/>
      <c r="C29" s="230"/>
      <c r="D29" s="230"/>
      <c r="E29" s="233"/>
      <c r="F29" s="234"/>
      <c r="G29" s="230"/>
      <c r="H29" s="273"/>
      <c r="I29" s="273"/>
      <c r="J29" s="264"/>
      <c r="K29" s="47"/>
      <c r="L29" s="47"/>
      <c r="M29" s="14"/>
      <c r="N29" s="12"/>
      <c r="O29" s="12"/>
      <c r="P29" s="46">
        <f>P27+P28</f>
        <v>13.603200000000001</v>
      </c>
      <c r="Q29" s="14"/>
      <c r="R29" s="14"/>
      <c r="S29" s="238">
        <f>S28*20%</f>
        <v>6.7400000000000011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3"/>
      <c r="J30" s="264"/>
      <c r="K30" s="47">
        <v>600</v>
      </c>
      <c r="L30" s="47"/>
      <c r="M30" s="14"/>
      <c r="N30" s="14"/>
      <c r="O30" s="14"/>
      <c r="P30" s="14"/>
      <c r="Q30" s="14"/>
      <c r="R30" s="14"/>
      <c r="S30" s="240">
        <f>S28+S29</f>
        <v>40.440000000000005</v>
      </c>
      <c r="T30" s="14"/>
      <c r="U30" s="294" t="s">
        <v>21</v>
      </c>
      <c r="V30" s="291" t="s">
        <v>149</v>
      </c>
      <c r="W30" s="295">
        <v>44971</v>
      </c>
      <c r="X30" s="296"/>
    </row>
    <row r="31" spans="1:25" ht="17.399999999999999" x14ac:dyDescent="0.35">
      <c r="B31" s="230"/>
      <c r="C31" s="230"/>
      <c r="D31" s="230"/>
      <c r="E31" s="230"/>
      <c r="F31" s="230"/>
      <c r="G31" s="230"/>
      <c r="J31" s="264"/>
      <c r="K31" s="47">
        <v>60</v>
      </c>
      <c r="L31" s="47"/>
      <c r="M31" s="39">
        <f>P29</f>
        <v>13.603200000000001</v>
      </c>
      <c r="N31" s="12">
        <v>3500</v>
      </c>
      <c r="O31" s="12">
        <f t="shared" ref="O31:O36" si="8">M31*N31</f>
        <v>47611.200000000004</v>
      </c>
      <c r="P31" s="14" t="s">
        <v>21</v>
      </c>
      <c r="Q31" s="14"/>
      <c r="R31" s="14"/>
      <c r="S31" s="241"/>
      <c r="T31" s="14"/>
      <c r="U31" s="294" t="s">
        <v>150</v>
      </c>
      <c r="V31" s="291">
        <v>3625</v>
      </c>
      <c r="W31" s="59" t="s">
        <v>151</v>
      </c>
      <c r="X31" s="296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4"/>
      <c r="K32" s="47">
        <f>SUM(K30:K31)</f>
        <v>660</v>
      </c>
      <c r="L32" s="47"/>
      <c r="M32" s="248">
        <v>3.7</v>
      </c>
      <c r="N32" s="12">
        <v>23500</v>
      </c>
      <c r="O32" s="12">
        <f t="shared" si="8"/>
        <v>86950</v>
      </c>
      <c r="P32" s="39" t="s">
        <v>31</v>
      </c>
      <c r="Q32" s="42"/>
      <c r="R32" s="14"/>
      <c r="S32" s="240"/>
      <c r="T32" s="14"/>
      <c r="U32" s="294"/>
      <c r="V32" s="59">
        <v>906.25</v>
      </c>
      <c r="W32" s="59" t="s">
        <v>152</v>
      </c>
      <c r="X32" s="296"/>
    </row>
    <row r="33" spans="1:24" s="230" customFormat="1" ht="17.399999999999999" x14ac:dyDescent="0.35">
      <c r="B33" s="24" t="s">
        <v>148</v>
      </c>
      <c r="J33" s="261"/>
      <c r="K33" s="232"/>
      <c r="L33" s="249"/>
      <c r="M33" s="14"/>
      <c r="N33" s="249">
        <v>58860</v>
      </c>
      <c r="O33" s="12">
        <f t="shared" si="8"/>
        <v>0</v>
      </c>
      <c r="P33" s="39" t="s">
        <v>30</v>
      </c>
      <c r="Q33" s="42"/>
      <c r="S33" s="240"/>
      <c r="T33" s="255"/>
      <c r="U33" s="59"/>
      <c r="V33" s="59">
        <f>V32*20%</f>
        <v>181.25</v>
      </c>
      <c r="W33" s="296" t="s">
        <v>153</v>
      </c>
      <c r="X33" s="59"/>
    </row>
    <row r="34" spans="1:24" s="230" customFormat="1" ht="17.399999999999999" x14ac:dyDescent="0.35">
      <c r="B34" s="24" t="s">
        <v>162</v>
      </c>
      <c r="C34"/>
      <c r="D34"/>
      <c r="E34"/>
      <c r="F34"/>
      <c r="J34" s="261"/>
      <c r="K34" s="232">
        <f>K28+K32</f>
        <v>1170</v>
      </c>
      <c r="L34" s="249"/>
      <c r="M34" s="14"/>
      <c r="N34" s="249">
        <v>20000</v>
      </c>
      <c r="O34" s="12">
        <f t="shared" si="8"/>
        <v>0</v>
      </c>
      <c r="P34" s="14" t="s">
        <v>139</v>
      </c>
      <c r="Q34" s="17"/>
      <c r="S34" s="238"/>
      <c r="T34" s="255"/>
      <c r="U34" s="59"/>
      <c r="V34" s="59">
        <f>V32+V33</f>
        <v>1087.5</v>
      </c>
      <c r="W34" s="296" t="s">
        <v>154</v>
      </c>
      <c r="X34" s="59"/>
    </row>
    <row r="35" spans="1:24" s="230" customFormat="1" ht="17.399999999999999" x14ac:dyDescent="0.35">
      <c r="A35" s="230" t="s">
        <v>283</v>
      </c>
      <c r="B35" s="29" t="s">
        <v>124</v>
      </c>
      <c r="C35"/>
      <c r="D35"/>
      <c r="E35"/>
      <c r="F35" s="229" t="s">
        <v>15</v>
      </c>
      <c r="J35" s="261"/>
      <c r="K35" s="259"/>
      <c r="L35" s="249"/>
      <c r="M35" s="248">
        <v>22</v>
      </c>
      <c r="N35" s="249">
        <v>900</v>
      </c>
      <c r="O35" s="12">
        <f t="shared" si="8"/>
        <v>19800</v>
      </c>
      <c r="P35" s="14" t="s">
        <v>32</v>
      </c>
      <c r="Q35" s="14"/>
      <c r="R35" s="230">
        <v>1.52</v>
      </c>
      <c r="S35" s="238"/>
      <c r="T35" s="238"/>
    </row>
    <row r="36" spans="1:24" s="230" customFormat="1" ht="17.399999999999999" x14ac:dyDescent="0.35">
      <c r="J36" s="286"/>
      <c r="K36" s="259"/>
      <c r="L36" s="249"/>
      <c r="M36" s="265">
        <v>22</v>
      </c>
      <c r="N36" s="12">
        <v>1500</v>
      </c>
      <c r="O36" s="12">
        <f t="shared" si="8"/>
        <v>33000</v>
      </c>
      <c r="P36" s="14" t="s">
        <v>22</v>
      </c>
      <c r="Q36" s="14"/>
      <c r="R36">
        <v>2.44</v>
      </c>
      <c r="S36"/>
      <c r="T36" s="238"/>
      <c r="X36" s="231"/>
    </row>
    <row r="37" spans="1:24" s="230" customFormat="1" ht="17.399999999999999" x14ac:dyDescent="0.35">
      <c r="K37" s="259"/>
      <c r="L37" s="249"/>
      <c r="M37" s="14"/>
      <c r="N37" s="12"/>
      <c r="O37" s="12">
        <f>SUM(O31:O36)</f>
        <v>187361.2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1:24" s="230" customFormat="1" ht="17.399999999999999" x14ac:dyDescent="0.35">
      <c r="L38" s="249"/>
      <c r="M38" s="253" t="s">
        <v>33</v>
      </c>
      <c r="N38" s="12"/>
      <c r="O38" s="254">
        <f>O37*2.2</f>
        <v>412194.64000000007</v>
      </c>
      <c r="P38" s="14" t="s">
        <v>138</v>
      </c>
      <c r="Q38" s="14"/>
      <c r="R38" s="40">
        <f>P29/R37</f>
        <v>3.6678170836928388</v>
      </c>
      <c r="S38"/>
      <c r="T38" s="256"/>
    </row>
    <row r="39" spans="1:24" s="230" customFormat="1" ht="17.399999999999999" x14ac:dyDescent="0.35">
      <c r="G39"/>
      <c r="H39" s="259"/>
      <c r="I39" s="259"/>
      <c r="J39" s="259"/>
      <c r="K39" s="230">
        <v>51290</v>
      </c>
      <c r="L39" s="249"/>
      <c r="M39" s="14"/>
      <c r="N39" s="12"/>
      <c r="O39" s="12">
        <f>O38/P27</f>
        <v>36361.559633027529</v>
      </c>
      <c r="P39" s="45" t="s">
        <v>24</v>
      </c>
      <c r="Q39" s="14"/>
      <c r="R39" s="14"/>
      <c r="S39"/>
      <c r="T39" s="238"/>
      <c r="U39" s="59" t="s">
        <v>155</v>
      </c>
      <c r="V39" s="291">
        <v>43650</v>
      </c>
    </row>
    <row r="40" spans="1:24" s="230" customFormat="1" ht="17.399999999999999" x14ac:dyDescent="0.35">
      <c r="G40"/>
      <c r="K40" s="230">
        <f>K39/1.19</f>
        <v>43100.840336134454</v>
      </c>
      <c r="L40" s="249"/>
      <c r="M40" s="13"/>
      <c r="N40" s="14"/>
      <c r="O40" s="17">
        <f>O38/O37</f>
        <v>2.2000000000000002</v>
      </c>
      <c r="P40" s="15"/>
      <c r="Q40"/>
      <c r="R40"/>
      <c r="S40"/>
      <c r="T40" s="238"/>
      <c r="U40" s="59" t="s">
        <v>157</v>
      </c>
      <c r="V40" s="292" t="s">
        <v>156</v>
      </c>
      <c r="W40" s="59">
        <v>2.4</v>
      </c>
    </row>
    <row r="41" spans="1:24" s="230" customFormat="1" ht="17.399999999999999" x14ac:dyDescent="0.35">
      <c r="G41" s="23"/>
      <c r="L41" s="12"/>
      <c r="T41" s="238"/>
      <c r="U41" s="59" t="s">
        <v>158</v>
      </c>
      <c r="V41" s="293">
        <v>395.37</v>
      </c>
    </row>
    <row r="42" spans="1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153</v>
      </c>
      <c r="V42" s="59">
        <v>474.45</v>
      </c>
    </row>
    <row r="43" spans="1:24" ht="14.4" customHeight="1" x14ac:dyDescent="0.3">
      <c r="L43" s="12"/>
      <c r="U43" s="59"/>
      <c r="V43" s="59"/>
    </row>
    <row r="44" spans="1:24" x14ac:dyDescent="0.3">
      <c r="L44" s="249"/>
    </row>
    <row r="45" spans="1:24" x14ac:dyDescent="0.3">
      <c r="L45" s="249"/>
      <c r="T45" s="269"/>
    </row>
    <row r="46" spans="1:24" x14ac:dyDescent="0.3">
      <c r="L46" s="249"/>
    </row>
    <row r="47" spans="1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145</v>
      </c>
    </row>
    <row r="75" spans="3:15" x14ac:dyDescent="0.3">
      <c r="C75" t="s">
        <v>144</v>
      </c>
    </row>
    <row r="78" spans="3:15" x14ac:dyDescent="0.3">
      <c r="C78" t="s">
        <v>144</v>
      </c>
    </row>
    <row r="155" spans="3:3" x14ac:dyDescent="0.3">
      <c r="C155" t="s">
        <v>144</v>
      </c>
    </row>
    <row r="156" spans="3:3" x14ac:dyDescent="0.3">
      <c r="C156" t="s">
        <v>146</v>
      </c>
    </row>
    <row r="157" spans="3:3" x14ac:dyDescent="0.3">
      <c r="C157" t="s">
        <v>147</v>
      </c>
    </row>
    <row r="582" spans="3:3" x14ac:dyDescent="0.3">
      <c r="C582" t="s">
        <v>144</v>
      </c>
    </row>
  </sheetData>
  <mergeCells count="1">
    <mergeCell ref="B19:H19"/>
  </mergeCells>
  <phoneticPr fontId="32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46098</v>
      </c>
    </row>
    <row r="6" spans="2:31" ht="16.2" thickBot="1" x14ac:dyDescent="0.35">
      <c r="B6" s="140" t="s">
        <v>2</v>
      </c>
      <c r="C6" s="139" t="str">
        <f>'2229'!C10</f>
        <v>ESPACIO UNICO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4" t="s">
        <v>98</v>
      </c>
      <c r="I7" s="445"/>
      <c r="J7" s="445"/>
      <c r="K7" s="446"/>
      <c r="N7" s="75"/>
      <c r="O7" s="443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12049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43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-23490.401700120798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412194.64000000013</v>
      </c>
      <c r="E11" s="132">
        <f>D11*0.19</f>
        <v>78316.981600000028</v>
      </c>
      <c r="F11" s="131">
        <f>E11+D11</f>
        <v>490511.62160000019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82499.598299879202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164395.29078743962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64499.598299879202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247799.34921256051</v>
      </c>
      <c r="E13" s="221">
        <f>(D11/D12)-1</f>
        <v>1.5073384889896935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55499.598299879202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16499.598299879202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271252.22979927534</v>
      </c>
      <c r="F15" s="216">
        <f>E15-D12</f>
        <v>106856.93901183573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16499.598299879202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56499.598299879202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86950</v>
      </c>
      <c r="E19" s="123">
        <f>D19*0.19</f>
        <v>16520.5</v>
      </c>
      <c r="F19" s="120">
        <f>SUM(D19:E19)</f>
        <v>103470.5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47611.200000000004</v>
      </c>
      <c r="E20" s="121">
        <f>D20*0.19</f>
        <v>9046.1280000000006</v>
      </c>
      <c r="F20" s="120">
        <f>SUM(D20:E20)</f>
        <v>56657.328000000009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134561.20000000001</v>
      </c>
      <c r="E21" s="116">
        <f>SUM(E18:E20)</f>
        <v>25566.628000000001</v>
      </c>
      <c r="F21" s="115">
        <f>SUM(F18:F20)</f>
        <v>160127.82800000001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52750.353600000031</v>
      </c>
    </row>
    <row r="41" spans="2:16" ht="15" thickBot="1" x14ac:dyDescent="0.35">
      <c r="H41" s="447" t="s">
        <v>60</v>
      </c>
      <c r="I41" s="448"/>
      <c r="J41" s="448"/>
      <c r="K41" s="448"/>
      <c r="L41" s="448"/>
      <c r="M41" s="449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412194.64000000013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134561.20000000001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247799.34921256051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247799.34921256051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12049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ESPACIO UNICO</v>
      </c>
      <c r="D10" s="350"/>
      <c r="E10" s="350"/>
      <c r="F10" s="351" t="s">
        <v>167</v>
      </c>
      <c r="G10" s="352">
        <f>'2229'!G10</f>
        <v>46098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46105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>LEANDRO</v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+569 7865 8972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50" t="s">
        <v>175</v>
      </c>
      <c r="G17" s="450"/>
      <c r="H17" s="451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52" t="s">
        <v>176</v>
      </c>
      <c r="C20" s="453"/>
      <c r="D20" s="453"/>
      <c r="E20" s="453"/>
      <c r="F20" s="453"/>
      <c r="G20" s="453"/>
      <c r="H20" s="454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10</v>
      </c>
      <c r="C22" s="313" t="str">
        <f>'2229'!C21</f>
        <v>CUB CON RESPALDO FTE 90°</v>
      </c>
      <c r="D22" s="321">
        <f>'2229'!D21*1000</f>
        <v>1210</v>
      </c>
      <c r="E22" s="321">
        <f>'2229'!E21*1000</f>
        <v>520</v>
      </c>
      <c r="F22" s="322" t="str">
        <f>'2229'!F21</f>
        <v>COLORES VARIADOS</v>
      </c>
      <c r="G22" s="314">
        <f>'2229'!G21</f>
        <v>24391.33420183487</v>
      </c>
      <c r="H22" s="323">
        <f>G22*B22</f>
        <v>243913.34201834869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243913.34201834869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46343.53498348625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290256.87700183492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5" t="s">
        <v>182</v>
      </c>
      <c r="C2" s="455"/>
      <c r="D2" s="455"/>
      <c r="E2" s="361"/>
      <c r="G2" s="455" t="s">
        <v>183</v>
      </c>
      <c r="H2" s="455"/>
      <c r="I2" s="455"/>
      <c r="P2" s="456" t="s">
        <v>184</v>
      </c>
      <c r="Q2" s="456"/>
      <c r="R2" s="456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6" t="s">
        <v>184</v>
      </c>
      <c r="M8" s="456"/>
      <c r="N8" s="456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61" t="s">
        <v>265</v>
      </c>
      <c r="L3" s="461"/>
      <c r="M3" s="461" t="s">
        <v>266</v>
      </c>
      <c r="N3" s="461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ESPACIO UNICO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46098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46105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62" t="s">
        <v>265</v>
      </c>
      <c r="B10" s="462"/>
      <c r="C10" s="462"/>
      <c r="D10" s="462"/>
      <c r="E10" s="462"/>
      <c r="F10" s="462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62" t="s">
        <v>266</v>
      </c>
      <c r="B17" s="462"/>
      <c r="C17" s="462"/>
      <c r="D17" s="462"/>
      <c r="E17" s="462"/>
      <c r="F17" s="462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62" t="s">
        <v>272</v>
      </c>
      <c r="B45" s="462"/>
      <c r="C45" s="462"/>
      <c r="D45" s="462"/>
      <c r="E45" s="462"/>
      <c r="F45" s="462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7" t="s">
        <v>95</v>
      </c>
      <c r="C47" s="458"/>
      <c r="D47" s="459"/>
      <c r="E47" s="459"/>
      <c r="F47" s="460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12049</v>
      </c>
      <c r="C2" s="1">
        <f>'NOTA DE VENTA'!$G$10</f>
        <v>46098</v>
      </c>
      <c r="D2" s="1">
        <f>'NOTA DE VENTA'!$G$11</f>
        <v>46105</v>
      </c>
      <c r="E2" t="str">
        <f>'NOTA DE VENTA'!$C$10</f>
        <v>ESPACIO UNICO</v>
      </c>
      <c r="F2" t="str">
        <f>'NOTA DE VENTA'!$C$22</f>
        <v>CUB CON RESPALDO FTE 90°</v>
      </c>
      <c r="G2" t="str">
        <f>'NOTA DE VENTA'!$F$22</f>
        <v>COLORES VARIADOS</v>
      </c>
      <c r="H2" s="416">
        <f>'NOTA DE VENTA'!$H$25</f>
        <v>243913.34201834869</v>
      </c>
      <c r="I2" s="416">
        <f>H2*0.19</f>
        <v>46343.53498348625</v>
      </c>
      <c r="J2" s="416">
        <f>I2+H2</f>
        <v>290256.87700183492</v>
      </c>
      <c r="L2" s="61">
        <f>J2-K2</f>
        <v>290256.87700183492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2026-03-18T17:32:35Z</cp:lastPrinted>
  <dcterms:created xsi:type="dcterms:W3CDTF">2013-03-18T13:35:42Z</dcterms:created>
  <dcterms:modified xsi:type="dcterms:W3CDTF">2026-03-18T19:37:29Z</dcterms:modified>
</cp:coreProperties>
</file>