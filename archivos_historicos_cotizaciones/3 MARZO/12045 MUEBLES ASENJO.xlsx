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8A3E1D91-716B-4CFC-81A2-002706A0FA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9" i="1" l="1"/>
  <c r="S23" i="1"/>
  <c r="S24" i="1"/>
  <c r="S21" i="1"/>
  <c r="P28" i="1"/>
  <c r="L24" i="1"/>
  <c r="M24" i="1"/>
  <c r="N24" i="1"/>
  <c r="O24" i="1"/>
  <c r="P24" i="1" s="1"/>
  <c r="L23" i="1"/>
  <c r="M23" i="1"/>
  <c r="N23" i="1"/>
  <c r="L22" i="1"/>
  <c r="M22" i="1"/>
  <c r="N22" i="1"/>
  <c r="L21" i="1"/>
  <c r="J43" i="1"/>
  <c r="K37" i="1"/>
  <c r="K38" i="1" s="1"/>
  <c r="O23" i="1" l="1"/>
  <c r="P23" i="1" s="1"/>
  <c r="O22" i="1"/>
  <c r="P22" i="1" s="1"/>
  <c r="S22" i="1"/>
  <c r="M21" i="1"/>
  <c r="N21" i="1"/>
  <c r="O21" i="1" l="1"/>
  <c r="P21" i="1" s="1"/>
  <c r="M28" i="1"/>
  <c r="T27" i="1"/>
  <c r="K42" i="1"/>
  <c r="S30" i="1" l="1"/>
  <c r="S31" i="1" s="1"/>
  <c r="S32" i="1" s="1"/>
  <c r="V35" i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38" i="1"/>
  <c r="O37" i="1"/>
  <c r="F18" i="3" l="1"/>
  <c r="O33" i="1" l="1"/>
  <c r="O39" i="1" s="1"/>
  <c r="O40" i="1" s="1"/>
  <c r="D21" i="3" l="1"/>
  <c r="E21" i="3" s="1"/>
  <c r="E22" i="3" s="1"/>
  <c r="O41" i="1" l="1"/>
  <c r="Q20" i="1" s="1"/>
  <c r="Q24" i="1" s="1"/>
  <c r="D22" i="3"/>
  <c r="M44" i="3" s="1"/>
  <c r="D12" i="3" s="1"/>
  <c r="F21" i="3"/>
  <c r="F22" i="3" s="1"/>
  <c r="R24" i="1" l="1"/>
  <c r="H24" i="1"/>
  <c r="Q23" i="1"/>
  <c r="Q22" i="1"/>
  <c r="Q21" i="1"/>
  <c r="O42" i="1"/>
  <c r="E15" i="3"/>
  <c r="R23" i="1" l="1"/>
  <c r="H23" i="1"/>
  <c r="R21" i="1"/>
  <c r="H21" i="1"/>
  <c r="R22" i="1"/>
  <c r="H22" i="1"/>
  <c r="F15" i="3"/>
  <c r="H25" i="1" l="1"/>
  <c r="H26" i="1" l="1"/>
  <c r="H27" i="1"/>
  <c r="D11" i="3"/>
  <c r="X9" i="3" s="1"/>
  <c r="X15" i="3" s="1"/>
  <c r="H28" i="1" l="1"/>
  <c r="H29" i="1" s="1"/>
  <c r="D13" i="3"/>
  <c r="E13" i="3"/>
  <c r="X16" i="3"/>
  <c r="X11" i="3"/>
  <c r="X14" i="3"/>
  <c r="E11" i="3"/>
  <c r="D41" i="3" s="1"/>
  <c r="X13" i="3"/>
  <c r="X12" i="3"/>
  <c r="M43" i="3"/>
  <c r="M47" i="3" s="1"/>
  <c r="M50" i="3" s="1"/>
  <c r="F11" i="3" l="1"/>
</calcChain>
</file>

<file path=xl/sharedStrings.xml><?xml version="1.0" encoding="utf-8"?>
<sst xmlns="http://schemas.openxmlformats.org/spreadsheetml/2006/main" count="238" uniqueCount="177">
  <si>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</si>
  <si>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</si>
  <si>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</si>
  <si>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</si>
  <si>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</si>
  <si>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</si>
  <si>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</si>
  <si>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</si>
  <si>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</si>
  <si>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</si>
  <si>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</si>
  <si>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</si>
  <si>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</si>
  <si>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</si>
  <si>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</si>
  <si>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</si>
  <si>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</si>
  <si>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</si>
  <si>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</si>
  <si>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</si>
  <si>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</si>
  <si>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</si>
  <si>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</si>
  <si>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</si>
  <si>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</si>
  <si>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</si>
  <si>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</si>
  <si>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</si>
  <si>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</si>
  <si>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</si>
  <si>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</si>
  <si>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</si>
  <si>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</si>
  <si>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</si>
  <si>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</si>
  <si>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</si>
  <si>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</si>
  <si>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</si>
  <si>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</si>
  <si>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</si>
  <si>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</si>
  <si>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</si>
  <si>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</si>
  <si>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</si>
  <si>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</si>
  <si>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</si>
  <si>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</si>
  <si>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</si>
  <si>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</si>
  <si>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</si>
  <si>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</si>
  <si>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</si>
  <si>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</si>
  <si>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</si>
  <si>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</si>
  <si>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</si>
  <si>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</si>
  <si>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</si>
  <si>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</si>
  <si>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</si>
  <si>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</si>
  <si>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</si>
  <si>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</si>
  <si>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</si>
  <si>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</si>
  <si>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</si>
  <si>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</si>
  <si>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</si>
  <si>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</si>
  <si>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</si>
  <si>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</si>
  <si>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</si>
  <si>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</si>
  <si>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</si>
  <si>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</si>
  <si>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</si>
  <si>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</si>
  <si>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</si>
  <si>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</si>
  <si>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</si>
  <si>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</si>
  <si>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</si>
  <si>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</si>
  <si>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</si>
  <si>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</si>
  <si>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</si>
  <si>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</si>
  <si>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</si>
  <si>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</si>
  <si>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</si>
  <si>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</si>
  <si>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</si>
  <si>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</si>
  <si>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</si>
  <si>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</si>
  <si>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</si>
  <si>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</si>
  <si>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</si>
  <si>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</si>
  <si>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</si>
  <si>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</si>
  <si>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</si>
  <si>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</si>
  <si>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</si>
  <si>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</si>
  <si>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</si>
  <si>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</si>
  <si>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</si>
  <si>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</si>
  <si>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</si>
  <si>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</si>
  <si>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</si>
  <si>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</si>
  <si>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</si>
  <si>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</si>
  <si>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</si>
  <si>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</si>
  <si>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</si>
  <si>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</si>
  <si>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</si>
  <si>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</si>
  <si>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</si>
  <si>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</si>
  <si>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</si>
  <si>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</si>
  <si>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</si>
  <si>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</si>
  <si>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</si>
  <si>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</si>
  <si>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</si>
  <si>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</si>
  <si>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</si>
  <si>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</si>
  <si>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</si>
  <si>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</si>
  <si>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</si>
  <si>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</si>
  <si>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</si>
  <si>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</si>
  <si>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</si>
  <si>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</si>
  <si>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</si>
  <si>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</si>
  <si>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</si>
  <si>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</si>
  <si>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</si>
  <si>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</si>
  <si>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</si>
  <si>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</si>
  <si>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</si>
  <si>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</si>
  <si>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</si>
  <si>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</si>
  <si>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</si>
  <si>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</si>
  <si>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</si>
  <si>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</si>
  <si>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</si>
  <si>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</si>
  <si>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</si>
  <si>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</si>
  <si>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</si>
  <si>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</si>
  <si>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</si>
  <si>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</si>
  <si>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</si>
  <si>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</si>
  <si>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</si>
  <si>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</si>
  <si>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</si>
  <si>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</si>
  <si>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CUB C/R 90° R6</t>
  </si>
  <si>
    <t>LAMINA CHICA</t>
  </si>
  <si>
    <t>N° 12045</t>
  </si>
  <si>
    <t>URGENTE</t>
  </si>
  <si>
    <t>PALE GRAY 21169 SF</t>
  </si>
  <si>
    <t>descto.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</si>
</sst>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0" fillId="0" borderId="1" xfId="0" applyBorder="1"/>
    <xf numFmtId="42" fontId="0" fillId="0" borderId="1" xfId="0" applyNumberFormat="1" applyBorder="1"/>
    <xf numFmtId="3" fontId="11" fillId="18" borderId="1" xfId="0" applyNumberFormat="1" applyFont="1" applyFill="1" applyBorder="1" applyAlignment="1">
      <alignment horizontal="center"/>
    </xf>
    <xf numFmtId="42" fontId="33" fillId="18" borderId="1" xfId="8" applyFont="1" applyFill="1" applyBorder="1"/>
    <xf numFmtId="0" fontId="11" fillId="0" borderId="1" xfId="0" applyFont="1" applyBorder="1" applyAlignment="1">
      <alignment horizontal="center"/>
    </xf>
    <xf numFmtId="42" fontId="33" fillId="0" borderId="1" xfId="8" applyFont="1" applyFill="1" applyBorder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17" zoomScale="93" zoomScaleNormal="93" workbookViewId="0">
      <selection activeCell="J23" sqref="J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0" t="s">
        <v>126</v>
      </c>
      <c r="C8" s="291"/>
      <c r="D8" s="324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1" t="s">
        <v>161</v>
      </c>
      <c r="C10" s="278" t="s">
        <v>166</v>
      </c>
      <c r="D10" s="243"/>
      <c r="E10" s="243"/>
      <c r="F10" s="244" t="s">
        <v>0</v>
      </c>
      <c r="G10" s="276">
        <v>46097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6" t="s">
        <v>12</v>
      </c>
      <c r="C11" s="294"/>
      <c r="F11" t="s">
        <v>123</v>
      </c>
      <c r="G11" s="287" t="s">
        <v>174</v>
      </c>
      <c r="H11" s="288"/>
      <c r="Q11" s="19"/>
      <c r="R11" s="25" t="s">
        <v>18</v>
      </c>
      <c r="S11" s="19"/>
    </row>
    <row r="12" spans="2:24" ht="16.8" x14ac:dyDescent="0.4">
      <c r="B12" s="246" t="s">
        <v>144</v>
      </c>
      <c r="C12" s="302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6" t="s">
        <v>145</v>
      </c>
      <c r="C13" t="s">
        <v>167</v>
      </c>
      <c r="F13" t="s">
        <v>169</v>
      </c>
      <c r="G13" s="303"/>
      <c r="H13" s="288"/>
      <c r="Q13" s="19"/>
      <c r="R13" s="25"/>
      <c r="S13" s="19"/>
    </row>
    <row r="14" spans="2:24" x14ac:dyDescent="0.3">
      <c r="B14" s="246" t="s">
        <v>139</v>
      </c>
      <c r="C14" s="310"/>
      <c r="D14" s="247"/>
      <c r="E14" s="247"/>
      <c r="F14" s="311" t="s">
        <v>136</v>
      </c>
      <c r="G14" s="289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6" t="s">
        <v>4</v>
      </c>
      <c r="C15" s="305"/>
      <c r="D15" s="306"/>
      <c r="F15" t="s">
        <v>134</v>
      </c>
      <c r="G15" s="304" t="s">
        <v>168</v>
      </c>
      <c r="H15" s="288"/>
    </row>
    <row r="16" spans="2:24" ht="16.8" x14ac:dyDescent="0.4">
      <c r="B16" s="312" t="s">
        <v>3</v>
      </c>
      <c r="C16" s="302"/>
      <c r="D16" s="247"/>
      <c r="E16" s="247"/>
      <c r="F16" s="313" t="s">
        <v>129</v>
      </c>
      <c r="G16" s="314" t="s">
        <v>162</v>
      </c>
      <c r="H16" s="248"/>
    </row>
    <row r="17" spans="2:25" ht="15" thickBot="1" x14ac:dyDescent="0.35">
      <c r="B17" s="307" t="s">
        <v>13</v>
      </c>
      <c r="C17" s="308" t="s">
        <v>165</v>
      </c>
      <c r="D17" s="309"/>
      <c r="E17" s="119"/>
      <c r="F17" s="330" t="s">
        <v>164</v>
      </c>
      <c r="G17" s="330"/>
      <c r="H17" s="331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2" t="s">
        <v>95</v>
      </c>
      <c r="C19" s="333"/>
      <c r="D19" s="333"/>
      <c r="E19" s="333"/>
      <c r="F19" s="333"/>
      <c r="G19" s="333"/>
      <c r="H19" s="334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50021.526243093918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5">
        <v>2</v>
      </c>
      <c r="C21" s="325" t="s">
        <v>171</v>
      </c>
      <c r="D21" s="328">
        <v>1.6</v>
      </c>
      <c r="E21" s="328">
        <v>0.6</v>
      </c>
      <c r="F21" s="325" t="s">
        <v>175</v>
      </c>
      <c r="G21" s="326">
        <v>55422</v>
      </c>
      <c r="H21" s="326">
        <f t="shared" ref="H21" si="1">G21*B21</f>
        <v>110844</v>
      </c>
      <c r="I21" s="316"/>
      <c r="J21" s="265"/>
      <c r="K21" s="47"/>
      <c r="L21" s="327">
        <f>B21</f>
        <v>2</v>
      </c>
      <c r="M21" s="39">
        <f t="shared" ref="M21" si="2">D21+M$19</f>
        <v>1.6800000000000002</v>
      </c>
      <c r="N21" s="39">
        <f t="shared" ref="N21" si="3">E21+$N$19</f>
        <v>0.6</v>
      </c>
      <c r="O21" s="261">
        <f t="shared" ref="O21" si="4">M21*N21</f>
        <v>1.008</v>
      </c>
      <c r="P21" s="259">
        <f t="shared" ref="P21" si="5">O21*L21</f>
        <v>2.016</v>
      </c>
      <c r="Q21" s="252">
        <f t="shared" ref="Q21" si="6">Q$20*O21</f>
        <v>50421.698453038669</v>
      </c>
      <c r="R21" s="315">
        <f t="shared" ref="R21" si="7">Q21+R$20</f>
        <v>53421.698453038669</v>
      </c>
      <c r="S21" s="293">
        <f>L21*M21</f>
        <v>3.3600000000000003</v>
      </c>
      <c r="T21" s="46"/>
      <c r="U21" s="9"/>
      <c r="X21" s="4"/>
    </row>
    <row r="22" spans="2:25" ht="17.399999999999999" x14ac:dyDescent="0.3">
      <c r="B22" s="325">
        <v>1</v>
      </c>
      <c r="C22" s="325" t="s">
        <v>171</v>
      </c>
      <c r="D22" s="328">
        <v>2.8439999999999999</v>
      </c>
      <c r="E22" s="328">
        <v>0.6</v>
      </c>
      <c r="F22" s="325" t="s">
        <v>175</v>
      </c>
      <c r="G22" s="326">
        <v>92758</v>
      </c>
      <c r="H22" s="326">
        <f t="shared" ref="H22:H24" si="8">G22*B22</f>
        <v>92758</v>
      </c>
      <c r="I22" s="316"/>
      <c r="J22" s="265"/>
      <c r="K22" s="47"/>
      <c r="L22" s="327">
        <f t="shared" ref="L22" si="9">B22</f>
        <v>1</v>
      </c>
      <c r="M22" s="39">
        <f t="shared" ref="M22" si="10">D22+M$19</f>
        <v>2.9239999999999999</v>
      </c>
      <c r="N22" s="39">
        <f t="shared" ref="N22" si="11">E22+$N$19</f>
        <v>0.6</v>
      </c>
      <c r="O22" s="261">
        <f t="shared" ref="O22" si="12">M22*N22</f>
        <v>1.7544</v>
      </c>
      <c r="P22" s="259">
        <f t="shared" ref="P22" si="13">O22*L22</f>
        <v>1.7544</v>
      </c>
      <c r="Q22" s="252">
        <f t="shared" ref="Q22" si="14">Q$20*O22</f>
        <v>87757.765640883968</v>
      </c>
      <c r="R22" s="315">
        <f t="shared" ref="R22" si="15">Q22+R$20</f>
        <v>90757.765640883968</v>
      </c>
      <c r="S22" s="293">
        <f t="shared" ref="S22:S24" si="16">L22*M22</f>
        <v>2.9239999999999999</v>
      </c>
      <c r="T22" s="46"/>
      <c r="U22" s="9"/>
      <c r="X22" s="4"/>
    </row>
    <row r="23" spans="2:25" ht="17.399999999999999" x14ac:dyDescent="0.3">
      <c r="B23" s="325">
        <v>3</v>
      </c>
      <c r="C23" s="325" t="s">
        <v>171</v>
      </c>
      <c r="D23" s="328">
        <v>1.2</v>
      </c>
      <c r="E23" s="328">
        <v>0.6</v>
      </c>
      <c r="F23" s="325" t="s">
        <v>175</v>
      </c>
      <c r="G23" s="326">
        <v>43417</v>
      </c>
      <c r="H23" s="326">
        <f t="shared" si="8"/>
        <v>130251</v>
      </c>
      <c r="I23" s="316"/>
      <c r="J23" s="265"/>
      <c r="K23" s="47"/>
      <c r="L23" s="327">
        <f t="shared" ref="L23" si="17">B23</f>
        <v>3</v>
      </c>
      <c r="M23" s="39">
        <f t="shared" ref="M23" si="18">D23+M$19</f>
        <v>1.28</v>
      </c>
      <c r="N23" s="39">
        <f t="shared" ref="N23" si="19">E23+$N$19</f>
        <v>0.6</v>
      </c>
      <c r="O23" s="261">
        <f t="shared" ref="O23" si="20">M23*N23</f>
        <v>0.76800000000000002</v>
      </c>
      <c r="P23" s="259">
        <f t="shared" ref="P23" si="21">O23*L23</f>
        <v>2.3040000000000003</v>
      </c>
      <c r="Q23" s="252">
        <f t="shared" ref="Q23" si="22">Q$20*O23</f>
        <v>38416.532154696128</v>
      </c>
      <c r="R23" s="315">
        <f t="shared" ref="R23" si="23">Q23+R$20</f>
        <v>41416.532154696128</v>
      </c>
      <c r="S23" s="293">
        <f t="shared" si="16"/>
        <v>3.84</v>
      </c>
      <c r="T23" s="46"/>
      <c r="U23" s="9"/>
      <c r="X23" s="4"/>
    </row>
    <row r="24" spans="2:25" ht="18" thickBot="1" x14ac:dyDescent="0.35">
      <c r="B24" s="325">
        <v>1</v>
      </c>
      <c r="C24" s="325" t="s">
        <v>171</v>
      </c>
      <c r="D24" s="328">
        <v>1.38</v>
      </c>
      <c r="E24" s="328">
        <v>0.6</v>
      </c>
      <c r="F24" s="325" t="s">
        <v>175</v>
      </c>
      <c r="G24" s="326">
        <v>49819</v>
      </c>
      <c r="H24" s="326">
        <f t="shared" si="8"/>
        <v>49819</v>
      </c>
      <c r="I24" s="316"/>
      <c r="J24" s="265"/>
      <c r="K24" s="47"/>
      <c r="L24" s="327">
        <f t="shared" ref="L24" si="24">B24</f>
        <v>1</v>
      </c>
      <c r="M24" s="39">
        <f t="shared" ref="M24" si="25">D24+M$19</f>
        <v>1.46</v>
      </c>
      <c r="N24" s="39">
        <f t="shared" ref="N24" si="26">E24+$N$19</f>
        <v>0.6</v>
      </c>
      <c r="O24" s="261">
        <f t="shared" ref="O24" si="27">M24*N24</f>
        <v>0.876</v>
      </c>
      <c r="P24" s="259">
        <f t="shared" ref="P24" si="28">O24*L24</f>
        <v>0.876</v>
      </c>
      <c r="Q24" s="252">
        <f t="shared" ref="Q24" si="29">Q$20*O24</f>
        <v>43818.856988950276</v>
      </c>
      <c r="R24" s="315">
        <f t="shared" ref="R24" si="30">Q24+R$20</f>
        <v>46818.856988950276</v>
      </c>
      <c r="S24" s="293">
        <f t="shared" si="16"/>
        <v>1.46</v>
      </c>
      <c r="T24" s="46"/>
      <c r="U24" s="9"/>
      <c r="X24" s="4"/>
    </row>
    <row r="25" spans="2:25" ht="17.399999999999999" x14ac:dyDescent="0.3">
      <c r="B25" s="284"/>
      <c r="C25" s="284"/>
      <c r="D25" s="285"/>
      <c r="E25" s="285"/>
      <c r="F25" s="284"/>
      <c r="G25" s="319" t="s">
        <v>28</v>
      </c>
      <c r="H25" s="320">
        <f>SUM(H21:H24)</f>
        <v>383672</v>
      </c>
      <c r="I25" s="316"/>
      <c r="J25" s="265"/>
      <c r="K25" s="47"/>
      <c r="L25" s="327"/>
      <c r="M25" s="39"/>
      <c r="N25" s="39"/>
      <c r="O25" s="261"/>
      <c r="P25" s="259"/>
      <c r="Q25" s="252"/>
      <c r="R25" s="315"/>
      <c r="S25" s="293"/>
      <c r="T25" s="46"/>
      <c r="U25" s="9"/>
      <c r="X25" s="4"/>
    </row>
    <row r="26" spans="2:25" ht="17.399999999999999" x14ac:dyDescent="0.3">
      <c r="B26" s="284"/>
      <c r="C26" s="284"/>
      <c r="D26" s="285"/>
      <c r="E26" s="285"/>
      <c r="F26" s="284"/>
      <c r="G26" s="342" t="s">
        <v>176</v>
      </c>
      <c r="H26" s="343">
        <f>H25*50%</f>
        <v>191836</v>
      </c>
      <c r="I26" s="318"/>
      <c r="J26" s="233"/>
      <c r="K26" s="47"/>
      <c r="L26" s="47"/>
      <c r="M26" s="39"/>
      <c r="N26" s="39"/>
      <c r="O26" s="261"/>
      <c r="P26" s="259"/>
      <c r="Q26" s="252"/>
      <c r="R26" s="258"/>
      <c r="S26" s="293"/>
      <c r="T26" s="14"/>
      <c r="U26" s="9"/>
      <c r="X26" s="4"/>
    </row>
    <row r="27" spans="2:25" ht="17.399999999999999" x14ac:dyDescent="0.3">
      <c r="B27" s="284"/>
      <c r="C27" s="284"/>
      <c r="D27" s="285"/>
      <c r="E27" s="285"/>
      <c r="F27" s="284"/>
      <c r="G27" s="342"/>
      <c r="H27" s="343">
        <f>H25-H26</f>
        <v>191836</v>
      </c>
      <c r="I27" s="317"/>
      <c r="J27" s="265"/>
      <c r="K27" s="47"/>
      <c r="L27" s="47"/>
      <c r="M27" s="39"/>
      <c r="N27" s="39"/>
      <c r="O27" s="261"/>
      <c r="P27" s="259"/>
      <c r="Q27" s="252"/>
      <c r="R27" s="258"/>
      <c r="S27" s="293"/>
      <c r="T27" s="46">
        <f>SUM(T21:T26)</f>
        <v>0</v>
      </c>
      <c r="U27" s="9"/>
      <c r="X27" s="4"/>
    </row>
    <row r="28" spans="2:25" ht="17.399999999999999" x14ac:dyDescent="0.3">
      <c r="B28" s="279"/>
      <c r="C28" s="281"/>
      <c r="D28" s="282"/>
      <c r="E28" s="282"/>
      <c r="F28" s="283"/>
      <c r="G28" s="344" t="s">
        <v>51</v>
      </c>
      <c r="H28" s="345">
        <f>H27*19%</f>
        <v>36448.840000000004</v>
      </c>
      <c r="I28" s="317"/>
      <c r="J28" s="265"/>
      <c r="K28" s="47"/>
      <c r="L28" s="47"/>
      <c r="M28" s="39">
        <f>SUM(M21:M27)</f>
        <v>7.3440000000000003</v>
      </c>
      <c r="N28" s="12"/>
      <c r="O28" s="12"/>
      <c r="P28" s="253">
        <f>SUM(P21:P26)</f>
        <v>6.950400000000001</v>
      </c>
      <c r="Q28" s="14"/>
      <c r="R28" s="12"/>
      <c r="S28" s="239"/>
      <c r="T28" s="46"/>
      <c r="U28" s="9"/>
      <c r="X28" s="4"/>
    </row>
    <row r="29" spans="2:25" ht="17.399999999999999" x14ac:dyDescent="0.3">
      <c r="B29" s="275"/>
      <c r="C29" s="280"/>
      <c r="D29" s="272"/>
      <c r="E29" s="272"/>
      <c r="F29" s="273"/>
      <c r="G29" s="346" t="s">
        <v>6</v>
      </c>
      <c r="H29" s="347">
        <f>H27+H28</f>
        <v>228284.84</v>
      </c>
      <c r="I29" s="317"/>
      <c r="J29" s="265"/>
      <c r="K29" s="47"/>
      <c r="L29" s="47"/>
      <c r="M29" s="39"/>
      <c r="N29" s="12"/>
      <c r="O29" s="12"/>
      <c r="P29" s="253">
        <f>P28</f>
        <v>6.950400000000001</v>
      </c>
      <c r="Q29" s="14"/>
      <c r="R29" s="12"/>
      <c r="S29" s="239">
        <f>SUM(S21:S28)</f>
        <v>11.584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1.3900800000000002</v>
      </c>
      <c r="Q30" s="39" t="s">
        <v>130</v>
      </c>
      <c r="R30" s="42"/>
      <c r="S30" s="240">
        <f>S29+T27</f>
        <v>11.584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8.3404800000000012</v>
      </c>
      <c r="Q31" s="14"/>
      <c r="R31" s="14"/>
      <c r="S31" s="238">
        <f>S30*20%</f>
        <v>2.3168000000000002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>
        <f>S30+S31</f>
        <v>13.9008</v>
      </c>
      <c r="T32" s="14"/>
      <c r="U32" s="298" t="s">
        <v>21</v>
      </c>
      <c r="V32" s="295" t="s">
        <v>151</v>
      </c>
      <c r="W32" s="299">
        <v>44971</v>
      </c>
      <c r="X32" s="300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8.3404800000000012</v>
      </c>
      <c r="N33" s="12">
        <v>2000</v>
      </c>
      <c r="O33" s="12">
        <f t="shared" ref="O33:O38" si="31">M33*N33</f>
        <v>16680.960000000003</v>
      </c>
      <c r="P33" s="14" t="s">
        <v>21</v>
      </c>
      <c r="Q33" s="14"/>
      <c r="R33" s="14"/>
      <c r="S33" s="241"/>
      <c r="T33" s="14"/>
      <c r="U33" s="298" t="s">
        <v>152</v>
      </c>
      <c r="V33" s="295">
        <v>3625</v>
      </c>
      <c r="W33" s="59" t="s">
        <v>153</v>
      </c>
      <c r="X33" s="300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2</v>
      </c>
      <c r="N34" s="12">
        <v>23500</v>
      </c>
      <c r="O34" s="12">
        <f t="shared" si="31"/>
        <v>47000</v>
      </c>
      <c r="P34" s="39" t="s">
        <v>31</v>
      </c>
      <c r="Q34" s="42"/>
      <c r="R34" s="14"/>
      <c r="S34" s="240"/>
      <c r="T34" s="14"/>
      <c r="U34" s="298"/>
      <c r="V34" s="59">
        <v>906.25</v>
      </c>
      <c r="W34" s="59" t="s">
        <v>154</v>
      </c>
      <c r="X34" s="300"/>
    </row>
    <row r="35" spans="1:24" s="230" customFormat="1" ht="17.399999999999999" x14ac:dyDescent="0.35">
      <c r="B35" s="24" t="s">
        <v>150</v>
      </c>
      <c r="J35" s="262"/>
      <c r="K35" s="232">
        <v>1220</v>
      </c>
      <c r="L35" s="250"/>
      <c r="M35" s="14">
        <v>2</v>
      </c>
      <c r="N35" s="250">
        <v>45146</v>
      </c>
      <c r="O35" s="12">
        <f t="shared" si="31"/>
        <v>90292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0" t="s">
        <v>155</v>
      </c>
      <c r="X35" s="59"/>
    </row>
    <row r="36" spans="1:24" s="230" customFormat="1" ht="17.399999999999999" x14ac:dyDescent="0.35">
      <c r="B36" s="24" t="s">
        <v>143</v>
      </c>
      <c r="C36"/>
      <c r="D36"/>
      <c r="E36"/>
      <c r="F36"/>
      <c r="J36" s="262">
        <v>32859</v>
      </c>
      <c r="K36" s="232">
        <v>230</v>
      </c>
      <c r="L36" s="250"/>
      <c r="M36" s="14"/>
      <c r="N36" s="250">
        <v>25000</v>
      </c>
      <c r="O36" s="12">
        <f t="shared" si="31"/>
        <v>0</v>
      </c>
      <c r="P36" s="14" t="s">
        <v>170</v>
      </c>
      <c r="Q36" s="17"/>
      <c r="S36" s="238"/>
      <c r="T36" s="256"/>
      <c r="U36" s="59"/>
      <c r="V36" s="59">
        <f>V34+V35</f>
        <v>1087.5</v>
      </c>
      <c r="W36" s="300" t="s">
        <v>156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K37" s="260">
        <f>K35/K36</f>
        <v>5.3043478260869561</v>
      </c>
      <c r="L37" s="250"/>
      <c r="M37" s="249"/>
      <c r="N37" s="250">
        <v>15700</v>
      </c>
      <c r="O37" s="12">
        <f t="shared" si="31"/>
        <v>0</v>
      </c>
      <c r="P37" s="14" t="s">
        <v>32</v>
      </c>
      <c r="Q37" s="14"/>
      <c r="R37" s="230">
        <v>1.83</v>
      </c>
      <c r="S37" s="238"/>
      <c r="T37" s="238"/>
    </row>
    <row r="38" spans="1:24" s="230" customFormat="1" ht="17.399999999999999" x14ac:dyDescent="0.35">
      <c r="J38" s="292"/>
      <c r="K38" s="260" t="e">
        <f>#REF!/K37</f>
        <v>#REF!</v>
      </c>
      <c r="L38" s="250"/>
      <c r="M38" s="266">
        <v>11.584</v>
      </c>
      <c r="N38" s="12">
        <v>1000</v>
      </c>
      <c r="O38" s="12">
        <f t="shared" si="31"/>
        <v>11584</v>
      </c>
      <c r="P38" s="14" t="s">
        <v>22</v>
      </c>
      <c r="Q38" s="14"/>
      <c r="R38">
        <v>2.5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165556.96000000002</v>
      </c>
      <c r="P39" s="39" t="s">
        <v>23</v>
      </c>
      <c r="Q39" s="14"/>
      <c r="R39">
        <f>R37*R38</f>
        <v>4.5750000000000002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O39*2.1</f>
        <v>347669.61600000004</v>
      </c>
      <c r="P40" s="14" t="s">
        <v>140</v>
      </c>
      <c r="Q40" s="14"/>
      <c r="R40" s="40">
        <f>P31/R39</f>
        <v>1.8230557377049181</v>
      </c>
      <c r="S40"/>
      <c r="T40" s="257"/>
    </row>
    <row r="41" spans="1:24" s="230" customFormat="1" ht="17.399999999999999" x14ac:dyDescent="0.35">
      <c r="G41"/>
      <c r="H41" s="260"/>
      <c r="I41" s="260"/>
      <c r="J41" s="260">
        <v>22475</v>
      </c>
      <c r="K41" s="230">
        <v>40000</v>
      </c>
      <c r="L41" s="250"/>
      <c r="M41" s="14"/>
      <c r="N41" s="12"/>
      <c r="O41" s="12">
        <f>O40/P29</f>
        <v>50021.526243093918</v>
      </c>
      <c r="P41" s="45" t="s">
        <v>24</v>
      </c>
      <c r="Q41" s="14"/>
      <c r="R41" s="14"/>
      <c r="S41"/>
      <c r="T41" s="238"/>
      <c r="U41" s="59" t="s">
        <v>157</v>
      </c>
      <c r="V41" s="295">
        <v>43650</v>
      </c>
    </row>
    <row r="42" spans="1:24" s="230" customFormat="1" ht="17.399999999999999" x14ac:dyDescent="0.35">
      <c r="G42"/>
      <c r="J42" s="230">
        <v>6</v>
      </c>
      <c r="K42" s="230">
        <f>K41/1.19</f>
        <v>33613.445378151264</v>
      </c>
      <c r="L42" s="250"/>
      <c r="M42" s="13"/>
      <c r="N42" s="14"/>
      <c r="O42" s="17">
        <f>O40/O39</f>
        <v>2.1</v>
      </c>
      <c r="P42" s="15"/>
      <c r="Q42"/>
      <c r="R42"/>
      <c r="S42"/>
      <c r="T42" s="238"/>
      <c r="U42" s="59" t="s">
        <v>159</v>
      </c>
      <c r="V42" s="296" t="s">
        <v>158</v>
      </c>
      <c r="W42" s="59">
        <v>2.4</v>
      </c>
    </row>
    <row r="43" spans="1:24" s="230" customFormat="1" ht="17.399999999999999" x14ac:dyDescent="0.35">
      <c r="G43" s="23"/>
      <c r="J43" s="260">
        <f>J41*J42</f>
        <v>134850</v>
      </c>
      <c r="L43" s="12"/>
      <c r="T43" s="238"/>
      <c r="U43" s="59" t="s">
        <v>160</v>
      </c>
      <c r="V43" s="297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155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147</v>
      </c>
    </row>
    <row r="77" spans="3:15" x14ac:dyDescent="0.3">
      <c r="C77" t="s">
        <v>146</v>
      </c>
    </row>
    <row r="80" spans="3:15" x14ac:dyDescent="0.3">
      <c r="C80" t="s">
        <v>146</v>
      </c>
    </row>
    <row r="157" spans="3:3" x14ac:dyDescent="0.3">
      <c r="C157" t="s">
        <v>146</v>
      </c>
    </row>
    <row r="158" spans="3:3" x14ac:dyDescent="0.3">
      <c r="C158" t="s">
        <v>148</v>
      </c>
    </row>
    <row r="159" spans="3:3" x14ac:dyDescent="0.3">
      <c r="C159" t="s">
        <v>149</v>
      </c>
    </row>
    <row r="584" spans="3:3" x14ac:dyDescent="0.3">
      <c r="C584" t="s">
        <v>146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opLeftCell="A29" workbookViewId="0">
      <selection activeCell="D18" sqref="D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46097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98</v>
      </c>
      <c r="I7" s="337"/>
      <c r="J7" s="337"/>
      <c r="K7" s="338"/>
      <c r="N7" s="75"/>
      <c r="O7" s="335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12045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5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-13398.394366787446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383672</v>
      </c>
      <c r="E11" s="132">
        <f>D11*0.19</f>
        <v>72897.680000000008</v>
      </c>
      <c r="F11" s="131">
        <f>E11+D11</f>
        <v>456569.68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92591.605633212559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183807.0507874396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74591.605633212559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199864.9492125604</v>
      </c>
      <c r="E13" s="221">
        <f>(D11/D12)-1</f>
        <v>1.0873627989586248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65591.605633212559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26591.605633212552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303281.63379927533</v>
      </c>
      <c r="F15" s="216">
        <f>E15-D12</f>
        <v>119474.58301183573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26591.605633212552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66591.605633212559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90292</v>
      </c>
      <c r="E18" s="123">
        <f>D18*0.19</f>
        <v>17155.48</v>
      </c>
      <c r="F18" s="120">
        <f>SUM(D18:E18)</f>
        <v>107447.48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172</v>
      </c>
      <c r="D19" s="122">
        <f>'2229'!O36</f>
        <v>0</v>
      </c>
      <c r="E19" s="123">
        <f>D19*0.19</f>
        <v>0</v>
      </c>
      <c r="F19" s="120">
        <f>SUM(D19:E19)</f>
        <v>0</v>
      </c>
      <c r="H19" s="192"/>
      <c r="I19" s="202"/>
      <c r="J19" s="184"/>
      <c r="K19" s="158"/>
      <c r="L19" s="61"/>
      <c r="Q19" s="16"/>
      <c r="R19" s="21"/>
      <c r="S19" s="22"/>
      <c r="T19" s="22"/>
      <c r="U19" s="5"/>
      <c r="V19" s="329"/>
      <c r="W19" s="329"/>
      <c r="X19" s="106"/>
    </row>
    <row r="20" spans="1:31" x14ac:dyDescent="0.3">
      <c r="C20" s="79" t="s">
        <v>31</v>
      </c>
      <c r="D20" s="122">
        <f>'2229'!O34</f>
        <v>47000</v>
      </c>
      <c r="E20" s="123">
        <f>D20*0.19</f>
        <v>8930</v>
      </c>
      <c r="F20" s="120">
        <f>SUM(D20:E20)</f>
        <v>55930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'2229'!O33</f>
        <v>16680.960000000003</v>
      </c>
      <c r="E21" s="121">
        <f>D21*0.19</f>
        <v>3169.3824000000004</v>
      </c>
      <c r="F21" s="120">
        <f>SUM(D21:E21)</f>
        <v>19850.342400000001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153972.96</v>
      </c>
      <c r="E22" s="116">
        <f>SUM(E18:E21)</f>
        <v>29254.862399999998</v>
      </c>
      <c r="F22" s="115">
        <f>SUM(F18:F21)</f>
        <v>183227.82239999998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43642.817600000009</v>
      </c>
    </row>
    <row r="42" spans="1:16" ht="15" thickBot="1" x14ac:dyDescent="0.35">
      <c r="H42" s="339" t="s">
        <v>60</v>
      </c>
      <c r="I42" s="340"/>
      <c r="J42" s="340"/>
      <c r="K42" s="340"/>
      <c r="L42" s="340"/>
      <c r="M42" s="341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383672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153972.96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199864.9492125604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199864.9492125604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2026-01-23T11:43:18Z</cp:lastPrinted>
  <dcterms:created xsi:type="dcterms:W3CDTF">2013-03-18T13:35:42Z</dcterms:created>
  <dcterms:modified xsi:type="dcterms:W3CDTF">2026-03-17T12:45:42Z</dcterms:modified>
</cp:coreProperties>
</file>