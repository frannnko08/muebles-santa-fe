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8_{39E8983F-24CA-4157-9D6E-B4D8E5220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L22" i="1" l="1"/>
  <c r="M22" i="1"/>
  <c r="N22" i="1"/>
  <c r="K24" i="1"/>
  <c r="M14" i="1"/>
  <c r="M16" i="1" s="1"/>
  <c r="S22" i="1" l="1"/>
  <c r="O22" i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Q22" i="1" s="1"/>
  <c r="D22" i="3"/>
  <c r="M45" i="3" s="1"/>
  <c r="D12" i="3" s="1"/>
  <c r="E15" i="3" s="1"/>
  <c r="A15" i="3" s="1"/>
  <c r="F21" i="3"/>
  <c r="F22" i="3" s="1"/>
  <c r="R22" i="1" l="1"/>
  <c r="G22" i="1"/>
  <c r="H22" i="1" s="1"/>
  <c r="O39" i="1"/>
  <c r="Q21" i="1" l="1"/>
  <c r="G21" i="1" s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<sst xmlns="http://schemas.openxmlformats.org/spreadsheetml/2006/main" count="235" uniqueCount="178">
  <si>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</si>
  <si>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</si>
  <si>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</si>
  <si>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</si>
  <si>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</si>
  <si>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</si>
  <si>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</si>
  <si>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</si>
  <si>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</si>
  <si>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</si>
  <si>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</si>
  <si>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</si>
  <si>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</si>
  <si>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</si>
  <si>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</si>
  <si>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</si>
  <si>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</si>
  <si>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</si>
  <si>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</si>
  <si>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</si>
  <si>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</si>
  <si>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</si>
  <si>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</si>
  <si>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</si>
  <si>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</si>
  <si>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</si>
  <si>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</si>
  <si>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</si>
  <si>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</si>
  <si>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</si>
  <si>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</si>
  <si>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</si>
  <si>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</si>
  <si>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</si>
  <si>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</si>
  <si>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</si>
  <si>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</si>
  <si>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</si>
  <si>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</si>
  <si>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</si>
  <si>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</si>
  <si>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</si>
  <si>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</si>
  <si>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</si>
  <si>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</si>
  <si>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</si>
  <si>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</si>
  <si>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</si>
  <si>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</si>
  <si>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</si>
  <si>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</si>
  <si>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</si>
  <si>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</si>
  <si>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</si>
  <si>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</si>
  <si>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</si>
  <si>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</si>
  <si>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</si>
  <si>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</si>
  <si>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</si>
  <si>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</si>
  <si>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</si>
  <si>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</si>
  <si>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</si>
  <si>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</si>
  <si>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</si>
  <si>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</si>
  <si>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</si>
  <si>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</si>
  <si>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</si>
  <si>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</si>
  <si>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</si>
  <si>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</si>
  <si>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</si>
  <si>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</si>
  <si>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</si>
  <si>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</si>
  <si>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</si>
  <si>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</si>
  <si>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</si>
  <si>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</si>
  <si>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</si>
  <si>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</si>
  <si>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</si>
  <si>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</si>
  <si>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</si>
  <si>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</si>
  <si>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</si>
  <si>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</si>
  <si>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</si>
  <si>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</si>
  <si>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</si>
  <si>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</si>
  <si>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</si>
  <si>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</si>
  <si>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</si>
  <si>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</si>
  <si>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</si>
  <si>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</si>
  <si>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</si>
  <si>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</si>
  <si>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</si>
  <si>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</si>
  <si>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</si>
  <si>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</si>
  <si>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</si>
  <si>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</si>
  <si>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</si>
  <si>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</si>
  <si>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</si>
  <si>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</si>
  <si>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</si>
  <si>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</si>
  <si>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</si>
  <si>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</si>
  <si>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</si>
  <si>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</si>
  <si>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</si>
  <si>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</si>
  <si>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</si>
  <si>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</si>
  <si>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</si>
  <si>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</si>
  <si>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</si>
  <si>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</si>
  <si>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</si>
  <si>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</si>
  <si>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</si>
  <si>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</si>
  <si>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</si>
  <si>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</si>
  <si>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</si>
  <si>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</si>
  <si>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</si>
  <si>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</si>
  <si>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</si>
  <si>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</si>
  <si>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</si>
  <si>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</si>
  <si>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</si>
  <si>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</si>
  <si>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</si>
  <si>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</si>
  <si>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</si>
  <si>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</si>
  <si>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</si>
  <si>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</si>
  <si>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</si>
  <si>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</si>
  <si>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</si>
  <si>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</si>
  <si>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</si>
  <si>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</si>
  <si>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</si>
  <si>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</si>
  <si>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</si>
  <si>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</si>
  <si>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</si>
  <si>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</si>
  <si>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</si>
  <si>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</si>
  <si>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</si>
  <si>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</si>
  <si>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</si>
  <si>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</si>
  <si>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</si>
  <si>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</si>
  <si>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</si>
  <si>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</si>
  <si>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</si>
  <si>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</si>
  <si>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ORDEN DE COMPRA:</t>
  </si>
  <si>
    <t>MANUEL GUTIERREZ</t>
  </si>
  <si>
    <t>+56 9 9538 3854</t>
  </si>
  <si>
    <t xml:space="preserve">5 DIAS HABILES </t>
  </si>
  <si>
    <t>CUB CON RESPALDO FTE ESPAÑOL</t>
  </si>
  <si>
    <t>FLORENTINO NEGRO BR</t>
  </si>
  <si>
    <t>N° 12040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</si>
</sst>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41" fillId="22" borderId="40" xfId="0" applyFont="1" applyFill="1" applyBorder="1" applyAlignment="1">
      <alignment horizontal="center" vertical="center"/>
    </xf>
    <xf numFmtId="0" fontId="41" fillId="22" borderId="39" xfId="0" applyFont="1" applyFill="1" applyBorder="1" applyAlignment="1">
      <alignment horizontal="center" vertical="center"/>
    </xf>
    <xf numFmtId="0" fontId="41" fillId="22" borderId="43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40" fillId="21" borderId="40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 vertical="center"/>
    </xf>
    <xf numFmtId="0" fontId="40" fillId="21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3.2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3" t="s">
        <v>122</v>
      </c>
      <c r="C8" s="334"/>
      <c r="D8" s="335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172</v>
      </c>
      <c r="D10" s="236"/>
      <c r="E10" s="236"/>
      <c r="F10" s="237" t="s">
        <v>162</v>
      </c>
      <c r="G10" s="268">
        <v>46092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161</v>
      </c>
      <c r="G11" s="297" t="s">
        <v>174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171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6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173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170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47" t="s">
        <v>7</v>
      </c>
      <c r="C20" s="348" t="s">
        <v>1</v>
      </c>
      <c r="D20" s="348" t="s">
        <v>127</v>
      </c>
      <c r="E20" s="348" t="s">
        <v>11</v>
      </c>
      <c r="F20" s="348" t="s">
        <v>8</v>
      </c>
      <c r="G20" s="348" t="s">
        <v>5</v>
      </c>
      <c r="H20" s="349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67637.449523643023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7">
        <v>1</v>
      </c>
      <c r="C21" s="338" t="s">
        <v>175</v>
      </c>
      <c r="D21" s="339">
        <v>2.66</v>
      </c>
      <c r="E21" s="339">
        <v>0.55000000000000004</v>
      </c>
      <c r="F21" s="338" t="s">
        <v>176</v>
      </c>
      <c r="G21" s="340">
        <f>Q21</f>
        <v>101929.63643213006</v>
      </c>
      <c r="H21" s="341">
        <f>G21*B21</f>
        <v>101929.63643213006</v>
      </c>
      <c r="I21" s="292"/>
      <c r="J21" s="257"/>
      <c r="K21" s="44"/>
      <c r="L21" s="44">
        <f>B21</f>
        <v>1</v>
      </c>
      <c r="M21" s="36">
        <f>D21+M$19</f>
        <v>2.74</v>
      </c>
      <c r="N21" s="36">
        <f>E21+$N$19</f>
        <v>0.55000000000000004</v>
      </c>
      <c r="O21" s="253">
        <f t="shared" ref="O21" si="1">M21*N21</f>
        <v>1.5070000000000003</v>
      </c>
      <c r="P21" s="251">
        <f t="shared" ref="P21" si="2">O21*L21</f>
        <v>1.5070000000000003</v>
      </c>
      <c r="Q21" s="244">
        <f t="shared" ref="Q21" si="3">Q$20*O21</f>
        <v>101929.63643213006</v>
      </c>
      <c r="R21" s="291">
        <f t="shared" ref="R21" si="4">Q21+R$20</f>
        <v>103929.63643213006</v>
      </c>
      <c r="S21" s="279">
        <f>M21*L21</f>
        <v>2.74</v>
      </c>
      <c r="T21" s="43">
        <f>N21*2*L21*2</f>
        <v>2.2000000000000002</v>
      </c>
      <c r="U21" s="9"/>
      <c r="X21" s="4"/>
    </row>
    <row r="22" spans="1:25" ht="18" thickBot="1" x14ac:dyDescent="0.35">
      <c r="B22" s="342">
        <v>1</v>
      </c>
      <c r="C22" s="343" t="s">
        <v>175</v>
      </c>
      <c r="D22" s="344">
        <v>2.44</v>
      </c>
      <c r="E22" s="344">
        <v>0.31</v>
      </c>
      <c r="F22" s="343" t="s">
        <v>176</v>
      </c>
      <c r="G22" s="345">
        <f>Q22</f>
        <v>52838.375567869931</v>
      </c>
      <c r="H22" s="346">
        <f>G22*B22</f>
        <v>52838.375567869931</v>
      </c>
      <c r="I22" s="292"/>
      <c r="J22" s="257"/>
      <c r="K22" s="44"/>
      <c r="L22" s="44">
        <f>B22</f>
        <v>1</v>
      </c>
      <c r="M22" s="36">
        <f>D22+M$19</f>
        <v>2.52</v>
      </c>
      <c r="N22" s="36">
        <f>E22+$N$19</f>
        <v>0.31</v>
      </c>
      <c r="O22" s="253">
        <f t="shared" ref="O22" si="5">M22*N22</f>
        <v>0.78120000000000001</v>
      </c>
      <c r="P22" s="251">
        <f t="shared" ref="P22" si="6">O22*L22</f>
        <v>0.78120000000000001</v>
      </c>
      <c r="Q22" s="244">
        <f t="shared" ref="Q22" si="7">Q$20*O22</f>
        <v>52838.375567869931</v>
      </c>
      <c r="R22" s="291">
        <f t="shared" ref="R22" si="8">Q22+R$20</f>
        <v>54838.375567869931</v>
      </c>
      <c r="S22" s="279">
        <f>M22*L22</f>
        <v>2.52</v>
      </c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50390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1" t="s">
        <v>28</v>
      </c>
      <c r="H24" s="332">
        <f>SUM(H21:H23)</f>
        <v>154768.01199999999</v>
      </c>
      <c r="I24" s="294"/>
      <c r="J24" s="324"/>
      <c r="K24" s="309">
        <f>K23/1.19</f>
        <v>42344.537815126052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2.2000000000000002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5" t="s">
        <v>51</v>
      </c>
      <c r="H25" s="327">
        <f>H24*0.19</f>
        <v>29405.922279999999</v>
      </c>
      <c r="I25" s="294"/>
      <c r="J25" s="257"/>
      <c r="K25" s="309"/>
      <c r="L25" s="44"/>
      <c r="M25" s="36">
        <f>SUM(M21:M22)</f>
        <v>5.26</v>
      </c>
      <c r="N25" s="12"/>
      <c r="O25" s="12"/>
      <c r="P25" s="245">
        <f>SUM(P21:P23)</f>
        <v>2.2882000000000002</v>
      </c>
      <c r="Q25" s="14"/>
      <c r="R25" s="12"/>
      <c r="S25" s="232">
        <f>SUM(S21:S24)</f>
        <v>5.26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6" t="s">
        <v>6</v>
      </c>
      <c r="H26" s="328">
        <f>H25+H24</f>
        <v>184173.93427999999</v>
      </c>
      <c r="I26" s="294"/>
      <c r="J26" s="257"/>
      <c r="K26" s="309"/>
      <c r="L26" s="44"/>
      <c r="M26" s="36"/>
      <c r="N26" s="12"/>
      <c r="O26" s="12"/>
      <c r="P26" s="245">
        <f>P25</f>
        <v>2.2882000000000002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0.45764000000000005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2.7458400000000003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2.7458400000000003</v>
      </c>
      <c r="N30" s="12">
        <v>3500</v>
      </c>
      <c r="O30" s="12">
        <f t="shared" ref="O30:O35" si="9">M30*N30</f>
        <v>9610.44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0.8</v>
      </c>
      <c r="N31" s="12">
        <v>23500</v>
      </c>
      <c r="O31" s="12">
        <f t="shared" si="9"/>
        <v>18800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68800</v>
      </c>
      <c r="O32" s="12">
        <f t="shared" si="9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v>30000</v>
      </c>
      <c r="O33" s="12">
        <f t="shared" si="9"/>
        <v>30000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>
        <v>3.7</v>
      </c>
      <c r="N34" s="242">
        <v>900</v>
      </c>
      <c r="O34" s="12">
        <f t="shared" si="9"/>
        <v>3330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3.7</v>
      </c>
      <c r="N35" s="12">
        <v>1500</v>
      </c>
      <c r="O35" s="12">
        <f t="shared" si="9"/>
        <v>5550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67290.44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O36*2.3</f>
        <v>154768.01199999999</v>
      </c>
      <c r="P37" s="14" t="s">
        <v>135</v>
      </c>
      <c r="Q37" s="14"/>
      <c r="R37" s="37">
        <f>P28/R36</f>
        <v>0.74035806729939613</v>
      </c>
      <c r="S37"/>
      <c r="T37" s="249"/>
    </row>
    <row r="38" spans="2:24" s="223" customFormat="1" ht="17.399999999999999" x14ac:dyDescent="0.35">
      <c r="G38"/>
      <c r="H38" s="252"/>
      <c r="I38" s="252"/>
      <c r="J38" s="329"/>
      <c r="L38" s="242"/>
      <c r="M38" s="14"/>
      <c r="N38" s="12"/>
      <c r="O38" s="12">
        <f>O37/P26</f>
        <v>67637.449523643023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2.2999999999999998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1"/>
      <c r="J40" s="330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2"/>
      <c r="D41" s="275"/>
      <c r="E41" s="275"/>
      <c r="F41" s="274"/>
      <c r="G41" s="310"/>
      <c r="H41" s="311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1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1"/>
      <c r="L43" s="242"/>
    </row>
    <row r="44" spans="2:24" ht="17.399999999999999" x14ac:dyDescent="0.35">
      <c r="D44" s="275"/>
      <c r="E44" s="275"/>
      <c r="F44" s="274"/>
      <c r="G44" s="310"/>
      <c r="H44" s="311"/>
      <c r="L44" s="242"/>
      <c r="T44" s="262"/>
    </row>
    <row r="45" spans="2:24" ht="17.399999999999999" x14ac:dyDescent="0.35">
      <c r="D45" s="275"/>
      <c r="E45" s="275"/>
      <c r="F45" s="274"/>
      <c r="G45" s="310"/>
      <c r="H45" s="311"/>
      <c r="L45" s="242"/>
    </row>
    <row r="46" spans="2:24" ht="15" customHeight="1" x14ac:dyDescent="0.35">
      <c r="D46" s="275"/>
      <c r="E46" s="275"/>
      <c r="F46" s="274"/>
      <c r="G46" s="310"/>
      <c r="H46" s="311"/>
    </row>
    <row r="47" spans="2:24" ht="17.399999999999999" x14ac:dyDescent="0.35">
      <c r="D47" s="275"/>
      <c r="E47" s="275"/>
      <c r="F47" s="274"/>
      <c r="G47" s="310"/>
      <c r="H47" s="311"/>
    </row>
    <row r="48" spans="2:24" ht="17.399999999999999" x14ac:dyDescent="0.35">
      <c r="D48" s="275"/>
      <c r="E48" s="275"/>
      <c r="F48" s="274"/>
      <c r="G48" s="310"/>
      <c r="H48" s="311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1"/>
    </row>
    <row r="50" spans="4:20" ht="17.399999999999999" x14ac:dyDescent="0.35">
      <c r="D50" s="275"/>
      <c r="E50" s="275"/>
      <c r="F50" s="274"/>
      <c r="G50" s="310"/>
      <c r="H50" s="311"/>
      <c r="O50" s="51"/>
      <c r="P50" s="51"/>
    </row>
    <row r="51" spans="4:20" ht="17.399999999999999" x14ac:dyDescent="0.35">
      <c r="D51" s="275"/>
      <c r="E51" s="275"/>
      <c r="F51" s="274"/>
      <c r="G51" s="310"/>
      <c r="H51" s="311"/>
      <c r="S51" s="18"/>
      <c r="T51" s="18"/>
    </row>
    <row r="52" spans="4:20" ht="17.399999999999999" x14ac:dyDescent="0.35">
      <c r="D52" s="275"/>
      <c r="E52" s="275"/>
      <c r="F52" s="274"/>
      <c r="G52" s="310"/>
      <c r="H52" s="311"/>
      <c r="S52" s="18"/>
      <c r="T52" s="18"/>
    </row>
    <row r="53" spans="4:20" ht="17.399999999999999" x14ac:dyDescent="0.35">
      <c r="D53" s="275"/>
      <c r="E53" s="275"/>
      <c r="F53" s="274"/>
      <c r="G53" s="310"/>
      <c r="H53" s="311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46092</v>
      </c>
    </row>
    <row r="6" spans="1:31" ht="16.2" thickBot="1" x14ac:dyDescent="0.35">
      <c r="B6" s="134" t="s">
        <v>2</v>
      </c>
      <c r="C6" s="133" t="str">
        <f>'2229'!C10</f>
        <v>MANUEL GUTIERREZ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12040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2316751.9460489135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4769497.2313308986</v>
      </c>
      <c r="C15" s="207" t="s">
        <v>118</v>
      </c>
      <c r="D15" s="208">
        <v>0.73</v>
      </c>
      <c r="E15" s="209">
        <f>(100%+D15)*D12</f>
        <v>4007980.8666646206</v>
      </c>
      <c r="F15" s="210">
        <f>E15-D12</f>
        <v>1691228.9206157071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'2229'!O32</f>
        <v>0</v>
      </c>
      <c r="E18" s="117">
        <f>D18*0.19</f>
        <v>0</v>
      </c>
      <c r="F18" s="114">
        <f>SUM(D18:E18)</f>
        <v>0</v>
      </c>
      <c r="H18" s="318">
        <v>6</v>
      </c>
      <c r="I18" s="317">
        <v>543</v>
      </c>
      <c r="J18" s="6" t="s">
        <v>168</v>
      </c>
      <c r="K18" s="319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'2229'!O33</f>
        <v>30000</v>
      </c>
      <c r="E19" s="117">
        <f>D19*0.19</f>
        <v>5700</v>
      </c>
      <c r="F19" s="114">
        <f>SUM(D19:E19)</f>
        <v>35700</v>
      </c>
      <c r="H19" s="321"/>
      <c r="I19" s="320"/>
      <c r="J19" s="144" t="s">
        <v>169</v>
      </c>
      <c r="K19" s="322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3"/>
      <c r="C20" s="76" t="s">
        <v>31</v>
      </c>
      <c r="D20" s="116">
        <f>'2229'!O31</f>
        <v>18800</v>
      </c>
      <c r="E20" s="117">
        <f>D20*0.19</f>
        <v>3572</v>
      </c>
      <c r="F20" s="114">
        <f>SUM(D20:E20)</f>
        <v>22372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3">
        <f>1300000*1.2</f>
        <v>1560000</v>
      </c>
      <c r="B21" s="113"/>
      <c r="C21" s="71" t="s">
        <v>21</v>
      </c>
      <c r="D21" s="116">
        <f>'2229'!O30</f>
        <v>9610.44</v>
      </c>
      <c r="E21" s="115">
        <f>D21*0.19</f>
        <v>1825.9836</v>
      </c>
      <c r="F21" s="114">
        <f>SUM(D21:E21)</f>
        <v>11436.4236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3">
        <f>1300000*1.2</f>
        <v>1560000</v>
      </c>
      <c r="B22" s="108" t="s">
        <v>80</v>
      </c>
      <c r="C22" s="112" t="s">
        <v>6</v>
      </c>
      <c r="D22" s="111">
        <f>SUM(D18:D21)</f>
        <v>58410.44</v>
      </c>
      <c r="E22" s="110">
        <f>SUM(E18:E21)</f>
        <v>11097.9836</v>
      </c>
      <c r="F22" s="109">
        <f>SUM(F18:F21)</f>
        <v>69508.423599999995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3">
        <f>950000*1.2</f>
        <v>1140000</v>
      </c>
      <c r="B23" s="314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3">
        <v>450000</v>
      </c>
      <c r="B24" s="314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3">
        <v>450000</v>
      </c>
      <c r="B25" s="314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3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3"/>
      <c r="B26" s="314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3">
        <v>350000</v>
      </c>
      <c r="B27" s="314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3">
        <v>500000</v>
      </c>
      <c r="B28" s="314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3"/>
      <c r="B29" s="314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3">
        <v>450000</v>
      </c>
      <c r="B30" s="315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3">
        <v>350000</v>
      </c>
      <c r="B31" s="315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3">
        <f>A21+A24+A27+A28+A30</f>
        <v>3310000</v>
      </c>
      <c r="B32" s="315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3"/>
      <c r="B33" s="313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6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58410.44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2026-03-13T12:37:26Z</cp:lastPrinted>
  <dcterms:created xsi:type="dcterms:W3CDTF">2013-03-18T13:35:42Z</dcterms:created>
  <dcterms:modified xsi:type="dcterms:W3CDTF">2026-03-13T12:37:38Z</dcterms:modified>
</cp:coreProperties>
</file>