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41A35A50-40AB-44B8-A3A9-7CB27CA19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S21" i="1" l="1"/>
  <c r="N21" i="1" l="1"/>
  <c r="O21" i="1" l="1"/>
  <c r="P21" i="1" s="1"/>
  <c r="P25" i="1" s="1"/>
  <c r="S26" i="1"/>
  <c r="M25" i="1"/>
  <c r="T24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H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<sst xmlns="http://schemas.openxmlformats.org/spreadsheetml/2006/main" count="230" uniqueCount="175">
  <si>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</si>
  <si>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</si>
  <si>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</si>
  <si>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</si>
  <si>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</si>
  <si>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</si>
  <si>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</si>
  <si>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</si>
  <si>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</si>
  <si>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</si>
  <si>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</si>
  <si>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</si>
  <si>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</si>
  <si>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</si>
  <si>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</si>
  <si>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</si>
  <si>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</si>
  <si>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</si>
  <si>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</si>
  <si>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</si>
  <si>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</si>
  <si>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</si>
  <si>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</si>
  <si>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</si>
  <si>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</si>
  <si>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</si>
  <si>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</si>
  <si>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</si>
  <si>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</si>
  <si>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</si>
  <si>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</si>
  <si>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</si>
  <si>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</si>
  <si>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</si>
  <si>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</si>
  <si>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</si>
  <si>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</si>
  <si>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</si>
  <si>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</si>
  <si>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</si>
  <si>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</si>
  <si>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</si>
  <si>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</si>
  <si>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</si>
  <si>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</si>
  <si>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</si>
  <si>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</si>
  <si>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</si>
  <si>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</si>
  <si>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</si>
  <si>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</si>
  <si>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</si>
  <si>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</si>
  <si>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</si>
  <si>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</si>
  <si>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</si>
  <si>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</si>
  <si>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</si>
  <si>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</si>
  <si>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</si>
  <si>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</si>
  <si>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</si>
  <si>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</si>
  <si>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</si>
  <si>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</si>
  <si>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</si>
  <si>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</si>
  <si>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</si>
  <si>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</si>
  <si>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</si>
  <si>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</si>
  <si>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</si>
  <si>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</si>
  <si>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</si>
  <si>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</si>
  <si>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</si>
  <si>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</si>
  <si>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</si>
  <si>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</si>
  <si>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</si>
  <si>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</si>
  <si>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</si>
  <si>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</si>
  <si>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</si>
  <si>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</si>
  <si>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</si>
  <si>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</si>
  <si>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</si>
  <si>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</si>
  <si>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</si>
  <si>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</si>
  <si>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</si>
  <si>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</si>
  <si>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</si>
  <si>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</si>
  <si>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</si>
  <si>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</si>
  <si>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</si>
  <si>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</si>
  <si>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</si>
  <si>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</si>
  <si>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</si>
  <si>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</si>
  <si>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</si>
  <si>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</si>
  <si>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</si>
  <si>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</si>
  <si>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</si>
  <si>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</si>
  <si>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</si>
  <si>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</si>
  <si>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</si>
  <si>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</si>
  <si>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</si>
  <si>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</si>
  <si>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</si>
  <si>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</si>
  <si>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</si>
  <si>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</si>
  <si>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</si>
  <si>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</si>
  <si>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</si>
  <si>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</si>
  <si>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</si>
  <si>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</si>
  <si>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</si>
  <si>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</si>
  <si>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</si>
  <si>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</si>
  <si>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</si>
  <si>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</si>
  <si>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</si>
  <si>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</si>
  <si>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</si>
  <si>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</si>
  <si>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</si>
  <si>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</si>
  <si>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</si>
  <si>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</si>
  <si>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</si>
  <si>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</si>
  <si>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</si>
  <si>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</si>
  <si>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</si>
  <si>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</si>
  <si>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</si>
  <si>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</si>
  <si>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</si>
  <si>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</si>
  <si>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</si>
  <si>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</si>
  <si>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</si>
  <si>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</si>
  <si>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</si>
  <si>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</si>
  <si>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</si>
  <si>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</si>
  <si>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</si>
  <si>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</si>
  <si>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</si>
  <si>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</si>
  <si>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</si>
  <si>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</si>
  <si>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</si>
  <si>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</si>
  <si>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</si>
  <si>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</si>
  <si>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</si>
  <si>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</si>
  <si>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</si>
  <si>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</si>
  <si>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</si>
  <si>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GLACIAL WHITE 22191 SF</t>
  </si>
  <si>
    <t>URGENTE!!</t>
  </si>
  <si>
    <t>N° 12050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</si>
</sst>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25913</xdr:rowOff>
    </xdr:from>
    <xdr:to>
      <xdr:col>5</xdr:col>
      <xdr:colOff>1728839</xdr:colOff>
      <xdr:row>26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84" zoomScaleNormal="84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46098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168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116792.50000000001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3</v>
      </c>
      <c r="E21" s="332">
        <v>0.6</v>
      </c>
      <c r="F21" s="330" t="s">
        <v>172</v>
      </c>
      <c r="G21" s="331">
        <v>93093</v>
      </c>
      <c r="H21" s="331">
        <f t="shared" ref="H21" si="1">G21*B21</f>
        <v>93093</v>
      </c>
      <c r="I21" s="320"/>
      <c r="J21" s="265"/>
      <c r="K21" s="47"/>
      <c r="L21" s="333">
        <f>B21</f>
        <v>1</v>
      </c>
      <c r="M21" s="39">
        <f>D21+M$19</f>
        <v>3.08</v>
      </c>
      <c r="N21" s="39">
        <f t="shared" ref="N21" si="2">E21+$N$19</f>
        <v>0.6</v>
      </c>
      <c r="O21" s="261">
        <f t="shared" ref="O21" si="3">M21*N21</f>
        <v>1.8479999999999999</v>
      </c>
      <c r="P21" s="259">
        <f t="shared" ref="P21" si="4">O21*L21</f>
        <v>1.8479999999999999</v>
      </c>
      <c r="Q21" s="252">
        <f t="shared" ref="Q21" si="5">Q$20*O21</f>
        <v>215832.54</v>
      </c>
      <c r="R21" s="319">
        <f t="shared" ref="R21" si="6">Q21+R$20</f>
        <v>218832.54</v>
      </c>
      <c r="S21" s="297">
        <f t="shared" ref="S21" si="7">L21*M21</f>
        <v>3.08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3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93093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17687.670000000002</v>
      </c>
      <c r="I25" s="322"/>
      <c r="J25" s="265"/>
      <c r="K25" s="47"/>
      <c r="L25" s="47"/>
      <c r="M25" s="39">
        <f>SUM(M21:M24)</f>
        <v>3.08</v>
      </c>
      <c r="N25" s="12"/>
      <c r="O25" s="12"/>
      <c r="P25" s="253">
        <f>SUM(P21:P23)</f>
        <v>1.8479999999999999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110780.67</v>
      </c>
      <c r="I26" s="322"/>
      <c r="J26" s="265"/>
      <c r="K26" s="47"/>
      <c r="L26" s="47"/>
      <c r="M26" s="39"/>
      <c r="N26" s="12"/>
      <c r="O26" s="12"/>
      <c r="P26" s="253">
        <f>P25</f>
        <v>1.8479999999999999</v>
      </c>
      <c r="Q26" s="14"/>
      <c r="R26" s="12"/>
      <c r="S26" s="239">
        <f>SUM(S21:S25)</f>
        <v>3.08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0.36959999999999998</v>
      </c>
      <c r="Q27" s="39" t="s">
        <v>130</v>
      </c>
      <c r="R27" s="42"/>
      <c r="S27" s="240">
        <f>S26+T24</f>
        <v>3.08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2.2176</v>
      </c>
      <c r="Q28" s="14"/>
      <c r="R28" s="14"/>
      <c r="S28" s="238">
        <f>S27*20%</f>
        <v>0.6160000000000001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3.6960000000000002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2.2176</v>
      </c>
      <c r="N30" s="12">
        <v>1500</v>
      </c>
      <c r="O30" s="12">
        <f t="shared" ref="O30:O35" si="8">M30*N30</f>
        <v>3326.4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1.5</v>
      </c>
      <c r="N31" s="12">
        <v>23500</v>
      </c>
      <c r="O31" s="12">
        <f t="shared" si="8"/>
        <v>35250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>
        <v>1</v>
      </c>
      <c r="N32" s="250">
        <v>23500</v>
      </c>
      <c r="O32" s="12">
        <f t="shared" si="8"/>
        <v>23500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>
        <v>1</v>
      </c>
      <c r="N33" s="250">
        <v>36831</v>
      </c>
      <c r="O33" s="12">
        <f t="shared" si="8"/>
        <v>36831</v>
      </c>
      <c r="P33" s="14" t="s">
        <v>170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15700</v>
      </c>
      <c r="O34" s="12">
        <f t="shared" si="8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7.74</v>
      </c>
      <c r="N35" s="12">
        <v>500</v>
      </c>
      <c r="O35" s="12">
        <f t="shared" si="8"/>
        <v>3870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102777.4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215832.54</v>
      </c>
      <c r="P37" s="14" t="s">
        <v>140</v>
      </c>
      <c r="Q37" s="14"/>
      <c r="R37" s="40">
        <f>P28/R36</f>
        <v>0.48472131147540981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L38" s="250"/>
      <c r="M38" s="14"/>
      <c r="N38" s="12"/>
      <c r="O38" s="12">
        <f>O37/P26</f>
        <v>116792.50000000001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9759.8849665458929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93093</v>
      </c>
      <c r="E11" s="132">
        <f>D11*0.19</f>
        <v>17687.670000000002</v>
      </c>
      <c r="F11" s="131">
        <f>E11+D11</f>
        <v>110780.67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115749.8849665459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91910.490787439616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97749.884966545898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1182.5092125603842</v>
      </c>
      <c r="E13" s="221">
        <f>(D11/D12)-1</f>
        <v>1.2865878556727051E-2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88749.884966545898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49749.884966545891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151652.30979927536</v>
      </c>
      <c r="F15" s="216">
        <f>E15-D12</f>
        <v>59741.819011835745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49749.884966545891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89749.884966545898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23500</v>
      </c>
      <c r="E18" s="123">
        <f>D18*0.19</f>
        <v>4465</v>
      </c>
      <c r="F18" s="120">
        <f>SUM(D18:E18)</f>
        <v>27965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3326.4</v>
      </c>
      <c r="E20" s="121">
        <f>D20*0.19</f>
        <v>632.01600000000008</v>
      </c>
      <c r="F20" s="120">
        <f>SUM(D20:E20)</f>
        <v>3958.4160000000002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62076.4</v>
      </c>
      <c r="E21" s="116">
        <f>SUM(E18:E20)</f>
        <v>11794.516</v>
      </c>
      <c r="F21" s="115">
        <f>SUM(F18:F20)</f>
        <v>73870.915999999997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5893.1540000000023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93093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62076.4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1182.5092125603842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1182.5092125603842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2026-03-17T22:09:27Z</dcterms:modified>
</cp:coreProperties>
</file>