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3 MARZO\"/>
    </mc:Choice>
  </mc:AlternateContent>
  <xr:revisionPtr revIDLastSave="0" documentId="13_ncr:1_{9B8EC399-7968-4263-8187-387F32ADC0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K31" i="1"/>
  <c r="K27" i="1"/>
  <c r="K33" i="1" s="1"/>
  <c r="N5" i="6" l="1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K21" i="6" l="1"/>
  <c r="K14" i="6"/>
  <c r="J21" i="6"/>
  <c r="J14" i="6"/>
  <c r="F14" i="6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5" i="1" s="1"/>
  <c r="L25" i="1" s="1"/>
  <c r="S21" i="1" l="1"/>
  <c r="S26" i="1" s="1"/>
  <c r="T21" i="1"/>
  <c r="T24" i="1" s="1"/>
  <c r="O21" i="1"/>
  <c r="P21" i="1" s="1"/>
  <c r="P25" i="1" s="1"/>
  <c r="K39" i="1"/>
  <c r="S27" i="1" l="1"/>
  <c r="S28" i="1" s="1"/>
  <c r="S29" i="1" s="1"/>
  <c r="V32" i="1"/>
  <c r="V33" i="1" s="1"/>
  <c r="P26" i="1" l="1"/>
  <c r="N20" i="1"/>
  <c r="L20" i="1"/>
  <c r="P27" i="1" l="1"/>
  <c r="P28" i="1" s="1"/>
  <c r="M30" i="1" s="1"/>
  <c r="O32" i="1"/>
  <c r="R36" i="1"/>
  <c r="R37" i="1" l="1"/>
  <c r="O31" i="1" s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G21" i="1" s="1"/>
  <c r="F15" i="3"/>
  <c r="R21" i="1" l="1"/>
  <c r="H21" i="1" l="1"/>
  <c r="H24" i="1" s="1"/>
  <c r="H25" i="1" l="1"/>
  <c r="H26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<sst xmlns="http://schemas.openxmlformats.org/spreadsheetml/2006/main" count="486" uniqueCount="294">
  <si>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</si>
  <si>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</si>
  <si>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</si>
  <si>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</si>
  <si>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</si>
  <si>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</si>
  <si>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</si>
  <si>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</si>
  <si>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</si>
  <si>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</si>
  <si>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</si>
  <si>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</si>
  <si>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</si>
  <si>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</si>
  <si>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</si>
  <si>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</si>
  <si>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</si>
  <si>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</si>
  <si>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</si>
  <si>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</si>
  <si>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</si>
  <si>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</si>
  <si>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</si>
  <si>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</si>
  <si>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</si>
  <si>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</si>
  <si>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</si>
  <si>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</si>
  <si>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</si>
  <si>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</si>
  <si>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</si>
  <si>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</si>
  <si>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</si>
  <si>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</si>
  <si>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</si>
  <si>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</si>
  <si>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</si>
  <si>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</si>
  <si>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</si>
  <si>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</si>
  <si>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</si>
  <si>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</si>
  <si>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</si>
  <si>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</si>
  <si>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</si>
  <si>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</si>
  <si>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</si>
  <si>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</si>
  <si>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</si>
  <si>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</si>
  <si>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</si>
  <si>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</si>
  <si>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</si>
  <si>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</si>
  <si>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</si>
  <si>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</si>
  <si>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</si>
  <si>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</si>
  <si>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</si>
  <si>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</si>
  <si>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</si>
  <si>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</si>
  <si>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</si>
  <si>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</si>
  <si>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</si>
  <si>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</si>
  <si>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</si>
  <si>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</si>
  <si>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</si>
  <si>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</si>
  <si>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</si>
  <si>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</si>
  <si>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</si>
  <si>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</si>
  <si>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</si>
  <si>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</si>
  <si>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</si>
  <si>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</si>
  <si>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</si>
  <si>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</si>
  <si>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</si>
  <si>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</si>
  <si>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</si>
  <si>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</si>
  <si>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</si>
  <si>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</si>
  <si>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</si>
  <si>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</si>
  <si>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</si>
  <si>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</si>
  <si>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</si>
  <si>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</si>
  <si>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</si>
  <si>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</si>
  <si>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</si>
  <si>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</si>
  <si>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</si>
  <si>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</si>
  <si>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</si>
  <si>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</si>
  <si>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</si>
  <si>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</si>
  <si>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</si>
  <si>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</si>
  <si>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</si>
  <si>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</si>
  <si>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</si>
  <si>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</si>
  <si>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</si>
  <si>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</si>
  <si>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</si>
  <si>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</si>
  <si>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</si>
  <si>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</si>
  <si>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</si>
  <si>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</si>
  <si>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</si>
  <si>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</si>
  <si>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</si>
  <si>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</si>
  <si>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</si>
  <si>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</si>
  <si>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</si>
  <si>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</si>
  <si>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</si>
  <si>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</si>
  <si>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</si>
  <si>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</si>
  <si>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</si>
  <si>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</si>
  <si>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</si>
  <si>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</si>
  <si>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</si>
  <si>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</si>
  <si>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</si>
  <si>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</si>
  <si>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</si>
  <si>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</si>
  <si>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</si>
  <si>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</si>
  <si>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</si>
  <si>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</si>
  <si>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</si>
  <si>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</si>
  <si>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</si>
  <si>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</si>
  <si>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</si>
  <si>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</si>
  <si>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</si>
  <si>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</si>
  <si>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</si>
  <si>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</si>
  <si>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</si>
  <si>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</si>
  <si>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</si>
  <si>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</si>
  <si>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</si>
  <si>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</si>
  <si>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</si>
  <si>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</si>
  <si>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</si>
  <si>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</si>
  <si>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</si>
  <si>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</si>
  <si>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</si>
  <si>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</si>
  <si>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</si>
  <si>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</si>
  <si>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</si>
  <si>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</si>
  <si>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</si>
  <si>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</si>
  <si>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</si>
  <si>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</si>
  <si>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</si>
  <si>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</si>
  <si>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</si>
  <si>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</si>
  <si>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</si>
  <si>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</si>
  <si>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</si>
  <si>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</si>
  <si>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</si>
  <si>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</si>
  <si>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</si>
  <si>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</si>
  <si>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</si>
  <si>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</si>
  <si>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</si>
  <si>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</si>
  <si>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</si>
  <si>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</si>
  <si>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</si>
  <si>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</si>
  <si>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</si>
  <si>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</si>
  <si>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</si>
  <si>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</si>
  <si>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</si>
  <si>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</si>
  <si>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</si>
  <si>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</si>
  <si>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</si>
  <si>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</si>
  <si>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</si>
  <si>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</si>
  <si>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</si>
  <si>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</si>
  <si>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</si>
  <si>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</si>
  <si>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</si>
  <si>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</si>
  <si>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</si>
  <si>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</si>
  <si>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</si>
  <si>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</si>
  <si>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</si>
  <si>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</si>
  <si>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</si>
  <si>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</si>
  <si>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</si>
  <si>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</si>
  <si>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</si>
  <si>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</si>
  <si>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</si>
  <si>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</si>
  <si>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</si>
  <si>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</si>
  <si>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</si>
  <si>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</si>
  <si>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</si>
  <si>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</si>
  <si>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</si>
  <si>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</si>
  <si>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</si>
  <si>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</si>
  <si>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</si>
  <si>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</si>
  <si>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</si>
  <si>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</si>
  <si>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</si>
  <si>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</si>
  <si>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</si>
  <si>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</si>
  <si>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</si>
  <si>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</si>
  <si>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</si>
  <si>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</si>
  <si>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</si>
  <si>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</si>
  <si>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</si>
  <si>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</si>
  <si>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</si>
  <si>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</si>
  <si>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</si>
  <si>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</si>
  <si>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</si>
  <si>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</si>
  <si>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</si>
  <si>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</si>
  <si>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</si>
  <si>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</si>
  <si>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</si>
  <si>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</si>
  <si>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</si>
  <si>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</si>
  <si>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</si>
  <si>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</si>
  <si>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</si>
  <si>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</si>
  <si>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</si>
  <si>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</si>
  <si>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</si>
  <si>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</si>
  <si>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</si>
  <si>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</si>
  <si>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</si>
  <si>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</si>
  <si>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</si>
  <si>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</si>
  <si>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</si>
  <si>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</si>
  <si>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</si>
  <si>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</si>
  <si>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</si>
  <si>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</si>
  <si>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</si>
  <si>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</si>
  <si>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5 DIAS HABILES</t>
  </si>
  <si>
    <t>NELSON RIVAS</t>
  </si>
  <si>
    <t>CUB CON RESPALDO FTE 90°</t>
  </si>
  <si>
    <t>GALAXIA GRAFITO 0491 MT</t>
  </si>
  <si>
    <t>N° 12067</t>
  </si>
  <si>
    <t>+56 9 9909 6189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</si>
</sst>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0" fontId="39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165" fontId="0" fillId="0" borderId="0" xfId="0" applyNumberFormat="1"/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215079</xdr:rowOff>
    </xdr:from>
    <xdr:to>
      <xdr:col>5</xdr:col>
      <xdr:colOff>1732649</xdr:colOff>
      <xdr:row>25</xdr:row>
      <xdr:rowOff>219320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479434"/>
          <a:ext cx="6331278" cy="6597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</a:t>
          </a:r>
          <a:r>
            <a:rPr lang="es-CL" sz="1200" b="1" baseline="0"/>
            <a:t> CUBIERTA SE ENTREGA CON SOBRE MEDIDA EN EL LARGO</a:t>
          </a:r>
        </a:p>
        <a:p>
          <a:pPr algn="l"/>
          <a:r>
            <a:rPr lang="es-CL" sz="1200" b="1" baseline="0"/>
            <a:t>REGRUESO DE 2,5cm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zoomScale="93" zoomScaleNormal="93" workbookViewId="0">
      <selection activeCell="C16" sqref="C16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292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9" t="s">
        <v>289</v>
      </c>
      <c r="D10" s="243"/>
      <c r="E10" s="243"/>
      <c r="F10" s="418" t="s">
        <v>277</v>
      </c>
      <c r="G10" s="275">
        <v>46107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288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0" t="s">
        <v>293</v>
      </c>
      <c r="D15" s="424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5" t="s">
        <v>13</v>
      </c>
      <c r="C17" s="299" t="s">
        <v>287</v>
      </c>
      <c r="D17" s="300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5" t="s">
        <v>95</v>
      </c>
      <c r="C19" s="436"/>
      <c r="D19" s="436"/>
      <c r="E19" s="436"/>
      <c r="F19" s="436"/>
      <c r="G19" s="436"/>
      <c r="H19" s="437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O38</f>
        <v>92553.876088069635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312">
        <v>1</v>
      </c>
      <c r="C21" s="431" t="s">
        <v>290</v>
      </c>
      <c r="D21" s="432">
        <v>2.71</v>
      </c>
      <c r="E21" s="432">
        <v>0.52500000000000002</v>
      </c>
      <c r="F21" s="313" t="s">
        <v>291</v>
      </c>
      <c r="G21" s="314">
        <f>Q21</f>
        <v>135568.29</v>
      </c>
      <c r="H21" s="433">
        <f>G21*B21</f>
        <v>135568.29</v>
      </c>
      <c r="I21" s="306"/>
      <c r="J21" s="264"/>
      <c r="K21" s="47"/>
      <c r="L21" s="47">
        <f>B21</f>
        <v>1</v>
      </c>
      <c r="M21" s="39">
        <f>D21+M$19</f>
        <v>2.79</v>
      </c>
      <c r="N21" s="39">
        <f>E21+$N$19</f>
        <v>0.52500000000000002</v>
      </c>
      <c r="O21" s="260">
        <f t="shared" ref="O21" si="0">M21*N21</f>
        <v>1.46475</v>
      </c>
      <c r="P21" s="258">
        <f t="shared" ref="P21" si="1">O21*L21</f>
        <v>1.46475</v>
      </c>
      <c r="Q21" s="251">
        <f t="shared" ref="Q21" si="2">Q$20*O21</f>
        <v>135568.29</v>
      </c>
      <c r="R21" s="305">
        <f t="shared" ref="R21" si="3">Q21+R$20</f>
        <v>138568.29</v>
      </c>
      <c r="S21" s="290">
        <f>M21*L21</f>
        <v>2.79</v>
      </c>
      <c r="T21" s="46">
        <f>N21*2*L21*2</f>
        <v>2.1</v>
      </c>
      <c r="U21" s="9"/>
      <c r="X21" s="4"/>
    </row>
    <row r="22" spans="1:25" ht="17.399999999999999" x14ac:dyDescent="0.3">
      <c r="B22" s="283"/>
      <c r="C22" s="325"/>
      <c r="D22" s="284"/>
      <c r="E22" s="284"/>
      <c r="F22" s="283"/>
      <c r="G22" s="306"/>
      <c r="H22" s="306"/>
      <c r="I22" s="306"/>
      <c r="J22" s="264"/>
      <c r="K22" s="47"/>
      <c r="L22" s="47"/>
      <c r="M22" s="39"/>
      <c r="N22" s="39"/>
      <c r="O22" s="260"/>
      <c r="P22" s="258"/>
      <c r="Q22" s="251"/>
      <c r="R22" s="305"/>
      <c r="S22" s="290"/>
      <c r="T22" s="46"/>
      <c r="U22" s="9"/>
      <c r="X22" s="4"/>
    </row>
    <row r="23" spans="1:25" ht="18" thickBot="1" x14ac:dyDescent="0.35">
      <c r="B23" s="283"/>
      <c r="C23" s="325"/>
      <c r="D23" s="284"/>
      <c r="E23" s="284"/>
      <c r="F23" s="283"/>
      <c r="G23" s="264"/>
      <c r="H23" s="307"/>
      <c r="I23" s="309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7.399999999999999" x14ac:dyDescent="0.3">
      <c r="B24" s="283"/>
      <c r="C24" s="283"/>
      <c r="D24" s="284"/>
      <c r="E24" s="284"/>
      <c r="F24" s="283"/>
      <c r="G24" s="310" t="s">
        <v>28</v>
      </c>
      <c r="H24" s="311">
        <f>SUM(H21:H22)</f>
        <v>135568.29</v>
      </c>
      <c r="I24" s="308"/>
      <c r="J24" s="264"/>
      <c r="K24" s="47"/>
      <c r="L24" s="47"/>
      <c r="M24" s="39"/>
      <c r="N24" s="39"/>
      <c r="O24" s="260"/>
      <c r="P24" s="258"/>
      <c r="Q24" s="251"/>
      <c r="R24" s="257"/>
      <c r="S24" s="290"/>
      <c r="T24" s="46">
        <f>SUM(T21:T22)</f>
        <v>2.1</v>
      </c>
      <c r="U24" s="9"/>
      <c r="X24" s="4"/>
    </row>
    <row r="25" spans="1:25" ht="17.399999999999999" x14ac:dyDescent="0.3">
      <c r="B25" s="277"/>
      <c r="C25" s="280"/>
      <c r="D25" s="281"/>
      <c r="E25" s="281"/>
      <c r="F25" s="282"/>
      <c r="G25" s="289" t="s">
        <v>51</v>
      </c>
      <c r="H25" s="287">
        <f>H24*19%</f>
        <v>25757.975100000003</v>
      </c>
      <c r="I25" s="308"/>
      <c r="J25" s="264"/>
      <c r="K25" s="47">
        <v>450</v>
      </c>
      <c r="L25" s="434">
        <f>M25*10</f>
        <v>27.9</v>
      </c>
      <c r="M25" s="39">
        <f>SUM(M21:M24)</f>
        <v>2.79</v>
      </c>
      <c r="N25" s="12"/>
      <c r="O25" s="12"/>
      <c r="P25" s="252">
        <f>SUM(P21:P21)</f>
        <v>1.46475</v>
      </c>
      <c r="Q25" s="14"/>
      <c r="R25" s="12"/>
      <c r="S25" s="239"/>
      <c r="T25" s="46"/>
      <c r="U25" s="9"/>
      <c r="X25" s="4"/>
    </row>
    <row r="26" spans="1:25" ht="18" thickBot="1" x14ac:dyDescent="0.35">
      <c r="B26" s="274"/>
      <c r="C26" s="279"/>
      <c r="D26" s="271"/>
      <c r="E26" s="271"/>
      <c r="F26" s="272"/>
      <c r="G26" s="278" t="s">
        <v>6</v>
      </c>
      <c r="H26" s="288">
        <f>H24+H25</f>
        <v>161326.26510000002</v>
      </c>
      <c r="I26" s="308"/>
      <c r="J26" s="264"/>
      <c r="K26" s="47">
        <v>60</v>
      </c>
      <c r="L26" s="47"/>
      <c r="M26" s="39"/>
      <c r="N26" s="12"/>
      <c r="O26" s="12"/>
      <c r="P26" s="252">
        <f>P25</f>
        <v>1.46475</v>
      </c>
      <c r="Q26" s="14"/>
      <c r="R26" s="12"/>
      <c r="S26" s="239">
        <f>SUM(S21:S25)</f>
        <v>2.79</v>
      </c>
      <c r="T26" s="46"/>
      <c r="U26" s="9"/>
      <c r="X26" s="4"/>
    </row>
    <row r="27" spans="1:25" ht="17.399999999999999" x14ac:dyDescent="0.3">
      <c r="B27" s="274"/>
      <c r="C27" s="270"/>
      <c r="D27" s="271"/>
      <c r="E27" s="271"/>
      <c r="F27" s="272"/>
      <c r="J27" s="264"/>
      <c r="K27" s="47">
        <f>SUM(K25:K26)</f>
        <v>510</v>
      </c>
      <c r="L27" s="47"/>
      <c r="M27" s="14"/>
      <c r="N27" s="12"/>
      <c r="O27" s="12"/>
      <c r="P27" s="39">
        <f>P26*20%</f>
        <v>0.29294999999999999</v>
      </c>
      <c r="Q27" s="39" t="s">
        <v>129</v>
      </c>
      <c r="R27" s="42"/>
      <c r="S27" s="240">
        <f>S26+T24</f>
        <v>4.8900000000000006</v>
      </c>
      <c r="T27" s="14"/>
      <c r="U27" s="9"/>
      <c r="X27" s="4"/>
    </row>
    <row r="28" spans="1:25" ht="17.399999999999999" x14ac:dyDescent="0.35">
      <c r="B28" s="268"/>
      <c r="C28" s="230"/>
      <c r="D28" s="230"/>
      <c r="E28" s="233"/>
      <c r="F28" s="234"/>
      <c r="G28" s="230"/>
      <c r="H28" s="273"/>
      <c r="I28" s="273"/>
      <c r="J28" s="264"/>
      <c r="K28" s="47"/>
      <c r="L28" s="47"/>
      <c r="M28" s="14"/>
      <c r="N28" s="12"/>
      <c r="O28" s="12"/>
      <c r="P28" s="46">
        <f>P26+P27</f>
        <v>1.7577</v>
      </c>
      <c r="Q28" s="14"/>
      <c r="R28" s="14"/>
      <c r="S28" s="238">
        <f>S27*20%</f>
        <v>0.9780000000000002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3"/>
      <c r="J29" s="264"/>
      <c r="K29" s="47">
        <v>600</v>
      </c>
      <c r="L29" s="47"/>
      <c r="M29" s="14"/>
      <c r="N29" s="14"/>
      <c r="O29" s="14"/>
      <c r="P29" s="14"/>
      <c r="Q29" s="14"/>
      <c r="R29" s="14"/>
      <c r="S29" s="240">
        <f>S27+S28</f>
        <v>5.8680000000000003</v>
      </c>
      <c r="T29" s="14"/>
      <c r="U29" s="294" t="s">
        <v>21</v>
      </c>
      <c r="V29" s="291" t="s">
        <v>149</v>
      </c>
      <c r="W29" s="295">
        <v>44971</v>
      </c>
      <c r="X29" s="296"/>
    </row>
    <row r="30" spans="1:25" ht="17.399999999999999" x14ac:dyDescent="0.35">
      <c r="B30" s="230"/>
      <c r="C30" s="230"/>
      <c r="D30" s="230"/>
      <c r="E30" s="230"/>
      <c r="F30" s="230"/>
      <c r="G30" s="230"/>
      <c r="J30" s="264"/>
      <c r="K30" s="47">
        <v>60</v>
      </c>
      <c r="L30" s="47"/>
      <c r="M30" s="39">
        <f>P28</f>
        <v>1.7577</v>
      </c>
      <c r="N30" s="12">
        <v>3500</v>
      </c>
      <c r="O30" s="12">
        <f t="shared" ref="O30:O35" si="4">M30*N30</f>
        <v>6151.95</v>
      </c>
      <c r="P30" s="14" t="s">
        <v>21</v>
      </c>
      <c r="Q30" s="14"/>
      <c r="R30" s="14"/>
      <c r="S30" s="241"/>
      <c r="T30" s="14"/>
      <c r="U30" s="294" t="s">
        <v>150</v>
      </c>
      <c r="V30" s="291">
        <v>3625</v>
      </c>
      <c r="W30" s="59" t="s">
        <v>151</v>
      </c>
      <c r="X30" s="296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4"/>
      <c r="K31" s="47">
        <f>SUM(K29:K30)</f>
        <v>660</v>
      </c>
      <c r="L31" s="47"/>
      <c r="M31" s="248">
        <v>0.5</v>
      </c>
      <c r="N31" s="12">
        <v>23500</v>
      </c>
      <c r="O31" s="12">
        <f t="shared" si="4"/>
        <v>11750</v>
      </c>
      <c r="P31" s="39" t="s">
        <v>31</v>
      </c>
      <c r="Q31" s="42"/>
      <c r="R31" s="14"/>
      <c r="S31" s="240"/>
      <c r="T31" s="14"/>
      <c r="U31" s="294"/>
      <c r="V31" s="59">
        <v>906.25</v>
      </c>
      <c r="W31" s="59" t="s">
        <v>152</v>
      </c>
      <c r="X31" s="296"/>
    </row>
    <row r="32" spans="1:25" s="230" customFormat="1" ht="17.399999999999999" x14ac:dyDescent="0.35">
      <c r="B32" s="24" t="s">
        <v>148</v>
      </c>
      <c r="J32" s="261"/>
      <c r="K32" s="232"/>
      <c r="L32" s="249"/>
      <c r="M32" s="14"/>
      <c r="N32" s="249">
        <v>58860</v>
      </c>
      <c r="O32" s="12">
        <f t="shared" si="4"/>
        <v>0</v>
      </c>
      <c r="P32" s="39" t="s">
        <v>30</v>
      </c>
      <c r="Q32" s="42"/>
      <c r="S32" s="240"/>
      <c r="T32" s="255"/>
      <c r="U32" s="59"/>
      <c r="V32" s="59">
        <f>V31*20%</f>
        <v>181.25</v>
      </c>
      <c r="W32" s="296" t="s">
        <v>153</v>
      </c>
      <c r="X32" s="59"/>
    </row>
    <row r="33" spans="1:24" s="230" customFormat="1" ht="17.399999999999999" x14ac:dyDescent="0.35">
      <c r="B33" s="24" t="s">
        <v>162</v>
      </c>
      <c r="C33"/>
      <c r="D33"/>
      <c r="E33"/>
      <c r="F33"/>
      <c r="J33" s="261"/>
      <c r="K33" s="232">
        <f>K27+K31</f>
        <v>1170</v>
      </c>
      <c r="L33" s="249"/>
      <c r="M33" s="14">
        <v>1</v>
      </c>
      <c r="N33" s="249">
        <v>37000</v>
      </c>
      <c r="O33" s="12">
        <f t="shared" si="4"/>
        <v>37000</v>
      </c>
      <c r="P33" s="14" t="s">
        <v>139</v>
      </c>
      <c r="Q33" s="17"/>
      <c r="S33" s="238"/>
      <c r="T33" s="255"/>
      <c r="U33" s="59"/>
      <c r="V33" s="59">
        <f>V31+V32</f>
        <v>1087.5</v>
      </c>
      <c r="W33" s="296" t="s">
        <v>154</v>
      </c>
      <c r="X33" s="59"/>
    </row>
    <row r="34" spans="1:24" s="230" customFormat="1" ht="17.399999999999999" x14ac:dyDescent="0.35">
      <c r="A34" s="230" t="s">
        <v>283</v>
      </c>
      <c r="B34" s="29" t="s">
        <v>124</v>
      </c>
      <c r="C34"/>
      <c r="D34"/>
      <c r="E34"/>
      <c r="F34" s="229" t="s">
        <v>15</v>
      </c>
      <c r="J34" s="261"/>
      <c r="K34" s="259"/>
      <c r="L34" s="249"/>
      <c r="M34" s="248">
        <v>2.8</v>
      </c>
      <c r="N34" s="249">
        <v>900</v>
      </c>
      <c r="O34" s="12">
        <f t="shared" si="4"/>
        <v>2520</v>
      </c>
      <c r="P34" s="14" t="s">
        <v>32</v>
      </c>
      <c r="Q34" s="14"/>
      <c r="R34" s="230">
        <v>1.52</v>
      </c>
      <c r="S34" s="238"/>
      <c r="T34" s="238"/>
    </row>
    <row r="35" spans="1:24" s="230" customFormat="1" ht="17.399999999999999" x14ac:dyDescent="0.35">
      <c r="J35" s="286"/>
      <c r="K35" s="259"/>
      <c r="L35" s="249"/>
      <c r="M35" s="265">
        <v>2.8</v>
      </c>
      <c r="N35" s="12">
        <v>1500</v>
      </c>
      <c r="O35" s="12">
        <f t="shared" si="4"/>
        <v>4200</v>
      </c>
      <c r="P35" s="14" t="s">
        <v>22</v>
      </c>
      <c r="Q35" s="14"/>
      <c r="R35">
        <v>2.44</v>
      </c>
      <c r="S35"/>
      <c r="T35" s="238"/>
      <c r="X35" s="231"/>
    </row>
    <row r="36" spans="1:24" s="230" customFormat="1" ht="17.399999999999999" x14ac:dyDescent="0.35">
      <c r="K36" s="259"/>
      <c r="L36" s="249"/>
      <c r="M36" s="14"/>
      <c r="N36" s="12"/>
      <c r="O36" s="12">
        <f>SUM(O30:O35)</f>
        <v>61621.95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1:24" s="230" customFormat="1" ht="17.399999999999999" x14ac:dyDescent="0.35">
      <c r="L37" s="249"/>
      <c r="M37" s="253" t="s">
        <v>33</v>
      </c>
      <c r="N37" s="12"/>
      <c r="O37" s="254">
        <f>O36*2.2</f>
        <v>135568.29</v>
      </c>
      <c r="P37" s="14" t="s">
        <v>138</v>
      </c>
      <c r="Q37" s="14"/>
      <c r="R37" s="40">
        <f>P28/R36</f>
        <v>0.47392687661777394</v>
      </c>
      <c r="S37"/>
      <c r="T37" s="256"/>
    </row>
    <row r="38" spans="1:24" s="230" customFormat="1" ht="17.399999999999999" x14ac:dyDescent="0.35">
      <c r="G38"/>
      <c r="H38" s="259"/>
      <c r="I38" s="259"/>
      <c r="J38" s="259"/>
      <c r="K38" s="230">
        <v>51290</v>
      </c>
      <c r="L38" s="249"/>
      <c r="M38" s="14"/>
      <c r="N38" s="12"/>
      <c r="O38" s="12">
        <f>O37/P26</f>
        <v>92553.876088069635</v>
      </c>
      <c r="P38" s="45" t="s">
        <v>24</v>
      </c>
      <c r="Q38" s="14"/>
      <c r="R38" s="14"/>
      <c r="S38"/>
      <c r="T38" s="238"/>
      <c r="U38" s="59" t="s">
        <v>155</v>
      </c>
      <c r="V38" s="291">
        <v>43650</v>
      </c>
    </row>
    <row r="39" spans="1:24" s="230" customFormat="1" ht="17.399999999999999" x14ac:dyDescent="0.35">
      <c r="G39"/>
      <c r="K39" s="230">
        <f>K38/1.19</f>
        <v>43100.840336134454</v>
      </c>
      <c r="L39" s="249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157</v>
      </c>
      <c r="V39" s="292" t="s">
        <v>156</v>
      </c>
      <c r="W39" s="59">
        <v>2.4</v>
      </c>
    </row>
    <row r="40" spans="1:24" s="230" customFormat="1" ht="17.399999999999999" x14ac:dyDescent="0.35">
      <c r="G40" s="23"/>
      <c r="L40" s="12"/>
      <c r="T40" s="238"/>
      <c r="U40" s="59" t="s">
        <v>158</v>
      </c>
      <c r="V40" s="293">
        <v>395.37</v>
      </c>
    </row>
    <row r="41" spans="1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153</v>
      </c>
      <c r="V41" s="59">
        <v>474.45</v>
      </c>
    </row>
    <row r="42" spans="1:24" ht="14.4" customHeight="1" x14ac:dyDescent="0.3">
      <c r="L42" s="12"/>
      <c r="U42" s="59"/>
      <c r="V42" s="59"/>
    </row>
    <row r="43" spans="1:24" x14ac:dyDescent="0.3">
      <c r="L43" s="249"/>
    </row>
    <row r="44" spans="1:24" x14ac:dyDescent="0.3">
      <c r="L44" s="249"/>
      <c r="T44" s="269"/>
    </row>
    <row r="45" spans="1:24" x14ac:dyDescent="0.3">
      <c r="L45" s="249"/>
    </row>
    <row r="46" spans="1:24" ht="15" customHeight="1" x14ac:dyDescent="0.3"/>
    <row r="48" spans="1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1">
    <mergeCell ref="B19:H19"/>
  </mergeCells>
  <phoneticPr fontId="32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46107</v>
      </c>
    </row>
    <row r="6" spans="2:31" ht="16.2" thickBot="1" x14ac:dyDescent="0.35">
      <c r="B6" s="140" t="s">
        <v>2</v>
      </c>
      <c r="C6" s="139" t="str">
        <f>'2229'!C10</f>
        <v>NELSON RIVAS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9" t="s">
        <v>98</v>
      </c>
      <c r="I7" s="440"/>
      <c r="J7" s="440"/>
      <c r="K7" s="441"/>
      <c r="N7" s="75"/>
      <c r="O7" s="4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12067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-9467.3037834541083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135568.29</v>
      </c>
      <c r="E11" s="132">
        <f>D11*0.19</f>
        <v>25757.975100000003</v>
      </c>
      <c r="F11" s="131">
        <f>E11+D11</f>
        <v>161326.26510000002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96522.696216545897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47736.040787439619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78522.696216545897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87832.249212560389</v>
      </c>
      <c r="E13" s="221">
        <f>(D11/D12)-1</f>
        <v>1.8399567237606127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69522.696216545897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30522.69621654589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78764.467299275362</v>
      </c>
      <c r="F15" s="216">
        <f>E15-D12</f>
        <v>31028.426511835743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30522.69621654589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70522.696216545897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11750</v>
      </c>
      <c r="E19" s="123">
        <f>D19*0.19</f>
        <v>2232.5</v>
      </c>
      <c r="F19" s="120">
        <f>SUM(D19:E19)</f>
        <v>13982.5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6151.95</v>
      </c>
      <c r="E20" s="121">
        <f>D20*0.19</f>
        <v>1168.8705</v>
      </c>
      <c r="F20" s="120">
        <f>SUM(D20:E20)</f>
        <v>7320.8204999999998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17901.95</v>
      </c>
      <c r="E21" s="116">
        <f>SUM(E18:E20)</f>
        <v>3401.3705</v>
      </c>
      <c r="F21" s="115">
        <f>SUM(F18:F20)</f>
        <v>21303.320500000002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22356.604600000002</v>
      </c>
    </row>
    <row r="41" spans="2:16" ht="15" thickBot="1" x14ac:dyDescent="0.35">
      <c r="H41" s="442" t="s">
        <v>60</v>
      </c>
      <c r="I41" s="443"/>
      <c r="J41" s="443"/>
      <c r="K41" s="443"/>
      <c r="L41" s="443"/>
      <c r="M41" s="4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135568.29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17901.95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87832.249212560389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87832.249212560389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12067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NELSON RIVAS</v>
      </c>
      <c r="D10" s="350"/>
      <c r="E10" s="350"/>
      <c r="F10" s="351" t="s">
        <v>167</v>
      </c>
      <c r="G10" s="352">
        <f>'2229'!G10</f>
        <v>46107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46114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+56 9 9909 6189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5" t="s">
        <v>175</v>
      </c>
      <c r="G17" s="445"/>
      <c r="H17" s="446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7" t="s">
        <v>176</v>
      </c>
      <c r="C20" s="448"/>
      <c r="D20" s="448"/>
      <c r="E20" s="448"/>
      <c r="F20" s="448"/>
      <c r="G20" s="448"/>
      <c r="H20" s="449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tr">
        <f>'2229'!C21</f>
        <v>CUB CON RESPALDO FTE 90°</v>
      </c>
      <c r="D22" s="321">
        <f>'2229'!D21*1000</f>
        <v>2710</v>
      </c>
      <c r="E22" s="321">
        <f>'2229'!E21*1000</f>
        <v>525</v>
      </c>
      <c r="F22" s="322" t="str">
        <f>'2229'!F21</f>
        <v>GALAXIA GRAFITO 0491 MT</v>
      </c>
      <c r="G22" s="314">
        <f>'2229'!G21</f>
        <v>135568.29</v>
      </c>
      <c r="H22" s="323">
        <f>G22*B22</f>
        <v>135568.29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135568.29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25757.975100000003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161326.26510000002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0" t="s">
        <v>182</v>
      </c>
      <c r="C2" s="450"/>
      <c r="D2" s="450"/>
      <c r="E2" s="361"/>
      <c r="G2" s="450" t="s">
        <v>183</v>
      </c>
      <c r="H2" s="450"/>
      <c r="I2" s="450"/>
      <c r="P2" s="451" t="s">
        <v>184</v>
      </c>
      <c r="Q2" s="451"/>
      <c r="R2" s="451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1" t="s">
        <v>184</v>
      </c>
      <c r="M8" s="451"/>
      <c r="N8" s="451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6" t="s">
        <v>265</v>
      </c>
      <c r="L3" s="456"/>
      <c r="M3" s="456" t="s">
        <v>266</v>
      </c>
      <c r="N3" s="456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NELSON RIVAS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46107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46114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7" t="s">
        <v>265</v>
      </c>
      <c r="B10" s="457"/>
      <c r="C10" s="457"/>
      <c r="D10" s="457"/>
      <c r="E10" s="457"/>
      <c r="F10" s="457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7" t="s">
        <v>266</v>
      </c>
      <c r="B17" s="457"/>
      <c r="C17" s="457"/>
      <c r="D17" s="457"/>
      <c r="E17" s="457"/>
      <c r="F17" s="457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7" t="s">
        <v>272</v>
      </c>
      <c r="B45" s="457"/>
      <c r="C45" s="457"/>
      <c r="D45" s="457"/>
      <c r="E45" s="457"/>
      <c r="F45" s="457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2" t="s">
        <v>95</v>
      </c>
      <c r="C47" s="453"/>
      <c r="D47" s="454"/>
      <c r="E47" s="454"/>
      <c r="F47" s="455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12067</v>
      </c>
      <c r="C2" s="1">
        <f>'NOTA DE VENTA'!$G$10</f>
        <v>46107</v>
      </c>
      <c r="D2" s="1">
        <f>'NOTA DE VENTA'!$G$11</f>
        <v>46114</v>
      </c>
      <c r="E2" t="str">
        <f>'NOTA DE VENTA'!$C$10</f>
        <v>NELSON RIVAS</v>
      </c>
      <c r="F2" t="str">
        <f>'NOTA DE VENTA'!$C$22</f>
        <v>CUB CON RESPALDO FTE 90°</v>
      </c>
      <c r="G2" t="str">
        <f>'NOTA DE VENTA'!$F$22</f>
        <v>GALAXIA GRAFITO 0491 MT</v>
      </c>
      <c r="H2" s="416">
        <f>'NOTA DE VENTA'!$H$25</f>
        <v>135568.29</v>
      </c>
      <c r="I2" s="416">
        <f>H2*0.19</f>
        <v>25757.975100000003</v>
      </c>
      <c r="J2" s="416">
        <f>I2+H2</f>
        <v>161326.26510000002</v>
      </c>
      <c r="L2" s="61">
        <f>J2-K2</f>
        <v>161326.26510000002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2026-03-26T19:56:52Z</cp:lastPrinted>
  <dcterms:created xsi:type="dcterms:W3CDTF">2013-03-18T13:35:42Z</dcterms:created>
  <dcterms:modified xsi:type="dcterms:W3CDTF">2026-03-26T19:57:20Z</dcterms:modified>
</cp:coreProperties>
</file>