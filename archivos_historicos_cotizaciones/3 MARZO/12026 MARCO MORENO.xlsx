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38EEF3CC-4D07-4BBE-88BA-26762306CE12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S22" i="1"/>
  <c r="L21" i="1"/>
  <c r="M21" i="1"/>
  <c r="S21" i="1" s="1"/>
  <c r="N21" i="1"/>
  <c r="D27" i="6"/>
  <c r="C27" i="6"/>
  <c r="C49" i="6"/>
  <c r="O21" i="1" l="1"/>
  <c r="P21" i="1" s="1"/>
  <c r="P26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 l="1"/>
  <c r="S27" i="1"/>
  <c r="T21" i="1"/>
  <c r="T25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H22" i="1" s="1"/>
  <c r="Q21" i="1"/>
  <c r="G21" i="1" s="1"/>
  <c r="O40" i="1"/>
  <c r="E15" i="3"/>
  <c r="R21" i="1" l="1"/>
  <c r="F15" i="3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<sst xmlns="http://schemas.openxmlformats.org/spreadsheetml/2006/main" count="489" uniqueCount="295">
  <si>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</si>
  <si>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</si>
  <si>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</si>
  <si>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</si>
  <si>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</si>
  <si>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</si>
  <si>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</si>
  <si>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</si>
  <si>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</si>
  <si>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</si>
  <si>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</si>
  <si>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</si>
  <si>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</si>
  <si>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</si>
  <si>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</si>
  <si>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</si>
  <si>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</si>
  <si>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</si>
  <si>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</si>
  <si>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</si>
  <si>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</si>
  <si>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</si>
  <si>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</si>
  <si>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</si>
  <si>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</si>
  <si>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</si>
  <si>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</si>
  <si>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</si>
  <si>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</si>
  <si>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</si>
  <si>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</si>
  <si>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</si>
  <si>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</si>
  <si>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</si>
  <si>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</si>
  <si>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</si>
  <si>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</si>
  <si>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</si>
  <si>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</si>
  <si>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</si>
  <si>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</si>
  <si>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</si>
  <si>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</si>
  <si>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</si>
  <si>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</si>
  <si>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</si>
  <si>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</si>
  <si>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</si>
  <si>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</si>
  <si>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</si>
  <si>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</si>
  <si>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</si>
  <si>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</si>
  <si>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</si>
  <si>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</si>
  <si>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</si>
  <si>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</si>
  <si>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</si>
  <si>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</si>
  <si>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</si>
  <si>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</si>
  <si>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</si>
  <si>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</si>
  <si>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</si>
  <si>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</si>
  <si>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</si>
  <si>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</si>
  <si>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</si>
  <si>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</si>
  <si>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</si>
  <si>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</si>
  <si>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</si>
  <si>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</si>
  <si>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</si>
  <si>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</si>
  <si>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</si>
  <si>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</si>
  <si>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</si>
  <si>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</si>
  <si>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</si>
  <si>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</si>
  <si>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</si>
  <si>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</si>
  <si>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</si>
  <si>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</si>
  <si>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</si>
  <si>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</si>
  <si>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</si>
  <si>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</si>
  <si>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</si>
  <si>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</si>
  <si>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</si>
  <si>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</si>
  <si>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</si>
  <si>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</si>
  <si>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</si>
  <si>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</si>
  <si>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</si>
  <si>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</si>
  <si>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</si>
  <si>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</si>
  <si>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</si>
  <si>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</si>
  <si>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</si>
  <si>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</si>
  <si>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</si>
  <si>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</si>
  <si>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</si>
  <si>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</si>
  <si>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</si>
  <si>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</si>
  <si>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</si>
  <si>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</si>
  <si>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</si>
  <si>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</si>
  <si>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</si>
  <si>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</si>
  <si>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</si>
  <si>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</si>
  <si>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</si>
  <si>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</si>
  <si>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</si>
  <si>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</si>
  <si>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</si>
  <si>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</si>
  <si>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</si>
  <si>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</si>
  <si>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</si>
  <si>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</si>
  <si>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</si>
  <si>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</si>
  <si>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</si>
  <si>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</si>
  <si>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</si>
  <si>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</si>
  <si>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</si>
  <si>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</si>
  <si>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</si>
  <si>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</si>
  <si>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</si>
  <si>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</si>
  <si>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</si>
  <si>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</si>
  <si>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</si>
  <si>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</si>
  <si>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</si>
  <si>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</si>
  <si>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</si>
  <si>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</si>
  <si>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</si>
  <si>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</si>
  <si>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</si>
  <si>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</si>
  <si>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</si>
  <si>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</si>
  <si>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</si>
  <si>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</si>
  <si>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</si>
  <si>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</si>
  <si>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</si>
  <si>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</si>
  <si>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</si>
  <si>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</si>
  <si>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</si>
  <si>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</si>
  <si>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</si>
  <si>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</si>
  <si>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</si>
  <si>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</si>
  <si>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</si>
  <si>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</si>
  <si>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</si>
  <si>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</si>
  <si>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</si>
  <si>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</si>
  <si>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</si>
  <si>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</si>
  <si>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</si>
  <si>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</si>
  <si>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</si>
  <si>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</si>
  <si>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</si>
  <si>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</si>
  <si>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</si>
  <si>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</si>
  <si>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</si>
  <si>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</si>
  <si>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</si>
  <si>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</si>
  <si>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</si>
  <si>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</si>
  <si>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</si>
  <si>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</si>
  <si>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</si>
  <si>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</si>
  <si>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</si>
  <si>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</si>
  <si>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</si>
  <si>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</si>
  <si>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</si>
  <si>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</si>
  <si>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</si>
  <si>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</si>
  <si>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</si>
  <si>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</si>
  <si>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</si>
  <si>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</si>
  <si>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</si>
  <si>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</si>
  <si>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</si>
  <si>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</si>
  <si>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</si>
  <si>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</si>
  <si>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</si>
  <si>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</si>
  <si>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</si>
  <si>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</si>
  <si>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</si>
  <si>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</si>
  <si>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</si>
  <si>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</si>
  <si>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</si>
  <si>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</si>
  <si>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</si>
  <si>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</si>
  <si>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</si>
  <si>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</si>
  <si>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</si>
  <si>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</si>
  <si>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</si>
  <si>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</si>
  <si>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</si>
  <si>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</si>
  <si>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</si>
  <si>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</si>
  <si>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</si>
  <si>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</si>
  <si>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</si>
  <si>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</si>
  <si>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</si>
  <si>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</si>
  <si>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</si>
  <si>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</si>
  <si>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</si>
  <si>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</si>
  <si>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</si>
  <si>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</si>
  <si>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</si>
  <si>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</si>
  <si>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</si>
  <si>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</si>
  <si>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</si>
  <si>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</si>
  <si>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</si>
  <si>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</si>
  <si>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</si>
  <si>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</si>
  <si>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</si>
  <si>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</si>
  <si>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</si>
  <si>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</si>
  <si>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</si>
  <si>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</si>
  <si>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</si>
  <si>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</si>
  <si>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</si>
  <si>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</si>
  <si>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</si>
  <si>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</si>
  <si>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</si>
  <si>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</si>
  <si>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</si>
  <si>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</si>
  <si>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</si>
  <si>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</si>
  <si>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</si>
  <si>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</si>
  <si>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</si>
  <si>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</si>
  <si>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</si>
  <si>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</si>
  <si>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</si>
  <si>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</si>
  <si>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</si>
  <si>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</si>
  <si>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</si>
  <si>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</si>
  <si>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</si>
  <si>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</si>
  <si>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THAI SAMOA TEAK 10845 SF</t>
  </si>
  <si>
    <t>N° 12026</t>
  </si>
  <si>
    <t>5 DIAS HABILES</t>
  </si>
  <si>
    <t>MARCO MORENO</t>
  </si>
  <si>
    <t>+569 5667 1283</t>
  </si>
  <si>
    <t>CUB MESA 2 LADOS FTE 180°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</si>
</sst>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20771</xdr:colOff>
      <xdr:row>23</xdr:row>
      <xdr:rowOff>1</xdr:rowOff>
    </xdr:from>
    <xdr:to>
      <xdr:col>5</xdr:col>
      <xdr:colOff>1732649</xdr:colOff>
      <xdr:row>27</xdr:row>
      <xdr:rowOff>20485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0448" y="4619114"/>
          <a:ext cx="6484620" cy="90129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LARGO.</a:t>
          </a:r>
        </a:p>
        <a:p>
          <a:pPr algn="l"/>
          <a:r>
            <a:rPr lang="es-CL" sz="1200" b="1" baseline="0"/>
            <a:t>CUB MESA INCLUYE CORTE EN LA ESQUINA + ENCHAPE.</a:t>
          </a:r>
        </a:p>
        <a:p>
          <a:pPr algn="l"/>
          <a:r>
            <a:rPr lang="es-CL" sz="1200" b="1" baseline="0"/>
            <a:t>CUB C/R ENCHAPADA CON REGRUESO EN EL LADO DERECHO, RESPALDO DE 9cm DESDE LA BASE.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2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292</v>
      </c>
      <c r="D10" s="243"/>
      <c r="E10" s="243"/>
      <c r="F10" s="417" t="s">
        <v>277</v>
      </c>
      <c r="G10" s="275">
        <v>46090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291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77182.137190853959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288</v>
      </c>
      <c r="D21" s="432">
        <v>1.93</v>
      </c>
      <c r="E21" s="432">
        <v>0.55000000000000004</v>
      </c>
      <c r="F21" s="313" t="s">
        <v>289</v>
      </c>
      <c r="G21" s="314">
        <f>Q21</f>
        <v>85324.852664489052</v>
      </c>
      <c r="H21" s="433">
        <f>G21*B21</f>
        <v>85324.852664489052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2.0099999999999998</v>
      </c>
      <c r="N21" s="39">
        <f t="shared" ref="N21" si="2">E21+$N$19</f>
        <v>0.55000000000000004</v>
      </c>
      <c r="O21" s="260">
        <f t="shared" ref="O21" si="3">M21*N21</f>
        <v>1.1054999999999999</v>
      </c>
      <c r="P21" s="258">
        <f t="shared" ref="P21" si="4">O21*L21</f>
        <v>1.1054999999999999</v>
      </c>
      <c r="Q21" s="251">
        <f t="shared" ref="Q21" si="5">Q$20*O21</f>
        <v>85324.852664489052</v>
      </c>
      <c r="R21" s="305">
        <f t="shared" ref="R21" si="6">Q21+R$20</f>
        <v>88324.852664489052</v>
      </c>
      <c r="S21" s="290">
        <f t="shared" ref="S21" si="7">M21*L21</f>
        <v>2.0099999999999998</v>
      </c>
      <c r="T21" s="46">
        <f>N21*2*L21*2</f>
        <v>2.2000000000000002</v>
      </c>
      <c r="U21" s="9"/>
      <c r="X21" s="4"/>
    </row>
    <row r="22" spans="1:25" ht="18" thickBot="1" x14ac:dyDescent="0.35">
      <c r="B22" s="434">
        <v>1</v>
      </c>
      <c r="C22" s="435" t="s">
        <v>294</v>
      </c>
      <c r="D22" s="436">
        <v>1.7350000000000001</v>
      </c>
      <c r="E22" s="436">
        <v>0.36499999999999999</v>
      </c>
      <c r="F22" s="437" t="s">
        <v>289</v>
      </c>
      <c r="G22" s="438">
        <v>65615</v>
      </c>
      <c r="H22" s="439">
        <f>G22*B22</f>
        <v>65615</v>
      </c>
      <c r="I22" s="306"/>
      <c r="J22" s="264"/>
      <c r="K22" s="47"/>
      <c r="L22" s="47">
        <f t="shared" ref="L22" si="8">B22</f>
        <v>1</v>
      </c>
      <c r="M22" s="39">
        <f t="shared" ref="M22" si="9">D22+M$19</f>
        <v>1.8150000000000002</v>
      </c>
      <c r="N22" s="39">
        <f t="shared" ref="N22" si="10">E22+$N$19</f>
        <v>0.36499999999999999</v>
      </c>
      <c r="O22" s="260">
        <f t="shared" ref="O22" si="11">M22*N22</f>
        <v>0.66247500000000004</v>
      </c>
      <c r="P22" s="258">
        <f t="shared" ref="P22" si="12">O22*L22</f>
        <v>0.66247500000000004</v>
      </c>
      <c r="Q22" s="251">
        <f t="shared" ref="Q22" si="13">Q$20*O22</f>
        <v>51131.236335510977</v>
      </c>
      <c r="R22" s="305">
        <f t="shared" ref="R22" si="14">Q22+R$20</f>
        <v>54131.236335510977</v>
      </c>
      <c r="S22" s="290">
        <f t="shared" ref="S22" si="15">M22*L22</f>
        <v>1.8150000000000002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SUM(H21:H22)</f>
        <v>150939.85266448907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2.2000000000000002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28678.572006252922</v>
      </c>
      <c r="I26" s="308"/>
      <c r="J26" s="264"/>
      <c r="K26" s="47"/>
      <c r="L26" s="47"/>
      <c r="M26" s="39">
        <f>SUM(M21:M25)</f>
        <v>3.8250000000000002</v>
      </c>
      <c r="N26" s="12"/>
      <c r="O26" s="12"/>
      <c r="P26" s="252">
        <f>SUM(P21:P22)</f>
        <v>1.7679749999999999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179618.42467074198</v>
      </c>
      <c r="I27" s="308"/>
      <c r="J27" s="264"/>
      <c r="K27" s="47"/>
      <c r="L27" s="47"/>
      <c r="M27" s="39"/>
      <c r="N27" s="12"/>
      <c r="O27" s="12"/>
      <c r="P27" s="252">
        <f>P26</f>
        <v>1.7679749999999999</v>
      </c>
      <c r="Q27" s="14"/>
      <c r="R27" s="12"/>
      <c r="S27" s="239">
        <f>SUM(S21:S26)</f>
        <v>3.8250000000000002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0.35359499999999999</v>
      </c>
      <c r="Q28" s="39" t="s">
        <v>129</v>
      </c>
      <c r="R28" s="42"/>
      <c r="S28" s="240">
        <f>S27+T25</f>
        <v>6.0250000000000004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2.1215699999999997</v>
      </c>
      <c r="Q29" s="14"/>
      <c r="R29" s="14"/>
      <c r="S29" s="238">
        <f>S28*20%</f>
        <v>1.2050000000000001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7.23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2.1215699999999997</v>
      </c>
      <c r="N31" s="12">
        <v>3500</v>
      </c>
      <c r="O31" s="12">
        <f t="shared" ref="O31:O36" si="16">M31*N31</f>
        <v>7425.494999999999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23500</v>
      </c>
      <c r="O32" s="12">
        <f t="shared" si="16"/>
        <v>14100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41000</v>
      </c>
      <c r="O33" s="12">
        <f t="shared" si="16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37500</v>
      </c>
      <c r="O34" s="12">
        <f t="shared" si="16"/>
        <v>37500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6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2</v>
      </c>
      <c r="N36" s="12">
        <v>1500</v>
      </c>
      <c r="O36" s="12">
        <f t="shared" si="16"/>
        <v>3000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62025.494999999995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136456.08900000001</v>
      </c>
      <c r="P38" s="14" t="s">
        <v>138</v>
      </c>
      <c r="Q38" s="14"/>
      <c r="R38" s="40">
        <f>P29/R37</f>
        <v>0.57203677739430536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42800</v>
      </c>
      <c r="L39" s="249"/>
      <c r="M39" s="14"/>
      <c r="N39" s="12"/>
      <c r="O39" s="12">
        <f>O38/P27</f>
        <v>77182.137190853959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35966.386554621851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46090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-11032.756019202285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150939.85266448907</v>
      </c>
      <c r="E11" s="132">
        <f>D11*0.19</f>
        <v>28678.572006252922</v>
      </c>
      <c r="F11" s="131">
        <f>E11+D11</f>
        <v>179618.42467074198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94957.243980797721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51359.585787439617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76957.243980797721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99580.266877049449</v>
      </c>
      <c r="E13" s="221">
        <f>(D11/D12)-1</f>
        <v>1.9388837614302288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67957.243980797721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28957.243980797713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84743.316549275361</v>
      </c>
      <c r="F15" s="216">
        <f>E15-D12</f>
        <v>33383.730761835744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28957.243980797713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68957.243980797721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7425.494999999999</v>
      </c>
      <c r="E20" s="121">
        <f>D20*0.19</f>
        <v>1410.8440499999999</v>
      </c>
      <c r="F20" s="120">
        <f>SUM(D20:E20)</f>
        <v>8836.3390499999987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21525.494999999999</v>
      </c>
      <c r="E21" s="116">
        <f>SUM(E18:E20)</f>
        <v>4089.8440499999997</v>
      </c>
      <c r="F21" s="115">
        <f>SUM(F18:F20)</f>
        <v>25615.339049999999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24588.727956252922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150939.85266448907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21525.494999999999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99580.266877049449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99580.266877049449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MARCO MORENO</v>
      </c>
      <c r="D10" s="350"/>
      <c r="E10" s="350"/>
      <c r="F10" s="351" t="s">
        <v>167</v>
      </c>
      <c r="G10" s="352">
        <f>'2229'!G10</f>
        <v>46090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+569 5667 1283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1930</v>
      </c>
      <c r="E22" s="321">
        <f>'2229'!E21*1000</f>
        <v>550</v>
      </c>
      <c r="F22" s="322" t="str">
        <f>'2229'!F21</f>
        <v>THAI SAMOA TEAK 10845 SF</v>
      </c>
      <c r="G22" s="314">
        <f>'2229'!G21</f>
        <v>85324.852664489052</v>
      </c>
      <c r="H22" s="323">
        <f>G22*B22</f>
        <v>85324.852664489052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85324.852664489052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16211.72200625292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101536.57467074197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MARCO MORENO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520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520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680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550</v>
      </c>
      <c r="F27" s="383" t="str">
        <f t="shared" si="3"/>
        <v>THAI SAMOA TEAK 10845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550</v>
      </c>
      <c r="F49" s="430" t="str">
        <f>'NOTA DE VENTA'!F22</f>
        <v>THAI SAMOA TEAK 10845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12026</v>
      </c>
      <c r="C2" s="1">
        <f>'NOTA DE VENTA'!$G$10</f>
        <v>46090</v>
      </c>
      <c r="D2" s="1">
        <f>'NOTA DE VENTA'!$G$11</f>
        <v>46097</v>
      </c>
      <c r="E2" t="str">
        <f>'NOTA DE VENTA'!$C$10</f>
        <v>MARCO MORENO</v>
      </c>
      <c r="F2" t="str">
        <f>'NOTA DE VENTA'!$C$22</f>
        <v>CUB C/R R8</v>
      </c>
      <c r="G2" t="str">
        <f>'NOTA DE VENTA'!$F$22</f>
        <v>THAI SAMOA TEAK 10845 SF</v>
      </c>
      <c r="H2" s="415">
        <f>'NOTA DE VENTA'!$H$25</f>
        <v>85324.852664489052</v>
      </c>
      <c r="I2" s="415">
        <f>H2*0.19</f>
        <v>16211.72200625292</v>
      </c>
      <c r="J2" s="415">
        <f>I2+H2</f>
        <v>101536.57467074197</v>
      </c>
      <c r="L2" s="61">
        <f>J2-K2</f>
        <v>101536.57467074197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2026-03-09T15:09:20Z</cp:lastPrinted>
  <dcterms:created xsi:type="dcterms:W3CDTF">2013-03-18T13:35:42Z</dcterms:created>
  <dcterms:modified xsi:type="dcterms:W3CDTF">2026-03-09T15:09:27Z</dcterms:modified>
</cp:coreProperties>
</file>