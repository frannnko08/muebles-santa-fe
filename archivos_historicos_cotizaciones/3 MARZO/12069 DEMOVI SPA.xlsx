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A4486378-B6AC-4954-B799-48E275218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J21" i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<sst xmlns="http://schemas.openxmlformats.org/spreadsheetml/2006/main" count="487" uniqueCount="295">
  <si>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</si>
  <si>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</si>
  <si>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</si>
  <si>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</si>
  <si>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</si>
  <si>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</si>
  <si>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</si>
  <si>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</si>
  <si>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</si>
  <si>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</si>
  <si>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</si>
  <si>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</si>
  <si>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</si>
  <si>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</si>
  <si>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</si>
  <si>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</si>
  <si>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</si>
  <si>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</si>
  <si>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</si>
  <si>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</si>
  <si>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</si>
  <si>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</si>
  <si>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</si>
  <si>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</si>
  <si>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</si>
  <si>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</si>
  <si>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</si>
  <si>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</si>
  <si>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</si>
  <si>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</si>
  <si>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</si>
  <si>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</si>
  <si>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</si>
  <si>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</si>
  <si>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</si>
  <si>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</si>
  <si>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</si>
  <si>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</si>
  <si>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</si>
  <si>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</si>
  <si>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</si>
  <si>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</si>
  <si>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</si>
  <si>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</si>
  <si>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</si>
  <si>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</si>
  <si>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</si>
  <si>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</si>
  <si>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</si>
  <si>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</si>
  <si>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</si>
  <si>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</si>
  <si>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</si>
  <si>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</si>
  <si>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</si>
  <si>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</si>
  <si>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</si>
  <si>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</si>
  <si>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</si>
  <si>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</si>
  <si>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</si>
  <si>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</si>
  <si>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</si>
  <si>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</si>
  <si>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</si>
  <si>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</si>
  <si>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</si>
  <si>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</si>
  <si>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</si>
  <si>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</si>
  <si>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</si>
  <si>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</si>
  <si>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</si>
  <si>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</si>
  <si>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</si>
  <si>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</si>
  <si>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</si>
  <si>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</si>
  <si>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</si>
  <si>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</si>
  <si>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</si>
  <si>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</si>
  <si>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</si>
  <si>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</si>
  <si>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</si>
  <si>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</si>
  <si>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</si>
  <si>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</si>
  <si>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</si>
  <si>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</si>
  <si>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</si>
  <si>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</si>
  <si>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</si>
  <si>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</si>
  <si>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</si>
  <si>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</si>
  <si>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</si>
  <si>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</si>
  <si>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</si>
  <si>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</si>
  <si>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</si>
  <si>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</si>
  <si>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</si>
  <si>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</si>
  <si>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</si>
  <si>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</si>
  <si>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</si>
  <si>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</si>
  <si>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</si>
  <si>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</si>
  <si>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</si>
  <si>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</si>
  <si>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</si>
  <si>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</si>
  <si>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</si>
  <si>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</si>
  <si>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</si>
  <si>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</si>
  <si>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</si>
  <si>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</si>
  <si>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</si>
  <si>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</si>
  <si>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</si>
  <si>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</si>
  <si>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</si>
  <si>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</si>
  <si>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</si>
  <si>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</si>
  <si>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</si>
  <si>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</si>
  <si>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</si>
  <si>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</si>
  <si>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</si>
  <si>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</si>
  <si>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</si>
  <si>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</si>
  <si>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</si>
  <si>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</si>
  <si>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</si>
  <si>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</si>
  <si>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</si>
  <si>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</si>
  <si>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</si>
  <si>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</si>
  <si>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</si>
  <si>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</si>
  <si>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</si>
  <si>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</si>
  <si>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</si>
  <si>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</si>
  <si>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</si>
  <si>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</si>
  <si>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</si>
  <si>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</si>
  <si>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</si>
  <si>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</si>
  <si>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</si>
  <si>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</si>
  <si>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</si>
  <si>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</si>
  <si>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</si>
  <si>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</si>
  <si>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</si>
  <si>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</si>
  <si>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</si>
  <si>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</si>
  <si>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</si>
  <si>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</si>
  <si>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</si>
  <si>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</si>
  <si>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</si>
  <si>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</si>
  <si>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</si>
  <si>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</si>
  <si>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</si>
  <si>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</si>
  <si>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</si>
  <si>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</si>
  <si>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</si>
  <si>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</si>
  <si>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</si>
  <si>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</si>
  <si>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</si>
  <si>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</si>
  <si>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</si>
  <si>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</si>
  <si>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</si>
  <si>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</si>
  <si>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</si>
  <si>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</si>
  <si>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</si>
  <si>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</si>
  <si>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</si>
  <si>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</si>
  <si>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</si>
  <si>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</si>
  <si>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</si>
  <si>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</si>
  <si>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</si>
  <si>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</si>
  <si>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</si>
  <si>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</si>
  <si>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</si>
  <si>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</si>
  <si>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</si>
  <si>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</si>
  <si>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</si>
  <si>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</si>
  <si>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</si>
  <si>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</si>
  <si>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</si>
  <si>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</si>
  <si>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</si>
  <si>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</si>
  <si>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</si>
  <si>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</si>
  <si>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</si>
  <si>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</si>
  <si>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</si>
  <si>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</si>
  <si>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</si>
  <si>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</si>
  <si>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</si>
  <si>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</si>
  <si>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</si>
  <si>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</si>
  <si>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</si>
  <si>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</si>
  <si>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</si>
  <si>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</si>
  <si>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</si>
  <si>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</si>
  <si>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</si>
  <si>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</si>
  <si>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</si>
  <si>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</si>
  <si>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</si>
  <si>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</si>
  <si>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</si>
  <si>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</si>
  <si>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</si>
  <si>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</si>
  <si>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</si>
  <si>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</si>
  <si>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</si>
  <si>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</si>
  <si>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</si>
  <si>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</si>
  <si>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</si>
  <si>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</si>
  <si>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</si>
  <si>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</si>
  <si>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</si>
  <si>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</si>
  <si>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</si>
  <si>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</si>
  <si>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</si>
  <si>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</si>
  <si>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</si>
  <si>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</si>
  <si>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</si>
  <si>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</si>
  <si>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</si>
  <si>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</si>
  <si>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</si>
  <si>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</si>
  <si>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</si>
  <si>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</si>
  <si>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</si>
  <si>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</si>
  <si>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</si>
  <si>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</si>
  <si>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</si>
  <si>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</si>
  <si>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</si>
  <si>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</si>
  <si>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</si>
  <si>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</si>
  <si>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</si>
  <si>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</si>
  <si>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</si>
  <si>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</si>
  <si>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</si>
  <si>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</si>
  <si>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</si>
  <si>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</si>
  <si>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</si>
  <si>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</si>
  <si>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7 DIAS HABILES</t>
  </si>
  <si>
    <t>DEMOVI</t>
  </si>
  <si>
    <t>+569 8466 2944</t>
  </si>
  <si>
    <t>CUB C/R  DE 30CMS SEPARADO Y FRENTE 90° R8</t>
  </si>
  <si>
    <t>DOMUS PP-5862 BRILLO</t>
  </si>
  <si>
    <t>N° 12069</t>
  </si>
  <si>
    <t>NAIROBI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</si>
</sst>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167" fontId="21" fillId="0" borderId="0" xfId="0" applyNumberFormat="1" applyFont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COB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46111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294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290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0.3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92183.238636363618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0" t="s">
        <v>291</v>
      </c>
      <c r="D21" s="431">
        <v>1.52</v>
      </c>
      <c r="E21" s="431">
        <v>0.8</v>
      </c>
      <c r="F21" s="430" t="s">
        <v>292</v>
      </c>
      <c r="G21" s="432">
        <v>163233</v>
      </c>
      <c r="H21" s="432">
        <f>G21*B21</f>
        <v>163233</v>
      </c>
      <c r="I21" s="306"/>
      <c r="J21" s="457">
        <f>G21/2</f>
        <v>81616.5</v>
      </c>
      <c r="K21" s="47"/>
      <c r="L21" s="47">
        <f>B21</f>
        <v>1</v>
      </c>
      <c r="M21" s="39">
        <f>D21+M$19</f>
        <v>1.6</v>
      </c>
      <c r="N21" s="39">
        <f>E21+$N$19</f>
        <v>1.1000000000000001</v>
      </c>
      <c r="O21" s="260">
        <f t="shared" ref="O21" si="0">M21*N21</f>
        <v>1.7600000000000002</v>
      </c>
      <c r="P21" s="258">
        <f t="shared" ref="P21" si="1">O21*L21</f>
        <v>1.7600000000000002</v>
      </c>
      <c r="Q21" s="251">
        <f t="shared" ref="Q21" si="2">Q$20*O21</f>
        <v>162242.5</v>
      </c>
      <c r="R21" s="305">
        <f t="shared" ref="R21" si="3">Q21+R$20</f>
        <v>165242.5</v>
      </c>
      <c r="S21" s="290">
        <f>M21*L21</f>
        <v>1.6</v>
      </c>
      <c r="T21" s="46">
        <f>N21*2*L21*2</f>
        <v>4.4000000000000004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163233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4.4000000000000004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31014.27</v>
      </c>
      <c r="I24" s="308"/>
      <c r="J24" s="264"/>
      <c r="K24" s="47"/>
      <c r="L24" s="47"/>
      <c r="M24" s="39">
        <f>SUM(M21:M23)</f>
        <v>1.6</v>
      </c>
      <c r="N24" s="12"/>
      <c r="O24" s="12"/>
      <c r="P24" s="252">
        <f>SUM(P21:P21)</f>
        <v>1.7600000000000002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194247.27</v>
      </c>
      <c r="I25" s="308"/>
      <c r="J25" s="264"/>
      <c r="K25" s="47"/>
      <c r="L25" s="47"/>
      <c r="M25" s="39"/>
      <c r="N25" s="12"/>
      <c r="O25" s="12"/>
      <c r="P25" s="252">
        <f>P24</f>
        <v>1.7600000000000002</v>
      </c>
      <c r="Q25" s="14"/>
      <c r="R25" s="12"/>
      <c r="S25" s="239">
        <f>SUM(S21:S24)</f>
        <v>1.6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0.35200000000000009</v>
      </c>
      <c r="Q26" s="39" t="s">
        <v>129</v>
      </c>
      <c r="R26" s="42"/>
      <c r="S26" s="240">
        <f>S25+T23</f>
        <v>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2.1120000000000001</v>
      </c>
      <c r="Q27" s="14"/>
      <c r="R27" s="14"/>
      <c r="S27" s="238">
        <f>S26*20%</f>
        <v>1.2000000000000002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7.2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2.1120000000000001</v>
      </c>
      <c r="N29" s="12">
        <v>3500</v>
      </c>
      <c r="O29" s="12">
        <f t="shared" ref="O29:O34" si="4">M29*N29</f>
        <v>7392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0.7</v>
      </c>
      <c r="N30" s="12">
        <v>23500</v>
      </c>
      <c r="O30" s="12">
        <f t="shared" si="4"/>
        <v>16450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38655</v>
      </c>
      <c r="O32" s="12">
        <f t="shared" si="4"/>
        <v>38655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1.6</v>
      </c>
      <c r="N34" s="12">
        <v>1500</v>
      </c>
      <c r="O34" s="12">
        <f t="shared" si="4"/>
        <v>2400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64897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O35*2.5</f>
        <v>162242.5</v>
      </c>
      <c r="P36" s="14" t="s">
        <v>138</v>
      </c>
      <c r="Q36" s="14"/>
      <c r="R36" s="40">
        <f>P27/R35</f>
        <v>0.56945642795513374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46000</v>
      </c>
      <c r="L37" s="249"/>
      <c r="M37" s="14"/>
      <c r="N37" s="12"/>
      <c r="O37" s="12">
        <f>O36/P25</f>
        <v>92183.238636363618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38655.462184873948</v>
      </c>
      <c r="L38" s="249"/>
      <c r="M38" s="13"/>
      <c r="N38" s="14"/>
      <c r="O38" s="17">
        <f>O36/O35</f>
        <v>2.5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46111</v>
      </c>
    </row>
    <row r="6" spans="2:31" ht="16.2" thickBot="1" x14ac:dyDescent="0.35">
      <c r="B6" s="140" t="s">
        <v>2</v>
      </c>
      <c r="C6" s="139" t="str">
        <f>'2229'!C10</f>
        <v>DEMOVI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-12444.575033454108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163233</v>
      </c>
      <c r="E11" s="132">
        <f>D11*0.19</f>
        <v>31014.27</v>
      </c>
      <c r="F11" s="131">
        <f>E11+D11</f>
        <v>194247.27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93545.424966545892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53676.090787439614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75545.424966545892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109556.90921256039</v>
      </c>
      <c r="E13" s="221">
        <f>(D11/D12)-1</f>
        <v>2.0410746685411949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66545.424966545892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27545.424966545892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88565.549799275352</v>
      </c>
      <c r="F15" s="216">
        <f>E15-D12</f>
        <v>34889.459011835737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27545.424966545892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67545.424966545892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7392</v>
      </c>
      <c r="E20" s="121">
        <f>D20*0.19</f>
        <v>1404.48</v>
      </c>
      <c r="F20" s="120">
        <f>SUM(D20:E20)</f>
        <v>8796.48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23842</v>
      </c>
      <c r="E21" s="116">
        <f>SUM(E18:E20)</f>
        <v>4529.9799999999996</v>
      </c>
      <c r="F21" s="115">
        <f>SUM(F18:F20)</f>
        <v>28371.98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26484.29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163233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23842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109556.90921256039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109556.90921256039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12069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DEMOVI</v>
      </c>
      <c r="D10" s="350"/>
      <c r="E10" s="350"/>
      <c r="F10" s="351" t="s">
        <v>167</v>
      </c>
      <c r="G10" s="352">
        <f>'2229'!G10</f>
        <v>46111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NAIROBI HERNANDEZ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 DE 30CMS SEPARADO Y FRENTE 90° R8</v>
      </c>
      <c r="D22" s="321">
        <f>'2229'!D21*1000</f>
        <v>1520</v>
      </c>
      <c r="E22" s="321">
        <f>'2229'!E21*1000</f>
        <v>800</v>
      </c>
      <c r="F22" s="322" t="str">
        <f>'2229'!F21</f>
        <v>DOMUS PP-5862 BRILLO</v>
      </c>
      <c r="G22" s="314">
        <f>'2229'!G21</f>
        <v>163233</v>
      </c>
      <c r="H22" s="323">
        <f>G22*B22</f>
        <v>163233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163233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31014.27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194247.27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DEMOVI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12069</v>
      </c>
      <c r="C2" s="1">
        <f>'NOTA DE VENTA'!$G$10</f>
        <v>46111</v>
      </c>
      <c r="D2" s="1">
        <f>'NOTA DE VENTA'!$G$11</f>
        <v>46118</v>
      </c>
      <c r="E2" t="str">
        <f>'NOTA DE VENTA'!$C$10</f>
        <v>DEMOVI</v>
      </c>
      <c r="F2" t="str">
        <f>'NOTA DE VENTA'!$C$22</f>
        <v>CUB C/R  DE 30CMS SEPARADO Y FRENTE 90° R8</v>
      </c>
      <c r="G2" t="str">
        <f>'NOTA DE VENTA'!$F$22</f>
        <v>DOMUS PP-5862 BRILLO</v>
      </c>
      <c r="H2" s="416">
        <f>'NOTA DE VENTA'!$H$25</f>
        <v>163233</v>
      </c>
      <c r="I2" s="416">
        <f>H2*0.19</f>
        <v>31014.27</v>
      </c>
      <c r="J2" s="416">
        <f>I2+H2</f>
        <v>194247.27</v>
      </c>
      <c r="L2" s="61">
        <f>J2-K2</f>
        <v>194247.27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2026-03-30T13:55:12Z</dcterms:modified>
</cp:coreProperties>
</file>