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5C9F033A-F118-4D39-87D2-6FE8ED2B58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1" l="1"/>
  <c r="L22" i="1"/>
  <c r="M22" i="1"/>
  <c r="N22" i="1"/>
  <c r="O22" i="1"/>
  <c r="S22" i="1"/>
  <c r="L23" i="1"/>
  <c r="M23" i="1"/>
  <c r="N23" i="1"/>
  <c r="O23" i="1" s="1"/>
  <c r="P23" i="1" s="1"/>
  <c r="S23" i="1"/>
  <c r="L24" i="1"/>
  <c r="M24" i="1"/>
  <c r="N24" i="1"/>
  <c r="O24" i="1"/>
  <c r="P24" i="1" s="1"/>
  <c r="S24" i="1"/>
  <c r="L25" i="1"/>
  <c r="M25" i="1"/>
  <c r="N25" i="1"/>
  <c r="O25" i="1"/>
  <c r="P25" i="1"/>
  <c r="S25" i="1"/>
  <c r="D21" i="1"/>
  <c r="L21" i="1"/>
  <c r="K35" i="1"/>
  <c r="K31" i="1"/>
  <c r="K37" i="1" s="1"/>
  <c r="P22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9" i="1" s="1"/>
  <c r="L29" i="1" s="1"/>
  <c r="S21" i="1" l="1"/>
  <c r="S30" i="1" s="1"/>
  <c r="T21" i="1"/>
  <c r="T28" i="1" s="1"/>
  <c r="O21" i="1"/>
  <c r="P21" i="1" s="1"/>
  <c r="K43" i="1"/>
  <c r="S31" i="1" l="1"/>
  <c r="S32" i="1" s="1"/>
  <c r="S33" i="1" s="1"/>
  <c r="V36" i="1"/>
  <c r="V37" i="1" s="1"/>
  <c r="P30" i="1" l="1"/>
  <c r="N20" i="1"/>
  <c r="L20" i="1"/>
  <c r="P31" i="1" l="1"/>
  <c r="P32" i="1" s="1"/>
  <c r="M34" i="1" s="1"/>
  <c r="O36" i="1"/>
  <c r="R40" i="1"/>
  <c r="R41" i="1" l="1"/>
  <c r="O35" i="1" s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3" i="1" l="1"/>
  <c r="Q24" i="1"/>
  <c r="Q25" i="1"/>
  <c r="Q22" i="1"/>
  <c r="O43" i="1"/>
  <c r="E15" i="3"/>
  <c r="G23" i="1" l="1"/>
  <c r="H23" i="1" s="1"/>
  <c r="R23" i="1"/>
  <c r="G24" i="1"/>
  <c r="H24" i="1" s="1"/>
  <c r="R24" i="1"/>
  <c r="G25" i="1"/>
  <c r="H25" i="1" s="1"/>
  <c r="R25" i="1"/>
  <c r="R22" i="1"/>
  <c r="G22" i="1"/>
  <c r="H22" i="1" s="1"/>
  <c r="Q21" i="1"/>
  <c r="G21" i="1" s="1"/>
  <c r="F15" i="3"/>
  <c r="R21" i="1" l="1"/>
  <c r="H21" i="1" l="1"/>
  <c r="H28" i="1" s="1"/>
  <c r="H29" i="1" l="1"/>
  <c r="H30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<sst xmlns="http://schemas.openxmlformats.org/spreadsheetml/2006/main" count="494" uniqueCount="294">
  <si>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</si>
  <si>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</si>
  <si>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</si>
  <si>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</si>
  <si>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</si>
  <si>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</si>
  <si>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</si>
  <si>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</si>
  <si>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</si>
  <si>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</si>
  <si>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</si>
  <si>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</si>
  <si>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</si>
  <si>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</si>
  <si>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</si>
  <si>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</si>
  <si>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</si>
  <si>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</si>
  <si>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</si>
  <si>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</si>
  <si>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</si>
  <si>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</si>
  <si>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</si>
  <si>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</si>
  <si>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</si>
  <si>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</si>
  <si>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</si>
  <si>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</si>
  <si>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</si>
  <si>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</si>
  <si>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</si>
  <si>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</si>
  <si>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</si>
  <si>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</si>
  <si>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</si>
  <si>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</si>
  <si>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</si>
  <si>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</si>
  <si>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</si>
  <si>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</si>
  <si>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</si>
  <si>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</si>
  <si>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</si>
  <si>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</si>
  <si>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</si>
  <si>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</si>
  <si>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</si>
  <si>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</si>
  <si>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</si>
  <si>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</si>
  <si>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</si>
  <si>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</si>
  <si>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</si>
  <si>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</si>
  <si>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</si>
  <si>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</si>
  <si>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</si>
  <si>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</si>
  <si>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</si>
  <si>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</si>
  <si>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</si>
  <si>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</si>
  <si>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</si>
  <si>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</si>
  <si>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</si>
  <si>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</si>
  <si>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</si>
  <si>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</si>
  <si>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</si>
  <si>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</si>
  <si>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</si>
  <si>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</si>
  <si>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</si>
  <si>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</si>
  <si>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</si>
  <si>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</si>
  <si>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</si>
  <si>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</si>
  <si>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</si>
  <si>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</si>
  <si>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</si>
  <si>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</si>
  <si>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</si>
  <si>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</si>
  <si>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</si>
  <si>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</si>
  <si>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</si>
  <si>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</si>
  <si>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</si>
  <si>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</si>
  <si>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</si>
  <si>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</si>
  <si>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</si>
  <si>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</si>
  <si>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</si>
  <si>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</si>
  <si>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</si>
  <si>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</si>
  <si>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</si>
  <si>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</si>
  <si>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</si>
  <si>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</si>
  <si>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</si>
  <si>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</si>
  <si>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</si>
  <si>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</si>
  <si>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</si>
  <si>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</si>
  <si>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</si>
  <si>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</si>
  <si>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</si>
  <si>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</si>
  <si>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</si>
  <si>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</si>
  <si>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</si>
  <si>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</si>
  <si>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</si>
  <si>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</si>
  <si>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</si>
  <si>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</si>
  <si>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</si>
  <si>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</si>
  <si>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</si>
  <si>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</si>
  <si>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</si>
  <si>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</si>
  <si>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</si>
  <si>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</si>
  <si>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</si>
  <si>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</si>
  <si>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</si>
  <si>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</si>
  <si>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</si>
  <si>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</si>
  <si>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</si>
  <si>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</si>
  <si>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</si>
  <si>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</si>
  <si>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</si>
  <si>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</si>
  <si>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</si>
  <si>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</si>
  <si>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</si>
  <si>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</si>
  <si>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</si>
  <si>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</si>
  <si>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</si>
  <si>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</si>
  <si>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</si>
  <si>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</si>
  <si>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</si>
  <si>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</si>
  <si>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</si>
  <si>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</si>
  <si>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</si>
  <si>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</si>
  <si>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</si>
  <si>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</si>
  <si>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</si>
  <si>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</si>
  <si>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</si>
  <si>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</si>
  <si>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</si>
  <si>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</si>
  <si>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</si>
  <si>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</si>
  <si>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</si>
  <si>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</si>
  <si>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</si>
  <si>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</si>
  <si>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</si>
  <si>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</si>
  <si>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</si>
  <si>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</si>
  <si>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</si>
  <si>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</si>
  <si>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</si>
  <si>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</si>
  <si>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</si>
  <si>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</si>
  <si>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</si>
  <si>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</si>
  <si>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</si>
  <si>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</si>
  <si>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</si>
  <si>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</si>
  <si>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</si>
  <si>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</si>
  <si>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</si>
  <si>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</si>
  <si>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</si>
  <si>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</si>
  <si>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</si>
  <si>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</si>
  <si>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</si>
  <si>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</si>
  <si>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</si>
  <si>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</si>
  <si>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</si>
  <si>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</si>
  <si>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</si>
  <si>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</si>
  <si>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</si>
  <si>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</si>
  <si>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</si>
  <si>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</si>
  <si>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</si>
  <si>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</si>
  <si>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</si>
  <si>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</si>
  <si>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</si>
  <si>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</si>
  <si>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</si>
  <si>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</si>
  <si>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</si>
  <si>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</si>
  <si>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</si>
  <si>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</si>
  <si>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</si>
  <si>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</si>
  <si>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</si>
  <si>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</si>
  <si>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</si>
  <si>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</si>
  <si>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</si>
  <si>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</si>
  <si>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</si>
  <si>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</si>
  <si>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</si>
  <si>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</si>
  <si>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</si>
  <si>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</si>
  <si>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</si>
  <si>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</si>
  <si>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</si>
  <si>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</si>
  <si>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</si>
  <si>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</si>
  <si>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</si>
  <si>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</si>
  <si>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</si>
  <si>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</si>
  <si>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</si>
  <si>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</si>
  <si>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</si>
  <si>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</si>
  <si>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</si>
  <si>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</si>
  <si>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</si>
  <si>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</si>
  <si>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</si>
  <si>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</si>
  <si>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</si>
  <si>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</si>
  <si>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</si>
  <si>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</si>
  <si>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</si>
  <si>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</si>
  <si>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</si>
  <si>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</si>
  <si>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</si>
  <si>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</si>
  <si>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</si>
  <si>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</si>
  <si>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</si>
  <si>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</si>
  <si>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</si>
  <si>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</si>
  <si>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</si>
  <si>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</si>
  <si>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</si>
  <si>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</si>
  <si>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</si>
  <si>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</si>
  <si>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</si>
  <si>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</si>
  <si>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</si>
  <si>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</si>
  <si>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</si>
  <si>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</si>
  <si>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</si>
  <si>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</si>
  <si>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</si>
  <si>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</si>
  <si>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</si>
  <si>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</si>
  <si>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</si>
  <si>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</si>
  <si>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</si>
  <si>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ARIEL</t>
  </si>
  <si>
    <t>+569 9126 0109</t>
  </si>
  <si>
    <t>CUB SIN RESPALDO FTE 180°</t>
  </si>
  <si>
    <t>BLANCO BRILLANTE</t>
  </si>
  <si>
    <t>N° 12055A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</si>
</sst>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7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5" fontId="0" fillId="0" borderId="0" xfId="0" applyNumberFormat="1"/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215079</xdr:rowOff>
    </xdr:from>
    <xdr:to>
      <xdr:col>5</xdr:col>
      <xdr:colOff>1732649</xdr:colOff>
      <xdr:row>29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16" zoomScale="93" zoomScaleNormal="93" workbookViewId="0">
      <selection activeCell="A16" sqref="A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664062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8" t="s">
        <v>277</v>
      </c>
      <c r="G10" s="275">
        <v>46104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290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7" t="s">
        <v>95</v>
      </c>
      <c r="C19" s="448"/>
      <c r="D19" s="448"/>
      <c r="E19" s="448"/>
      <c r="F19" s="448"/>
      <c r="G19" s="448"/>
      <c r="H19" s="449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O42</f>
        <v>43160.753390256155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431" t="s">
        <v>291</v>
      </c>
      <c r="D21" s="432">
        <f>0.52+0.57+0.68</f>
        <v>1.77</v>
      </c>
      <c r="E21" s="432">
        <v>0.48</v>
      </c>
      <c r="F21" s="313" t="s">
        <v>292</v>
      </c>
      <c r="G21" s="314">
        <f>Q21</f>
        <v>38326.749010547464</v>
      </c>
      <c r="H21" s="433">
        <f>G21*B21</f>
        <v>38326.749010547464</v>
      </c>
      <c r="I21" s="306"/>
      <c r="J21" s="264"/>
      <c r="K21" s="47"/>
      <c r="L21" s="47">
        <f>B21</f>
        <v>1</v>
      </c>
      <c r="M21" s="39">
        <f>D21+M$19</f>
        <v>1.85</v>
      </c>
      <c r="N21" s="39">
        <f>E21+$N$19</f>
        <v>0.48</v>
      </c>
      <c r="O21" s="260">
        <f t="shared" ref="O21" si="0">M21*N21</f>
        <v>0.88800000000000001</v>
      </c>
      <c r="P21" s="258">
        <f t="shared" ref="P21" si="1">O21*L21</f>
        <v>0.88800000000000001</v>
      </c>
      <c r="Q21" s="251">
        <f t="shared" ref="Q21" si="2">Q$20*O21</f>
        <v>38326.749010547464</v>
      </c>
      <c r="R21" s="305">
        <f t="shared" ref="R21" si="3">Q21+R$20</f>
        <v>41326.749010547464</v>
      </c>
      <c r="S21" s="290">
        <f>M21*L21</f>
        <v>1.85</v>
      </c>
      <c r="T21" s="46">
        <f>N21*2*L21*2</f>
        <v>1.92</v>
      </c>
      <c r="U21" s="9"/>
      <c r="X21" s="4"/>
    </row>
    <row r="22" spans="2:25" ht="17.399999999999999" x14ac:dyDescent="0.3">
      <c r="B22" s="439">
        <v>1</v>
      </c>
      <c r="C22" s="436" t="s">
        <v>291</v>
      </c>
      <c r="D22" s="437">
        <v>2.0699999999999998</v>
      </c>
      <c r="E22" s="437">
        <v>0.52</v>
      </c>
      <c r="F22" s="435" t="s">
        <v>292</v>
      </c>
      <c r="G22" s="438">
        <f t="shared" ref="G22:G25" si="4">Q22</f>
        <v>48253.722290306374</v>
      </c>
      <c r="H22" s="440">
        <f t="shared" ref="H22:H25" si="5">G22*B22</f>
        <v>48253.722290306374</v>
      </c>
      <c r="I22" s="306"/>
      <c r="J22" s="264"/>
      <c r="K22" s="47"/>
      <c r="L22" s="47">
        <f t="shared" ref="L22:L25" si="6">B22</f>
        <v>1</v>
      </c>
      <c r="M22" s="39">
        <f t="shared" ref="M22:M25" si="7">D22+M$19</f>
        <v>2.15</v>
      </c>
      <c r="N22" s="39">
        <f t="shared" ref="N22:N25" si="8">E22+$N$19</f>
        <v>0.52</v>
      </c>
      <c r="O22" s="260">
        <f t="shared" ref="O22:O25" si="9">M22*N22</f>
        <v>1.1179999999999999</v>
      </c>
      <c r="P22" s="258">
        <f t="shared" ref="P22:P25" si="10">O22*L22</f>
        <v>1.1179999999999999</v>
      </c>
      <c r="Q22" s="251">
        <f t="shared" ref="Q22:Q25" si="11">Q$20*O22</f>
        <v>48253.722290306374</v>
      </c>
      <c r="R22" s="305">
        <f t="shared" ref="R22:R25" si="12">Q22+R$20</f>
        <v>51253.722290306374</v>
      </c>
      <c r="S22" s="290">
        <f t="shared" ref="S22:S25" si="13">M22*L22</f>
        <v>2.15</v>
      </c>
      <c r="T22" s="46"/>
      <c r="U22" s="9"/>
      <c r="X22" s="4"/>
    </row>
    <row r="23" spans="2:25" ht="17.399999999999999" x14ac:dyDescent="0.3">
      <c r="B23" s="439">
        <v>1</v>
      </c>
      <c r="C23" s="436" t="s">
        <v>291</v>
      </c>
      <c r="D23" s="437">
        <v>0.88</v>
      </c>
      <c r="E23" s="437">
        <v>0.25</v>
      </c>
      <c r="F23" s="435" t="s">
        <v>292</v>
      </c>
      <c r="G23" s="438">
        <f t="shared" si="4"/>
        <v>10358.580813661478</v>
      </c>
      <c r="H23" s="440">
        <f t="shared" si="5"/>
        <v>10358.580813661478</v>
      </c>
      <c r="I23" s="306"/>
      <c r="J23" s="264"/>
      <c r="K23" s="47"/>
      <c r="L23" s="47">
        <f t="shared" si="6"/>
        <v>1</v>
      </c>
      <c r="M23" s="39">
        <f t="shared" si="7"/>
        <v>0.96</v>
      </c>
      <c r="N23" s="39">
        <f t="shared" si="8"/>
        <v>0.25</v>
      </c>
      <c r="O23" s="260">
        <f t="shared" si="9"/>
        <v>0.24</v>
      </c>
      <c r="P23" s="258">
        <f t="shared" si="10"/>
        <v>0.24</v>
      </c>
      <c r="Q23" s="251">
        <f t="shared" si="11"/>
        <v>10358.580813661478</v>
      </c>
      <c r="R23" s="305">
        <f t="shared" si="12"/>
        <v>13358.580813661478</v>
      </c>
      <c r="S23" s="290">
        <f t="shared" si="13"/>
        <v>0.96</v>
      </c>
      <c r="T23" s="46"/>
      <c r="U23" s="9"/>
      <c r="X23" s="4"/>
    </row>
    <row r="24" spans="2:25" ht="17.399999999999999" x14ac:dyDescent="0.3">
      <c r="B24" s="439">
        <v>1</v>
      </c>
      <c r="C24" s="436" t="s">
        <v>291</v>
      </c>
      <c r="D24" s="437">
        <v>2.27</v>
      </c>
      <c r="E24" s="437">
        <v>0.52</v>
      </c>
      <c r="F24" s="435" t="s">
        <v>292</v>
      </c>
      <c r="G24" s="438">
        <f t="shared" si="4"/>
        <v>52742.440642893031</v>
      </c>
      <c r="H24" s="440">
        <f t="shared" si="5"/>
        <v>52742.440642893031</v>
      </c>
      <c r="I24" s="306"/>
      <c r="J24" s="264"/>
      <c r="K24" s="47"/>
      <c r="L24" s="47">
        <f t="shared" si="6"/>
        <v>1</v>
      </c>
      <c r="M24" s="39">
        <f t="shared" si="7"/>
        <v>2.35</v>
      </c>
      <c r="N24" s="39">
        <f t="shared" si="8"/>
        <v>0.52</v>
      </c>
      <c r="O24" s="260">
        <f t="shared" si="9"/>
        <v>1.2220000000000002</v>
      </c>
      <c r="P24" s="258">
        <f t="shared" si="10"/>
        <v>1.2220000000000002</v>
      </c>
      <c r="Q24" s="251">
        <f t="shared" si="11"/>
        <v>52742.440642893031</v>
      </c>
      <c r="R24" s="305">
        <f t="shared" si="12"/>
        <v>55742.440642893031</v>
      </c>
      <c r="S24" s="290">
        <f t="shared" si="13"/>
        <v>2.35</v>
      </c>
      <c r="T24" s="46"/>
      <c r="U24" s="9"/>
      <c r="X24" s="4"/>
    </row>
    <row r="25" spans="2:25" ht="18" thickBot="1" x14ac:dyDescent="0.35">
      <c r="B25" s="441">
        <v>1</v>
      </c>
      <c r="C25" s="442" t="s">
        <v>291</v>
      </c>
      <c r="D25" s="443">
        <v>2.65</v>
      </c>
      <c r="E25" s="443">
        <v>0.48</v>
      </c>
      <c r="F25" s="444" t="s">
        <v>292</v>
      </c>
      <c r="G25" s="445">
        <f t="shared" si="4"/>
        <v>56557.851242591663</v>
      </c>
      <c r="H25" s="446">
        <f t="shared" si="5"/>
        <v>56557.851242591663</v>
      </c>
      <c r="I25" s="306"/>
      <c r="J25" s="264"/>
      <c r="K25" s="47"/>
      <c r="L25" s="47">
        <f t="shared" si="6"/>
        <v>1</v>
      </c>
      <c r="M25" s="39">
        <f t="shared" si="7"/>
        <v>2.73</v>
      </c>
      <c r="N25" s="39">
        <f t="shared" si="8"/>
        <v>0.48</v>
      </c>
      <c r="O25" s="260">
        <f t="shared" si="9"/>
        <v>1.3104</v>
      </c>
      <c r="P25" s="258">
        <f t="shared" si="10"/>
        <v>1.3104</v>
      </c>
      <c r="Q25" s="251">
        <f t="shared" si="11"/>
        <v>56557.851242591663</v>
      </c>
      <c r="R25" s="305">
        <f t="shared" si="12"/>
        <v>59557.851242591663</v>
      </c>
      <c r="S25" s="290">
        <f t="shared" si="13"/>
        <v>2.73</v>
      </c>
      <c r="T25" s="46"/>
      <c r="U25" s="9"/>
      <c r="X25" s="4"/>
    </row>
    <row r="26" spans="2:25" ht="17.399999999999999" x14ac:dyDescent="0.3">
      <c r="B26" s="283"/>
      <c r="C26" s="325"/>
      <c r="D26" s="284"/>
      <c r="E26" s="284"/>
      <c r="F26" s="283"/>
      <c r="G26" s="306"/>
      <c r="H26" s="306"/>
      <c r="I26" s="306"/>
      <c r="J26" s="264"/>
      <c r="K26" s="47"/>
      <c r="L26" s="47"/>
      <c r="M26" s="39"/>
      <c r="N26" s="39"/>
      <c r="O26" s="260"/>
      <c r="P26" s="258"/>
      <c r="Q26" s="251"/>
      <c r="R26" s="305"/>
      <c r="S26" s="290"/>
      <c r="T26" s="46"/>
      <c r="U26" s="9"/>
      <c r="X26" s="4"/>
    </row>
    <row r="27" spans="2:25" ht="18" thickBot="1" x14ac:dyDescent="0.35">
      <c r="B27" s="283"/>
      <c r="C27" s="325"/>
      <c r="D27" s="284"/>
      <c r="E27" s="284"/>
      <c r="F27" s="283"/>
      <c r="G27" s="264"/>
      <c r="H27" s="307"/>
      <c r="I27" s="309"/>
      <c r="J27" s="233"/>
      <c r="K27" s="47"/>
      <c r="L27" s="47"/>
      <c r="M27" s="39"/>
      <c r="N27" s="39"/>
      <c r="O27" s="260"/>
      <c r="P27" s="258"/>
      <c r="Q27" s="251"/>
      <c r="R27" s="257"/>
      <c r="S27" s="290"/>
      <c r="T27" s="14"/>
      <c r="U27" s="9"/>
      <c r="X27" s="4"/>
    </row>
    <row r="28" spans="2:25" ht="17.399999999999999" x14ac:dyDescent="0.3">
      <c r="B28" s="283"/>
      <c r="C28" s="283"/>
      <c r="D28" s="284"/>
      <c r="E28" s="284"/>
      <c r="F28" s="283"/>
      <c r="G28" s="310" t="s">
        <v>28</v>
      </c>
      <c r="H28" s="311">
        <f>SUM(H21:H26)</f>
        <v>206239.34400000001</v>
      </c>
      <c r="I28" s="308"/>
      <c r="J28" s="264"/>
      <c r="K28" s="47"/>
      <c r="L28" s="47"/>
      <c r="M28" s="39"/>
      <c r="N28" s="39"/>
      <c r="O28" s="260"/>
      <c r="P28" s="258"/>
      <c r="Q28" s="251"/>
      <c r="R28" s="257"/>
      <c r="S28" s="290"/>
      <c r="T28" s="46">
        <f>SUM(T21:T26)</f>
        <v>1.92</v>
      </c>
      <c r="U28" s="9"/>
      <c r="X28" s="4"/>
    </row>
    <row r="29" spans="2:25" ht="17.399999999999999" x14ac:dyDescent="0.3">
      <c r="B29" s="277"/>
      <c r="C29" s="280"/>
      <c r="D29" s="281"/>
      <c r="E29" s="281"/>
      <c r="F29" s="282"/>
      <c r="G29" s="289" t="s">
        <v>51</v>
      </c>
      <c r="H29" s="287">
        <f>H28*19%</f>
        <v>39185.475360000004</v>
      </c>
      <c r="I29" s="308"/>
      <c r="J29" s="264"/>
      <c r="K29" s="47">
        <v>450</v>
      </c>
      <c r="L29" s="434">
        <f>M29*10</f>
        <v>100.4</v>
      </c>
      <c r="M29" s="39">
        <f>SUM(M21:M28)</f>
        <v>10.040000000000001</v>
      </c>
      <c r="N29" s="12"/>
      <c r="O29" s="12"/>
      <c r="P29" s="252">
        <f>SUM(P21:P25)</f>
        <v>4.7783999999999995</v>
      </c>
      <c r="Q29" s="14"/>
      <c r="R29" s="12"/>
      <c r="S29" s="239"/>
      <c r="T29" s="46"/>
      <c r="U29" s="9"/>
      <c r="X29" s="4"/>
    </row>
    <row r="30" spans="2:25" ht="18" thickBot="1" x14ac:dyDescent="0.35">
      <c r="B30" s="274"/>
      <c r="C30" s="279"/>
      <c r="D30" s="271"/>
      <c r="E30" s="271"/>
      <c r="F30" s="272"/>
      <c r="G30" s="278" t="s">
        <v>6</v>
      </c>
      <c r="H30" s="288">
        <f>H28+H29</f>
        <v>245424.81936000002</v>
      </c>
      <c r="I30" s="308"/>
      <c r="J30" s="264"/>
      <c r="K30" s="47">
        <v>60</v>
      </c>
      <c r="L30" s="47"/>
      <c r="M30" s="39"/>
      <c r="N30" s="12"/>
      <c r="O30" s="12"/>
      <c r="P30" s="252">
        <f>P29</f>
        <v>4.7783999999999995</v>
      </c>
      <c r="Q30" s="14"/>
      <c r="R30" s="12"/>
      <c r="S30" s="239">
        <f>SUM(S21:S29)</f>
        <v>10.040000000000001</v>
      </c>
      <c r="T30" s="46"/>
      <c r="U30" s="9"/>
      <c r="X30" s="4"/>
    </row>
    <row r="31" spans="2:25" ht="17.399999999999999" x14ac:dyDescent="0.3">
      <c r="B31" s="274"/>
      <c r="C31" s="270"/>
      <c r="D31" s="271"/>
      <c r="E31" s="271"/>
      <c r="F31" s="272"/>
      <c r="J31" s="264"/>
      <c r="K31" s="47">
        <f>SUM(K29:K30)</f>
        <v>510</v>
      </c>
      <c r="L31" s="47"/>
      <c r="M31" s="14"/>
      <c r="N31" s="12"/>
      <c r="O31" s="12"/>
      <c r="P31" s="39">
        <f>P30*20%</f>
        <v>0.95567999999999997</v>
      </c>
      <c r="Q31" s="39" t="s">
        <v>129</v>
      </c>
      <c r="R31" s="42"/>
      <c r="S31" s="240">
        <f>S30+T28</f>
        <v>11.96</v>
      </c>
      <c r="T31" s="14"/>
      <c r="U31" s="9"/>
      <c r="X31" s="4"/>
    </row>
    <row r="32" spans="2:25" ht="17.399999999999999" x14ac:dyDescent="0.35">
      <c r="B32" s="268"/>
      <c r="C32" s="230"/>
      <c r="D32" s="230"/>
      <c r="E32" s="233"/>
      <c r="F32" s="234"/>
      <c r="G32" s="230"/>
      <c r="H32" s="273"/>
      <c r="I32" s="273"/>
      <c r="J32" s="264"/>
      <c r="K32" s="47"/>
      <c r="L32" s="47"/>
      <c r="M32" s="14"/>
      <c r="N32" s="12"/>
      <c r="O32" s="12"/>
      <c r="P32" s="46">
        <f>P30+P31</f>
        <v>5.7340799999999996</v>
      </c>
      <c r="Q32" s="14"/>
      <c r="R32" s="14"/>
      <c r="S32" s="238">
        <f>S31*20%</f>
        <v>2.3920000000000003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3"/>
      <c r="J33" s="264"/>
      <c r="K33" s="47">
        <v>600</v>
      </c>
      <c r="L33" s="47"/>
      <c r="M33" s="14"/>
      <c r="N33" s="14"/>
      <c r="O33" s="14"/>
      <c r="P33" s="14"/>
      <c r="Q33" s="14"/>
      <c r="R33" s="14"/>
      <c r="S33" s="240">
        <f>S31+S32</f>
        <v>14.352</v>
      </c>
      <c r="T33" s="14"/>
      <c r="U33" s="294" t="s">
        <v>21</v>
      </c>
      <c r="V33" s="291" t="s">
        <v>149</v>
      </c>
      <c r="W33" s="295">
        <v>44971</v>
      </c>
      <c r="X33" s="296"/>
    </row>
    <row r="34" spans="1:24" ht="17.399999999999999" x14ac:dyDescent="0.35">
      <c r="B34" s="230"/>
      <c r="C34" s="230"/>
      <c r="D34" s="230"/>
      <c r="E34" s="230"/>
      <c r="F34" s="230"/>
      <c r="G34" s="230"/>
      <c r="J34" s="264"/>
      <c r="K34" s="47">
        <v>60</v>
      </c>
      <c r="L34" s="47"/>
      <c r="M34" s="39">
        <f>P32</f>
        <v>5.7340799999999996</v>
      </c>
      <c r="N34" s="12">
        <v>3500</v>
      </c>
      <c r="O34" s="12">
        <f t="shared" ref="O34:O39" si="14">M34*N34</f>
        <v>20069.28</v>
      </c>
      <c r="P34" s="14" t="s">
        <v>21</v>
      </c>
      <c r="Q34" s="14"/>
      <c r="R34" s="14"/>
      <c r="S34" s="241"/>
      <c r="T34" s="14"/>
      <c r="U34" s="294" t="s">
        <v>150</v>
      </c>
      <c r="V34" s="291">
        <v>3625</v>
      </c>
      <c r="W34" s="59" t="s">
        <v>151</v>
      </c>
      <c r="X34" s="296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4"/>
      <c r="K35" s="47">
        <f>SUM(K33:K34)</f>
        <v>660</v>
      </c>
      <c r="L35" s="47"/>
      <c r="M35" s="248">
        <v>1.6</v>
      </c>
      <c r="N35" s="12">
        <v>23500</v>
      </c>
      <c r="O35" s="12">
        <f t="shared" si="14"/>
        <v>37600</v>
      </c>
      <c r="P35" s="39" t="s">
        <v>31</v>
      </c>
      <c r="Q35" s="42"/>
      <c r="R35" s="14"/>
      <c r="S35" s="240"/>
      <c r="T35" s="14"/>
      <c r="U35" s="294"/>
      <c r="V35" s="59">
        <v>906.25</v>
      </c>
      <c r="W35" s="59" t="s">
        <v>152</v>
      </c>
      <c r="X35" s="296"/>
    </row>
    <row r="36" spans="1:24" s="230" customFormat="1" ht="17.399999999999999" x14ac:dyDescent="0.35">
      <c r="B36" s="24" t="s">
        <v>148</v>
      </c>
      <c r="J36" s="261"/>
      <c r="K36" s="232"/>
      <c r="L36" s="249"/>
      <c r="M36" s="14"/>
      <c r="N36" s="249">
        <v>58860</v>
      </c>
      <c r="O36" s="12">
        <f t="shared" si="14"/>
        <v>0</v>
      </c>
      <c r="P36" s="39" t="s">
        <v>30</v>
      </c>
      <c r="Q36" s="42"/>
      <c r="S36" s="240"/>
      <c r="T36" s="255"/>
      <c r="U36" s="59"/>
      <c r="V36" s="59">
        <f>V35*20%</f>
        <v>181.25</v>
      </c>
      <c r="W36" s="296" t="s">
        <v>153</v>
      </c>
      <c r="X36" s="59"/>
    </row>
    <row r="37" spans="1:24" s="230" customFormat="1" ht="17.399999999999999" x14ac:dyDescent="0.35">
      <c r="B37" s="24" t="s">
        <v>162</v>
      </c>
      <c r="C37"/>
      <c r="D37"/>
      <c r="E37"/>
      <c r="F37"/>
      <c r="J37" s="261"/>
      <c r="K37" s="232">
        <f>K31+K35</f>
        <v>1170</v>
      </c>
      <c r="L37" s="249"/>
      <c r="M37" s="14">
        <v>2</v>
      </c>
      <c r="N37" s="249">
        <v>16000</v>
      </c>
      <c r="O37" s="12">
        <f t="shared" si="14"/>
        <v>32000</v>
      </c>
      <c r="P37" s="14" t="s">
        <v>139</v>
      </c>
      <c r="Q37" s="17"/>
      <c r="S37" s="238"/>
      <c r="T37" s="255"/>
      <c r="U37" s="59"/>
      <c r="V37" s="59">
        <f>V35+V36</f>
        <v>1087.5</v>
      </c>
      <c r="W37" s="296" t="s">
        <v>154</v>
      </c>
      <c r="X37" s="59"/>
    </row>
    <row r="38" spans="1:24" s="230" customFormat="1" ht="17.399999999999999" x14ac:dyDescent="0.35">
      <c r="A38" s="230" t="s">
        <v>283</v>
      </c>
      <c r="B38" s="29" t="s">
        <v>124</v>
      </c>
      <c r="C38"/>
      <c r="D38"/>
      <c r="E38"/>
      <c r="F38" s="229" t="s">
        <v>15</v>
      </c>
      <c r="J38" s="261"/>
      <c r="K38" s="259"/>
      <c r="L38" s="249"/>
      <c r="M38" s="248"/>
      <c r="N38" s="249">
        <v>900</v>
      </c>
      <c r="O38" s="12">
        <f t="shared" si="14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86"/>
      <c r="K39" s="259"/>
      <c r="L39" s="249"/>
      <c r="M39" s="265"/>
      <c r="N39" s="12">
        <v>1500</v>
      </c>
      <c r="O39" s="12">
        <f t="shared" si="14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59"/>
      <c r="L40" s="249"/>
      <c r="M40" s="14"/>
      <c r="N40" s="12"/>
      <c r="O40" s="12">
        <f>SUM(O34:O39)</f>
        <v>89669.28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49"/>
      <c r="M41" s="253" t="s">
        <v>33</v>
      </c>
      <c r="N41" s="12"/>
      <c r="O41" s="254">
        <f>O40*2.3</f>
        <v>206239.34399999998</v>
      </c>
      <c r="P41" s="14" t="s">
        <v>138</v>
      </c>
      <c r="Q41" s="14"/>
      <c r="R41" s="40">
        <f>P32/R40</f>
        <v>1.5460742018981879</v>
      </c>
      <c r="S41"/>
      <c r="T41" s="256"/>
    </row>
    <row r="42" spans="1:24" s="230" customFormat="1" ht="17.399999999999999" x14ac:dyDescent="0.35">
      <c r="G42"/>
      <c r="H42" s="259"/>
      <c r="I42" s="259"/>
      <c r="J42" s="259"/>
      <c r="K42" s="230">
        <v>51290</v>
      </c>
      <c r="L42" s="249"/>
      <c r="M42" s="14"/>
      <c r="N42" s="12"/>
      <c r="O42" s="12">
        <f>O41/P30</f>
        <v>43160.753390256155</v>
      </c>
      <c r="P42" s="45" t="s">
        <v>24</v>
      </c>
      <c r="Q42" s="14"/>
      <c r="R42" s="14"/>
      <c r="S42"/>
      <c r="T42" s="238"/>
      <c r="U42" s="59" t="s">
        <v>155</v>
      </c>
      <c r="V42" s="291">
        <v>43650</v>
      </c>
    </row>
    <row r="43" spans="1:24" s="230" customFormat="1" ht="17.399999999999999" x14ac:dyDescent="0.35">
      <c r="G43"/>
      <c r="K43" s="230">
        <f>K42/1.19</f>
        <v>43100.840336134454</v>
      </c>
      <c r="L43" s="249"/>
      <c r="M43" s="13"/>
      <c r="N43" s="14"/>
      <c r="O43" s="17">
        <f>O41/O40</f>
        <v>2.2999999999999998</v>
      </c>
      <c r="P43" s="15"/>
      <c r="Q43"/>
      <c r="R43"/>
      <c r="S43"/>
      <c r="T43" s="238"/>
      <c r="U43" s="59" t="s">
        <v>157</v>
      </c>
      <c r="V43" s="292" t="s">
        <v>156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158</v>
      </c>
      <c r="V44" s="293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153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49"/>
    </row>
    <row r="48" spans="1:24" x14ac:dyDescent="0.3">
      <c r="L48" s="249"/>
      <c r="T48" s="269"/>
    </row>
    <row r="49" spans="12:20" x14ac:dyDescent="0.3">
      <c r="L49" s="249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145</v>
      </c>
    </row>
    <row r="78" spans="3:15" x14ac:dyDescent="0.3">
      <c r="C78" t="s">
        <v>144</v>
      </c>
    </row>
    <row r="81" spans="3:3" x14ac:dyDescent="0.3">
      <c r="C81" t="s">
        <v>144</v>
      </c>
    </row>
    <row r="158" spans="3:3" x14ac:dyDescent="0.3">
      <c r="C158" t="s">
        <v>144</v>
      </c>
    </row>
    <row r="159" spans="3:3" x14ac:dyDescent="0.3">
      <c r="C159" t="s">
        <v>146</v>
      </c>
    </row>
    <row r="160" spans="3:3" x14ac:dyDescent="0.3">
      <c r="C160" t="s">
        <v>147</v>
      </c>
    </row>
    <row r="585" spans="3:3" x14ac:dyDescent="0.3">
      <c r="C585" t="s">
        <v>144</v>
      </c>
    </row>
  </sheetData>
  <mergeCells count="1">
    <mergeCell ref="B19:H19"/>
  </mergeCells>
  <phoneticPr fontId="32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46104</v>
      </c>
    </row>
    <row r="6" spans="2:31" ht="16.2" thickBot="1" x14ac:dyDescent="0.35">
      <c r="B6" s="140" t="s">
        <v>2</v>
      </c>
      <c r="C6" s="139" t="str">
        <f>'2229'!C10</f>
        <v>ARIEL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51" t="s">
        <v>98</v>
      </c>
      <c r="I7" s="452"/>
      <c r="J7" s="452"/>
      <c r="K7" s="453"/>
      <c r="N7" s="75"/>
      <c r="O7" s="45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12055A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5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-10309.797033454111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206239.34400000001</v>
      </c>
      <c r="E11" s="132">
        <f>D11*0.19</f>
        <v>39185.475360000004</v>
      </c>
      <c r="F11" s="131">
        <f>E11+D11</f>
        <v>245424.81936000002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95680.202966545883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87503.370787439606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77680.202966545883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118735.97321256041</v>
      </c>
      <c r="E13" s="221">
        <f>(D11/D12)-1</f>
        <v>1.356930277588849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68680.202966545883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29680.20296654589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144380.56179927534</v>
      </c>
      <c r="F15" s="216">
        <f>E15-D12</f>
        <v>56877.191011835734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29680.20296654589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69680.202966545883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37600</v>
      </c>
      <c r="E19" s="123">
        <f>D19*0.19</f>
        <v>7144</v>
      </c>
      <c r="F19" s="120">
        <f>SUM(D19:E19)</f>
        <v>44744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20069.28</v>
      </c>
      <c r="E20" s="121">
        <f>D20*0.19</f>
        <v>3813.1632</v>
      </c>
      <c r="F20" s="120">
        <f>SUM(D20:E20)</f>
        <v>23882.443199999998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57669.279999999999</v>
      </c>
      <c r="E21" s="116">
        <f>SUM(E18:E20)</f>
        <v>10957.163199999999</v>
      </c>
      <c r="F21" s="115">
        <f>SUM(F18:F20)</f>
        <v>68626.443199999994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28228.312160000005</v>
      </c>
    </row>
    <row r="41" spans="2:16" ht="15" thickBot="1" x14ac:dyDescent="0.35">
      <c r="H41" s="454" t="s">
        <v>60</v>
      </c>
      <c r="I41" s="455"/>
      <c r="J41" s="455"/>
      <c r="K41" s="455"/>
      <c r="L41" s="455"/>
      <c r="M41" s="45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206239.34400000001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57669.279999999999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118735.97321256041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118735.97321256041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12055A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ARIEL</v>
      </c>
      <c r="D10" s="350"/>
      <c r="E10" s="350"/>
      <c r="F10" s="351" t="s">
        <v>167</v>
      </c>
      <c r="G10" s="352">
        <f>'2229'!G10</f>
        <v>46104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46111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+569 9126 0109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7" t="s">
        <v>175</v>
      </c>
      <c r="G17" s="457"/>
      <c r="H17" s="458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9" t="s">
        <v>176</v>
      </c>
      <c r="C20" s="460"/>
      <c r="D20" s="460"/>
      <c r="E20" s="460"/>
      <c r="F20" s="460"/>
      <c r="G20" s="460"/>
      <c r="H20" s="461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SIN RESPALDO FTE 180°</v>
      </c>
      <c r="D22" s="321">
        <f>'2229'!D21*1000</f>
        <v>1770</v>
      </c>
      <c r="E22" s="321">
        <f>'2229'!E21*1000</f>
        <v>480</v>
      </c>
      <c r="F22" s="322" t="str">
        <f>'2229'!F21</f>
        <v>BLANCO BRILLANTE</v>
      </c>
      <c r="G22" s="314">
        <f>'2229'!G21</f>
        <v>38326.749010547464</v>
      </c>
      <c r="H22" s="323">
        <f>G22*B22</f>
        <v>38326.749010547464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38326.749010547464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7282.0823120040186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45608.831322551487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62" t="s">
        <v>182</v>
      </c>
      <c r="C2" s="462"/>
      <c r="D2" s="462"/>
      <c r="E2" s="361"/>
      <c r="G2" s="462" t="s">
        <v>183</v>
      </c>
      <c r="H2" s="462"/>
      <c r="I2" s="462"/>
      <c r="P2" s="463" t="s">
        <v>184</v>
      </c>
      <c r="Q2" s="463"/>
      <c r="R2" s="463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63" t="s">
        <v>184</v>
      </c>
      <c r="M8" s="463"/>
      <c r="N8" s="463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8" t="s">
        <v>265</v>
      </c>
      <c r="L3" s="468"/>
      <c r="M3" s="468" t="s">
        <v>266</v>
      </c>
      <c r="N3" s="468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ARIEL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46104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46111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9" t="s">
        <v>265</v>
      </c>
      <c r="B10" s="469"/>
      <c r="C10" s="469"/>
      <c r="D10" s="469"/>
      <c r="E10" s="469"/>
      <c r="F10" s="469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9" t="s">
        <v>266</v>
      </c>
      <c r="B17" s="469"/>
      <c r="C17" s="469"/>
      <c r="D17" s="469"/>
      <c r="E17" s="469"/>
      <c r="F17" s="469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9" t="s">
        <v>272</v>
      </c>
      <c r="B45" s="469"/>
      <c r="C45" s="469"/>
      <c r="D45" s="469"/>
      <c r="E45" s="469"/>
      <c r="F45" s="469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4" t="s">
        <v>95</v>
      </c>
      <c r="C47" s="465"/>
      <c r="D47" s="466"/>
      <c r="E47" s="466"/>
      <c r="F47" s="467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12055A</v>
      </c>
      <c r="C2" s="1">
        <f>'NOTA DE VENTA'!$G$10</f>
        <v>46104</v>
      </c>
      <c r="D2" s="1">
        <f>'NOTA DE VENTA'!$G$11</f>
        <v>46111</v>
      </c>
      <c r="E2" t="str">
        <f>'NOTA DE VENTA'!$C$10</f>
        <v>ARIEL</v>
      </c>
      <c r="F2" t="str">
        <f>'NOTA DE VENTA'!$C$22</f>
        <v>CUB SIN RESPALDO FTE 180°</v>
      </c>
      <c r="G2" t="str">
        <f>'NOTA DE VENTA'!$F$22</f>
        <v>BLANCO BRILLANTE</v>
      </c>
      <c r="H2" s="416">
        <f>'NOTA DE VENTA'!$H$25</f>
        <v>38326.749010547464</v>
      </c>
      <c r="I2" s="416">
        <f>H2*0.19</f>
        <v>7282.0823120040186</v>
      </c>
      <c r="J2" s="416">
        <f>I2+H2</f>
        <v>45608.831322551487</v>
      </c>
      <c r="L2" s="61">
        <f>J2-K2</f>
        <v>45608.831322551487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2026-03-23T18:20:12Z</cp:lastPrinted>
  <dcterms:created xsi:type="dcterms:W3CDTF">2013-03-18T13:35:42Z</dcterms:created>
  <dcterms:modified xsi:type="dcterms:W3CDTF">2026-03-23T19:57:10Z</dcterms:modified>
</cp:coreProperties>
</file>