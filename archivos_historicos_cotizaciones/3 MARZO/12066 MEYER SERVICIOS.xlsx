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BFA38029-72A4-4526-A349-E57A4AF95B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O21" i="1" l="1"/>
  <c r="P21" i="1" s="1"/>
  <c r="S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 l="1"/>
  <c r="S26" i="1"/>
  <c r="T24" i="1"/>
  <c r="P25" i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O39" i="1"/>
  <c r="E15" i="3"/>
  <c r="R21" i="1" l="1"/>
  <c r="G21" i="1" s="1"/>
  <c r="H21" i="1" s="1"/>
  <c r="F15" i="3"/>
  <c r="H24" i="1" l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<sst xmlns="http://schemas.openxmlformats.org/spreadsheetml/2006/main" count="486" uniqueCount="294">
  <si>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</si>
  <si>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</si>
  <si>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</si>
  <si>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</si>
  <si>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</si>
  <si>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</si>
  <si>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</si>
  <si>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</si>
  <si>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</si>
  <si>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</si>
  <si>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</si>
  <si>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</si>
  <si>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</si>
  <si>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</si>
  <si>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</si>
  <si>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</si>
  <si>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</si>
  <si>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</si>
  <si>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</si>
  <si>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</si>
  <si>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</si>
  <si>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</si>
  <si>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</si>
  <si>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</si>
  <si>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</si>
  <si>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</si>
  <si>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</si>
  <si>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</si>
  <si>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</si>
  <si>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</si>
  <si>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</si>
  <si>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</si>
  <si>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</si>
  <si>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</si>
  <si>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</si>
  <si>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</si>
  <si>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</si>
  <si>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</si>
  <si>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</si>
  <si>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</si>
  <si>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</si>
  <si>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</si>
  <si>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</si>
  <si>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</si>
  <si>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</si>
  <si>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</si>
  <si>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</si>
  <si>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</si>
  <si>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</si>
  <si>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</si>
  <si>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</si>
  <si>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</si>
  <si>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</si>
  <si>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</si>
  <si>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</si>
  <si>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</si>
  <si>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</si>
  <si>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</si>
  <si>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</si>
  <si>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</si>
  <si>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</si>
  <si>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</si>
  <si>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</si>
  <si>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</si>
  <si>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</si>
  <si>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</si>
  <si>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</si>
  <si>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</si>
  <si>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</si>
  <si>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</si>
  <si>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</si>
  <si>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</si>
  <si>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</si>
  <si>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</si>
  <si>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</si>
  <si>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</si>
  <si>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</si>
  <si>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</si>
  <si>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</si>
  <si>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</si>
  <si>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</si>
  <si>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</si>
  <si>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</si>
  <si>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</si>
  <si>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</si>
  <si>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</si>
  <si>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</si>
  <si>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</si>
  <si>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</si>
  <si>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</si>
  <si>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</si>
  <si>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</si>
  <si>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</si>
  <si>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</si>
  <si>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</si>
  <si>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</si>
  <si>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</si>
  <si>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</si>
  <si>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</si>
  <si>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</si>
  <si>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</si>
  <si>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</si>
  <si>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</si>
  <si>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</si>
  <si>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</si>
  <si>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</si>
  <si>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</si>
  <si>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</si>
  <si>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</si>
  <si>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</si>
  <si>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</si>
  <si>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</si>
  <si>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</si>
  <si>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</si>
  <si>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</si>
  <si>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</si>
  <si>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</si>
  <si>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</si>
  <si>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</si>
  <si>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</si>
  <si>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</si>
  <si>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</si>
  <si>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</si>
  <si>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</si>
  <si>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</si>
  <si>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</si>
  <si>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</si>
  <si>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</si>
  <si>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</si>
  <si>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</si>
  <si>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</si>
  <si>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</si>
  <si>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</si>
  <si>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</si>
  <si>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</si>
  <si>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</si>
  <si>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</si>
  <si>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</si>
  <si>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</si>
  <si>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</si>
  <si>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</si>
  <si>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</si>
  <si>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</si>
  <si>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</si>
  <si>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</si>
  <si>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</si>
  <si>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</si>
  <si>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</si>
  <si>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</si>
  <si>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</si>
  <si>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</si>
  <si>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</si>
  <si>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</si>
  <si>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</si>
  <si>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</si>
  <si>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</si>
  <si>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</si>
  <si>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</si>
  <si>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</si>
  <si>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</si>
  <si>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</si>
  <si>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</si>
  <si>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</si>
  <si>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</si>
  <si>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</si>
  <si>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</si>
  <si>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</si>
  <si>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</si>
  <si>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</si>
  <si>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</si>
  <si>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</si>
  <si>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</si>
  <si>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</si>
  <si>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</si>
  <si>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</si>
  <si>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</si>
  <si>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</si>
  <si>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</si>
  <si>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</si>
  <si>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</si>
  <si>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</si>
  <si>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</si>
  <si>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</si>
  <si>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</si>
  <si>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</si>
  <si>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</si>
  <si>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</si>
  <si>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</si>
  <si>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</si>
  <si>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</si>
  <si>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</si>
  <si>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</si>
  <si>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</si>
  <si>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</si>
  <si>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</si>
  <si>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</si>
  <si>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</si>
  <si>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</si>
  <si>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</si>
  <si>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</si>
  <si>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</si>
  <si>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</si>
  <si>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</si>
  <si>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</si>
  <si>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</si>
  <si>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</si>
  <si>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</si>
  <si>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</si>
  <si>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</si>
  <si>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</si>
  <si>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</si>
  <si>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</si>
  <si>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</si>
  <si>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</si>
  <si>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</si>
  <si>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</si>
  <si>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</si>
  <si>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</si>
  <si>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</si>
  <si>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</si>
  <si>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</si>
  <si>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</si>
  <si>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</si>
  <si>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</si>
  <si>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</si>
  <si>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</si>
  <si>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</si>
  <si>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</si>
  <si>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</si>
  <si>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</si>
  <si>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</si>
  <si>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</si>
  <si>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</si>
  <si>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</si>
  <si>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</si>
  <si>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</si>
  <si>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</si>
  <si>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</si>
  <si>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</si>
  <si>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</si>
  <si>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</si>
  <si>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</si>
  <si>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</si>
  <si>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</si>
  <si>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</si>
  <si>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</si>
  <si>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</si>
  <si>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</si>
  <si>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</si>
  <si>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</si>
  <si>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</si>
  <si>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</si>
  <si>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</si>
  <si>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</si>
  <si>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</si>
  <si>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</si>
  <si>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</si>
  <si>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</si>
  <si>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</si>
  <si>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</si>
  <si>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</si>
  <si>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</si>
  <si>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</si>
  <si>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</si>
  <si>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</si>
  <si>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</si>
  <si>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</si>
  <si>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</si>
  <si>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</si>
  <si>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</si>
  <si>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</si>
  <si>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</si>
  <si>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</si>
  <si>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</si>
  <si>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</si>
  <si>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</si>
  <si>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</si>
  <si>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</si>
  <si>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</si>
  <si>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</si>
  <si>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</si>
  <si>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</si>
  <si>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</si>
  <si>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</si>
  <si>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</si>
  <si>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</si>
  <si>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</si>
  <si>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</si>
  <si>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</si>
  <si>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 ENCHAPE RECTO 4 LADOS</t>
  </si>
  <si>
    <t>BLANCO MT</t>
  </si>
  <si>
    <t>N° 12066</t>
  </si>
  <si>
    <t>MEYER SERVICIOS</t>
  </si>
  <si>
    <t>+569 7879 2685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</si>
</sst>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CORTADAS A LA MEDIDA Y ENCHAPADAS</a:t>
          </a:r>
        </a:p>
        <a:p>
          <a:pPr algn="l"/>
          <a:r>
            <a:rPr lang="es-CL" sz="1200" b="1" baseline="0"/>
            <a:t>CUBIERTAS SIN REGRUESO.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C17" zoomScale="93" zoomScaleNormal="93" workbookViewId="0">
      <selection activeCell="M32" sqref="M3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292</v>
      </c>
      <c r="D10" s="243"/>
      <c r="E10" s="243"/>
      <c r="F10" s="418" t="s">
        <v>277</v>
      </c>
      <c r="G10" s="275">
        <v>46107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293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7" t="s">
        <v>95</v>
      </c>
      <c r="C19" s="438"/>
      <c r="D19" s="438"/>
      <c r="E19" s="438"/>
      <c r="F19" s="438"/>
      <c r="G19" s="438"/>
      <c r="H19" s="439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42344.395604395606</v>
      </c>
      <c r="R20" s="257">
        <v>3000</v>
      </c>
      <c r="S20" s="38"/>
      <c r="T20" s="14" t="s">
        <v>127</v>
      </c>
      <c r="U20" s="9"/>
      <c r="X20" s="4"/>
    </row>
    <row r="21" spans="1:25" ht="18" thickBot="1" x14ac:dyDescent="0.35">
      <c r="B21" s="431">
        <v>2</v>
      </c>
      <c r="C21" s="432" t="s">
        <v>289</v>
      </c>
      <c r="D21" s="433">
        <v>3</v>
      </c>
      <c r="E21" s="433">
        <v>0.6</v>
      </c>
      <c r="F21" s="434" t="s">
        <v>290</v>
      </c>
      <c r="G21" s="435">
        <f>R21</f>
        <v>87773.48000000001</v>
      </c>
      <c r="H21" s="436">
        <f>G21*B21</f>
        <v>175546.96000000002</v>
      </c>
      <c r="I21" s="306"/>
      <c r="J21" s="264"/>
      <c r="K21" s="47"/>
      <c r="L21" s="47">
        <f t="shared" ref="L21" si="0">B21</f>
        <v>2</v>
      </c>
      <c r="M21" s="39">
        <f t="shared" ref="M21" si="1">D21+M$19</f>
        <v>3.08</v>
      </c>
      <c r="N21" s="39">
        <f t="shared" ref="N21" si="2">E21+$N$19</f>
        <v>0.65</v>
      </c>
      <c r="O21" s="260">
        <f t="shared" ref="O21" si="3">M21*N21</f>
        <v>2.0020000000000002</v>
      </c>
      <c r="P21" s="258">
        <f t="shared" ref="P21" si="4">O21*L21</f>
        <v>4.0040000000000004</v>
      </c>
      <c r="Q21" s="251">
        <f t="shared" ref="Q21" si="5">Q$20*O21</f>
        <v>84773.48000000001</v>
      </c>
      <c r="R21" s="305">
        <f t="shared" ref="R21" si="6">Q21+R$20</f>
        <v>87773.48000000001</v>
      </c>
      <c r="S21" s="290">
        <f t="shared" ref="S21" si="7">M21*L21*2</f>
        <v>12.32</v>
      </c>
      <c r="T21" s="46"/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175546.96000000002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0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33353.922400000003</v>
      </c>
      <c r="I25" s="308"/>
      <c r="J25" s="264"/>
      <c r="K25" s="47"/>
      <c r="L25" s="47"/>
      <c r="M25" s="39">
        <f>SUM(M21:M24)</f>
        <v>3.08</v>
      </c>
      <c r="N25" s="12"/>
      <c r="O25" s="12"/>
      <c r="P25" s="252">
        <f>SUM(P21:P22)</f>
        <v>4.0040000000000004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208900.88240000003</v>
      </c>
      <c r="I26" s="308"/>
      <c r="J26" s="264"/>
      <c r="K26" s="47"/>
      <c r="L26" s="47"/>
      <c r="M26" s="39"/>
      <c r="N26" s="12"/>
      <c r="O26" s="12"/>
      <c r="P26" s="252">
        <f>P25</f>
        <v>4.0040000000000004</v>
      </c>
      <c r="Q26" s="14"/>
      <c r="R26" s="12"/>
      <c r="S26" s="239">
        <f>SUM(S21:S25)</f>
        <v>12.32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0.80080000000000018</v>
      </c>
      <c r="Q27" s="39" t="s">
        <v>129</v>
      </c>
      <c r="R27" s="42"/>
      <c r="S27" s="240">
        <f>S26+T24</f>
        <v>12.32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4.8048000000000002</v>
      </c>
      <c r="Q28" s="14"/>
      <c r="R28" s="14"/>
      <c r="S28" s="238">
        <f>S27*20%</f>
        <v>2.4640000000000004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14.784000000000001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4.8048000000000002</v>
      </c>
      <c r="N30" s="12">
        <v>3500</v>
      </c>
      <c r="O30" s="12">
        <f t="shared" ref="O30:O35" si="8">M30*N30</f>
        <v>16816.8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1.5</v>
      </c>
      <c r="N31" s="12">
        <v>23500</v>
      </c>
      <c r="O31" s="12">
        <f t="shared" si="8"/>
        <v>35250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>
        <v>1</v>
      </c>
      <c r="N32" s="249">
        <v>25000</v>
      </c>
      <c r="O32" s="12">
        <f t="shared" si="8"/>
        <v>25000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/>
      <c r="N33" s="249">
        <v>29000</v>
      </c>
      <c r="O33" s="12">
        <f t="shared" si="8"/>
        <v>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8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8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77066.8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169546.96000000002</v>
      </c>
      <c r="P37" s="14" t="s">
        <v>138</v>
      </c>
      <c r="Q37" s="14"/>
      <c r="R37" s="40">
        <f>P28/R36</f>
        <v>1.2955133735979292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42344.395604395606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46107</v>
      </c>
    </row>
    <row r="6" spans="2:31" ht="16.2" thickBot="1" x14ac:dyDescent="0.35">
      <c r="B6" s="140" t="s">
        <v>2</v>
      </c>
      <c r="C6" s="139" t="str">
        <f>'2229'!C10</f>
        <v>MEYER SERVICIOS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1" t="s">
        <v>98</v>
      </c>
      <c r="I7" s="442"/>
      <c r="J7" s="442"/>
      <c r="K7" s="443"/>
      <c r="N7" s="75"/>
      <c r="O7" s="4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12066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139.91829987922392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175546.96000000002</v>
      </c>
      <c r="E11" s="132">
        <f>D11*0.19</f>
        <v>33353.922400000003</v>
      </c>
      <c r="F11" s="131">
        <f>E11+D11</f>
        <v>208900.88240000003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106129.91829987922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106900.89078743962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88129.918299879224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68646.069212560396</v>
      </c>
      <c r="E13" s="221">
        <f>(D11/D12)-1</f>
        <v>0.64214684000206668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79129.918299879224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40129.918299879224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176386.46979927536</v>
      </c>
      <c r="F15" s="216">
        <f>E15-D12</f>
        <v>69485.57901183574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40129.918299879224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80129.918299879224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25000</v>
      </c>
      <c r="E18" s="123">
        <f>D18*0.19</f>
        <v>4750</v>
      </c>
      <c r="F18" s="120">
        <f>SUM(D18:E18)</f>
        <v>29750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35250</v>
      </c>
      <c r="E19" s="123">
        <f>D19*0.19</f>
        <v>6697.5</v>
      </c>
      <c r="F19" s="120">
        <f>SUM(D19:E19)</f>
        <v>41947.5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16816.8</v>
      </c>
      <c r="E20" s="121">
        <f>D20*0.19</f>
        <v>3195.192</v>
      </c>
      <c r="F20" s="120">
        <f>SUM(D20:E20)</f>
        <v>20011.991999999998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77066.8</v>
      </c>
      <c r="E21" s="116">
        <f>SUM(E18:E20)</f>
        <v>14642.691999999999</v>
      </c>
      <c r="F21" s="115">
        <f>SUM(F18:F20)</f>
        <v>91709.491999999998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18711.230400000004</v>
      </c>
    </row>
    <row r="41" spans="2:16" ht="15" thickBot="1" x14ac:dyDescent="0.35">
      <c r="H41" s="444" t="s">
        <v>60</v>
      </c>
      <c r="I41" s="445"/>
      <c r="J41" s="445"/>
      <c r="K41" s="445"/>
      <c r="L41" s="445"/>
      <c r="M41" s="4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175546.96000000002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77066.8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68646.069212560396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68646.069212560396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12066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MEYER SERVICIOS</v>
      </c>
      <c r="D10" s="350"/>
      <c r="E10" s="350"/>
      <c r="F10" s="351" t="s">
        <v>167</v>
      </c>
      <c r="G10" s="352">
        <f>'2229'!G10</f>
        <v>46107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46114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+569 7879 2685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7" t="s">
        <v>175</v>
      </c>
      <c r="G17" s="447"/>
      <c r="H17" s="448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9" t="s">
        <v>176</v>
      </c>
      <c r="C20" s="450"/>
      <c r="D20" s="450"/>
      <c r="E20" s="450"/>
      <c r="F20" s="450"/>
      <c r="G20" s="450"/>
      <c r="H20" s="451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2" t="s">
        <v>182</v>
      </c>
      <c r="C2" s="452"/>
      <c r="D2" s="452"/>
      <c r="E2" s="361"/>
      <c r="G2" s="452" t="s">
        <v>183</v>
      </c>
      <c r="H2" s="452"/>
      <c r="I2" s="452"/>
      <c r="P2" s="453" t="s">
        <v>184</v>
      </c>
      <c r="Q2" s="453"/>
      <c r="R2" s="453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3" t="s">
        <v>184</v>
      </c>
      <c r="M8" s="453"/>
      <c r="N8" s="453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8" t="s">
        <v>265</v>
      </c>
      <c r="L3" s="458"/>
      <c r="M3" s="458" t="s">
        <v>266</v>
      </c>
      <c r="N3" s="458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MEYER SERVICIOS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46107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46114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9" t="s">
        <v>265</v>
      </c>
      <c r="B10" s="459"/>
      <c r="C10" s="459"/>
      <c r="D10" s="459"/>
      <c r="E10" s="459"/>
      <c r="F10" s="459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9" t="s">
        <v>266</v>
      </c>
      <c r="B17" s="459"/>
      <c r="C17" s="459"/>
      <c r="D17" s="459"/>
      <c r="E17" s="459"/>
      <c r="F17" s="459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9" t="s">
        <v>272</v>
      </c>
      <c r="B45" s="459"/>
      <c r="C45" s="459"/>
      <c r="D45" s="459"/>
      <c r="E45" s="459"/>
      <c r="F45" s="459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4" t="s">
        <v>95</v>
      </c>
      <c r="C47" s="455"/>
      <c r="D47" s="456"/>
      <c r="E47" s="456"/>
      <c r="F47" s="457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12066</v>
      </c>
      <c r="C2" s="1">
        <f>'NOTA DE VENTA'!$G$10</f>
        <v>46107</v>
      </c>
      <c r="D2" s="1">
        <f>'NOTA DE VENTA'!$G$11</f>
        <v>46114</v>
      </c>
      <c r="E2" t="str">
        <f>'NOTA DE VENTA'!$C$10</f>
        <v>MEYER SERVICIOS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2026-03-26T13:05:26Z</cp:lastPrinted>
  <dcterms:created xsi:type="dcterms:W3CDTF">2013-03-18T13:35:42Z</dcterms:created>
  <dcterms:modified xsi:type="dcterms:W3CDTF">2026-03-26T19:27:18Z</dcterms:modified>
</cp:coreProperties>
</file>