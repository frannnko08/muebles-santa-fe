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AC36CC4F-C978-44C3-8CDB-5BA3C6527FDF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22" i="1"/>
  <c r="H23" i="1"/>
  <c r="H24" i="1"/>
  <c r="H25" i="1"/>
  <c r="H26" i="1"/>
  <c r="H27" i="1"/>
  <c r="H28" i="1"/>
  <c r="H29" i="1"/>
  <c r="H30" i="1"/>
  <c r="H31" i="1"/>
  <c r="H32" i="1"/>
  <c r="H33" i="1"/>
  <c r="G22" i="1"/>
  <c r="G23" i="1"/>
  <c r="G24" i="1"/>
  <c r="G25" i="1"/>
  <c r="G26" i="1"/>
  <c r="G27" i="1"/>
  <c r="G28" i="1"/>
  <c r="G29" i="1"/>
  <c r="G30" i="1"/>
  <c r="G31" i="1"/>
  <c r="G32" i="1"/>
  <c r="G33" i="1"/>
  <c r="G21" i="1"/>
  <c r="P37" i="1"/>
  <c r="L22" i="1"/>
  <c r="M22" i="1"/>
  <c r="N22" i="1"/>
  <c r="O22" i="1" s="1"/>
  <c r="P22" i="1" s="1"/>
  <c r="S22" i="1"/>
  <c r="L23" i="1"/>
  <c r="M23" i="1"/>
  <c r="O23" i="1" s="1"/>
  <c r="P23" i="1" s="1"/>
  <c r="N23" i="1"/>
  <c r="S23" i="1"/>
  <c r="L24" i="1"/>
  <c r="M24" i="1"/>
  <c r="N24" i="1"/>
  <c r="O24" i="1"/>
  <c r="P24" i="1" s="1"/>
  <c r="S24" i="1"/>
  <c r="L25" i="1"/>
  <c r="M25" i="1"/>
  <c r="N25" i="1"/>
  <c r="O25" i="1"/>
  <c r="P25" i="1" s="1"/>
  <c r="S25" i="1"/>
  <c r="L26" i="1"/>
  <c r="M26" i="1"/>
  <c r="N26" i="1"/>
  <c r="O26" i="1"/>
  <c r="P26" i="1" s="1"/>
  <c r="S26" i="1"/>
  <c r="L27" i="1"/>
  <c r="M27" i="1"/>
  <c r="O27" i="1" s="1"/>
  <c r="P27" i="1" s="1"/>
  <c r="N27" i="1"/>
  <c r="S27" i="1"/>
  <c r="L28" i="1"/>
  <c r="M28" i="1"/>
  <c r="N28" i="1"/>
  <c r="O28" i="1"/>
  <c r="P28" i="1" s="1"/>
  <c r="S28" i="1"/>
  <c r="L29" i="1"/>
  <c r="M29" i="1"/>
  <c r="N29" i="1"/>
  <c r="O29" i="1" s="1"/>
  <c r="P29" i="1" s="1"/>
  <c r="S29" i="1"/>
  <c r="L30" i="1"/>
  <c r="M30" i="1"/>
  <c r="N30" i="1"/>
  <c r="O30" i="1"/>
  <c r="P30" i="1" s="1"/>
  <c r="S30" i="1"/>
  <c r="L31" i="1"/>
  <c r="M31" i="1"/>
  <c r="N31" i="1"/>
  <c r="O31" i="1"/>
  <c r="P31" i="1"/>
  <c r="S31" i="1"/>
  <c r="L32" i="1"/>
  <c r="M32" i="1"/>
  <c r="N32" i="1"/>
  <c r="O32" i="1"/>
  <c r="P32" i="1" s="1"/>
  <c r="S32" i="1"/>
  <c r="L33" i="1"/>
  <c r="M33" i="1"/>
  <c r="O33" i="1" s="1"/>
  <c r="P33" i="1" s="1"/>
  <c r="N33" i="1"/>
  <c r="S33" i="1"/>
  <c r="L21" i="1"/>
  <c r="M21" i="1"/>
  <c r="N21" i="1"/>
  <c r="D27" i="6"/>
  <c r="C27" i="6"/>
  <c r="C49" i="6"/>
  <c r="S21" i="1" l="1"/>
  <c r="O21" i="1"/>
  <c r="P21" i="1" s="1"/>
  <c r="N5" i="6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37" i="1" l="1"/>
  <c r="S38" i="1"/>
  <c r="T21" i="1"/>
  <c r="T36" i="1" s="1"/>
  <c r="K51" i="1"/>
  <c r="S39" i="1" l="1"/>
  <c r="S40" i="1" s="1"/>
  <c r="S41" i="1" s="1"/>
  <c r="V44" i="1"/>
  <c r="V45" i="1" s="1"/>
  <c r="P38" i="1" l="1"/>
  <c r="N20" i="1"/>
  <c r="L20" i="1"/>
  <c r="P39" i="1" l="1"/>
  <c r="P40" i="1" s="1"/>
  <c r="M42" i="1" s="1"/>
  <c r="O44" i="1"/>
  <c r="R48" i="1"/>
  <c r="R49" i="1" l="1"/>
  <c r="O43" i="1" s="1"/>
  <c r="O4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7" i="1"/>
  <c r="O46" i="1"/>
  <c r="F18" i="3" l="1"/>
  <c r="O42" i="1" l="1"/>
  <c r="O48" i="1" s="1"/>
  <c r="O49" i="1" s="1"/>
  <c r="D20" i="3" l="1"/>
  <c r="E20" i="3" s="1"/>
  <c r="E21" i="3" s="1"/>
  <c r="O50" i="1" l="1"/>
  <c r="Q20" i="1" s="1"/>
  <c r="D21" i="3"/>
  <c r="M43" i="3" s="1"/>
  <c r="D12" i="3" s="1"/>
  <c r="F20" i="3"/>
  <c r="F21" i="3" s="1"/>
  <c r="Q24" i="1" l="1"/>
  <c r="R24" i="1" s="1"/>
  <c r="Q26" i="1"/>
  <c r="R26" i="1" s="1"/>
  <c r="Q27" i="1"/>
  <c r="R27" i="1" s="1"/>
  <c r="Q30" i="1"/>
  <c r="R30" i="1" s="1"/>
  <c r="Q25" i="1"/>
  <c r="R25" i="1" s="1"/>
  <c r="Q32" i="1"/>
  <c r="R32" i="1" s="1"/>
  <c r="Q22" i="1"/>
  <c r="R22" i="1" s="1"/>
  <c r="Q23" i="1"/>
  <c r="R23" i="1" s="1"/>
  <c r="Q28" i="1"/>
  <c r="R28" i="1" s="1"/>
  <c r="Q29" i="1"/>
  <c r="R29" i="1" s="1"/>
  <c r="Q31" i="1"/>
  <c r="R31" i="1" s="1"/>
  <c r="Q33" i="1"/>
  <c r="R33" i="1" s="1"/>
  <c r="Q21" i="1"/>
  <c r="O51" i="1"/>
  <c r="E15" i="3"/>
  <c r="R21" i="1" l="1"/>
  <c r="F15" i="3"/>
  <c r="H21" i="1" l="1"/>
  <c r="H37" i="1" l="1"/>
  <c r="H3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<sst xmlns="http://schemas.openxmlformats.org/spreadsheetml/2006/main" count="511" uniqueCount="293">
  <si>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</si>
  <si>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</si>
  <si>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</si>
  <si>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</si>
  <si>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</si>
  <si>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</si>
  <si>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</si>
  <si>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</si>
  <si>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</si>
  <si>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</si>
  <si>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</si>
  <si>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</si>
  <si>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</si>
  <si>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</si>
  <si>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</si>
  <si>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</si>
  <si>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</si>
  <si>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</si>
  <si>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</si>
  <si>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</si>
  <si>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</si>
  <si>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</si>
  <si>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</si>
  <si>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</si>
  <si>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</si>
  <si>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</si>
  <si>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</si>
  <si>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</si>
  <si>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</si>
  <si>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</si>
  <si>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</si>
  <si>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</si>
  <si>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</si>
  <si>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</si>
  <si>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</si>
  <si>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</si>
  <si>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</si>
  <si>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</si>
  <si>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</si>
  <si>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</si>
  <si>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</si>
  <si>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</si>
  <si>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</si>
  <si>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</si>
  <si>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</si>
  <si>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</si>
  <si>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</si>
  <si>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</si>
  <si>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</si>
  <si>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</si>
  <si>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</si>
  <si>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</si>
  <si>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</si>
  <si>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</si>
  <si>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</si>
  <si>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</si>
  <si>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</si>
  <si>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</si>
  <si>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</si>
  <si>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</si>
  <si>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</si>
  <si>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</si>
  <si>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</si>
  <si>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</si>
  <si>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</si>
  <si>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</si>
  <si>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</si>
  <si>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</si>
  <si>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</si>
  <si>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</si>
  <si>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</si>
  <si>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</si>
  <si>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</si>
  <si>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</si>
  <si>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</si>
  <si>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</si>
  <si>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</si>
  <si>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</si>
  <si>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</si>
  <si>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</si>
  <si>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</si>
  <si>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</si>
  <si>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</si>
  <si>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</si>
  <si>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</si>
  <si>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</si>
  <si>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</si>
  <si>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</si>
  <si>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</si>
  <si>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</si>
  <si>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</si>
  <si>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</si>
  <si>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</si>
  <si>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</si>
  <si>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</si>
  <si>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</si>
  <si>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</si>
  <si>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</si>
  <si>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</si>
  <si>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</si>
  <si>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</si>
  <si>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</si>
  <si>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</si>
  <si>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</si>
  <si>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</si>
  <si>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</si>
  <si>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</si>
  <si>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</si>
  <si>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</si>
  <si>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</si>
  <si>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</si>
  <si>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</si>
  <si>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</si>
  <si>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</si>
  <si>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</si>
  <si>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</si>
  <si>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</si>
  <si>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</si>
  <si>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</si>
  <si>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</si>
  <si>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</si>
  <si>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</si>
  <si>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</si>
  <si>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</si>
  <si>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</si>
  <si>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</si>
  <si>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</si>
  <si>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</si>
  <si>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</si>
  <si>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</si>
  <si>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</si>
  <si>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</si>
  <si>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</si>
  <si>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</si>
  <si>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</si>
  <si>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</si>
  <si>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</si>
  <si>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</si>
  <si>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</si>
  <si>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</si>
  <si>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</si>
  <si>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</si>
  <si>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</si>
  <si>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</si>
  <si>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</si>
  <si>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</si>
  <si>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</si>
  <si>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</si>
  <si>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</si>
  <si>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</si>
  <si>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</si>
  <si>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</si>
  <si>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</si>
  <si>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</si>
  <si>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</si>
  <si>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</si>
  <si>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</si>
  <si>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</si>
  <si>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</si>
  <si>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</si>
  <si>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</si>
  <si>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</si>
  <si>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</si>
  <si>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</si>
  <si>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</si>
  <si>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</si>
  <si>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</si>
  <si>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</si>
  <si>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</si>
  <si>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</si>
  <si>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</si>
  <si>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</si>
  <si>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</si>
  <si>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</si>
  <si>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</si>
  <si>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</si>
  <si>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</si>
  <si>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</si>
  <si>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</si>
  <si>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</si>
  <si>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</si>
  <si>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</si>
  <si>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</si>
  <si>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</si>
  <si>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</si>
  <si>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</si>
  <si>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</si>
  <si>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</si>
  <si>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</si>
  <si>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</si>
  <si>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</si>
  <si>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</si>
  <si>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</si>
  <si>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</si>
  <si>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</si>
  <si>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</si>
  <si>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</si>
  <si>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</si>
  <si>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</si>
  <si>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</si>
  <si>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</si>
  <si>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</si>
  <si>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</si>
  <si>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</si>
  <si>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</si>
  <si>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</si>
  <si>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</si>
  <si>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</si>
  <si>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</si>
  <si>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</si>
  <si>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</si>
  <si>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</si>
  <si>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</si>
  <si>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</si>
  <si>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</si>
  <si>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</si>
  <si>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</si>
  <si>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</si>
  <si>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</si>
  <si>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</si>
  <si>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</si>
  <si>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</si>
  <si>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</si>
  <si>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</si>
  <si>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</si>
  <si>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</si>
  <si>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</si>
  <si>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</si>
  <si>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</si>
  <si>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</si>
  <si>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</si>
  <si>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</si>
  <si>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</si>
  <si>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</si>
  <si>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</si>
  <si>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</si>
  <si>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</si>
  <si>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</si>
  <si>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</si>
  <si>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</si>
  <si>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</si>
  <si>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</si>
  <si>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</si>
  <si>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</si>
  <si>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</si>
  <si>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</si>
  <si>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</si>
  <si>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</si>
  <si>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</si>
  <si>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</si>
  <si>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</si>
  <si>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</si>
  <si>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</si>
  <si>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</si>
  <si>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</si>
  <si>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</si>
  <si>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</si>
  <si>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</si>
  <si>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</si>
  <si>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</si>
  <si>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</si>
  <si>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</si>
  <si>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</si>
  <si>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</si>
  <si>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</si>
  <si>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</si>
  <si>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</si>
  <si>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</si>
  <si>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</si>
  <si>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</si>
  <si>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</si>
  <si>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</si>
  <si>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</si>
  <si>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</si>
  <si>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</si>
  <si>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</si>
  <si>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</si>
  <si>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</si>
  <si>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</si>
  <si>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</si>
  <si>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</si>
  <si>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</si>
  <si>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</si>
  <si>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</si>
  <si>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</si>
  <si>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</si>
  <si>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</si>
  <si>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</si>
  <si>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</si>
  <si>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CESAR</t>
  </si>
  <si>
    <t>N° 12042</t>
  </si>
  <si>
    <t>BLANCO MT</t>
  </si>
  <si>
    <t>+569 2088 1320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</si>
</sst>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7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0" fillId="0" borderId="0" xfId="0" quotePrefix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39</xdr:row>
      <xdr:rowOff>8194</xdr:rowOff>
    </xdr:from>
    <xdr:to>
      <xdr:col>8</xdr:col>
      <xdr:colOff>8193</xdr:colOff>
      <xdr:row>42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41</xdr:row>
      <xdr:rowOff>154305</xdr:rowOff>
    </xdr:from>
    <xdr:to>
      <xdr:col>7</xdr:col>
      <xdr:colOff>853440</xdr:colOff>
      <xdr:row>41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39</xdr:row>
      <xdr:rowOff>9525</xdr:rowOff>
    </xdr:from>
    <xdr:to>
      <xdr:col>5</xdr:col>
      <xdr:colOff>1745226</xdr:colOff>
      <xdr:row>42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20771</xdr:colOff>
      <xdr:row>34</xdr:row>
      <xdr:rowOff>1</xdr:rowOff>
    </xdr:from>
    <xdr:to>
      <xdr:col>5</xdr:col>
      <xdr:colOff>1732649</xdr:colOff>
      <xdr:row>38</xdr:row>
      <xdr:rowOff>20485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0448" y="4619114"/>
          <a:ext cx="6484620" cy="90129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PUERTAS SE ENTREGAN CORTADAS A LA MEDIDA Y ENCHAPADAS.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MELAMIL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3"/>
  <sheetViews>
    <sheetView tabSelected="1" topLeftCell="A24" zoomScale="93" zoomScaleNormal="93" workbookViewId="0">
      <selection activeCell="I28" sqref="I2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3.6640625" customWidth="1"/>
    <col min="5" max="5" width="10.5546875" customWidth="1"/>
    <col min="6" max="6" width="32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289</v>
      </c>
      <c r="D10" s="243"/>
      <c r="E10" s="243"/>
      <c r="F10" s="417" t="s">
        <v>277</v>
      </c>
      <c r="G10" s="275">
        <v>46097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C13" s="446" t="s">
        <v>292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/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7" t="s">
        <v>95</v>
      </c>
      <c r="C19" s="448"/>
      <c r="D19" s="448"/>
      <c r="E19" s="448"/>
      <c r="F19" s="448"/>
      <c r="G19" s="448"/>
      <c r="H19" s="449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O50</f>
        <v>59445.743708236179</v>
      </c>
      <c r="R20" s="257">
        <v>5000</v>
      </c>
      <c r="S20" s="38"/>
      <c r="T20" s="14" t="s">
        <v>127</v>
      </c>
      <c r="U20" s="9"/>
      <c r="X20" s="4"/>
    </row>
    <row r="21" spans="2:25" ht="17.399999999999999" x14ac:dyDescent="0.3">
      <c r="B21" s="312">
        <v>1</v>
      </c>
      <c r="C21" s="431" t="s">
        <v>263</v>
      </c>
      <c r="D21" s="432">
        <v>0.4</v>
      </c>
      <c r="E21" s="432">
        <v>0.69499999999999995</v>
      </c>
      <c r="F21" s="313" t="s">
        <v>291</v>
      </c>
      <c r="G21" s="314">
        <f>R21</f>
        <v>24831.10010106759</v>
      </c>
      <c r="H21" s="433">
        <f>G21*B21</f>
        <v>24831.10010106759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0.48000000000000004</v>
      </c>
      <c r="N21" s="39">
        <f t="shared" ref="N21" si="2">E21+$N$19</f>
        <v>0.69499999999999995</v>
      </c>
      <c r="O21" s="260">
        <f t="shared" ref="O21" si="3">M21*N21</f>
        <v>0.33360000000000001</v>
      </c>
      <c r="P21" s="258">
        <f t="shared" ref="P21" si="4">O21*L21</f>
        <v>0.33360000000000001</v>
      </c>
      <c r="Q21" s="251">
        <f t="shared" ref="Q21" si="5">Q$20*O21</f>
        <v>19831.10010106759</v>
      </c>
      <c r="R21" s="305">
        <f t="shared" ref="R21" si="6">Q21+R$20</f>
        <v>24831.10010106759</v>
      </c>
      <c r="S21" s="290">
        <f t="shared" ref="S21" si="7">M21*L21</f>
        <v>0.48000000000000004</v>
      </c>
      <c r="T21" s="46">
        <f>N21*2*L21*2</f>
        <v>2.78</v>
      </c>
      <c r="U21" s="9"/>
      <c r="X21" s="4"/>
    </row>
    <row r="22" spans="2:25" ht="17.399999999999999" x14ac:dyDescent="0.3">
      <c r="B22" s="438">
        <v>1</v>
      </c>
      <c r="C22" s="435" t="s">
        <v>263</v>
      </c>
      <c r="D22" s="436">
        <v>0.4</v>
      </c>
      <c r="E22" s="436">
        <v>0.59499999999999997</v>
      </c>
      <c r="F22" s="434" t="s">
        <v>291</v>
      </c>
      <c r="G22" s="437">
        <f t="shared" ref="G22:G33" si="8">R22</f>
        <v>21977.704403072254</v>
      </c>
      <c r="H22" s="439">
        <f t="shared" ref="H22:H33" si="9">G22*B22</f>
        <v>21977.704403072254</v>
      </c>
      <c r="I22" s="306"/>
      <c r="J22" s="264"/>
      <c r="K22" s="47"/>
      <c r="L22" s="47">
        <f t="shared" ref="L22:L33" si="10">B22</f>
        <v>1</v>
      </c>
      <c r="M22" s="39">
        <f t="shared" ref="M22:M33" si="11">D22+M$19</f>
        <v>0.48000000000000004</v>
      </c>
      <c r="N22" s="39">
        <f t="shared" ref="N22:N33" si="12">E22+$N$19</f>
        <v>0.59499999999999997</v>
      </c>
      <c r="O22" s="260">
        <f t="shared" ref="O22:O33" si="13">M22*N22</f>
        <v>0.28560000000000002</v>
      </c>
      <c r="P22" s="258">
        <f t="shared" ref="P22:P33" si="14">O22*L22</f>
        <v>0.28560000000000002</v>
      </c>
      <c r="Q22" s="251">
        <f t="shared" ref="Q22:Q33" si="15">Q$20*O22</f>
        <v>16977.704403072254</v>
      </c>
      <c r="R22" s="305">
        <f t="shared" ref="R22:R33" si="16">Q22+R$20</f>
        <v>21977.704403072254</v>
      </c>
      <c r="S22" s="290">
        <f t="shared" ref="S22:S33" si="17">M22*L22</f>
        <v>0.48000000000000004</v>
      </c>
      <c r="T22" s="46"/>
      <c r="U22" s="9"/>
      <c r="X22" s="4"/>
    </row>
    <row r="23" spans="2:25" ht="17.399999999999999" x14ac:dyDescent="0.3">
      <c r="B23" s="438">
        <v>2</v>
      </c>
      <c r="C23" s="435" t="s">
        <v>263</v>
      </c>
      <c r="D23" s="436">
        <v>0.7</v>
      </c>
      <c r="E23" s="436">
        <v>0.29499999999999998</v>
      </c>
      <c r="F23" s="434" t="s">
        <v>291</v>
      </c>
      <c r="G23" s="437">
        <f t="shared" si="8"/>
        <v>18678.465627265141</v>
      </c>
      <c r="H23" s="439">
        <f t="shared" si="9"/>
        <v>37356.931254530282</v>
      </c>
      <c r="I23" s="306"/>
      <c r="J23" s="264"/>
      <c r="K23" s="47"/>
      <c r="L23" s="47">
        <f t="shared" si="10"/>
        <v>2</v>
      </c>
      <c r="M23" s="39">
        <f t="shared" si="11"/>
        <v>0.77999999999999992</v>
      </c>
      <c r="N23" s="39">
        <f t="shared" si="12"/>
        <v>0.29499999999999998</v>
      </c>
      <c r="O23" s="260">
        <f t="shared" si="13"/>
        <v>0.23009999999999997</v>
      </c>
      <c r="P23" s="258">
        <f t="shared" si="14"/>
        <v>0.46019999999999994</v>
      </c>
      <c r="Q23" s="251">
        <f t="shared" si="15"/>
        <v>13678.465627265143</v>
      </c>
      <c r="R23" s="305">
        <f t="shared" si="16"/>
        <v>18678.465627265141</v>
      </c>
      <c r="S23" s="290">
        <f t="shared" si="17"/>
        <v>1.5599999999999998</v>
      </c>
      <c r="T23" s="46"/>
      <c r="U23" s="9"/>
      <c r="X23" s="4"/>
    </row>
    <row r="24" spans="2:25" ht="17.399999999999999" x14ac:dyDescent="0.3">
      <c r="B24" s="438">
        <v>1</v>
      </c>
      <c r="C24" s="435" t="s">
        <v>263</v>
      </c>
      <c r="D24" s="436">
        <v>0.7</v>
      </c>
      <c r="E24" s="436">
        <v>0.59499999999999997</v>
      </c>
      <c r="F24" s="434" t="s">
        <v>291</v>
      </c>
      <c r="G24" s="437">
        <f t="shared" si="8"/>
        <v>32588.769654992404</v>
      </c>
      <c r="H24" s="439">
        <f t="shared" si="9"/>
        <v>32588.769654992404</v>
      </c>
      <c r="I24" s="306"/>
      <c r="J24" s="264"/>
      <c r="K24" s="47"/>
      <c r="L24" s="47">
        <f t="shared" si="10"/>
        <v>1</v>
      </c>
      <c r="M24" s="39">
        <f t="shared" si="11"/>
        <v>0.77999999999999992</v>
      </c>
      <c r="N24" s="39">
        <f t="shared" si="12"/>
        <v>0.59499999999999997</v>
      </c>
      <c r="O24" s="260">
        <f t="shared" si="13"/>
        <v>0.4640999999999999</v>
      </c>
      <c r="P24" s="258">
        <f t="shared" si="14"/>
        <v>0.4640999999999999</v>
      </c>
      <c r="Q24" s="251">
        <f t="shared" si="15"/>
        <v>27588.769654992404</v>
      </c>
      <c r="R24" s="305">
        <f t="shared" si="16"/>
        <v>32588.769654992404</v>
      </c>
      <c r="S24" s="290">
        <f t="shared" si="17"/>
        <v>0.77999999999999992</v>
      </c>
      <c r="T24" s="46"/>
      <c r="U24" s="9"/>
      <c r="X24" s="4"/>
    </row>
    <row r="25" spans="2:25" ht="17.399999999999999" x14ac:dyDescent="0.3">
      <c r="B25" s="438">
        <v>2</v>
      </c>
      <c r="C25" s="435" t="s">
        <v>263</v>
      </c>
      <c r="D25" s="436">
        <v>0.34499999999999997</v>
      </c>
      <c r="E25" s="436">
        <v>0.84499999999999997</v>
      </c>
      <c r="F25" s="434" t="s">
        <v>291</v>
      </c>
      <c r="G25" s="437">
        <f t="shared" si="8"/>
        <v>26348.452709220317</v>
      </c>
      <c r="H25" s="439">
        <f t="shared" si="9"/>
        <v>52696.905418440634</v>
      </c>
      <c r="I25" s="306"/>
      <c r="J25" s="264"/>
      <c r="K25" s="47"/>
      <c r="L25" s="47">
        <f t="shared" si="10"/>
        <v>2</v>
      </c>
      <c r="M25" s="39">
        <f t="shared" si="11"/>
        <v>0.42499999999999999</v>
      </c>
      <c r="N25" s="39">
        <f t="shared" si="12"/>
        <v>0.84499999999999997</v>
      </c>
      <c r="O25" s="260">
        <f t="shared" si="13"/>
        <v>0.35912499999999997</v>
      </c>
      <c r="P25" s="258">
        <f t="shared" si="14"/>
        <v>0.71824999999999994</v>
      </c>
      <c r="Q25" s="251">
        <f t="shared" si="15"/>
        <v>21348.452709220317</v>
      </c>
      <c r="R25" s="305">
        <f t="shared" si="16"/>
        <v>26348.452709220317</v>
      </c>
      <c r="S25" s="290">
        <f t="shared" si="17"/>
        <v>0.85</v>
      </c>
      <c r="T25" s="46"/>
      <c r="U25" s="9"/>
      <c r="X25" s="4"/>
    </row>
    <row r="26" spans="2:25" ht="17.399999999999999" x14ac:dyDescent="0.3">
      <c r="B26" s="438">
        <v>2</v>
      </c>
      <c r="C26" s="435" t="s">
        <v>263</v>
      </c>
      <c r="D26" s="436">
        <v>0.55000000000000004</v>
      </c>
      <c r="E26" s="436">
        <v>0.39500000000000002</v>
      </c>
      <c r="F26" s="434" t="s">
        <v>291</v>
      </c>
      <c r="G26" s="437">
        <f t="shared" si="8"/>
        <v>19793.073321794574</v>
      </c>
      <c r="H26" s="439">
        <f t="shared" si="9"/>
        <v>39586.146643589149</v>
      </c>
      <c r="I26" s="306"/>
      <c r="J26" s="264"/>
      <c r="K26" s="47"/>
      <c r="L26" s="47">
        <f t="shared" si="10"/>
        <v>2</v>
      </c>
      <c r="M26" s="39">
        <f t="shared" si="11"/>
        <v>0.63</v>
      </c>
      <c r="N26" s="39">
        <f t="shared" si="12"/>
        <v>0.39500000000000002</v>
      </c>
      <c r="O26" s="260">
        <f t="shared" si="13"/>
        <v>0.24885000000000002</v>
      </c>
      <c r="P26" s="258">
        <f t="shared" si="14"/>
        <v>0.49770000000000003</v>
      </c>
      <c r="Q26" s="251">
        <f t="shared" si="15"/>
        <v>14793.073321794574</v>
      </c>
      <c r="R26" s="305">
        <f t="shared" si="16"/>
        <v>19793.073321794574</v>
      </c>
      <c r="S26" s="290">
        <f t="shared" si="17"/>
        <v>1.26</v>
      </c>
      <c r="T26" s="46"/>
      <c r="U26" s="9"/>
      <c r="X26" s="4"/>
    </row>
    <row r="27" spans="2:25" ht="17.399999999999999" x14ac:dyDescent="0.3">
      <c r="B27" s="438">
        <v>2</v>
      </c>
      <c r="C27" s="435" t="s">
        <v>263</v>
      </c>
      <c r="D27" s="436">
        <v>0.34499999999999997</v>
      </c>
      <c r="E27" s="436">
        <v>0.79500000000000004</v>
      </c>
      <c r="F27" s="434" t="s">
        <v>291</v>
      </c>
      <c r="G27" s="437">
        <f t="shared" si="8"/>
        <v>25085.230655420299</v>
      </c>
      <c r="H27" s="439">
        <f t="shared" si="9"/>
        <v>50170.461310840597</v>
      </c>
      <c r="I27" s="306"/>
      <c r="J27" s="264"/>
      <c r="K27" s="47"/>
      <c r="L27" s="47">
        <f t="shared" si="10"/>
        <v>2</v>
      </c>
      <c r="M27" s="39">
        <f t="shared" si="11"/>
        <v>0.42499999999999999</v>
      </c>
      <c r="N27" s="39">
        <f t="shared" si="12"/>
        <v>0.79500000000000004</v>
      </c>
      <c r="O27" s="260">
        <f t="shared" si="13"/>
        <v>0.33787499999999998</v>
      </c>
      <c r="P27" s="258">
        <f t="shared" si="14"/>
        <v>0.67574999999999996</v>
      </c>
      <c r="Q27" s="251">
        <f t="shared" si="15"/>
        <v>20085.230655420299</v>
      </c>
      <c r="R27" s="305">
        <f t="shared" si="16"/>
        <v>25085.230655420299</v>
      </c>
      <c r="S27" s="290">
        <f t="shared" si="17"/>
        <v>0.85</v>
      </c>
      <c r="T27" s="46"/>
      <c r="U27" s="9"/>
      <c r="X27" s="4"/>
    </row>
    <row r="28" spans="2:25" ht="17.399999999999999" x14ac:dyDescent="0.3">
      <c r="B28" s="438">
        <v>2</v>
      </c>
      <c r="C28" s="435" t="s">
        <v>263</v>
      </c>
      <c r="D28" s="436">
        <v>0.375</v>
      </c>
      <c r="E28" s="436">
        <v>0.59499999999999997</v>
      </c>
      <c r="F28" s="434" t="s">
        <v>291</v>
      </c>
      <c r="G28" s="437">
        <f t="shared" si="8"/>
        <v>21093.448965412237</v>
      </c>
      <c r="H28" s="439">
        <f t="shared" si="9"/>
        <v>42186.897930824474</v>
      </c>
      <c r="I28" s="306"/>
      <c r="J28" s="264"/>
      <c r="K28" s="47"/>
      <c r="L28" s="47">
        <f t="shared" si="10"/>
        <v>2</v>
      </c>
      <c r="M28" s="39">
        <f t="shared" si="11"/>
        <v>0.45500000000000002</v>
      </c>
      <c r="N28" s="39">
        <f t="shared" si="12"/>
        <v>0.59499999999999997</v>
      </c>
      <c r="O28" s="260">
        <f t="shared" si="13"/>
        <v>0.27072499999999999</v>
      </c>
      <c r="P28" s="258">
        <f t="shared" si="14"/>
        <v>0.54144999999999999</v>
      </c>
      <c r="Q28" s="251">
        <f t="shared" si="15"/>
        <v>16093.448965412239</v>
      </c>
      <c r="R28" s="305">
        <f t="shared" si="16"/>
        <v>21093.448965412237</v>
      </c>
      <c r="S28" s="290">
        <f t="shared" si="17"/>
        <v>0.91</v>
      </c>
      <c r="T28" s="46"/>
      <c r="U28" s="9"/>
      <c r="X28" s="4"/>
    </row>
    <row r="29" spans="2:25" ht="17.399999999999999" x14ac:dyDescent="0.3">
      <c r="B29" s="438">
        <v>2</v>
      </c>
      <c r="C29" s="435" t="s">
        <v>263</v>
      </c>
      <c r="D29" s="436">
        <v>0.76</v>
      </c>
      <c r="E29" s="436">
        <v>0.84499999999999997</v>
      </c>
      <c r="F29" s="434" t="s">
        <v>291</v>
      </c>
      <c r="G29" s="437">
        <f t="shared" si="8"/>
        <v>47194.588884106037</v>
      </c>
      <c r="H29" s="439">
        <f t="shared" si="9"/>
        <v>94389.177768212074</v>
      </c>
      <c r="I29" s="306"/>
      <c r="J29" s="264"/>
      <c r="K29" s="47"/>
      <c r="L29" s="47">
        <f t="shared" si="10"/>
        <v>2</v>
      </c>
      <c r="M29" s="39">
        <f t="shared" si="11"/>
        <v>0.84</v>
      </c>
      <c r="N29" s="39">
        <f t="shared" si="12"/>
        <v>0.84499999999999997</v>
      </c>
      <c r="O29" s="260">
        <f t="shared" si="13"/>
        <v>0.70979999999999999</v>
      </c>
      <c r="P29" s="258">
        <f t="shared" si="14"/>
        <v>1.4196</v>
      </c>
      <c r="Q29" s="251">
        <f t="shared" si="15"/>
        <v>42194.588884106037</v>
      </c>
      <c r="R29" s="305">
        <f t="shared" si="16"/>
        <v>47194.588884106037</v>
      </c>
      <c r="S29" s="290">
        <f t="shared" si="17"/>
        <v>1.68</v>
      </c>
      <c r="T29" s="46"/>
      <c r="U29" s="9"/>
      <c r="X29" s="4"/>
    </row>
    <row r="30" spans="2:25" ht="17.399999999999999" x14ac:dyDescent="0.3">
      <c r="B30" s="438">
        <v>1</v>
      </c>
      <c r="C30" s="435" t="s">
        <v>263</v>
      </c>
      <c r="D30" s="436">
        <v>0.76</v>
      </c>
      <c r="E30" s="436">
        <v>0.2</v>
      </c>
      <c r="F30" s="434" t="s">
        <v>291</v>
      </c>
      <c r="G30" s="437">
        <f t="shared" si="8"/>
        <v>14986.884942983679</v>
      </c>
      <c r="H30" s="439">
        <f t="shared" si="9"/>
        <v>14986.884942983679</v>
      </c>
      <c r="I30" s="306"/>
      <c r="J30" s="264"/>
      <c r="K30" s="47"/>
      <c r="L30" s="47">
        <f t="shared" si="10"/>
        <v>1</v>
      </c>
      <c r="M30" s="39">
        <f t="shared" si="11"/>
        <v>0.84</v>
      </c>
      <c r="N30" s="39">
        <f t="shared" si="12"/>
        <v>0.2</v>
      </c>
      <c r="O30" s="260">
        <f t="shared" si="13"/>
        <v>0.16800000000000001</v>
      </c>
      <c r="P30" s="258">
        <f t="shared" si="14"/>
        <v>0.16800000000000001</v>
      </c>
      <c r="Q30" s="251">
        <f t="shared" si="15"/>
        <v>9986.8849429836791</v>
      </c>
      <c r="R30" s="305">
        <f t="shared" si="16"/>
        <v>14986.884942983679</v>
      </c>
      <c r="S30" s="290">
        <f t="shared" si="17"/>
        <v>0.84</v>
      </c>
      <c r="T30" s="46"/>
      <c r="U30" s="9"/>
      <c r="X30" s="4"/>
    </row>
    <row r="31" spans="2:25" ht="17.399999999999999" x14ac:dyDescent="0.3">
      <c r="B31" s="438">
        <v>4</v>
      </c>
      <c r="C31" s="435" t="s">
        <v>263</v>
      </c>
      <c r="D31" s="436">
        <v>0.17499999999999999</v>
      </c>
      <c r="E31" s="436">
        <v>0.495</v>
      </c>
      <c r="F31" s="434" t="s">
        <v>291</v>
      </c>
      <c r="G31" s="437">
        <f t="shared" si="8"/>
        <v>12503.538999572113</v>
      </c>
      <c r="H31" s="439">
        <f t="shared" si="9"/>
        <v>50014.15599828845</v>
      </c>
      <c r="I31" s="306"/>
      <c r="J31" s="264"/>
      <c r="K31" s="47"/>
      <c r="L31" s="47">
        <f t="shared" si="10"/>
        <v>4</v>
      </c>
      <c r="M31" s="39">
        <f t="shared" si="11"/>
        <v>0.255</v>
      </c>
      <c r="N31" s="39">
        <f t="shared" si="12"/>
        <v>0.495</v>
      </c>
      <c r="O31" s="260">
        <f t="shared" si="13"/>
        <v>0.126225</v>
      </c>
      <c r="P31" s="258">
        <f t="shared" si="14"/>
        <v>0.50490000000000002</v>
      </c>
      <c r="Q31" s="251">
        <f t="shared" si="15"/>
        <v>7503.5389995721116</v>
      </c>
      <c r="R31" s="305">
        <f t="shared" si="16"/>
        <v>12503.538999572113</v>
      </c>
      <c r="S31" s="290">
        <f t="shared" si="17"/>
        <v>1.02</v>
      </c>
      <c r="T31" s="46"/>
      <c r="U31" s="9"/>
      <c r="X31" s="4"/>
    </row>
    <row r="32" spans="2:25" ht="17.399999999999999" x14ac:dyDescent="0.3">
      <c r="B32" s="438">
        <v>1</v>
      </c>
      <c r="C32" s="435" t="s">
        <v>263</v>
      </c>
      <c r="D32" s="436">
        <v>0.76</v>
      </c>
      <c r="E32" s="436">
        <v>0.29499999999999998</v>
      </c>
      <c r="F32" s="434" t="s">
        <v>291</v>
      </c>
      <c r="G32" s="437">
        <f t="shared" si="8"/>
        <v>19730.655290900922</v>
      </c>
      <c r="H32" s="439">
        <f t="shared" si="9"/>
        <v>19730.655290900922</v>
      </c>
      <c r="I32" s="306"/>
      <c r="J32" s="264"/>
      <c r="K32" s="47"/>
      <c r="L32" s="47">
        <f t="shared" si="10"/>
        <v>1</v>
      </c>
      <c r="M32" s="39">
        <f t="shared" si="11"/>
        <v>0.84</v>
      </c>
      <c r="N32" s="39">
        <f t="shared" si="12"/>
        <v>0.29499999999999998</v>
      </c>
      <c r="O32" s="260">
        <f t="shared" si="13"/>
        <v>0.24779999999999996</v>
      </c>
      <c r="P32" s="258">
        <f t="shared" si="14"/>
        <v>0.24779999999999996</v>
      </c>
      <c r="Q32" s="251">
        <f t="shared" si="15"/>
        <v>14730.655290900922</v>
      </c>
      <c r="R32" s="305">
        <f t="shared" si="16"/>
        <v>19730.655290900922</v>
      </c>
      <c r="S32" s="290">
        <f t="shared" si="17"/>
        <v>0.84</v>
      </c>
      <c r="T32" s="46"/>
      <c r="U32" s="9"/>
      <c r="X32" s="4"/>
    </row>
    <row r="33" spans="1:24" ht="18" thickBot="1" x14ac:dyDescent="0.35">
      <c r="B33" s="440">
        <v>2</v>
      </c>
      <c r="C33" s="441" t="s">
        <v>263</v>
      </c>
      <c r="D33" s="442">
        <v>0.7</v>
      </c>
      <c r="E33" s="442">
        <v>0.44500000000000001</v>
      </c>
      <c r="F33" s="443" t="s">
        <v>291</v>
      </c>
      <c r="G33" s="444">
        <f t="shared" si="8"/>
        <v>25633.617641128774</v>
      </c>
      <c r="H33" s="445">
        <f t="shared" si="9"/>
        <v>51267.235282257549</v>
      </c>
      <c r="I33" s="306"/>
      <c r="J33" s="264"/>
      <c r="K33" s="47"/>
      <c r="L33" s="47">
        <f t="shared" si="10"/>
        <v>2</v>
      </c>
      <c r="M33" s="39">
        <f t="shared" si="11"/>
        <v>0.77999999999999992</v>
      </c>
      <c r="N33" s="39">
        <f t="shared" si="12"/>
        <v>0.44500000000000001</v>
      </c>
      <c r="O33" s="260">
        <f t="shared" si="13"/>
        <v>0.34709999999999996</v>
      </c>
      <c r="P33" s="258">
        <f t="shared" si="14"/>
        <v>0.69419999999999993</v>
      </c>
      <c r="Q33" s="251">
        <f t="shared" si="15"/>
        <v>20633.617641128774</v>
      </c>
      <c r="R33" s="305">
        <f t="shared" si="16"/>
        <v>25633.617641128774</v>
      </c>
      <c r="S33" s="290">
        <f t="shared" si="17"/>
        <v>1.5599999999999998</v>
      </c>
      <c r="T33" s="46"/>
      <c r="U33" s="9"/>
      <c r="X33" s="4"/>
    </row>
    <row r="34" spans="1:24" ht="17.399999999999999" x14ac:dyDescent="0.3">
      <c r="B34" s="283"/>
      <c r="C34" s="325"/>
      <c r="D34" s="284"/>
      <c r="E34" s="284"/>
      <c r="F34" s="283"/>
      <c r="G34" s="306"/>
      <c r="H34" s="306"/>
      <c r="I34" s="306"/>
      <c r="J34" s="264"/>
      <c r="K34" s="47"/>
      <c r="L34" s="47"/>
      <c r="M34" s="39"/>
      <c r="N34" s="39"/>
      <c r="O34" s="260"/>
      <c r="P34" s="258"/>
      <c r="Q34" s="251"/>
      <c r="R34" s="305"/>
      <c r="S34" s="290"/>
      <c r="T34" s="46"/>
      <c r="U34" s="9"/>
      <c r="X34" s="4"/>
    </row>
    <row r="35" spans="1:24" ht="18" thickBot="1" x14ac:dyDescent="0.35">
      <c r="B35" s="283"/>
      <c r="C35" s="325"/>
      <c r="D35" s="284"/>
      <c r="E35" s="284"/>
      <c r="F35" s="283"/>
      <c r="G35" s="264"/>
      <c r="H35" s="307"/>
      <c r="I35" s="309"/>
      <c r="J35" s="233"/>
      <c r="K35" s="47"/>
      <c r="L35" s="47"/>
      <c r="M35" s="39"/>
      <c r="N35" s="39"/>
      <c r="O35" s="260"/>
      <c r="P35" s="258"/>
      <c r="Q35" s="251"/>
      <c r="R35" s="257"/>
      <c r="S35" s="290"/>
      <c r="T35" s="14"/>
      <c r="U35" s="9"/>
      <c r="X35" s="4"/>
    </row>
    <row r="36" spans="1:24" ht="17.399999999999999" x14ac:dyDescent="0.3">
      <c r="B36" s="283"/>
      <c r="C36" s="283"/>
      <c r="D36" s="284"/>
      <c r="E36" s="284"/>
      <c r="F36" s="283"/>
      <c r="G36" s="310" t="s">
        <v>28</v>
      </c>
      <c r="H36" s="311">
        <f>SUM(H21:H33)</f>
        <v>531783.02600000007</v>
      </c>
      <c r="I36" s="308"/>
      <c r="J36" s="264"/>
      <c r="K36" s="47"/>
      <c r="L36" s="47"/>
      <c r="M36" s="39"/>
      <c r="N36" s="39"/>
      <c r="O36" s="260"/>
      <c r="P36" s="258"/>
      <c r="Q36" s="251"/>
      <c r="R36" s="257"/>
      <c r="S36" s="290"/>
      <c r="T36" s="46">
        <f>SUM(T21:T21)</f>
        <v>2.78</v>
      </c>
      <c r="U36" s="9"/>
      <c r="X36" s="4"/>
    </row>
    <row r="37" spans="1:24" ht="17.399999999999999" x14ac:dyDescent="0.3">
      <c r="B37" s="277"/>
      <c r="C37" s="280"/>
      <c r="D37" s="281"/>
      <c r="E37" s="281"/>
      <c r="F37" s="282"/>
      <c r="G37" s="289" t="s">
        <v>51</v>
      </c>
      <c r="H37" s="287">
        <f>H36*19%</f>
        <v>101038.77494000002</v>
      </c>
      <c r="I37" s="308"/>
      <c r="J37" s="264"/>
      <c r="K37" s="47"/>
      <c r="L37" s="47"/>
      <c r="M37" s="39">
        <f>SUM(M21:M36)</f>
        <v>8.009999999999998</v>
      </c>
      <c r="N37" s="12"/>
      <c r="O37" s="12"/>
      <c r="P37" s="252">
        <f>SUM(P21:P33)</f>
        <v>7.0111499999999989</v>
      </c>
      <c r="Q37" s="14"/>
      <c r="R37" s="12"/>
      <c r="S37" s="239"/>
      <c r="T37" s="46"/>
      <c r="U37" s="9"/>
      <c r="X37" s="4"/>
    </row>
    <row r="38" spans="1:24" ht="18" thickBot="1" x14ac:dyDescent="0.35">
      <c r="B38" s="274"/>
      <c r="C38" s="279"/>
      <c r="D38" s="271"/>
      <c r="E38" s="271"/>
      <c r="F38" s="272"/>
      <c r="G38" s="278" t="s">
        <v>6</v>
      </c>
      <c r="H38" s="288">
        <f>H36+H37</f>
        <v>632821.8009400001</v>
      </c>
      <c r="I38" s="308"/>
      <c r="J38" s="264"/>
      <c r="K38" s="47"/>
      <c r="L38" s="47"/>
      <c r="M38" s="39"/>
      <c r="N38" s="12"/>
      <c r="O38" s="12"/>
      <c r="P38" s="252">
        <f>P37</f>
        <v>7.0111499999999989</v>
      </c>
      <c r="Q38" s="14"/>
      <c r="R38" s="12"/>
      <c r="S38" s="239">
        <f>SUM(S21:S37)</f>
        <v>13.11</v>
      </c>
      <c r="T38" s="46"/>
      <c r="U38" s="9"/>
      <c r="X38" s="4"/>
    </row>
    <row r="39" spans="1:24" ht="17.399999999999999" x14ac:dyDescent="0.3">
      <c r="B39" s="274"/>
      <c r="C39" s="270"/>
      <c r="D39" s="271"/>
      <c r="E39" s="271"/>
      <c r="F39" s="272"/>
      <c r="J39" s="264"/>
      <c r="K39" s="47"/>
      <c r="L39" s="47"/>
      <c r="M39" s="14"/>
      <c r="N39" s="12"/>
      <c r="O39" s="12"/>
      <c r="P39" s="39">
        <f>P38*20%</f>
        <v>1.4022299999999999</v>
      </c>
      <c r="Q39" s="39" t="s">
        <v>129</v>
      </c>
      <c r="R39" s="42"/>
      <c r="S39" s="240">
        <f>S38+T36</f>
        <v>15.889999999999999</v>
      </c>
      <c r="T39" s="14"/>
      <c r="U39" s="9"/>
      <c r="X39" s="4"/>
    </row>
    <row r="40" spans="1:24" ht="17.399999999999999" x14ac:dyDescent="0.35">
      <c r="B40" s="268"/>
      <c r="C40" s="230"/>
      <c r="D40" s="230"/>
      <c r="E40" s="233"/>
      <c r="F40" s="234"/>
      <c r="G40" s="230"/>
      <c r="H40" s="273"/>
      <c r="I40" s="273"/>
      <c r="J40" s="264"/>
      <c r="K40" s="47"/>
      <c r="L40" s="47"/>
      <c r="M40" s="14"/>
      <c r="N40" s="12"/>
      <c r="O40" s="12"/>
      <c r="P40" s="46">
        <f>P38+P39</f>
        <v>8.4133799999999983</v>
      </c>
      <c r="Q40" s="14"/>
      <c r="R40" s="14"/>
      <c r="S40" s="238">
        <f>S39*20%</f>
        <v>3.1779999999999999</v>
      </c>
      <c r="T40" s="14"/>
      <c r="U40" s="9"/>
      <c r="X40" s="4"/>
    </row>
    <row r="41" spans="1:24" ht="17.399999999999999" x14ac:dyDescent="0.35">
      <c r="B41" s="235"/>
      <c r="C41" s="236"/>
      <c r="D41" s="237"/>
      <c r="E41" s="235"/>
      <c r="F41" s="230"/>
      <c r="G41" s="230"/>
      <c r="I41" s="273"/>
      <c r="J41" s="264"/>
      <c r="K41" s="47"/>
      <c r="L41" s="47"/>
      <c r="M41" s="14"/>
      <c r="N41" s="14"/>
      <c r="O41" s="14"/>
      <c r="P41" s="14"/>
      <c r="Q41" s="14"/>
      <c r="R41" s="14"/>
      <c r="S41" s="240">
        <f>S39+S40</f>
        <v>19.067999999999998</v>
      </c>
      <c r="T41" s="14"/>
      <c r="U41" s="294" t="s">
        <v>21</v>
      </c>
      <c r="V41" s="291" t="s">
        <v>149</v>
      </c>
      <c r="W41" s="295">
        <v>44971</v>
      </c>
      <c r="X41" s="296"/>
    </row>
    <row r="42" spans="1:24" ht="17.399999999999999" x14ac:dyDescent="0.35">
      <c r="B42" s="230"/>
      <c r="C42" s="230"/>
      <c r="D42" s="230"/>
      <c r="E42" s="230"/>
      <c r="F42" s="230"/>
      <c r="G42" s="230"/>
      <c r="J42" s="264"/>
      <c r="K42" s="47"/>
      <c r="L42" s="47"/>
      <c r="M42" s="39">
        <f>P40</f>
        <v>8.4133799999999983</v>
      </c>
      <c r="N42" s="12">
        <v>3500</v>
      </c>
      <c r="O42" s="12">
        <f t="shared" ref="O42:O47" si="18">M42*N42</f>
        <v>29446.829999999994</v>
      </c>
      <c r="P42" s="14" t="s">
        <v>21</v>
      </c>
      <c r="Q42" s="14"/>
      <c r="R42" s="14"/>
      <c r="S42" s="241"/>
      <c r="T42" s="14"/>
      <c r="U42" s="294" t="s">
        <v>150</v>
      </c>
      <c r="V42" s="291">
        <v>3625</v>
      </c>
      <c r="W42" s="59" t="s">
        <v>151</v>
      </c>
      <c r="X42" s="296"/>
    </row>
    <row r="43" spans="1:24" ht="17.399999999999999" x14ac:dyDescent="0.35">
      <c r="A43" s="230"/>
      <c r="B43" s="230"/>
      <c r="C43" s="230"/>
      <c r="D43" s="230"/>
      <c r="E43" s="230"/>
      <c r="F43" s="230"/>
      <c r="G43" s="230"/>
      <c r="H43" s="230"/>
      <c r="J43" s="264"/>
      <c r="K43" s="47"/>
      <c r="L43" s="47"/>
      <c r="M43" s="248">
        <v>2.5</v>
      </c>
      <c r="N43" s="12">
        <v>40000</v>
      </c>
      <c r="O43" s="12">
        <f t="shared" si="18"/>
        <v>100000</v>
      </c>
      <c r="P43" s="39" t="s">
        <v>31</v>
      </c>
      <c r="Q43" s="42"/>
      <c r="R43" s="14"/>
      <c r="S43" s="240"/>
      <c r="T43" s="14"/>
      <c r="U43" s="294"/>
      <c r="V43" s="59">
        <v>906.25</v>
      </c>
      <c r="W43" s="59" t="s">
        <v>152</v>
      </c>
      <c r="X43" s="296"/>
    </row>
    <row r="44" spans="1:24" s="230" customFormat="1" ht="17.399999999999999" x14ac:dyDescent="0.35">
      <c r="B44" s="24" t="s">
        <v>148</v>
      </c>
      <c r="J44" s="261"/>
      <c r="K44" s="232"/>
      <c r="L44" s="249"/>
      <c r="M44" s="14"/>
      <c r="N44" s="249">
        <v>41000</v>
      </c>
      <c r="O44" s="12">
        <f t="shared" si="18"/>
        <v>0</v>
      </c>
      <c r="P44" s="39" t="s">
        <v>30</v>
      </c>
      <c r="Q44" s="42"/>
      <c r="S44" s="240"/>
      <c r="T44" s="255"/>
      <c r="U44" s="59"/>
      <c r="V44" s="59">
        <f>V43*20%</f>
        <v>181.25</v>
      </c>
      <c r="W44" s="296" t="s">
        <v>153</v>
      </c>
      <c r="X44" s="59"/>
    </row>
    <row r="45" spans="1:24" s="230" customFormat="1" ht="17.399999999999999" x14ac:dyDescent="0.35">
      <c r="B45" s="24" t="s">
        <v>162</v>
      </c>
      <c r="C45"/>
      <c r="D45"/>
      <c r="E45"/>
      <c r="F45"/>
      <c r="J45" s="261"/>
      <c r="K45" s="232"/>
      <c r="L45" s="249"/>
      <c r="M45" s="14">
        <v>3</v>
      </c>
      <c r="N45" s="249">
        <v>20000</v>
      </c>
      <c r="O45" s="12">
        <f t="shared" si="18"/>
        <v>60000</v>
      </c>
      <c r="P45" s="14" t="s">
        <v>139</v>
      </c>
      <c r="Q45" s="17"/>
      <c r="S45" s="238"/>
      <c r="T45" s="255"/>
      <c r="U45" s="59"/>
      <c r="V45" s="59">
        <f>V43+V44</f>
        <v>1087.5</v>
      </c>
      <c r="W45" s="296" t="s">
        <v>154</v>
      </c>
      <c r="X45" s="59"/>
    </row>
    <row r="46" spans="1:24" s="230" customFormat="1" ht="17.399999999999999" x14ac:dyDescent="0.35">
      <c r="A46" s="230" t="s">
        <v>283</v>
      </c>
      <c r="B46" s="29" t="s">
        <v>124</v>
      </c>
      <c r="C46"/>
      <c r="D46"/>
      <c r="E46"/>
      <c r="F46" s="229" t="s">
        <v>15</v>
      </c>
      <c r="J46" s="261"/>
      <c r="K46" s="259"/>
      <c r="L46" s="249"/>
      <c r="M46" s="248"/>
      <c r="N46" s="249">
        <v>900</v>
      </c>
      <c r="O46" s="12">
        <f t="shared" si="18"/>
        <v>0</v>
      </c>
      <c r="P46" s="14" t="s">
        <v>32</v>
      </c>
      <c r="Q46" s="14"/>
      <c r="R46" s="230">
        <v>1.52</v>
      </c>
      <c r="S46" s="238"/>
      <c r="T46" s="238"/>
    </row>
    <row r="47" spans="1:24" s="230" customFormat="1" ht="17.399999999999999" x14ac:dyDescent="0.35">
      <c r="J47" s="286"/>
      <c r="K47" s="259"/>
      <c r="L47" s="249"/>
      <c r="M47" s="265"/>
      <c r="N47" s="12">
        <v>1500</v>
      </c>
      <c r="O47" s="12">
        <f t="shared" si="18"/>
        <v>0</v>
      </c>
      <c r="P47" s="14" t="s">
        <v>22</v>
      </c>
      <c r="Q47" s="14"/>
      <c r="R47">
        <v>2.44</v>
      </c>
      <c r="S47"/>
      <c r="T47" s="238"/>
      <c r="X47" s="231"/>
    </row>
    <row r="48" spans="1:24" s="230" customFormat="1" ht="17.399999999999999" x14ac:dyDescent="0.35">
      <c r="K48" s="259"/>
      <c r="L48" s="249"/>
      <c r="M48" s="14"/>
      <c r="N48" s="12"/>
      <c r="O48" s="12">
        <f>SUM(O42:O47)</f>
        <v>189446.83</v>
      </c>
      <c r="P48" s="39" t="s">
        <v>23</v>
      </c>
      <c r="Q48" s="14"/>
      <c r="R48">
        <f>R46*R47</f>
        <v>3.7088000000000001</v>
      </c>
      <c r="S48"/>
      <c r="T48" s="238"/>
      <c r="X48" s="231"/>
    </row>
    <row r="49" spans="2:23" s="230" customFormat="1" ht="17.399999999999999" x14ac:dyDescent="0.35">
      <c r="L49" s="249"/>
      <c r="M49" s="253" t="s">
        <v>33</v>
      </c>
      <c r="N49" s="12"/>
      <c r="O49" s="254">
        <f>O48*2.2</f>
        <v>416783.02600000001</v>
      </c>
      <c r="P49" s="14" t="s">
        <v>138</v>
      </c>
      <c r="Q49" s="14"/>
      <c r="R49" s="40">
        <f>P40/R48</f>
        <v>2.2684911561691106</v>
      </c>
      <c r="S49"/>
      <c r="T49" s="256"/>
    </row>
    <row r="50" spans="2:23" s="230" customFormat="1" ht="17.399999999999999" x14ac:dyDescent="0.35">
      <c r="G50"/>
      <c r="H50" s="259"/>
      <c r="I50" s="259"/>
      <c r="J50" s="259"/>
      <c r="K50" s="230">
        <v>42800</v>
      </c>
      <c r="L50" s="249"/>
      <c r="M50" s="14"/>
      <c r="N50" s="12"/>
      <c r="O50" s="12">
        <f>O49/P38</f>
        <v>59445.743708236179</v>
      </c>
      <c r="P50" s="45" t="s">
        <v>24</v>
      </c>
      <c r="Q50" s="14"/>
      <c r="R50" s="14"/>
      <c r="S50"/>
      <c r="T50" s="238"/>
      <c r="U50" s="59" t="s">
        <v>155</v>
      </c>
      <c r="V50" s="291">
        <v>43650</v>
      </c>
    </row>
    <row r="51" spans="2:23" s="230" customFormat="1" ht="17.399999999999999" x14ac:dyDescent="0.35">
      <c r="G51"/>
      <c r="K51" s="230">
        <f>K50/1.19</f>
        <v>35966.386554621851</v>
      </c>
      <c r="L51" s="249"/>
      <c r="M51" s="13"/>
      <c r="N51" s="14"/>
      <c r="O51" s="17">
        <f>O49/O48</f>
        <v>2.2000000000000002</v>
      </c>
      <c r="P51" s="15"/>
      <c r="Q51"/>
      <c r="R51"/>
      <c r="S51"/>
      <c r="T51" s="238"/>
      <c r="U51" s="59" t="s">
        <v>157</v>
      </c>
      <c r="V51" s="292" t="s">
        <v>156</v>
      </c>
      <c r="W51" s="59">
        <v>2.4</v>
      </c>
    </row>
    <row r="52" spans="2:23" s="230" customFormat="1" ht="17.399999999999999" x14ac:dyDescent="0.35">
      <c r="G52" s="23"/>
      <c r="L52" s="12"/>
      <c r="T52" s="238"/>
      <c r="U52" s="59" t="s">
        <v>158</v>
      </c>
      <c r="V52" s="293">
        <v>395.37</v>
      </c>
    </row>
    <row r="53" spans="2:23" s="230" customFormat="1" ht="17.399999999999999" x14ac:dyDescent="0.35">
      <c r="B53"/>
      <c r="C53" s="228"/>
      <c r="D53" s="22"/>
      <c r="E53" s="22"/>
      <c r="F53" s="21"/>
      <c r="G53" s="23"/>
      <c r="L53" s="12"/>
      <c r="T53" s="238"/>
      <c r="U53" s="59" t="s">
        <v>153</v>
      </c>
      <c r="V53" s="59">
        <v>474.45</v>
      </c>
    </row>
    <row r="54" spans="2:23" ht="14.4" customHeight="1" x14ac:dyDescent="0.3">
      <c r="L54" s="12"/>
      <c r="U54" s="59"/>
      <c r="V54" s="59"/>
    </row>
    <row r="55" spans="2:23" x14ac:dyDescent="0.3">
      <c r="L55" s="249"/>
    </row>
    <row r="56" spans="2:23" x14ac:dyDescent="0.3">
      <c r="L56" s="249"/>
      <c r="T56" s="269"/>
    </row>
    <row r="57" spans="2:23" x14ac:dyDescent="0.3">
      <c r="L57" s="249"/>
    </row>
    <row r="58" spans="2:23" ht="15" customHeight="1" x14ac:dyDescent="0.3"/>
    <row r="60" spans="2:23" x14ac:dyDescent="0.3">
      <c r="O60">
        <v>40935</v>
      </c>
      <c r="P60" t="s">
        <v>16</v>
      </c>
      <c r="Q60" t="s">
        <v>26</v>
      </c>
    </row>
    <row r="62" spans="2:23" x14ac:dyDescent="0.3">
      <c r="O62" s="54"/>
      <c r="P62" s="54"/>
    </row>
    <row r="63" spans="2:23" x14ac:dyDescent="0.3">
      <c r="S63" s="18"/>
      <c r="T63" s="18"/>
    </row>
    <row r="64" spans="2:23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1" spans="15:20" x14ac:dyDescent="0.3">
      <c r="S71" s="18"/>
      <c r="T71" s="18"/>
    </row>
    <row r="74" spans="15:20" x14ac:dyDescent="0.3">
      <c r="O74" s="43"/>
    </row>
    <row r="75" spans="15:20" x14ac:dyDescent="0.3">
      <c r="O75" s="43"/>
    </row>
    <row r="76" spans="15:20" x14ac:dyDescent="0.3">
      <c r="O76" s="6"/>
    </row>
    <row r="77" spans="15:20" x14ac:dyDescent="0.3">
      <c r="O77" s="6"/>
    </row>
    <row r="85" spans="3:3" x14ac:dyDescent="0.3">
      <c r="C85" t="s">
        <v>145</v>
      </c>
    </row>
    <row r="86" spans="3:3" x14ac:dyDescent="0.3">
      <c r="C86" t="s">
        <v>144</v>
      </c>
    </row>
    <row r="89" spans="3:3" x14ac:dyDescent="0.3">
      <c r="C89" t="s">
        <v>144</v>
      </c>
    </row>
    <row r="166" spans="3:3" x14ac:dyDescent="0.3">
      <c r="C166" t="s">
        <v>144</v>
      </c>
    </row>
    <row r="167" spans="3:3" x14ac:dyDescent="0.3">
      <c r="C167" t="s">
        <v>146</v>
      </c>
    </row>
    <row r="168" spans="3:3" x14ac:dyDescent="0.3">
      <c r="C168" t="s">
        <v>147</v>
      </c>
    </row>
    <row r="593" spans="3:3" x14ac:dyDescent="0.3">
      <c r="C593" t="s">
        <v>144</v>
      </c>
    </row>
  </sheetData>
  <mergeCells count="1">
    <mergeCell ref="B19:H19"/>
  </mergeCells>
  <phoneticPr fontId="32" type="noConversion"/>
  <hyperlinks>
    <hyperlink ref="F4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46097</v>
      </c>
    </row>
    <row r="6" spans="2:31" ht="16.2" thickBot="1" x14ac:dyDescent="0.35">
      <c r="B6" s="140" t="s">
        <v>2</v>
      </c>
      <c r="C6" s="139" t="str">
        <f>'2229'!C10</f>
        <v>CESAR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51" t="s">
        <v>98</v>
      </c>
      <c r="I7" s="452"/>
      <c r="J7" s="452"/>
      <c r="K7" s="453"/>
      <c r="N7" s="75"/>
      <c r="O7" s="45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12042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5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-44828.251116787462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'2229'!H36</f>
        <v>531783.02600000007</v>
      </c>
      <c r="E11" s="132">
        <f>D11*0.19</f>
        <v>101038.77494000002</v>
      </c>
      <c r="F11" s="131">
        <f>E11+D11</f>
        <v>632821.8009400001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61161.748883212538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159280.92078743959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43161.748883212538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372502.10521256051</v>
      </c>
      <c r="E13" s="221">
        <f>(D11/D12)-1</f>
        <v>2.3386486176185821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34161.748883212538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-4838.2511167874618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262813.5192992753</v>
      </c>
      <c r="F15" s="216">
        <f>E15-D12</f>
        <v>103532.59851183571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-4838.2511167874618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35161.748883212538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'2229'!O43</f>
        <v>100000</v>
      </c>
      <c r="E19" s="123">
        <f>D19*0.19</f>
        <v>19000</v>
      </c>
      <c r="F19" s="120">
        <f>SUM(D19:E19)</f>
        <v>119000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'2229'!O42</f>
        <v>29446.829999999994</v>
      </c>
      <c r="E20" s="121">
        <f>D20*0.19</f>
        <v>5594.8976999999986</v>
      </c>
      <c r="F20" s="120">
        <f>SUM(D20:E20)</f>
        <v>35041.727699999996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129446.82999999999</v>
      </c>
      <c r="E21" s="116">
        <f>SUM(E18:E20)</f>
        <v>24594.897699999998</v>
      </c>
      <c r="F21" s="115">
        <f>SUM(F18:F20)</f>
        <v>154041.72769999999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76443.877240000016</v>
      </c>
    </row>
    <row r="41" spans="2:16" ht="15" thickBot="1" x14ac:dyDescent="0.35">
      <c r="H41" s="454" t="s">
        <v>60</v>
      </c>
      <c r="I41" s="455"/>
      <c r="J41" s="455"/>
      <c r="K41" s="455"/>
      <c r="L41" s="455"/>
      <c r="M41" s="45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531783.02600000007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129446.82999999999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372502.10521256051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372502.10521256051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12042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CESAR</v>
      </c>
      <c r="D10" s="350"/>
      <c r="E10" s="350"/>
      <c r="F10" s="351" t="s">
        <v>167</v>
      </c>
      <c r="G10" s="352">
        <f>'2229'!G10</f>
        <v>46097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46104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+569 2088 1320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/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7" t="s">
        <v>175</v>
      </c>
      <c r="G17" s="457"/>
      <c r="H17" s="458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9" t="s">
        <v>176</v>
      </c>
      <c r="C20" s="460"/>
      <c r="D20" s="460"/>
      <c r="E20" s="460"/>
      <c r="F20" s="460"/>
      <c r="G20" s="460"/>
      <c r="H20" s="461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400</v>
      </c>
      <c r="E22" s="321">
        <f>'2229'!E21*1000</f>
        <v>695</v>
      </c>
      <c r="F22" s="322" t="str">
        <f>'2229'!F21</f>
        <v>BLANCO MT</v>
      </c>
      <c r="G22" s="314">
        <f>'2229'!G21</f>
        <v>24831.10010106759</v>
      </c>
      <c r="H22" s="323">
        <f>G22*B22</f>
        <v>24831.10010106759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24831.10010106759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4717.9090192028425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29549.009120270432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8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62" t="s">
        <v>182</v>
      </c>
      <c r="C2" s="462"/>
      <c r="D2" s="462"/>
      <c r="E2" s="361"/>
      <c r="G2" s="462" t="s">
        <v>183</v>
      </c>
      <c r="H2" s="462"/>
      <c r="I2" s="462"/>
      <c r="P2" s="463" t="s">
        <v>184</v>
      </c>
      <c r="Q2" s="463"/>
      <c r="R2" s="463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63" t="s">
        <v>184</v>
      </c>
      <c r="M8" s="463"/>
      <c r="N8" s="463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8" t="s">
        <v>265</v>
      </c>
      <c r="L3" s="468"/>
      <c r="M3" s="468" t="s">
        <v>266</v>
      </c>
      <c r="N3" s="468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CESAR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665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46097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46104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9" t="s">
        <v>265</v>
      </c>
      <c r="B10" s="469"/>
      <c r="C10" s="469"/>
      <c r="D10" s="469"/>
      <c r="E10" s="469"/>
      <c r="F10" s="469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665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695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9" t="s">
        <v>266</v>
      </c>
      <c r="B17" s="469"/>
      <c r="C17" s="469"/>
      <c r="D17" s="469"/>
      <c r="E17" s="469"/>
      <c r="F17" s="469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825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695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695</v>
      </c>
      <c r="F27" s="383" t="str">
        <f t="shared" si="3"/>
        <v>BLANCO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9" t="s">
        <v>272</v>
      </c>
      <c r="B45" s="469"/>
      <c r="C45" s="469"/>
      <c r="D45" s="469"/>
      <c r="E45" s="469"/>
      <c r="F45" s="469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4" t="s">
        <v>95</v>
      </c>
      <c r="C47" s="465"/>
      <c r="D47" s="466"/>
      <c r="E47" s="466"/>
      <c r="F47" s="467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695</v>
      </c>
      <c r="F49" s="430" t="str">
        <f>'NOTA DE VENTA'!F22</f>
        <v>BLANCO MT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12042</v>
      </c>
      <c r="C2" s="1">
        <f>'NOTA DE VENTA'!$G$10</f>
        <v>46097</v>
      </c>
      <c r="D2" s="1">
        <f>'NOTA DE VENTA'!$G$11</f>
        <v>46104</v>
      </c>
      <c r="E2" t="str">
        <f>'NOTA DE VENTA'!$C$10</f>
        <v>CESAR</v>
      </c>
      <c r="F2" t="str">
        <f>'NOTA DE VENTA'!$C$22</f>
        <v>CUB C/R R8</v>
      </c>
      <c r="G2" t="str">
        <f>'NOTA DE VENTA'!$F$22</f>
        <v>BLANCO MT</v>
      </c>
      <c r="H2" s="415">
        <f>'NOTA DE VENTA'!$H$25</f>
        <v>24831.10010106759</v>
      </c>
      <c r="I2" s="415">
        <f>H2*0.19</f>
        <v>4717.9090192028425</v>
      </c>
      <c r="J2" s="415">
        <f>I2+H2</f>
        <v>29549.009120270432</v>
      </c>
      <c r="L2" s="61">
        <f>J2-K2</f>
        <v>29549.009120270432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2026-03-13T17:49:14Z</cp:lastPrinted>
  <dcterms:created xsi:type="dcterms:W3CDTF">2013-03-18T13:35:42Z</dcterms:created>
  <dcterms:modified xsi:type="dcterms:W3CDTF">2026-03-16T14:36:23Z</dcterms:modified>
</cp:coreProperties>
</file>