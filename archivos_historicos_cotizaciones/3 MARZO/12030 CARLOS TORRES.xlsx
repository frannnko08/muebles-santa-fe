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5CE923DB-7089-4CB1-BE67-966A6CB26B9A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L23" i="1"/>
  <c r="M23" i="1"/>
  <c r="N23" i="1"/>
  <c r="O23" i="1" l="1"/>
  <c r="P23" i="1" s="1"/>
  <c r="S23" i="1"/>
  <c r="S22" i="1"/>
  <c r="O22" i="1"/>
  <c r="P22" i="1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7" i="1" l="1"/>
  <c r="S28" i="1"/>
  <c r="T26" i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Q23" i="1"/>
  <c r="O41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<sst xmlns="http://schemas.openxmlformats.org/spreadsheetml/2006/main" count="490" uniqueCount="294">
  <si>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</si>
  <si>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</si>
  <si>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</si>
  <si>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</si>
  <si>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</si>
  <si>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</si>
  <si>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</si>
  <si>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</si>
  <si>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</si>
  <si>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</si>
  <si>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</si>
  <si>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</si>
  <si>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</si>
  <si>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</si>
  <si>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</si>
  <si>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</si>
  <si>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</si>
  <si>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</si>
  <si>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</si>
  <si>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</si>
  <si>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</si>
  <si>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</si>
  <si>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</si>
  <si>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</si>
  <si>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</si>
  <si>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</si>
  <si>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</si>
  <si>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</si>
  <si>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</si>
  <si>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</si>
  <si>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</si>
  <si>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</si>
  <si>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</si>
  <si>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</si>
  <si>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</si>
  <si>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</si>
  <si>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</si>
  <si>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</si>
  <si>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</si>
  <si>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</si>
  <si>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</si>
  <si>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</si>
  <si>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</si>
  <si>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</si>
  <si>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</si>
  <si>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</si>
  <si>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</si>
  <si>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</si>
  <si>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</si>
  <si>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</si>
  <si>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</si>
  <si>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</si>
  <si>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</si>
  <si>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</si>
  <si>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</si>
  <si>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</si>
  <si>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</si>
  <si>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</si>
  <si>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</si>
  <si>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</si>
  <si>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</si>
  <si>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</si>
  <si>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</si>
  <si>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</si>
  <si>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</si>
  <si>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</si>
  <si>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</si>
  <si>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</si>
  <si>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</si>
  <si>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</si>
  <si>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</si>
  <si>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</si>
  <si>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</si>
  <si>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</si>
  <si>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</si>
  <si>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</si>
  <si>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</si>
  <si>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</si>
  <si>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</si>
  <si>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</si>
  <si>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</si>
  <si>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</si>
  <si>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</si>
  <si>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</si>
  <si>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</si>
  <si>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</si>
  <si>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</si>
  <si>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</si>
  <si>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</si>
  <si>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</si>
  <si>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</si>
  <si>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</si>
  <si>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</si>
  <si>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</si>
  <si>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</si>
  <si>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</si>
  <si>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</si>
  <si>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</si>
  <si>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</si>
  <si>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</si>
  <si>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</si>
  <si>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</si>
  <si>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</si>
  <si>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</si>
  <si>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</si>
  <si>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</si>
  <si>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</si>
  <si>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</si>
  <si>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</si>
  <si>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</si>
  <si>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</si>
  <si>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</si>
  <si>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</si>
  <si>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</si>
  <si>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</si>
  <si>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</si>
  <si>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</si>
  <si>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</si>
  <si>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</si>
  <si>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</si>
  <si>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</si>
  <si>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</si>
  <si>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</si>
  <si>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</si>
  <si>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</si>
  <si>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</si>
  <si>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</si>
  <si>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</si>
  <si>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</si>
  <si>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</si>
  <si>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</si>
  <si>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</si>
  <si>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</si>
  <si>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</si>
  <si>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</si>
  <si>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</si>
  <si>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</si>
  <si>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</si>
  <si>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</si>
  <si>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</si>
  <si>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</si>
  <si>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</si>
  <si>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</si>
  <si>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</si>
  <si>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</si>
  <si>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</si>
  <si>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</si>
  <si>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</si>
  <si>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</si>
  <si>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</si>
  <si>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</si>
  <si>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</si>
  <si>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</si>
  <si>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</si>
  <si>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</si>
  <si>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</si>
  <si>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</si>
  <si>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</si>
  <si>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</si>
  <si>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</si>
  <si>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</si>
  <si>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</si>
  <si>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</si>
  <si>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</si>
  <si>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</si>
  <si>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</si>
  <si>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</si>
  <si>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</si>
  <si>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</si>
  <si>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</si>
  <si>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</si>
  <si>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</si>
  <si>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</si>
  <si>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</si>
  <si>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</si>
  <si>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</si>
  <si>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</si>
  <si>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</si>
  <si>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</si>
  <si>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</si>
  <si>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</si>
  <si>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</si>
  <si>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</si>
  <si>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</si>
  <si>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</si>
  <si>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</si>
  <si>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</si>
  <si>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</si>
  <si>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</si>
  <si>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</si>
  <si>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</si>
  <si>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</si>
  <si>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</si>
  <si>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</si>
  <si>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</si>
  <si>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</si>
  <si>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</si>
  <si>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</si>
  <si>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</si>
  <si>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</si>
  <si>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</si>
  <si>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</si>
  <si>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</si>
  <si>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</si>
  <si>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</si>
  <si>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</si>
  <si>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</si>
  <si>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</si>
  <si>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</si>
  <si>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</si>
  <si>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</si>
  <si>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</si>
  <si>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</si>
  <si>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</si>
  <si>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</si>
  <si>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</si>
  <si>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</si>
  <si>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</si>
  <si>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</si>
  <si>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</si>
  <si>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</si>
  <si>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</si>
  <si>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</si>
  <si>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</si>
  <si>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</si>
  <si>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</si>
  <si>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</si>
  <si>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</si>
  <si>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</si>
  <si>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</si>
  <si>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</si>
  <si>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</si>
  <si>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</si>
  <si>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</si>
  <si>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</si>
  <si>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</si>
  <si>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</si>
  <si>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</si>
  <si>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</si>
  <si>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</si>
  <si>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</si>
  <si>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</si>
  <si>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</si>
  <si>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</si>
  <si>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</si>
  <si>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</si>
  <si>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</si>
  <si>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</si>
  <si>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</si>
  <si>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</si>
  <si>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</si>
  <si>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</si>
  <si>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</si>
  <si>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</si>
  <si>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</si>
  <si>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</si>
  <si>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</si>
  <si>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</si>
  <si>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</si>
  <si>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</si>
  <si>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</si>
  <si>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</si>
  <si>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</si>
  <si>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</si>
  <si>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</si>
  <si>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</si>
  <si>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</si>
  <si>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</si>
  <si>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</si>
  <si>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</si>
  <si>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</si>
  <si>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</si>
  <si>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</si>
  <si>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</si>
  <si>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</si>
  <si>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</si>
  <si>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</si>
  <si>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</si>
  <si>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</si>
  <si>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</si>
  <si>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</si>
  <si>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</si>
  <si>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</si>
  <si>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</si>
  <si>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</si>
  <si>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</si>
  <si>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</si>
  <si>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</si>
  <si>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</si>
  <si>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CARLOS TORRES</t>
  </si>
  <si>
    <t>+569 5193 9027</t>
  </si>
  <si>
    <t>CUB CON RESPALDO FTE 90° R12</t>
  </si>
  <si>
    <t>N° 12058</t>
  </si>
  <si>
    <t>DOVE GREY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</si>
</sst>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D21" zoomScale="93" zoomScaleNormal="93" workbookViewId="0">
      <selection activeCell="N28" sqref="N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46091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6" t="s">
        <v>95</v>
      </c>
      <c r="C19" s="447"/>
      <c r="D19" s="447"/>
      <c r="E19" s="447"/>
      <c r="F19" s="447"/>
      <c r="G19" s="447"/>
      <c r="H19" s="448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90144.241478011973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291</v>
      </c>
      <c r="D21" s="432">
        <v>2.1</v>
      </c>
      <c r="E21" s="432">
        <v>0.51</v>
      </c>
      <c r="F21" s="313" t="s">
        <v>293</v>
      </c>
      <c r="G21" s="314">
        <f>Q21</f>
        <v>110048.08999635703</v>
      </c>
      <c r="H21" s="433">
        <f>G21*B21</f>
        <v>110048.08999635703</v>
      </c>
      <c r="I21" s="306"/>
      <c r="J21" s="264"/>
      <c r="K21" s="47"/>
      <c r="L21" s="47">
        <f>B21</f>
        <v>1</v>
      </c>
      <c r="M21" s="39">
        <f>D21+M$19</f>
        <v>2.1800000000000002</v>
      </c>
      <c r="N21" s="39">
        <f>E21+$N$19</f>
        <v>0.56000000000000005</v>
      </c>
      <c r="O21" s="260">
        <f t="shared" ref="O21" si="0">M21*N21</f>
        <v>1.2208000000000001</v>
      </c>
      <c r="P21" s="258">
        <f t="shared" ref="P21" si="1">O21*L21</f>
        <v>1.2208000000000001</v>
      </c>
      <c r="Q21" s="251">
        <f t="shared" ref="Q21" si="2">Q$20*O21</f>
        <v>110048.08999635703</v>
      </c>
      <c r="R21" s="305">
        <f t="shared" ref="R21" si="3">Q21+R$20</f>
        <v>113048.08999635703</v>
      </c>
      <c r="S21" s="290">
        <f>M21*L21*2</f>
        <v>4.3600000000000003</v>
      </c>
      <c r="T21" s="46">
        <f>N21*2*L21*2</f>
        <v>2.2400000000000002</v>
      </c>
      <c r="U21" s="9"/>
      <c r="X21" s="4"/>
    </row>
    <row r="22" spans="2:25" ht="17.399999999999999" x14ac:dyDescent="0.3">
      <c r="B22" s="444">
        <v>1</v>
      </c>
      <c r="C22" s="441" t="s">
        <v>291</v>
      </c>
      <c r="D22" s="442">
        <v>1.55</v>
      </c>
      <c r="E22" s="442">
        <v>0.51</v>
      </c>
      <c r="F22" s="440" t="s">
        <v>293</v>
      </c>
      <c r="G22" s="443">
        <f>Q22</f>
        <v>82283.663621129337</v>
      </c>
      <c r="H22" s="445">
        <f>G22*B22</f>
        <v>82283.663621129337</v>
      </c>
      <c r="I22" s="306"/>
      <c r="J22" s="264"/>
      <c r="K22" s="47"/>
      <c r="L22" s="47">
        <f t="shared" ref="L22:L23" si="4">B22</f>
        <v>1</v>
      </c>
      <c r="M22" s="39">
        <f t="shared" ref="M22:M23" si="5">D22+M$19</f>
        <v>1.6300000000000001</v>
      </c>
      <c r="N22" s="39">
        <f t="shared" ref="N22:N23" si="6">E22+$N$19</f>
        <v>0.56000000000000005</v>
      </c>
      <c r="O22" s="260">
        <f t="shared" ref="O22:O23" si="7">M22*N22</f>
        <v>0.91280000000000017</v>
      </c>
      <c r="P22" s="258">
        <f t="shared" ref="P22:P23" si="8">O22*L22</f>
        <v>0.91280000000000017</v>
      </c>
      <c r="Q22" s="251">
        <f t="shared" ref="Q22:Q23" si="9">Q$20*O22</f>
        <v>82283.663621129337</v>
      </c>
      <c r="R22" s="305">
        <f t="shared" ref="R22:R23" si="10">Q22+R$20</f>
        <v>85283.663621129337</v>
      </c>
      <c r="S22" s="290">
        <f t="shared" ref="S22:S23" si="11">M22*L22*2</f>
        <v>3.2600000000000002</v>
      </c>
      <c r="T22" s="46"/>
      <c r="U22" s="9"/>
      <c r="X22" s="4"/>
    </row>
    <row r="23" spans="2:25" ht="18" thickBot="1" x14ac:dyDescent="0.35">
      <c r="B23" s="434">
        <v>1</v>
      </c>
      <c r="C23" s="435" t="s">
        <v>291</v>
      </c>
      <c r="D23" s="436">
        <v>1.6</v>
      </c>
      <c r="E23" s="436">
        <v>0.51</v>
      </c>
      <c r="F23" s="437" t="s">
        <v>293</v>
      </c>
      <c r="G23" s="438">
        <f>Q23</f>
        <v>84807.702382513686</v>
      </c>
      <c r="H23" s="439">
        <f>G23*B23</f>
        <v>84807.702382513686</v>
      </c>
      <c r="I23" s="306"/>
      <c r="J23" s="264"/>
      <c r="K23" s="47"/>
      <c r="L23" s="47">
        <f t="shared" si="4"/>
        <v>1</v>
      </c>
      <c r="M23" s="39">
        <f t="shared" si="5"/>
        <v>1.6800000000000002</v>
      </c>
      <c r="N23" s="39">
        <f t="shared" si="6"/>
        <v>0.56000000000000005</v>
      </c>
      <c r="O23" s="260">
        <f t="shared" si="7"/>
        <v>0.94080000000000019</v>
      </c>
      <c r="P23" s="258">
        <f t="shared" si="8"/>
        <v>0.94080000000000019</v>
      </c>
      <c r="Q23" s="251">
        <f t="shared" si="9"/>
        <v>84807.702382513686</v>
      </c>
      <c r="R23" s="305">
        <f t="shared" si="10"/>
        <v>87807.702382513686</v>
      </c>
      <c r="S23" s="290">
        <f t="shared" si="11"/>
        <v>3.3600000000000003</v>
      </c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SUM(H21:H25)</f>
        <v>277139.45600000006</v>
      </c>
      <c r="I26" s="308"/>
      <c r="J26" s="264"/>
      <c r="K26" s="47">
        <v>2600000</v>
      </c>
      <c r="L26" s="47"/>
      <c r="M26" s="39"/>
      <c r="N26" s="39"/>
      <c r="O26" s="260"/>
      <c r="P26" s="258"/>
      <c r="Q26" s="251"/>
      <c r="R26" s="257"/>
      <c r="S26" s="290"/>
      <c r="T26" s="46">
        <f>SUM(T21:T25)</f>
        <v>2.2400000000000002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52656.496640000012</v>
      </c>
      <c r="I27" s="308"/>
      <c r="J27" s="264"/>
      <c r="K27" s="47"/>
      <c r="L27" s="47"/>
      <c r="M27" s="39">
        <f>SUM(M21:M26)</f>
        <v>5.49</v>
      </c>
      <c r="N27" s="12"/>
      <c r="O27" s="12"/>
      <c r="P27" s="252">
        <f>SUM(P21:P24)</f>
        <v>3.0744000000000007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329795.95264000009</v>
      </c>
      <c r="I28" s="308"/>
      <c r="J28" s="264"/>
      <c r="K28" s="47"/>
      <c r="L28" s="47"/>
      <c r="M28" s="39"/>
      <c r="N28" s="12"/>
      <c r="O28" s="12"/>
      <c r="P28" s="252">
        <f>P27</f>
        <v>3.0744000000000007</v>
      </c>
      <c r="Q28" s="14"/>
      <c r="R28" s="12"/>
      <c r="S28" s="239">
        <f>SUM(S21:S27)</f>
        <v>10.98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0.6148800000000002</v>
      </c>
      <c r="Q29" s="39" t="s">
        <v>129</v>
      </c>
      <c r="R29" s="42"/>
      <c r="S29" s="240">
        <f>S28+T26</f>
        <v>13.22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3.689280000000001</v>
      </c>
      <c r="Q30" s="14"/>
      <c r="R30" s="14"/>
      <c r="S30" s="238">
        <f>S29*20%</f>
        <v>2.6440000000000001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15.864000000000001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3.689280000000001</v>
      </c>
      <c r="N32" s="12">
        <v>3500</v>
      </c>
      <c r="O32" s="12">
        <f t="shared" ref="O32:O37" si="12">M32*N32</f>
        <v>12912.480000000003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</v>
      </c>
      <c r="N33" s="12">
        <v>38500</v>
      </c>
      <c r="O33" s="12">
        <f t="shared" si="12"/>
        <v>38500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2</v>
      </c>
      <c r="N34" s="249">
        <v>30800</v>
      </c>
      <c r="O34" s="12">
        <f t="shared" si="12"/>
        <v>61600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/>
      <c r="N35" s="249">
        <v>29000</v>
      </c>
      <c r="O35" s="12">
        <f t="shared" si="12"/>
        <v>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>
        <v>5.4</v>
      </c>
      <c r="N36" s="249">
        <v>900</v>
      </c>
      <c r="O36" s="12">
        <f t="shared" si="12"/>
        <v>4860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5.4</v>
      </c>
      <c r="N37" s="12">
        <v>1500</v>
      </c>
      <c r="O37" s="12">
        <f t="shared" si="12"/>
        <v>8100.0000000000009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125972.48000000001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277139.45600000006</v>
      </c>
      <c r="P39" s="14" t="s">
        <v>138</v>
      </c>
      <c r="Q39" s="14"/>
      <c r="R39" s="40">
        <f>P30/R38</f>
        <v>0.99473684210526336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90144.241478011973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46091</v>
      </c>
    </row>
    <row r="6" spans="2:31" ht="16.2" thickBot="1" x14ac:dyDescent="0.35">
      <c r="B6" s="140" t="s">
        <v>2</v>
      </c>
      <c r="C6" s="139" t="str">
        <f>'2229'!C10</f>
        <v>CARLOS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0" t="s">
        <v>98</v>
      </c>
      <c r="I7" s="451"/>
      <c r="J7" s="451"/>
      <c r="K7" s="452"/>
      <c r="N7" s="75"/>
      <c r="O7" s="44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-6907.1023667874497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277139.45600000006</v>
      </c>
      <c r="E11" s="132">
        <f>D11*0.19</f>
        <v>52656.496640000012</v>
      </c>
      <c r="F11" s="131">
        <f>E11+D11</f>
        <v>329795.95264000009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99082.897633212546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142846.57078743962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81082.897633212546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134292.88521256045</v>
      </c>
      <c r="E13" s="221">
        <f>(D11/D12)-1</f>
        <v>0.94011976957005605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72082.897633212546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33082.897633212553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235696.84179927537</v>
      </c>
      <c r="F15" s="216">
        <f>E15-D12</f>
        <v>92850.27101183575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33082.897633212553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73082.897633212546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61600</v>
      </c>
      <c r="E18" s="123">
        <f>D18*0.19</f>
        <v>11704</v>
      </c>
      <c r="F18" s="120">
        <f>SUM(D18:E18)</f>
        <v>73304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38500</v>
      </c>
      <c r="E19" s="123">
        <f>D19*0.19</f>
        <v>7315</v>
      </c>
      <c r="F19" s="120">
        <f>SUM(D19:E19)</f>
        <v>45815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12912.480000000003</v>
      </c>
      <c r="E20" s="121">
        <f>D20*0.19</f>
        <v>2453.3712000000005</v>
      </c>
      <c r="F20" s="120">
        <f>SUM(D20:E20)</f>
        <v>15365.851200000005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113012.48000000001</v>
      </c>
      <c r="E21" s="116">
        <f>SUM(E18:E20)</f>
        <v>21472.371200000001</v>
      </c>
      <c r="F21" s="115">
        <f>SUM(F18:F20)</f>
        <v>134484.8512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31184.125440000011</v>
      </c>
    </row>
    <row r="41" spans="2:16" ht="15" thickBot="1" x14ac:dyDescent="0.35">
      <c r="H41" s="453" t="s">
        <v>60</v>
      </c>
      <c r="I41" s="454"/>
      <c r="J41" s="454"/>
      <c r="K41" s="454"/>
      <c r="L41" s="454"/>
      <c r="M41" s="45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277139.45600000006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113012.48000000001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134292.88521256045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134292.88521256045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CARLOS TORRES</v>
      </c>
      <c r="D10" s="350"/>
      <c r="E10" s="350"/>
      <c r="F10" s="351" t="s">
        <v>167</v>
      </c>
      <c r="G10" s="352">
        <f>'2229'!G10</f>
        <v>46091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+569 5193 9027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6" t="s">
        <v>175</v>
      </c>
      <c r="G17" s="456"/>
      <c r="H17" s="45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8" t="s">
        <v>176</v>
      </c>
      <c r="C20" s="459"/>
      <c r="D20" s="459"/>
      <c r="E20" s="459"/>
      <c r="F20" s="459"/>
      <c r="G20" s="459"/>
      <c r="H20" s="46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 R12</v>
      </c>
      <c r="D22" s="321">
        <f>'2229'!D21*1000</f>
        <v>2100</v>
      </c>
      <c r="E22" s="321">
        <f>'2229'!E21*1000</f>
        <v>510</v>
      </c>
      <c r="F22" s="322" t="str">
        <f>'2229'!F21</f>
        <v>DOVE GREY MT</v>
      </c>
      <c r="G22" s="314">
        <f>'2229'!G21</f>
        <v>110048.08999635703</v>
      </c>
      <c r="H22" s="323">
        <f>G22*B22</f>
        <v>110048.08999635703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110048.08999635703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20909.137099307834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130957.22709566486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1" t="s">
        <v>182</v>
      </c>
      <c r="C2" s="461"/>
      <c r="D2" s="461"/>
      <c r="E2" s="361"/>
      <c r="G2" s="461" t="s">
        <v>183</v>
      </c>
      <c r="H2" s="461"/>
      <c r="I2" s="461"/>
      <c r="P2" s="462" t="s">
        <v>184</v>
      </c>
      <c r="Q2" s="462"/>
      <c r="R2" s="462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2" t="s">
        <v>184</v>
      </c>
      <c r="M8" s="462"/>
      <c r="N8" s="462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7" t="s">
        <v>265</v>
      </c>
      <c r="L3" s="467"/>
      <c r="M3" s="467" t="s">
        <v>266</v>
      </c>
      <c r="N3" s="467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CARLOS TORRES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46091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46098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8" t="s">
        <v>265</v>
      </c>
      <c r="B10" s="468"/>
      <c r="C10" s="468"/>
      <c r="D10" s="468"/>
      <c r="E10" s="468"/>
      <c r="F10" s="468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8" t="s">
        <v>266</v>
      </c>
      <c r="B17" s="468"/>
      <c r="C17" s="468"/>
      <c r="D17" s="468"/>
      <c r="E17" s="468"/>
      <c r="F17" s="468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8" t="s">
        <v>272</v>
      </c>
      <c r="B45" s="468"/>
      <c r="C45" s="468"/>
      <c r="D45" s="468"/>
      <c r="E45" s="468"/>
      <c r="F45" s="46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3" t="s">
        <v>95</v>
      </c>
      <c r="C47" s="464"/>
      <c r="D47" s="465"/>
      <c r="E47" s="465"/>
      <c r="F47" s="466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12058</v>
      </c>
      <c r="C2" s="1">
        <f>'NOTA DE VENTA'!$G$10</f>
        <v>46091</v>
      </c>
      <c r="D2" s="1">
        <f>'NOTA DE VENTA'!$G$11</f>
        <v>46098</v>
      </c>
      <c r="E2" t="str">
        <f>'NOTA DE VENTA'!$C$10</f>
        <v>CARLOS TORRES</v>
      </c>
      <c r="F2" t="str">
        <f>'NOTA DE VENTA'!$C$22</f>
        <v>CUB CON RESPALDO FTE 90° R12</v>
      </c>
      <c r="G2" t="str">
        <f>'NOTA DE VENTA'!$F$22</f>
        <v>DOVE GREY MT</v>
      </c>
      <c r="H2" s="416">
        <f>'NOTA DE VENTA'!$H$25</f>
        <v>110048.08999635703</v>
      </c>
      <c r="I2" s="416">
        <f>H2*0.19</f>
        <v>20909.137099307834</v>
      </c>
      <c r="J2" s="416">
        <f>I2+H2</f>
        <v>130957.22709566486</v>
      </c>
      <c r="L2" s="61">
        <f>J2-K2</f>
        <v>130957.22709566486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2026-03-10T17:22:59Z</cp:lastPrinted>
  <dcterms:created xsi:type="dcterms:W3CDTF">2013-03-18T13:35:42Z</dcterms:created>
  <dcterms:modified xsi:type="dcterms:W3CDTF">2026-03-23T20:02:44Z</dcterms:modified>
</cp:coreProperties>
</file>