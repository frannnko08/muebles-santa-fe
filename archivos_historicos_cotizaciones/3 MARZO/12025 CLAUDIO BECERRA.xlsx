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9245AFCD-A0EB-4E58-B8B0-2B7B9925151F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2" i="1"/>
  <c r="M22" i="1"/>
  <c r="N22" i="1"/>
  <c r="O22" i="1"/>
  <c r="S22" i="1"/>
  <c r="L23" i="1"/>
  <c r="M23" i="1"/>
  <c r="N23" i="1"/>
  <c r="O23" i="1"/>
  <c r="P23" i="1"/>
  <c r="S23" i="1"/>
  <c r="L21" i="1"/>
  <c r="M21" i="1"/>
  <c r="S21" i="1" s="1"/>
  <c r="N21" i="1"/>
  <c r="D27" i="6"/>
  <c r="C27" i="6"/>
  <c r="C49" i="6"/>
  <c r="P22" i="1" l="1"/>
  <c r="O21" i="1"/>
  <c r="P21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7" i="1" l="1"/>
  <c r="S28" i="1"/>
  <c r="T21" i="1"/>
  <c r="T26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G23" i="1" s="1"/>
  <c r="H23" i="1" s="1"/>
  <c r="Q22" i="1"/>
  <c r="R22" i="1" s="1"/>
  <c r="G22" i="1" s="1"/>
  <c r="H22" i="1" s="1"/>
  <c r="Q21" i="1"/>
  <c r="O41" i="1"/>
  <c r="E15" i="3"/>
  <c r="R21" i="1" l="1"/>
  <c r="G21" i="1" s="1"/>
  <c r="F15" i="3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<sst xmlns="http://schemas.openxmlformats.org/spreadsheetml/2006/main" count="491" uniqueCount="295">
  <si>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</si>
  <si>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</si>
  <si>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</si>
  <si>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</si>
  <si>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</si>
  <si>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</si>
  <si>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</si>
  <si>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</si>
  <si>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</si>
  <si>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</si>
  <si>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</si>
  <si>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</si>
  <si>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</si>
  <si>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</si>
  <si>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</si>
  <si>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</si>
  <si>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</si>
  <si>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</si>
  <si>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</si>
  <si>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</si>
  <si>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</si>
  <si>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</si>
  <si>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</si>
  <si>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</si>
  <si>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</si>
  <si>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</si>
  <si>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</si>
  <si>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</si>
  <si>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</si>
  <si>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</si>
  <si>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</si>
  <si>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</si>
  <si>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</si>
  <si>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</si>
  <si>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</si>
  <si>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</si>
  <si>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</si>
  <si>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</si>
  <si>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</si>
  <si>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</si>
  <si>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</si>
  <si>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</si>
  <si>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</si>
  <si>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</si>
  <si>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</si>
  <si>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</si>
  <si>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</si>
  <si>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</si>
  <si>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</si>
  <si>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</si>
  <si>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</si>
  <si>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</si>
  <si>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</si>
  <si>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</si>
  <si>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</si>
  <si>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</si>
  <si>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</si>
  <si>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</si>
  <si>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</si>
  <si>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</si>
  <si>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</si>
  <si>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</si>
  <si>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</si>
  <si>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</si>
  <si>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</si>
  <si>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</si>
  <si>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</si>
  <si>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</si>
  <si>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</si>
  <si>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</si>
  <si>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</si>
  <si>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</si>
  <si>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</si>
  <si>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</si>
  <si>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</si>
  <si>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</si>
  <si>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</si>
  <si>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</si>
  <si>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</si>
  <si>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</si>
  <si>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</si>
  <si>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</si>
  <si>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</si>
  <si>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</si>
  <si>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</si>
  <si>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</si>
  <si>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</si>
  <si>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</si>
  <si>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</si>
  <si>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</si>
  <si>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</si>
  <si>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</si>
  <si>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</si>
  <si>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</si>
  <si>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</si>
  <si>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</si>
  <si>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</si>
  <si>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</si>
  <si>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</si>
  <si>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</si>
  <si>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</si>
  <si>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</si>
  <si>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</si>
  <si>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</si>
  <si>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</si>
  <si>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</si>
  <si>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</si>
  <si>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</si>
  <si>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</si>
  <si>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</si>
  <si>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</si>
  <si>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</si>
  <si>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</si>
  <si>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</si>
  <si>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</si>
  <si>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</si>
  <si>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</si>
  <si>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</si>
  <si>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</si>
  <si>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</si>
  <si>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</si>
  <si>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</si>
  <si>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</si>
  <si>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</si>
  <si>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</si>
  <si>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</si>
  <si>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</si>
  <si>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</si>
  <si>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</si>
  <si>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</si>
  <si>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</si>
  <si>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</si>
  <si>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</si>
  <si>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</si>
  <si>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</si>
  <si>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</si>
  <si>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</si>
  <si>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</si>
  <si>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</si>
  <si>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</si>
  <si>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</si>
  <si>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</si>
  <si>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</si>
  <si>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</si>
  <si>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</si>
  <si>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</si>
  <si>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</si>
  <si>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</si>
  <si>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</si>
  <si>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</si>
  <si>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</si>
  <si>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</si>
  <si>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</si>
  <si>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</si>
  <si>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</si>
  <si>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</si>
  <si>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</si>
  <si>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</si>
  <si>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</si>
  <si>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</si>
  <si>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</si>
  <si>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</si>
  <si>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</si>
  <si>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</si>
  <si>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</si>
  <si>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</si>
  <si>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</si>
  <si>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</si>
  <si>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</si>
  <si>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</si>
  <si>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</si>
  <si>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</si>
  <si>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</si>
  <si>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</si>
  <si>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</si>
  <si>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</si>
  <si>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</si>
  <si>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</si>
  <si>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</si>
  <si>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</si>
  <si>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</si>
  <si>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</si>
  <si>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</si>
  <si>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</si>
  <si>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</si>
  <si>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</si>
  <si>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</si>
  <si>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</si>
  <si>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</si>
  <si>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</si>
  <si>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</si>
  <si>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</si>
  <si>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</si>
  <si>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</si>
  <si>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</si>
  <si>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</si>
  <si>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</si>
  <si>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</si>
  <si>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</si>
  <si>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</si>
  <si>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</si>
  <si>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</si>
  <si>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</si>
  <si>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</si>
  <si>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</si>
  <si>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</si>
  <si>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</si>
  <si>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</si>
  <si>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</si>
  <si>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</si>
  <si>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</si>
  <si>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</si>
  <si>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</si>
  <si>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</si>
  <si>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</si>
  <si>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</si>
  <si>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</si>
  <si>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</si>
  <si>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</si>
  <si>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</si>
  <si>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</si>
  <si>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</si>
  <si>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</si>
  <si>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</si>
  <si>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</si>
  <si>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</si>
  <si>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</si>
  <si>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</si>
  <si>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</si>
  <si>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</si>
  <si>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</si>
  <si>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</si>
  <si>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</si>
  <si>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</si>
  <si>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</si>
  <si>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</si>
  <si>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</si>
  <si>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</si>
  <si>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</si>
  <si>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</si>
  <si>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</si>
  <si>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</si>
  <si>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</si>
  <si>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</si>
  <si>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</si>
  <si>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</si>
  <si>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</si>
  <si>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</si>
  <si>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</si>
  <si>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</si>
  <si>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</si>
  <si>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</si>
  <si>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</si>
  <si>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</si>
  <si>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</si>
  <si>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</si>
  <si>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</si>
  <si>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</si>
  <si>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</si>
  <si>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</si>
  <si>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</si>
  <si>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</si>
  <si>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</si>
  <si>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</si>
  <si>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</si>
  <si>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</si>
  <si>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</si>
  <si>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</si>
  <si>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</si>
  <si>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</si>
  <si>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</si>
  <si>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</si>
  <si>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</si>
  <si>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</si>
  <si>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</si>
  <si>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</si>
  <si>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</si>
  <si>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</si>
  <si>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</si>
  <si>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</si>
  <si>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</si>
  <si>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</si>
  <si>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</si>
  <si>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</si>
  <si>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</si>
  <si>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</si>
  <si>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</si>
  <si>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</si>
  <si>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</si>
  <si>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8 DIAS HABILES</t>
  </si>
  <si>
    <t>N° 12025</t>
  </si>
  <si>
    <t>CLAUDIO BECERRA</t>
  </si>
  <si>
    <t>+569 3030 3578</t>
  </si>
  <si>
    <t>CUB MESA 2 LADOS FTE 90°</t>
  </si>
  <si>
    <t>WHITE LILY MOSAIC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</si>
</sst>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16961</xdr:colOff>
      <xdr:row>24</xdr:row>
      <xdr:rowOff>225321</xdr:rowOff>
    </xdr:from>
    <xdr:to>
      <xdr:col>5</xdr:col>
      <xdr:colOff>1736459</xdr:colOff>
      <xdr:row>28</xdr:row>
      <xdr:rowOff>16674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638" y="4844434"/>
          <a:ext cx="6492240" cy="67215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CORTADAS A LA MEDIDA Y ENCHAPADAS CON REGRUESO EN LOS COSTADOS.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12" zoomScale="93" zoomScaleNormal="93" workbookViewId="0">
      <selection activeCell="A30" sqref="A30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46087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289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292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76443.823178016726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288</v>
      </c>
      <c r="D21" s="432">
        <v>0.83</v>
      </c>
      <c r="E21" s="432">
        <v>0.5</v>
      </c>
      <c r="F21" s="313" t="s">
        <v>294</v>
      </c>
      <c r="G21" s="314">
        <f>R21</f>
        <v>37781.939545997608</v>
      </c>
      <c r="H21" s="433">
        <f>G21*B21</f>
        <v>37781.939545997608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0.90999999999999992</v>
      </c>
      <c r="N21" s="39">
        <f t="shared" ref="N21" si="2">E21+$N$19</f>
        <v>0.5</v>
      </c>
      <c r="O21" s="260">
        <f t="shared" ref="O21" si="3">M21*N21</f>
        <v>0.45499999999999996</v>
      </c>
      <c r="P21" s="258">
        <f t="shared" ref="P21" si="4">O21*L21</f>
        <v>0.45499999999999996</v>
      </c>
      <c r="Q21" s="251">
        <f t="shared" ref="Q21" si="5">Q$20*O21</f>
        <v>34781.939545997608</v>
      </c>
      <c r="R21" s="305">
        <f t="shared" ref="R21" si="6">Q21+R$20</f>
        <v>37781.939545997608</v>
      </c>
      <c r="S21" s="290">
        <f t="shared" ref="S21" si="7">M21*L21</f>
        <v>0.90999999999999992</v>
      </c>
      <c r="T21" s="46">
        <f>N21*2*L21*2</f>
        <v>2</v>
      </c>
      <c r="U21" s="9"/>
      <c r="X21" s="4"/>
    </row>
    <row r="22" spans="2:25" ht="17.399999999999999" x14ac:dyDescent="0.3">
      <c r="B22" s="461">
        <v>1</v>
      </c>
      <c r="C22" s="458" t="s">
        <v>288</v>
      </c>
      <c r="D22" s="459">
        <v>1.05</v>
      </c>
      <c r="E22" s="459">
        <v>0.5</v>
      </c>
      <c r="F22" s="457" t="s">
        <v>294</v>
      </c>
      <c r="G22" s="460">
        <f>R22</f>
        <v>46190.760095579455</v>
      </c>
      <c r="H22" s="462">
        <f>G22*B22</f>
        <v>46190.760095579455</v>
      </c>
      <c r="I22" s="306"/>
      <c r="J22" s="264"/>
      <c r="K22" s="47"/>
      <c r="L22" s="47">
        <f t="shared" ref="L22:L23" si="8">B22</f>
        <v>1</v>
      </c>
      <c r="M22" s="39">
        <f t="shared" ref="M22:M23" si="9">D22+M$19</f>
        <v>1.1300000000000001</v>
      </c>
      <c r="N22" s="39">
        <f t="shared" ref="N22:N23" si="10">E22+$N$19</f>
        <v>0.5</v>
      </c>
      <c r="O22" s="260">
        <f t="shared" ref="O22:O23" si="11">M22*N22</f>
        <v>0.56500000000000006</v>
      </c>
      <c r="P22" s="258">
        <f t="shared" ref="P22:P23" si="12">O22*L22</f>
        <v>0.56500000000000006</v>
      </c>
      <c r="Q22" s="251">
        <f t="shared" ref="Q22:Q23" si="13">Q$20*O22</f>
        <v>43190.760095579455</v>
      </c>
      <c r="R22" s="305">
        <f t="shared" ref="R22:R23" si="14">Q22+R$20</f>
        <v>46190.760095579455</v>
      </c>
      <c r="S22" s="290">
        <f t="shared" ref="S22:S23" si="15">M22*L22</f>
        <v>1.1300000000000001</v>
      </c>
      <c r="T22" s="46"/>
      <c r="U22" s="9"/>
      <c r="X22" s="4"/>
    </row>
    <row r="23" spans="2:25" ht="18" thickBot="1" x14ac:dyDescent="0.35">
      <c r="B23" s="463">
        <v>1</v>
      </c>
      <c r="C23" s="464" t="s">
        <v>293</v>
      </c>
      <c r="D23" s="465">
        <v>1.87</v>
      </c>
      <c r="E23" s="465">
        <v>0.55000000000000004</v>
      </c>
      <c r="F23" s="466" t="s">
        <v>294</v>
      </c>
      <c r="G23" s="467">
        <f>R23</f>
        <v>84986.000358422956</v>
      </c>
      <c r="H23" s="468">
        <f>G23*B23</f>
        <v>84986.000358422956</v>
      </c>
      <c r="I23" s="306"/>
      <c r="J23" s="264"/>
      <c r="K23" s="47"/>
      <c r="L23" s="47">
        <f t="shared" si="8"/>
        <v>1</v>
      </c>
      <c r="M23" s="39">
        <f t="shared" si="9"/>
        <v>1.9500000000000002</v>
      </c>
      <c r="N23" s="39">
        <f t="shared" si="10"/>
        <v>0.55000000000000004</v>
      </c>
      <c r="O23" s="260">
        <f t="shared" si="11"/>
        <v>1.0725000000000002</v>
      </c>
      <c r="P23" s="258">
        <f t="shared" si="12"/>
        <v>1.0725000000000002</v>
      </c>
      <c r="Q23" s="251">
        <f t="shared" si="13"/>
        <v>81986.000358422956</v>
      </c>
      <c r="R23" s="305">
        <f t="shared" si="14"/>
        <v>84986.000358422956</v>
      </c>
      <c r="S23" s="290">
        <f t="shared" si="15"/>
        <v>1.9500000000000002</v>
      </c>
      <c r="T23" s="46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168958.7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32102.153000000002</v>
      </c>
      <c r="I27" s="308"/>
      <c r="J27" s="264"/>
      <c r="K27" s="47"/>
      <c r="L27" s="47"/>
      <c r="M27" s="39">
        <f>SUM(M21:M26)</f>
        <v>3.99</v>
      </c>
      <c r="N27" s="12"/>
      <c r="O27" s="12"/>
      <c r="P27" s="252">
        <f>SUM(P21:P23)</f>
        <v>2.0925000000000002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201060.853</v>
      </c>
      <c r="I28" s="308"/>
      <c r="J28" s="264"/>
      <c r="K28" s="47"/>
      <c r="L28" s="47"/>
      <c r="M28" s="39"/>
      <c r="N28" s="12"/>
      <c r="O28" s="12"/>
      <c r="P28" s="252">
        <f>P27</f>
        <v>2.0925000000000002</v>
      </c>
      <c r="Q28" s="14"/>
      <c r="R28" s="12"/>
      <c r="S28" s="239">
        <f>SUM(S21:S27)</f>
        <v>3.99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0.41850000000000009</v>
      </c>
      <c r="Q29" s="39" t="s">
        <v>129</v>
      </c>
      <c r="R29" s="42"/>
      <c r="S29" s="240">
        <f>S28+T26</f>
        <v>5.99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2.5110000000000001</v>
      </c>
      <c r="Q30" s="14"/>
      <c r="R30" s="14"/>
      <c r="S30" s="238">
        <f>S29*20%</f>
        <v>1.1980000000000002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7.1880000000000006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2.5110000000000001</v>
      </c>
      <c r="N32" s="12">
        <v>3500</v>
      </c>
      <c r="O32" s="12">
        <f t="shared" ref="O32:O37" si="16">M32*N32</f>
        <v>8788.5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0.7</v>
      </c>
      <c r="N33" s="12">
        <v>23500</v>
      </c>
      <c r="O33" s="12">
        <f t="shared" si="16"/>
        <v>16450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/>
      <c r="N34" s="249">
        <v>41000</v>
      </c>
      <c r="O34" s="12">
        <f t="shared" si="16"/>
        <v>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>
        <v>1</v>
      </c>
      <c r="N35" s="249">
        <v>46120</v>
      </c>
      <c r="O35" s="12">
        <f t="shared" si="16"/>
        <v>46120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6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0.9</v>
      </c>
      <c r="N37" s="12">
        <v>1500</v>
      </c>
      <c r="O37" s="12">
        <f t="shared" si="16"/>
        <v>1350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72708.5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159958.70000000001</v>
      </c>
      <c r="P39" s="14" t="s">
        <v>138</v>
      </c>
      <c r="Q39" s="14"/>
      <c r="R39" s="40">
        <f>P30/R38</f>
        <v>0.67703839516824849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76443.823178016726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46087</v>
      </c>
    </row>
    <row r="6" spans="2:31" ht="16.2" thickBot="1" x14ac:dyDescent="0.35">
      <c r="B6" s="140" t="s">
        <v>2</v>
      </c>
      <c r="C6" s="139" t="str">
        <f>'2229'!C10</f>
        <v>CLAUDIO BECERRA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-13014.820866787442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168958.7</v>
      </c>
      <c r="E11" s="132">
        <f>D11*0.19</f>
        <v>32102.153000000002</v>
      </c>
      <c r="F11" s="131">
        <f>E11+D11</f>
        <v>201060.853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92975.179133212558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55072.590787439614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74975.179133212558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113886.1092125604</v>
      </c>
      <c r="E13" s="221">
        <f>(D11/D12)-1</f>
        <v>2.0679272135955942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65975.179133212558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26975.179133212558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90869.774799275358</v>
      </c>
      <c r="F15" s="216">
        <f>E15-D12</f>
        <v>35797.184011835743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26975.179133212558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66975.179133212558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16450</v>
      </c>
      <c r="E19" s="123">
        <f>D19*0.19</f>
        <v>3125.5</v>
      </c>
      <c r="F19" s="120">
        <f>SUM(D19:E19)</f>
        <v>19575.5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8788.5</v>
      </c>
      <c r="E20" s="121">
        <f>D20*0.19</f>
        <v>1669.8150000000001</v>
      </c>
      <c r="F20" s="120">
        <f>SUM(D20:E20)</f>
        <v>10458.315000000001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25238.5</v>
      </c>
      <c r="E21" s="116">
        <f>SUM(E18:E20)</f>
        <v>4795.3150000000005</v>
      </c>
      <c r="F21" s="115">
        <f>SUM(F18:F20)</f>
        <v>30033.815000000002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27306.838000000003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168958.7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25238.5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113886.1092125604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113886.1092125604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12025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CLAUDIO BECERRA</v>
      </c>
      <c r="D10" s="350"/>
      <c r="E10" s="350"/>
      <c r="F10" s="351" t="s">
        <v>167</v>
      </c>
      <c r="G10" s="352">
        <f>'2229'!G10</f>
        <v>46087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46094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+569 3030 3578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830</v>
      </c>
      <c r="E22" s="321">
        <f>'2229'!E21*1000</f>
        <v>500</v>
      </c>
      <c r="F22" s="322" t="str">
        <f>'2229'!F21</f>
        <v>WHITE LILY MOSAIC MT</v>
      </c>
      <c r="G22" s="314">
        <f>'2229'!G21</f>
        <v>37781.939545997608</v>
      </c>
      <c r="H22" s="323">
        <f>G22*B22</f>
        <v>37781.939545997608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37781.939545997608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7178.5685137395458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44960.508059737156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CLAUDIO BECERRA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46087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500</v>
      </c>
      <c r="F27" s="383" t="str">
        <f t="shared" si="3"/>
        <v>WHITE LILY MOSAIC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500</v>
      </c>
      <c r="F49" s="430" t="str">
        <f>'NOTA DE VENTA'!F22</f>
        <v>WHITE LILY MOSAIC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12025</v>
      </c>
      <c r="C2" s="1">
        <f>'NOTA DE VENTA'!$G$10</f>
        <v>46087</v>
      </c>
      <c r="D2" s="1">
        <f>'NOTA DE VENTA'!$G$11</f>
        <v>46094</v>
      </c>
      <c r="E2" t="str">
        <f>'NOTA DE VENTA'!$C$10</f>
        <v>CLAUDIO BECERRA</v>
      </c>
      <c r="F2" t="str">
        <f>'NOTA DE VENTA'!$C$22</f>
        <v>CUB C/R R8</v>
      </c>
      <c r="G2" t="str">
        <f>'NOTA DE VENTA'!$F$22</f>
        <v>WHITE LILY MOSAIC MT</v>
      </c>
      <c r="H2" s="415">
        <f>'NOTA DE VENTA'!$H$25</f>
        <v>37781.939545997608</v>
      </c>
      <c r="I2" s="415">
        <f>H2*0.19</f>
        <v>7178.5685137395458</v>
      </c>
      <c r="J2" s="415">
        <f>I2+H2</f>
        <v>44960.508059737156</v>
      </c>
      <c r="L2" s="61">
        <f>J2-K2</f>
        <v>44960.508059737156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2026-03-05T20:06:06Z</cp:lastPrinted>
  <dcterms:created xsi:type="dcterms:W3CDTF">2013-03-18T13:35:42Z</dcterms:created>
  <dcterms:modified xsi:type="dcterms:W3CDTF">2026-03-06T18:46:40Z</dcterms:modified>
</cp:coreProperties>
</file>