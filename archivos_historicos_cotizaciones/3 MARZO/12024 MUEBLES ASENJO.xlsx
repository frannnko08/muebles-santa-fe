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AF47DE29-19A8-4256-A7F2-69FCDECDA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O40" i="1"/>
  <c r="E15" i="3"/>
  <c r="R21" i="1" l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<sst xmlns="http://schemas.openxmlformats.org/spreadsheetml/2006/main" count="232" uniqueCount="176">
  <si>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</si>
  <si>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</si>
  <si>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</si>
  <si>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</si>
  <si>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</si>
  <si>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</si>
  <si>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</si>
  <si>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</si>
  <si>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</si>
  <si>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</si>
  <si>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</si>
  <si>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</si>
  <si>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</si>
  <si>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</si>
  <si>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</si>
  <si>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</si>
  <si>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</si>
  <si>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</si>
  <si>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</si>
  <si>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</si>
  <si>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</si>
  <si>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</si>
  <si>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</si>
  <si>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</si>
  <si>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</si>
  <si>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</si>
  <si>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</si>
  <si>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</si>
  <si>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</si>
  <si>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</si>
  <si>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</si>
  <si>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</si>
  <si>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</si>
  <si>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</si>
  <si>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</si>
  <si>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</si>
  <si>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</si>
  <si>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</si>
  <si>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</si>
  <si>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</si>
  <si>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</si>
  <si>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</si>
  <si>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</si>
  <si>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</si>
  <si>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</si>
  <si>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</si>
  <si>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</si>
  <si>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</si>
  <si>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</si>
  <si>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</si>
  <si>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</si>
  <si>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</si>
  <si>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</si>
  <si>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</si>
  <si>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</si>
  <si>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</si>
  <si>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</si>
  <si>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</si>
  <si>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</si>
  <si>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</si>
  <si>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</si>
  <si>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</si>
  <si>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</si>
  <si>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</si>
  <si>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</si>
  <si>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</si>
  <si>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</si>
  <si>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</si>
  <si>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</si>
  <si>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</si>
  <si>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</si>
  <si>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</si>
  <si>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</si>
  <si>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</si>
  <si>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</si>
  <si>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</si>
  <si>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</si>
  <si>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</si>
  <si>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</si>
  <si>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</si>
  <si>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</si>
  <si>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</si>
  <si>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</si>
  <si>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</si>
  <si>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</si>
  <si>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</si>
  <si>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</si>
  <si>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</si>
  <si>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</si>
  <si>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</si>
  <si>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</si>
  <si>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</si>
  <si>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</si>
  <si>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</si>
  <si>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</si>
  <si>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</si>
  <si>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</si>
  <si>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</si>
  <si>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</si>
  <si>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</si>
  <si>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</si>
  <si>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</si>
  <si>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</si>
  <si>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</si>
  <si>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</si>
  <si>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</si>
  <si>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</si>
  <si>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</si>
  <si>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</si>
  <si>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</si>
  <si>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</si>
  <si>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</si>
  <si>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</si>
  <si>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</si>
  <si>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</si>
  <si>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</si>
  <si>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</si>
  <si>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</si>
  <si>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</si>
  <si>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</si>
  <si>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</si>
  <si>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</si>
  <si>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</si>
  <si>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</si>
  <si>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</si>
  <si>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</si>
  <si>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</si>
  <si>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</si>
  <si>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</si>
  <si>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</si>
  <si>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</si>
  <si>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</si>
  <si>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</si>
  <si>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</si>
  <si>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</si>
  <si>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</si>
  <si>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</si>
  <si>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</si>
  <si>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</si>
  <si>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</si>
  <si>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</si>
  <si>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</si>
  <si>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</si>
  <si>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</si>
  <si>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</si>
  <si>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</si>
  <si>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</si>
  <si>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</si>
  <si>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</si>
  <si>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</si>
  <si>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</si>
  <si>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</si>
  <si>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</si>
  <si>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</si>
  <si>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</si>
  <si>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</si>
  <si>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</si>
  <si>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</si>
  <si>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</si>
  <si>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</si>
  <si>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</si>
  <si>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</si>
  <si>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</si>
  <si>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</si>
  <si>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</si>
  <si>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</si>
  <si>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</si>
  <si>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</si>
  <si>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</si>
  <si>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</si>
  <si>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</si>
  <si>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</si>
  <si>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</si>
  <si>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5 DIAS HABILES</t>
  </si>
  <si>
    <t>N° 12024</t>
  </si>
  <si>
    <t>CUB C/R 90° 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</si>
</sst>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84" zoomScaleNormal="84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46090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273037.3619631902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1.55</v>
      </c>
      <c r="E21" s="332">
        <v>0.6</v>
      </c>
      <c r="F21" s="330" t="s">
        <v>172</v>
      </c>
      <c r="G21" s="331">
        <v>50856</v>
      </c>
      <c r="H21" s="331">
        <f t="shared" ref="H21" si="1">G21*B21</f>
        <v>50856</v>
      </c>
      <c r="I21" s="320"/>
      <c r="J21" s="265"/>
      <c r="K21" s="47"/>
      <c r="L21" s="333">
        <f>B21</f>
        <v>1</v>
      </c>
      <c r="M21" s="39">
        <f>D21+M$19</f>
        <v>1.6300000000000001</v>
      </c>
      <c r="N21" s="39">
        <f t="shared" ref="N21" si="2">E21+$N$19</f>
        <v>0.6</v>
      </c>
      <c r="O21" s="261">
        <f t="shared" ref="O21" si="3">M21*N21</f>
        <v>0.97799999999999998</v>
      </c>
      <c r="P21" s="259">
        <f t="shared" ref="P21" si="4">O21*L21</f>
        <v>0.97799999999999998</v>
      </c>
      <c r="Q21" s="252">
        <f t="shared" ref="Q21" si="5">Q$20*O21</f>
        <v>267030.53999999998</v>
      </c>
      <c r="R21" s="319">
        <f t="shared" ref="R21" si="6">Q21+R$20</f>
        <v>270030.53999999998</v>
      </c>
      <c r="S21" s="297">
        <f t="shared" ref="S21" si="7">L21*M21</f>
        <v>1.6300000000000001</v>
      </c>
      <c r="T21" s="46"/>
      <c r="U21" s="9"/>
      <c r="X21" s="4"/>
    </row>
    <row r="22" spans="1:25" ht="17.399999999999999" x14ac:dyDescent="0.3">
      <c r="B22" s="330">
        <v>1</v>
      </c>
      <c r="C22" s="330" t="s">
        <v>175</v>
      </c>
      <c r="D22" s="332">
        <v>2.1</v>
      </c>
      <c r="E22" s="332">
        <v>0.5</v>
      </c>
      <c r="F22" s="330" t="s">
        <v>172</v>
      </c>
      <c r="G22" s="331">
        <v>52480</v>
      </c>
      <c r="H22" s="331">
        <f t="shared" ref="H22" si="8">G22*B22</f>
        <v>52480</v>
      </c>
      <c r="I22" s="320"/>
      <c r="J22" s="265"/>
      <c r="K22" s="47"/>
      <c r="L22" s="333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3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103336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19633.84</v>
      </c>
      <c r="I26" s="322"/>
      <c r="J26" s="265"/>
      <c r="K26" s="47"/>
      <c r="L26" s="47"/>
      <c r="M26" s="39">
        <f>SUM(M21:M25)</f>
        <v>1.6300000000000001</v>
      </c>
      <c r="N26" s="12"/>
      <c r="O26" s="12"/>
      <c r="P26" s="253">
        <f>SUM(P21:P24)</f>
        <v>0.97799999999999998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122969.84</v>
      </c>
      <c r="I27" s="322"/>
      <c r="J27" s="265"/>
      <c r="K27" s="47"/>
      <c r="L27" s="47"/>
      <c r="M27" s="39"/>
      <c r="N27" s="12"/>
      <c r="O27" s="12"/>
      <c r="P27" s="253">
        <f>P26</f>
        <v>0.97799999999999998</v>
      </c>
      <c r="Q27" s="14"/>
      <c r="R27" s="12"/>
      <c r="S27" s="239">
        <f>SUM(S21:S26)</f>
        <v>1.6300000000000001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0.1956</v>
      </c>
      <c r="Q28" s="39" t="s">
        <v>130</v>
      </c>
      <c r="R28" s="42"/>
      <c r="S28" s="240">
        <f>S27+T25</f>
        <v>1.6300000000000001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1.1736</v>
      </c>
      <c r="Q29" s="14"/>
      <c r="R29" s="14"/>
      <c r="S29" s="238">
        <f>S28*20%</f>
        <v>0.32600000000000007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1.9560000000000002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1.1736</v>
      </c>
      <c r="N31" s="12">
        <v>1500</v>
      </c>
      <c r="O31" s="12">
        <f t="shared" ref="O31:O36" si="9">M31*N31</f>
        <v>1760.3999999999999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2</v>
      </c>
      <c r="N32" s="12">
        <v>23500</v>
      </c>
      <c r="O32" s="12">
        <f t="shared" si="9"/>
        <v>47000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23500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2</v>
      </c>
      <c r="N34" s="250">
        <v>36831</v>
      </c>
      <c r="O34" s="12">
        <f t="shared" si="9"/>
        <v>73662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9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9.4700000000000006</v>
      </c>
      <c r="N36" s="12">
        <v>500</v>
      </c>
      <c r="O36" s="12">
        <f t="shared" si="9"/>
        <v>4735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127157.4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267030.53999999998</v>
      </c>
      <c r="P38" s="14" t="s">
        <v>140</v>
      </c>
      <c r="Q38" s="14"/>
      <c r="R38" s="40">
        <f>P29/R37</f>
        <v>0.25652459016393442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273037.3619631902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4390.8182998792254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103336</v>
      </c>
      <c r="E11" s="132">
        <f>D11*0.19</f>
        <v>19633.84</v>
      </c>
      <c r="F11" s="131">
        <f>E11+D11</f>
        <v>122969.84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110380.81829987923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78594.490787439616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92380.818299879233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24741.509212560384</v>
      </c>
      <c r="E13" s="221">
        <f>(D11/D12)-1</f>
        <v>0.31479953575212161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83380.818299879233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44380.818299879225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129680.90979927535</v>
      </c>
      <c r="F15" s="216">
        <f>E15-D12</f>
        <v>51086.419011835736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44380.818299879225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84380.818299879233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1760.3999999999999</v>
      </c>
      <c r="E20" s="121">
        <f>D20*0.19</f>
        <v>334.476</v>
      </c>
      <c r="F20" s="120">
        <f>SUM(D20:E20)</f>
        <v>2094.8759999999997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48760.4</v>
      </c>
      <c r="E21" s="116">
        <f>SUM(E18:E20)</f>
        <v>9264.4760000000006</v>
      </c>
      <c r="F21" s="115">
        <f>SUM(F18:F20)</f>
        <v>58024.875999999997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10369.364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103336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48760.4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24741.509212560384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24741.509212560384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2026-03-09T15:28:55Z</dcterms:modified>
</cp:coreProperties>
</file>