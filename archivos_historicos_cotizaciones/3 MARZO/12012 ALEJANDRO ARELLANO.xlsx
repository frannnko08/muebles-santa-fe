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3 MARZO\"/>
    </mc:Choice>
  </mc:AlternateContent>
  <xr:revisionPtr revIDLastSave="0" documentId="13_ncr:1_{49BC684D-B492-460F-9C27-8351CF6FFD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6" l="1"/>
  <c r="C27" i="6"/>
  <c r="C49" i="6"/>
  <c r="L21" i="1" l="1"/>
  <c r="N5" i="6" l="1"/>
  <c r="A2" i="7"/>
  <c r="C7" i="6" l="1"/>
  <c r="D4" i="6"/>
  <c r="B49" i="6"/>
  <c r="D42" i="6"/>
  <c r="C42" i="6"/>
  <c r="D40" i="6"/>
  <c r="D39" i="6"/>
  <c r="F21" i="6"/>
  <c r="B27" i="6"/>
  <c r="I21" i="6" s="1"/>
  <c r="J21" i="6"/>
  <c r="J14" i="6"/>
  <c r="F22" i="4"/>
  <c r="E22" i="4"/>
  <c r="E49" i="6" s="1"/>
  <c r="E27" i="6" s="1"/>
  <c r="D22" i="4"/>
  <c r="F2" i="7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G2" i="7" l="1"/>
  <c r="F49" i="6"/>
  <c r="F27" i="6" s="1"/>
  <c r="K14" i="6"/>
  <c r="K21" i="6"/>
  <c r="F14" i="6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4" i="1" l="1"/>
  <c r="S21" i="1"/>
  <c r="S25" i="1" s="1"/>
  <c r="T21" i="1"/>
  <c r="T23" i="1" s="1"/>
  <c r="O21" i="1"/>
  <c r="P21" i="1" s="1"/>
  <c r="P24" i="1" s="1"/>
  <c r="K38" i="1"/>
  <c r="S26" i="1" l="1"/>
  <c r="S27" i="1" s="1"/>
  <c r="S28" i="1" s="1"/>
  <c r="V31" i="1"/>
  <c r="V32" i="1" s="1"/>
  <c r="P25" i="1" l="1"/>
  <c r="N20" i="1"/>
  <c r="L20" i="1"/>
  <c r="P26" i="1" l="1"/>
  <c r="P27" i="1" s="1"/>
  <c r="M29" i="1" s="1"/>
  <c r="O31" i="1"/>
  <c r="R35" i="1"/>
  <c r="R36" i="1" l="1"/>
  <c r="O30" i="1" s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s="1"/>
  <c r="D20" i="3" l="1"/>
  <c r="E20" i="3" s="1"/>
  <c r="E21" i="3" s="1"/>
  <c r="O37" i="1" l="1"/>
  <c r="Q20" i="1" s="1"/>
  <c r="D21" i="3"/>
  <c r="M43" i="3" s="1"/>
  <c r="D12" i="3" s="1"/>
  <c r="F20" i="3"/>
  <c r="F21" i="3" s="1"/>
  <c r="O38" i="1" l="1"/>
  <c r="E15" i="3"/>
  <c r="Q21" i="1" l="1"/>
  <c r="F15" i="3"/>
  <c r="R21" i="1" l="1"/>
  <c r="H21" i="1" l="1"/>
  <c r="H23" i="1" s="1"/>
  <c r="H24" i="1" l="1"/>
  <c r="H25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<sst xmlns="http://schemas.openxmlformats.org/spreadsheetml/2006/main" count="487" uniqueCount="294">
  <si>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</si>
  <si>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</si>
  <si>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</si>
  <si>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</si>
  <si>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</si>
  <si>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</si>
  <si>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</si>
  <si>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</si>
  <si>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</si>
  <si>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</si>
  <si>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</si>
  <si>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</si>
  <si>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</si>
  <si>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</si>
  <si>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</si>
  <si>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</si>
  <si>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</si>
  <si>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</si>
  <si>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</si>
  <si>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</si>
  <si>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</si>
  <si>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</si>
  <si>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</si>
  <si>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</si>
  <si>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</si>
  <si>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</si>
  <si>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</si>
  <si>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</si>
  <si>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</si>
  <si>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</si>
  <si>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</si>
  <si>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</si>
  <si>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</si>
  <si>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</si>
  <si>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</si>
  <si>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</si>
  <si>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</si>
  <si>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</si>
  <si>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</si>
  <si>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</si>
  <si>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</si>
  <si>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</si>
  <si>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</si>
  <si>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</si>
  <si>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</si>
  <si>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</si>
  <si>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</si>
  <si>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</si>
  <si>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</si>
  <si>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</si>
  <si>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</si>
  <si>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</si>
  <si>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</si>
  <si>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</si>
  <si>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</si>
  <si>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</si>
  <si>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</si>
  <si>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</si>
  <si>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</si>
  <si>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</si>
  <si>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</si>
  <si>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</si>
  <si>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</si>
  <si>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</si>
  <si>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</si>
  <si>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</si>
  <si>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</si>
  <si>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</si>
  <si>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</si>
  <si>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</si>
  <si>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</si>
  <si>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</si>
  <si>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</si>
  <si>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</si>
  <si>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</si>
  <si>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</si>
  <si>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</si>
  <si>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</si>
  <si>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</si>
  <si>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</si>
  <si>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</si>
  <si>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</si>
  <si>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</si>
  <si>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</si>
  <si>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</si>
  <si>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</si>
  <si>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</si>
  <si>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</si>
  <si>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</si>
  <si>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</si>
  <si>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</si>
  <si>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</si>
  <si>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</si>
  <si>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</si>
  <si>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</si>
  <si>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</si>
  <si>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</si>
  <si>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</si>
  <si>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</si>
  <si>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</si>
  <si>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</si>
  <si>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</si>
  <si>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</si>
  <si>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</si>
  <si>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</si>
  <si>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</si>
  <si>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</si>
  <si>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</si>
  <si>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</si>
  <si>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</si>
  <si>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</si>
  <si>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</si>
  <si>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</si>
  <si>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</si>
  <si>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</si>
  <si>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</si>
  <si>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</si>
  <si>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</si>
  <si>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</si>
  <si>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</si>
  <si>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</si>
  <si>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</si>
  <si>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</si>
  <si>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</si>
  <si>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</si>
  <si>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</si>
  <si>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</si>
  <si>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</si>
  <si>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</si>
  <si>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</si>
  <si>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</si>
  <si>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</si>
  <si>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</si>
  <si>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</si>
  <si>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</si>
  <si>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</si>
  <si>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</si>
  <si>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</si>
  <si>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</si>
  <si>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</si>
  <si>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</si>
  <si>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</si>
  <si>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</si>
  <si>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</si>
  <si>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</si>
  <si>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</si>
  <si>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</si>
  <si>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</si>
  <si>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</si>
  <si>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</si>
  <si>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</si>
  <si>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</si>
  <si>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</si>
  <si>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</si>
  <si>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</si>
  <si>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</si>
  <si>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</si>
  <si>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</si>
  <si>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</si>
  <si>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</si>
  <si>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</si>
  <si>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</si>
  <si>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</si>
  <si>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</si>
  <si>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</si>
  <si>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</si>
  <si>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</si>
  <si>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</si>
  <si>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</si>
  <si>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</si>
  <si>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</si>
  <si>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</si>
  <si>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</si>
  <si>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</si>
  <si>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</si>
  <si>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</si>
  <si>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</si>
  <si>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</si>
  <si>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</si>
  <si>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</si>
  <si>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</si>
  <si>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</si>
  <si>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</si>
  <si>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</si>
  <si>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</si>
  <si>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</si>
  <si>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</si>
  <si>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</si>
  <si>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</si>
  <si>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</si>
  <si>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</si>
  <si>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</si>
  <si>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</si>
  <si>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</si>
  <si>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</si>
  <si>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</si>
  <si>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</si>
  <si>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</si>
  <si>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</si>
  <si>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</si>
  <si>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</si>
  <si>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</si>
  <si>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</si>
  <si>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</si>
  <si>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</si>
  <si>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</si>
  <si>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</si>
  <si>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</si>
  <si>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</si>
  <si>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</si>
  <si>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</si>
  <si>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</si>
  <si>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</si>
  <si>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</si>
  <si>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</si>
  <si>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</si>
  <si>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</si>
  <si>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</si>
  <si>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</si>
  <si>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</si>
  <si>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</si>
  <si>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</si>
  <si>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</si>
  <si>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</si>
  <si>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</si>
  <si>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</si>
  <si>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</si>
  <si>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</si>
  <si>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</si>
  <si>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</si>
  <si>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</si>
  <si>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</si>
  <si>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</si>
  <si>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</si>
  <si>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</si>
  <si>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</si>
  <si>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</si>
  <si>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</si>
  <si>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</si>
  <si>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</si>
  <si>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</si>
  <si>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</si>
  <si>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</si>
  <si>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</si>
  <si>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</si>
  <si>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</si>
  <si>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</si>
  <si>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</si>
  <si>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</si>
  <si>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</si>
  <si>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</si>
  <si>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</si>
  <si>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</si>
  <si>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</si>
  <si>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</si>
  <si>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</si>
  <si>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</si>
  <si>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</si>
  <si>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</si>
  <si>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</si>
  <si>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</si>
  <si>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</si>
  <si>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</si>
  <si>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</si>
  <si>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</si>
  <si>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</si>
  <si>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</si>
  <si>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</si>
  <si>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</si>
  <si>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</si>
  <si>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</si>
  <si>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</si>
  <si>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</si>
  <si>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</si>
  <si>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</si>
  <si>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</si>
  <si>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</si>
  <si>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</si>
  <si>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</si>
  <si>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</si>
  <si>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</si>
  <si>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</si>
  <si>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</si>
  <si>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</si>
  <si>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</si>
  <si>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</si>
  <si>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</si>
  <si>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</si>
  <si>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CUB SIN RESPALDO FTE PUNTA TIBURON</t>
  </si>
  <si>
    <t>ROBLE LINEAL MT</t>
  </si>
  <si>
    <t>ALEJANDRO ARELLANO</t>
  </si>
  <si>
    <t>+569 8229 6825</t>
  </si>
  <si>
    <t>10 DIAS HABILES</t>
  </si>
  <si>
    <t>N° 12012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</si>
</sst>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1" fontId="6" fillId="0" borderId="64" xfId="0" applyNumberFormat="1" applyFont="1" applyBorder="1" applyAlignment="1">
      <alignment horizontal="center"/>
    </xf>
    <xf numFmtId="0" fontId="39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16388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6065" y="5458235"/>
          <a:ext cx="631722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24581</xdr:colOff>
      <xdr:row>22</xdr:row>
      <xdr:rowOff>0</xdr:rowOff>
    </xdr:from>
    <xdr:to>
      <xdr:col>5</xdr:col>
      <xdr:colOff>1728839</xdr:colOff>
      <xdr:row>24</xdr:row>
      <xdr:rowOff>221225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34258" y="4555613"/>
          <a:ext cx="6292646" cy="663677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 CUBIERTA SE ENTREGA CORTADA</a:t>
          </a:r>
          <a:r>
            <a:rPr lang="es-CL" sz="1200" b="1" baseline="0"/>
            <a:t> A LA MEDIDA Y ENCHAPADA EN LOS COSTADOS.  INCLUYE DOS PASACABLES</a:t>
          </a:r>
          <a:endParaRPr lang="es-CL" sz="1200" b="1"/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15999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2112890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PAGADO</a:t>
          </a:r>
          <a:r>
            <a:rPr lang="es-CL" sz="900" b="1" i="1" baseline="0"/>
            <a:t> EL TOTAL EN EFECTIVO</a:t>
          </a:r>
          <a:r>
            <a:rPr lang="es-CL" sz="900" b="1" i="1"/>
            <a:t>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</row>
      </sheetData>
      <sheetData sheetId="1">
        <row r="4">
          <cell r="B4">
            <v>40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zoomScale="93" zoomScaleNormal="93" workbookViewId="0">
      <selection activeCell="I10" sqref="I10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293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8" t="s">
        <v>290</v>
      </c>
      <c r="D10" s="243"/>
      <c r="E10" s="243"/>
      <c r="F10" s="417" t="s">
        <v>277</v>
      </c>
      <c r="G10" s="275">
        <v>46083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/>
      <c r="F11" s="29" t="s">
        <v>286</v>
      </c>
      <c r="G11" s="420" t="s">
        <v>292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8" t="s">
        <v>143</v>
      </c>
      <c r="F13" s="29" t="s">
        <v>134</v>
      </c>
      <c r="G13" s="422" t="s">
        <v>133</v>
      </c>
      <c r="H13" s="421"/>
      <c r="Q13" s="19"/>
      <c r="R13" s="25"/>
      <c r="S13" s="19"/>
    </row>
    <row r="14" spans="2:24" x14ac:dyDescent="0.3">
      <c r="B14" s="245" t="s">
        <v>137</v>
      </c>
      <c r="C14" s="427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29" t="s">
        <v>291</v>
      </c>
      <c r="D15" s="423"/>
      <c r="F15" s="29" t="s">
        <v>284</v>
      </c>
      <c r="G15" s="75" t="s">
        <v>133</v>
      </c>
      <c r="H15" s="421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4" t="s">
        <v>13</v>
      </c>
      <c r="C17" s="299" t="s">
        <v>287</v>
      </c>
      <c r="D17" s="300"/>
      <c r="E17" s="119"/>
      <c r="F17" s="425" t="s">
        <v>179</v>
      </c>
      <c r="G17" s="425" t="s">
        <v>180</v>
      </c>
      <c r="H17" s="426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4" t="s">
        <v>95</v>
      </c>
      <c r="C19" s="435"/>
      <c r="D19" s="435"/>
      <c r="E19" s="435"/>
      <c r="F19" s="435"/>
      <c r="G19" s="435"/>
      <c r="H19" s="436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O37</f>
        <v>73443.778677462877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312">
        <v>1</v>
      </c>
      <c r="C21" s="431" t="s">
        <v>288</v>
      </c>
      <c r="D21" s="432">
        <v>2.2000000000000002</v>
      </c>
      <c r="E21" s="432">
        <v>0.65</v>
      </c>
      <c r="F21" s="313" t="s">
        <v>289</v>
      </c>
      <c r="G21" s="314">
        <v>118844</v>
      </c>
      <c r="H21" s="433">
        <f>G21*B21</f>
        <v>118844</v>
      </c>
      <c r="I21" s="306"/>
      <c r="J21" s="264"/>
      <c r="K21" s="47"/>
      <c r="L21" s="47">
        <f>B21</f>
        <v>1</v>
      </c>
      <c r="M21" s="39">
        <f>D21+M$19</f>
        <v>2.2800000000000002</v>
      </c>
      <c r="N21" s="39">
        <f>E21+$N$19</f>
        <v>0.65</v>
      </c>
      <c r="O21" s="260">
        <f t="shared" ref="O21" si="0">M21*N21</f>
        <v>1.4820000000000002</v>
      </c>
      <c r="P21" s="258">
        <f t="shared" ref="P21" si="1">O21*L21</f>
        <v>1.4820000000000002</v>
      </c>
      <c r="Q21" s="251">
        <f t="shared" ref="Q21" si="2">Q$20*O21</f>
        <v>108843.68</v>
      </c>
      <c r="R21" s="305">
        <f t="shared" ref="R21" si="3">Q21+R$20</f>
        <v>111843.68</v>
      </c>
      <c r="S21" s="290">
        <f>M21*L21</f>
        <v>2.2800000000000002</v>
      </c>
      <c r="T21" s="46">
        <f>N21*2*L21*2</f>
        <v>2.6</v>
      </c>
      <c r="U21" s="9"/>
      <c r="X21" s="4"/>
    </row>
    <row r="22" spans="1:25" ht="18" thickBot="1" x14ac:dyDescent="0.35">
      <c r="B22" s="283"/>
      <c r="C22" s="325"/>
      <c r="D22" s="284"/>
      <c r="E22" s="284"/>
      <c r="F22" s="283"/>
      <c r="G22" s="264"/>
      <c r="H22" s="307"/>
      <c r="I22" s="309"/>
      <c r="J22" s="233"/>
      <c r="K22" s="47"/>
      <c r="L22" s="47"/>
      <c r="M22" s="39"/>
      <c r="N22" s="39"/>
      <c r="O22" s="260"/>
      <c r="P22" s="258"/>
      <c r="Q22" s="251"/>
      <c r="R22" s="257"/>
      <c r="S22" s="290"/>
      <c r="T22" s="14"/>
      <c r="U22" s="9"/>
      <c r="X22" s="4"/>
    </row>
    <row r="23" spans="1:25" ht="17.399999999999999" x14ac:dyDescent="0.3">
      <c r="B23" s="283"/>
      <c r="C23" s="283"/>
      <c r="D23" s="284"/>
      <c r="E23" s="284"/>
      <c r="F23" s="283"/>
      <c r="G23" s="310" t="s">
        <v>28</v>
      </c>
      <c r="H23" s="311">
        <f>SUM(H21:H21)</f>
        <v>118844</v>
      </c>
      <c r="I23" s="308"/>
      <c r="J23" s="264"/>
      <c r="K23" s="47"/>
      <c r="L23" s="47"/>
      <c r="M23" s="39"/>
      <c r="N23" s="39"/>
      <c r="O23" s="260"/>
      <c r="P23" s="258"/>
      <c r="Q23" s="251"/>
      <c r="R23" s="257"/>
      <c r="S23" s="290"/>
      <c r="T23" s="46">
        <f>SUM(T21:T21)</f>
        <v>2.6</v>
      </c>
      <c r="U23" s="9"/>
      <c r="X23" s="4"/>
    </row>
    <row r="24" spans="1:25" ht="17.399999999999999" x14ac:dyDescent="0.3">
      <c r="B24" s="277"/>
      <c r="C24" s="280"/>
      <c r="D24" s="281"/>
      <c r="E24" s="281"/>
      <c r="F24" s="282"/>
      <c r="G24" s="289" t="s">
        <v>51</v>
      </c>
      <c r="H24" s="287">
        <f>H23*19%</f>
        <v>22580.36</v>
      </c>
      <c r="I24" s="308"/>
      <c r="J24" s="264"/>
      <c r="K24" s="47"/>
      <c r="L24" s="47"/>
      <c r="M24" s="39">
        <f>SUM(M21:M23)</f>
        <v>2.2800000000000002</v>
      </c>
      <c r="N24" s="12"/>
      <c r="O24" s="12"/>
      <c r="P24" s="252">
        <f>SUM(P21:P21)</f>
        <v>1.4820000000000002</v>
      </c>
      <c r="Q24" s="14"/>
      <c r="R24" s="12"/>
      <c r="S24" s="239"/>
      <c r="T24" s="46"/>
      <c r="U24" s="9"/>
      <c r="X24" s="4"/>
    </row>
    <row r="25" spans="1:25" ht="18" thickBot="1" x14ac:dyDescent="0.35">
      <c r="B25" s="274"/>
      <c r="C25" s="279"/>
      <c r="D25" s="271"/>
      <c r="E25" s="271"/>
      <c r="F25" s="272"/>
      <c r="G25" s="278" t="s">
        <v>6</v>
      </c>
      <c r="H25" s="288">
        <f>H23+H24</f>
        <v>141424.35999999999</v>
      </c>
      <c r="I25" s="308"/>
      <c r="J25" s="264"/>
      <c r="K25" s="47"/>
      <c r="L25" s="47"/>
      <c r="M25" s="39"/>
      <c r="N25" s="12"/>
      <c r="O25" s="12"/>
      <c r="P25" s="252">
        <f>P24</f>
        <v>1.4820000000000002</v>
      </c>
      <c r="Q25" s="14"/>
      <c r="R25" s="12"/>
      <c r="S25" s="239">
        <f>SUM(S21:S24)</f>
        <v>2.2800000000000002</v>
      </c>
      <c r="T25" s="46"/>
      <c r="U25" s="9"/>
      <c r="X25" s="4"/>
    </row>
    <row r="26" spans="1:25" ht="17.399999999999999" x14ac:dyDescent="0.3">
      <c r="B26" s="274"/>
      <c r="C26" s="270"/>
      <c r="D26" s="271"/>
      <c r="E26" s="271"/>
      <c r="F26" s="272"/>
      <c r="J26" s="264"/>
      <c r="K26" s="47"/>
      <c r="L26" s="47"/>
      <c r="M26" s="14"/>
      <c r="N26" s="12"/>
      <c r="O26" s="12"/>
      <c r="P26" s="39">
        <f>P25*20%</f>
        <v>0.29640000000000005</v>
      </c>
      <c r="Q26" s="39" t="s">
        <v>129</v>
      </c>
      <c r="R26" s="42"/>
      <c r="S26" s="240">
        <f>S25+T23</f>
        <v>4.8800000000000008</v>
      </c>
      <c r="T26" s="14"/>
      <c r="U26" s="9"/>
      <c r="X26" s="4"/>
    </row>
    <row r="27" spans="1:25" ht="17.399999999999999" x14ac:dyDescent="0.35">
      <c r="B27" s="268"/>
      <c r="C27" s="230"/>
      <c r="D27" s="230"/>
      <c r="E27" s="233"/>
      <c r="F27" s="234"/>
      <c r="G27" s="230"/>
      <c r="H27" s="273"/>
      <c r="I27" s="273"/>
      <c r="J27" s="264"/>
      <c r="K27" s="47"/>
      <c r="L27" s="47"/>
      <c r="M27" s="14"/>
      <c r="N27" s="12"/>
      <c r="O27" s="12"/>
      <c r="P27" s="46">
        <f>P25+P26</f>
        <v>1.7784000000000002</v>
      </c>
      <c r="Q27" s="14"/>
      <c r="R27" s="14"/>
      <c r="S27" s="238">
        <f>S26*20%</f>
        <v>0.9760000000000002</v>
      </c>
      <c r="T27" s="14"/>
      <c r="U27" s="9"/>
      <c r="X27" s="4"/>
    </row>
    <row r="28" spans="1:25" ht="17.399999999999999" x14ac:dyDescent="0.35">
      <c r="B28" s="235"/>
      <c r="C28" s="236"/>
      <c r="D28" s="237"/>
      <c r="E28" s="235"/>
      <c r="F28" s="230"/>
      <c r="G28" s="230"/>
      <c r="I28" s="273"/>
      <c r="J28" s="264"/>
      <c r="K28" s="47"/>
      <c r="L28" s="47"/>
      <c r="M28" s="14"/>
      <c r="N28" s="14"/>
      <c r="O28" s="14"/>
      <c r="P28" s="14"/>
      <c r="Q28" s="14"/>
      <c r="R28" s="14"/>
      <c r="S28" s="240">
        <f>S26+S27</f>
        <v>5.8560000000000008</v>
      </c>
      <c r="T28" s="14"/>
      <c r="U28" s="294" t="s">
        <v>21</v>
      </c>
      <c r="V28" s="291" t="s">
        <v>149</v>
      </c>
      <c r="W28" s="295">
        <v>44971</v>
      </c>
      <c r="X28" s="296"/>
    </row>
    <row r="29" spans="1:25" ht="17.399999999999999" x14ac:dyDescent="0.35">
      <c r="B29" s="230"/>
      <c r="C29" s="230"/>
      <c r="D29" s="230"/>
      <c r="E29" s="230"/>
      <c r="F29" s="230"/>
      <c r="G29" s="230"/>
      <c r="J29" s="264"/>
      <c r="K29" s="47"/>
      <c r="L29" s="47"/>
      <c r="M29" s="39">
        <f>P27</f>
        <v>1.7784000000000002</v>
      </c>
      <c r="N29" s="12">
        <v>3500</v>
      </c>
      <c r="O29" s="12">
        <f t="shared" ref="O29:O34" si="4">M29*N29</f>
        <v>6224.4000000000005</v>
      </c>
      <c r="P29" s="14" t="s">
        <v>21</v>
      </c>
      <c r="Q29" s="14"/>
      <c r="R29" s="14"/>
      <c r="S29" s="241"/>
      <c r="T29" s="14"/>
      <c r="U29" s="294" t="s">
        <v>150</v>
      </c>
      <c r="V29" s="291">
        <v>3625</v>
      </c>
      <c r="W29" s="59" t="s">
        <v>151</v>
      </c>
      <c r="X29" s="296"/>
    </row>
    <row r="30" spans="1:25" ht="17.399999999999999" x14ac:dyDescent="0.35">
      <c r="A30" s="230"/>
      <c r="B30" s="230"/>
      <c r="C30" s="230"/>
      <c r="D30" s="230"/>
      <c r="E30" s="230"/>
      <c r="F30" s="230"/>
      <c r="G30" s="230"/>
      <c r="H30" s="230"/>
      <c r="J30" s="264"/>
      <c r="K30" s="47"/>
      <c r="L30" s="47"/>
      <c r="M30" s="248">
        <v>0.5</v>
      </c>
      <c r="N30" s="12">
        <v>23500</v>
      </c>
      <c r="O30" s="12">
        <f t="shared" si="4"/>
        <v>11750</v>
      </c>
      <c r="P30" s="39" t="s">
        <v>31</v>
      </c>
      <c r="Q30" s="42"/>
      <c r="R30" s="14"/>
      <c r="S30" s="240"/>
      <c r="T30" s="14"/>
      <c r="U30" s="294"/>
      <c r="V30" s="59">
        <v>906.25</v>
      </c>
      <c r="W30" s="59" t="s">
        <v>152</v>
      </c>
      <c r="X30" s="296"/>
    </row>
    <row r="31" spans="1:25" s="230" customFormat="1" ht="17.399999999999999" x14ac:dyDescent="0.35">
      <c r="B31" s="24" t="s">
        <v>148</v>
      </c>
      <c r="J31" s="261"/>
      <c r="K31" s="232"/>
      <c r="L31" s="249"/>
      <c r="M31" s="14"/>
      <c r="N31" s="249">
        <v>41800</v>
      </c>
      <c r="O31" s="12">
        <f t="shared" si="4"/>
        <v>0</v>
      </c>
      <c r="P31" s="39" t="s">
        <v>30</v>
      </c>
      <c r="Q31" s="42"/>
      <c r="S31" s="240"/>
      <c r="T31" s="255"/>
      <c r="U31" s="59"/>
      <c r="V31" s="59">
        <f>V30*20%</f>
        <v>181.25</v>
      </c>
      <c r="W31" s="296" t="s">
        <v>153</v>
      </c>
      <c r="X31" s="59"/>
    </row>
    <row r="32" spans="1:25" s="230" customFormat="1" ht="17.399999999999999" x14ac:dyDescent="0.35">
      <c r="B32" s="24" t="s">
        <v>162</v>
      </c>
      <c r="C32"/>
      <c r="D32"/>
      <c r="E32"/>
      <c r="F32"/>
      <c r="J32" s="261"/>
      <c r="K32" s="232"/>
      <c r="L32" s="249"/>
      <c r="M32" s="14">
        <v>1</v>
      </c>
      <c r="N32" s="249">
        <v>31500</v>
      </c>
      <c r="O32" s="12">
        <f t="shared" si="4"/>
        <v>31500</v>
      </c>
      <c r="P32" s="14" t="s">
        <v>139</v>
      </c>
      <c r="Q32" s="17"/>
      <c r="S32" s="238"/>
      <c r="T32" s="255"/>
      <c r="U32" s="59"/>
      <c r="V32" s="59">
        <f>V30+V31</f>
        <v>1087.5</v>
      </c>
      <c r="W32" s="296" t="s">
        <v>154</v>
      </c>
      <c r="X32" s="59"/>
    </row>
    <row r="33" spans="1:24" s="230" customFormat="1" ht="17.399999999999999" x14ac:dyDescent="0.35">
      <c r="A33" s="230" t="s">
        <v>283</v>
      </c>
      <c r="B33" s="29" t="s">
        <v>124</v>
      </c>
      <c r="C33"/>
      <c r="D33"/>
      <c r="E33"/>
      <c r="F33" s="229" t="s">
        <v>15</v>
      </c>
      <c r="J33" s="261"/>
      <c r="K33" s="259"/>
      <c r="L33" s="249"/>
      <c r="M33" s="248"/>
      <c r="N33" s="249">
        <v>900</v>
      </c>
      <c r="O33" s="12">
        <f t="shared" si="4"/>
        <v>0</v>
      </c>
      <c r="P33" s="14" t="s">
        <v>32</v>
      </c>
      <c r="Q33" s="14"/>
      <c r="R33" s="230">
        <v>1.52</v>
      </c>
      <c r="S33" s="238"/>
      <c r="T33" s="238"/>
    </row>
    <row r="34" spans="1:24" s="230" customFormat="1" ht="17.399999999999999" x14ac:dyDescent="0.35">
      <c r="J34" s="286"/>
      <c r="K34" s="259"/>
      <c r="L34" s="249"/>
      <c r="M34" s="265"/>
      <c r="N34" s="12">
        <v>1500</v>
      </c>
      <c r="O34" s="12">
        <f t="shared" si="4"/>
        <v>0</v>
      </c>
      <c r="P34" s="14" t="s">
        <v>22</v>
      </c>
      <c r="Q34" s="14"/>
      <c r="R34">
        <v>2.44</v>
      </c>
      <c r="S34"/>
      <c r="T34" s="238"/>
      <c r="X34" s="231"/>
    </row>
    <row r="35" spans="1:24" s="230" customFormat="1" ht="17.399999999999999" x14ac:dyDescent="0.35">
      <c r="K35" s="259"/>
      <c r="L35" s="249"/>
      <c r="M35" s="14"/>
      <c r="N35" s="12"/>
      <c r="O35" s="12">
        <f>SUM(O29:O34)</f>
        <v>49474.400000000001</v>
      </c>
      <c r="P35" s="39" t="s">
        <v>23</v>
      </c>
      <c r="Q35" s="14"/>
      <c r="R35">
        <f>R33*R34</f>
        <v>3.7088000000000001</v>
      </c>
      <c r="S35"/>
      <c r="T35" s="238"/>
      <c r="X35" s="231"/>
    </row>
    <row r="36" spans="1:24" s="230" customFormat="1" ht="17.399999999999999" x14ac:dyDescent="0.35">
      <c r="L36" s="249"/>
      <c r="M36" s="253" t="s">
        <v>33</v>
      </c>
      <c r="N36" s="12"/>
      <c r="O36" s="254">
        <f>O35*2.2</f>
        <v>108843.68000000001</v>
      </c>
      <c r="P36" s="14" t="s">
        <v>138</v>
      </c>
      <c r="Q36" s="14"/>
      <c r="R36" s="40">
        <f>P27/R35</f>
        <v>0.47950819672131151</v>
      </c>
      <c r="S36"/>
      <c r="T36" s="256"/>
    </row>
    <row r="37" spans="1:24" s="230" customFormat="1" ht="17.399999999999999" x14ac:dyDescent="0.35">
      <c r="G37"/>
      <c r="H37" s="259"/>
      <c r="I37" s="259"/>
      <c r="J37" s="259"/>
      <c r="K37" s="230">
        <v>42800</v>
      </c>
      <c r="L37" s="249"/>
      <c r="M37" s="14"/>
      <c r="N37" s="12"/>
      <c r="O37" s="12">
        <f>O36/P25</f>
        <v>73443.778677462877</v>
      </c>
      <c r="P37" s="45" t="s">
        <v>24</v>
      </c>
      <c r="Q37" s="14"/>
      <c r="R37" s="14"/>
      <c r="S37"/>
      <c r="T37" s="238"/>
      <c r="U37" s="59" t="s">
        <v>155</v>
      </c>
      <c r="V37" s="291">
        <v>43650</v>
      </c>
    </row>
    <row r="38" spans="1:24" s="230" customFormat="1" ht="17.399999999999999" x14ac:dyDescent="0.35">
      <c r="G38"/>
      <c r="K38" s="230">
        <f>K37/1.19</f>
        <v>35966.386554621851</v>
      </c>
      <c r="L38" s="249"/>
      <c r="M38" s="13"/>
      <c r="N38" s="14"/>
      <c r="O38" s="17">
        <f>O36/O35</f>
        <v>2.2000000000000002</v>
      </c>
      <c r="P38" s="15"/>
      <c r="Q38"/>
      <c r="R38"/>
      <c r="S38"/>
      <c r="T38" s="238"/>
      <c r="U38" s="59" t="s">
        <v>157</v>
      </c>
      <c r="V38" s="292" t="s">
        <v>156</v>
      </c>
      <c r="W38" s="59">
        <v>2.4</v>
      </c>
    </row>
    <row r="39" spans="1:24" s="230" customFormat="1" ht="17.399999999999999" x14ac:dyDescent="0.35">
      <c r="G39" s="23"/>
      <c r="L39" s="12"/>
      <c r="T39" s="238"/>
      <c r="U39" s="59" t="s">
        <v>158</v>
      </c>
      <c r="V39" s="293">
        <v>395.37</v>
      </c>
    </row>
    <row r="40" spans="1:24" s="230" customFormat="1" ht="17.399999999999999" x14ac:dyDescent="0.35">
      <c r="B40"/>
      <c r="C40" s="228"/>
      <c r="D40" s="22"/>
      <c r="E40" s="22"/>
      <c r="F40" s="21"/>
      <c r="G40" s="23"/>
      <c r="L40" s="12"/>
      <c r="T40" s="238"/>
      <c r="U40" s="59" t="s">
        <v>153</v>
      </c>
      <c r="V40" s="59">
        <v>474.45</v>
      </c>
    </row>
    <row r="41" spans="1:24" ht="14.4" customHeight="1" x14ac:dyDescent="0.3">
      <c r="L41" s="12"/>
      <c r="U41" s="59"/>
      <c r="V41" s="59"/>
    </row>
    <row r="42" spans="1:24" x14ac:dyDescent="0.3">
      <c r="L42" s="249"/>
    </row>
    <row r="43" spans="1:24" x14ac:dyDescent="0.3">
      <c r="L43" s="249"/>
      <c r="T43" s="269"/>
    </row>
    <row r="44" spans="1:24" x14ac:dyDescent="0.3">
      <c r="L44" s="249"/>
    </row>
    <row r="45" spans="1:24" ht="15" customHeight="1" x14ac:dyDescent="0.3"/>
    <row r="47" spans="1:24" x14ac:dyDescent="0.3">
      <c r="O47">
        <v>40935</v>
      </c>
      <c r="P47" t="s">
        <v>16</v>
      </c>
      <c r="Q47" t="s">
        <v>26</v>
      </c>
    </row>
    <row r="49" spans="15:20" x14ac:dyDescent="0.3">
      <c r="O49" s="54"/>
      <c r="P49" s="54"/>
    </row>
    <row r="50" spans="15:20" x14ac:dyDescent="0.3">
      <c r="S50" s="18"/>
      <c r="T50" s="18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61" spans="15:20" x14ac:dyDescent="0.3">
      <c r="O61" s="43"/>
    </row>
    <row r="62" spans="15:20" x14ac:dyDescent="0.3">
      <c r="O62" s="43"/>
    </row>
    <row r="63" spans="15:20" x14ac:dyDescent="0.3">
      <c r="O63" s="6"/>
    </row>
    <row r="64" spans="15:20" x14ac:dyDescent="0.3">
      <c r="O64" s="6"/>
    </row>
    <row r="72" spans="3:3" x14ac:dyDescent="0.3">
      <c r="C72" t="s">
        <v>145</v>
      </c>
    </row>
    <row r="73" spans="3:3" x14ac:dyDescent="0.3">
      <c r="C73" t="s">
        <v>144</v>
      </c>
    </row>
    <row r="76" spans="3:3" x14ac:dyDescent="0.3">
      <c r="C76" t="s">
        <v>144</v>
      </c>
    </row>
    <row r="153" spans="3:3" x14ac:dyDescent="0.3">
      <c r="C153" t="s">
        <v>144</v>
      </c>
    </row>
    <row r="154" spans="3:3" x14ac:dyDescent="0.3">
      <c r="C154" t="s">
        <v>146</v>
      </c>
    </row>
    <row r="155" spans="3:3" x14ac:dyDescent="0.3">
      <c r="C155" t="s">
        <v>147</v>
      </c>
    </row>
    <row r="580" spans="3:3" x14ac:dyDescent="0.3">
      <c r="C580" t="s">
        <v>144</v>
      </c>
    </row>
  </sheetData>
  <mergeCells count="1">
    <mergeCell ref="B19:H19"/>
  </mergeCells>
  <phoneticPr fontId="32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46083</v>
      </c>
    </row>
    <row r="6" spans="2:31" ht="16.2" thickBot="1" x14ac:dyDescent="0.35">
      <c r="B6" s="140" t="s">
        <v>2</v>
      </c>
      <c r="C6" s="139" t="str">
        <f>'2229'!C10</f>
        <v>ALEJANDRO ARELLANO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8" t="s">
        <v>98</v>
      </c>
      <c r="I7" s="439"/>
      <c r="J7" s="439"/>
      <c r="K7" s="440"/>
      <c r="N7" s="75"/>
      <c r="O7" s="4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12012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-6659.9983667874403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'2229'!H23</f>
        <v>118844</v>
      </c>
      <c r="E11" s="132">
        <f>D11*0.19</f>
        <v>22580.36</v>
      </c>
      <c r="F11" s="131">
        <f>E11+D11</f>
        <v>141424.35999999999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99330.001633212552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47808.490787439616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81330.001633212552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71035.509212560384</v>
      </c>
      <c r="E13" s="221">
        <f>(D11/D12)-1</f>
        <v>1.4858345880105261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72330.001633212552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33330.00163321256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78884.009799275358</v>
      </c>
      <c r="F15" s="216">
        <f>E15-D12</f>
        <v>31075.519011835742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33330.00163321256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73330.001633212552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'2229'!O30</f>
        <v>11750</v>
      </c>
      <c r="E19" s="123">
        <f>D19*0.19</f>
        <v>2232.5</v>
      </c>
      <c r="F19" s="120">
        <f>SUM(D19:E19)</f>
        <v>13982.5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'2229'!O29</f>
        <v>6224.4000000000005</v>
      </c>
      <c r="E20" s="121">
        <f>D20*0.19</f>
        <v>1182.6360000000002</v>
      </c>
      <c r="F20" s="120">
        <f>SUM(D20:E20)</f>
        <v>7407.036000000001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17974.400000000001</v>
      </c>
      <c r="E21" s="116">
        <f>SUM(E18:E20)</f>
        <v>3415.1360000000004</v>
      </c>
      <c r="F21" s="115">
        <f>SUM(F18:F20)</f>
        <v>21389.536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19165.224000000002</v>
      </c>
    </row>
    <row r="41" spans="2:16" ht="15" thickBot="1" x14ac:dyDescent="0.35">
      <c r="H41" s="441" t="s">
        <v>60</v>
      </c>
      <c r="I41" s="442"/>
      <c r="J41" s="442"/>
      <c r="K41" s="442"/>
      <c r="L41" s="442"/>
      <c r="M41" s="4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118844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17974.400000000001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71035.509212560384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71035.509212560384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C23" sqref="C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12012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ALEJANDRO ARELLANO</v>
      </c>
      <c r="D10" s="350"/>
      <c r="E10" s="350"/>
      <c r="F10" s="351" t="s">
        <v>167</v>
      </c>
      <c r="G10" s="352">
        <f>'2229'!G10</f>
        <v>46083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46090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+569 8229 6825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4" t="s">
        <v>175</v>
      </c>
      <c r="G17" s="444"/>
      <c r="H17" s="445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6" t="s">
        <v>176</v>
      </c>
      <c r="C20" s="447"/>
      <c r="D20" s="447"/>
      <c r="E20" s="447"/>
      <c r="F20" s="447"/>
      <c r="G20" s="447"/>
      <c r="H20" s="448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">
        <v>35</v>
      </c>
      <c r="D22" s="321">
        <f>'2229'!D21*1000</f>
        <v>2200</v>
      </c>
      <c r="E22" s="321">
        <f>'2229'!E21*1000</f>
        <v>650</v>
      </c>
      <c r="F22" s="322" t="str">
        <f>'2229'!F21</f>
        <v>ROBLE LINEAL MT</v>
      </c>
      <c r="G22" s="314">
        <f>'2229'!G21</f>
        <v>118844</v>
      </c>
      <c r="H22" s="323">
        <f>G22*B22</f>
        <v>118844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118844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22580.36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141424.35999999999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9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9" t="s">
        <v>182</v>
      </c>
      <c r="C2" s="449"/>
      <c r="D2" s="449"/>
      <c r="E2" s="361"/>
      <c r="G2" s="449" t="s">
        <v>183</v>
      </c>
      <c r="H2" s="449"/>
      <c r="I2" s="449"/>
      <c r="P2" s="450" t="s">
        <v>184</v>
      </c>
      <c r="Q2" s="450"/>
      <c r="R2" s="450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0" t="s">
        <v>184</v>
      </c>
      <c r="M8" s="450"/>
      <c r="N8" s="450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sqref="A1:XFD1048576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5" t="s">
        <v>265</v>
      </c>
      <c r="L3" s="455"/>
      <c r="M3" s="455" t="s">
        <v>266</v>
      </c>
      <c r="N3" s="455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ALEJANDRO ARELLANO</v>
      </c>
      <c r="E5" s="320"/>
      <c r="F5" s="320"/>
      <c r="G5" s="138"/>
      <c r="K5">
        <f>LOOKUP(F14,REGLAS!$I$4:$I$37,REGLAS!$G$4:$G$37)+J14</f>
        <v>2070</v>
      </c>
      <c r="L5">
        <f>LOOKUP(F14,REGLAS!$I$4:$I$37,REGLAS!$H$4:$H$37)+K14</f>
        <v>620</v>
      </c>
      <c r="M5">
        <f>LOOKUP(F14,REGLAS!$D$4:$D$37,REGLAS!$B$4:$B$37)+J21</f>
        <v>2060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5">
        <f>'NOTA DE VENTA'!$G$10</f>
        <v>46083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4">
        <f>'NOTA DE VENTA'!$G$11</f>
        <v>46090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6" t="s">
        <v>265</v>
      </c>
      <c r="B10" s="456"/>
      <c r="C10" s="456"/>
      <c r="D10" s="456"/>
      <c r="E10" s="456"/>
      <c r="F10" s="456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2070</v>
      </c>
      <c r="E14" s="382">
        <f>LOOKUP(F14,REGLAS!$I$4:$I$37,REGLAS!$H$4:$H$37)+K14</f>
        <v>620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2020</v>
      </c>
      <c r="K14" s="150">
        <f t="shared" si="1"/>
        <v>650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6" t="s">
        <v>266</v>
      </c>
      <c r="B17" s="456"/>
      <c r="C17" s="456"/>
      <c r="D17" s="456"/>
      <c r="E17" s="456"/>
      <c r="F17" s="456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2060</v>
      </c>
      <c r="E21" s="389">
        <f>LOOKUP(F14,REGLAS!$D$4:$D$37,REGLAS!$C$4:$C$37)+K21</f>
        <v>780</v>
      </c>
      <c r="F21" s="390" t="str">
        <f>C27</f>
        <v>CUB C/R R8</v>
      </c>
      <c r="G21" s="138"/>
      <c r="I21" s="384">
        <f>B27</f>
        <v>1</v>
      </c>
      <c r="J21" s="150">
        <f>D27</f>
        <v>2020</v>
      </c>
      <c r="K21" s="150">
        <f>E27</f>
        <v>650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C49</f>
        <v>CUB C/R R8</v>
      </c>
      <c r="D27" s="383">
        <f t="shared" ref="D27:F27" si="3">D49</f>
        <v>2020</v>
      </c>
      <c r="E27" s="383">
        <f t="shared" si="3"/>
        <v>650</v>
      </c>
      <c r="F27" s="383" t="str">
        <f t="shared" si="3"/>
        <v>ROBLE LINEAL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6" t="s">
        <v>272</v>
      </c>
      <c r="B45" s="456"/>
      <c r="C45" s="456"/>
      <c r="D45" s="456"/>
      <c r="E45" s="456"/>
      <c r="F45" s="456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1" t="s">
        <v>95</v>
      </c>
      <c r="C47" s="452"/>
      <c r="D47" s="453"/>
      <c r="E47" s="453"/>
      <c r="F47" s="454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'NOTA DE VENTA'!$C22</f>
        <v>CUB C/R R8</v>
      </c>
      <c r="D49" s="430">
        <v>2020</v>
      </c>
      <c r="E49" s="430">
        <f>'NOTA DE VENTA'!E22</f>
        <v>650</v>
      </c>
      <c r="F49" s="430" t="str">
        <f>'NOTA DE VENTA'!F22</f>
        <v>ROBLE LINEAL MT</v>
      </c>
      <c r="G49" s="138"/>
    </row>
    <row r="50" spans="1:7" s="59" customFormat="1" ht="15" customHeight="1" x14ac:dyDescent="0.3">
      <c r="A50" s="391"/>
      <c r="B50" s="333"/>
      <c r="C50" s="402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3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275</v>
      </c>
      <c r="B1" s="413" t="s">
        <v>276</v>
      </c>
      <c r="C1" s="412" t="s">
        <v>277</v>
      </c>
      <c r="D1" s="412" t="s">
        <v>278</v>
      </c>
      <c r="E1" s="412" t="s">
        <v>279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280</v>
      </c>
      <c r="L1" s="414" t="s">
        <v>281</v>
      </c>
      <c r="M1" s="412" t="s">
        <v>282</v>
      </c>
    </row>
    <row r="2" spans="1:13" x14ac:dyDescent="0.3">
      <c r="A2">
        <f>'NOTA DE VENTA'!$G$8</f>
        <v>0</v>
      </c>
      <c r="B2" t="str">
        <f>'NOTA DE VENTA'!$D$8</f>
        <v>N° 12012</v>
      </c>
      <c r="C2" s="1">
        <f>'NOTA DE VENTA'!$G$10</f>
        <v>46083</v>
      </c>
      <c r="D2" s="1">
        <f>'NOTA DE VENTA'!$G$11</f>
        <v>46090</v>
      </c>
      <c r="E2" t="str">
        <f>'NOTA DE VENTA'!$C$10</f>
        <v>ALEJANDRO ARELLANO</v>
      </c>
      <c r="F2" t="str">
        <f>'NOTA DE VENTA'!$C$22</f>
        <v>CUB C/R R8</v>
      </c>
      <c r="G2" t="str">
        <f>'NOTA DE VENTA'!$F$22</f>
        <v>ROBLE LINEAL MT</v>
      </c>
      <c r="H2" s="415">
        <f>'NOTA DE VENTA'!$H$25</f>
        <v>118844</v>
      </c>
      <c r="I2" s="415">
        <f>H2*0.19</f>
        <v>22580.36</v>
      </c>
      <c r="J2" s="415">
        <f>I2+H2</f>
        <v>141424.35999999999</v>
      </c>
      <c r="L2" s="61">
        <f>J2-K2</f>
        <v>141424.35999999999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2026-03-02T17:47:56Z</cp:lastPrinted>
  <dcterms:created xsi:type="dcterms:W3CDTF">2013-03-18T13:35:42Z</dcterms:created>
  <dcterms:modified xsi:type="dcterms:W3CDTF">2026-03-04T12:11:18Z</dcterms:modified>
</cp:coreProperties>
</file>