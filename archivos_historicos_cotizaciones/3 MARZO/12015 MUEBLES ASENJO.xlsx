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EEA05A2E-5186-4CB4-BB9E-44FF2EDEC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/>
  <c r="H23" i="1"/>
  <c r="H24" i="1"/>
  <c r="L23" i="1"/>
  <c r="M23" i="1"/>
  <c r="N23" i="1"/>
  <c r="L24" i="1"/>
  <c r="M24" i="1"/>
  <c r="N24" i="1"/>
  <c r="M21" i="1"/>
  <c r="L22" i="1"/>
  <c r="L21" i="1"/>
  <c r="O24" i="1" l="1"/>
  <c r="P24" i="1" s="1"/>
  <c r="S21" i="1"/>
  <c r="O23" i="1"/>
  <c r="P23" i="1" s="1"/>
  <c r="S24" i="1"/>
  <c r="M22" i="1"/>
  <c r="N22" i="1"/>
  <c r="S22" i="1" l="1"/>
  <c r="O22" i="1"/>
  <c r="P22" i="1" s="1"/>
  <c r="N21" i="1"/>
  <c r="O21" i="1" l="1"/>
  <c r="P21" i="1" s="1"/>
  <c r="P28" i="1" s="1"/>
  <c r="S29" i="1"/>
  <c r="M28" i="1"/>
  <c r="T27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3" i="1" l="1"/>
  <c r="R23" i="1" s="1"/>
  <c r="Q24" i="1"/>
  <c r="R24" i="1" s="1"/>
  <c r="Q22" i="1"/>
  <c r="R22" i="1" s="1"/>
  <c r="Q21" i="1"/>
  <c r="O42" i="1"/>
  <c r="E15" i="3"/>
  <c r="H22" i="1" l="1"/>
  <c r="R21" i="1"/>
  <c r="H21" i="1"/>
  <c r="F15" i="3"/>
  <c r="H27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<sst xmlns="http://schemas.openxmlformats.org/spreadsheetml/2006/main" count="236" uniqueCount="175">
  <si>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</si>
  <si>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</si>
  <si>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</si>
  <si>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</si>
  <si>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</si>
  <si>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</si>
  <si>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</si>
  <si>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</si>
  <si>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</si>
  <si>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</si>
  <si>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</si>
  <si>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</si>
  <si>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</si>
  <si>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</si>
  <si>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</si>
  <si>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</si>
  <si>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</si>
  <si>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</si>
  <si>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</si>
  <si>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</si>
  <si>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</si>
  <si>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</si>
  <si>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</si>
  <si>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</si>
  <si>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</si>
  <si>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</si>
  <si>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</si>
  <si>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</si>
  <si>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</si>
  <si>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</si>
  <si>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</si>
  <si>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</si>
  <si>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</si>
  <si>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</si>
  <si>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</si>
  <si>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</si>
  <si>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</si>
  <si>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</si>
  <si>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</si>
  <si>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</si>
  <si>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</si>
  <si>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</si>
  <si>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</si>
  <si>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</si>
  <si>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</si>
  <si>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</si>
  <si>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</si>
  <si>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</si>
  <si>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</si>
  <si>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</si>
  <si>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</si>
  <si>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</si>
  <si>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</si>
  <si>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</si>
  <si>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</si>
  <si>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</si>
  <si>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</si>
  <si>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</si>
  <si>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</si>
  <si>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</si>
  <si>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</si>
  <si>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</si>
  <si>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</si>
  <si>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</si>
  <si>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</si>
  <si>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</si>
  <si>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</si>
  <si>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</si>
  <si>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</si>
  <si>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</si>
  <si>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</si>
  <si>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</si>
  <si>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</si>
  <si>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</si>
  <si>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</si>
  <si>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</si>
  <si>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</si>
  <si>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</si>
  <si>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</si>
  <si>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</si>
  <si>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</si>
  <si>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</si>
  <si>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</si>
  <si>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</si>
  <si>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</si>
  <si>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</si>
  <si>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</si>
  <si>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</si>
  <si>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</si>
  <si>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</si>
  <si>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</si>
  <si>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</si>
  <si>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</si>
  <si>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</si>
  <si>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</si>
  <si>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</si>
  <si>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</si>
  <si>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</si>
  <si>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</si>
  <si>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</si>
  <si>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</si>
  <si>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</si>
  <si>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</si>
  <si>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</si>
  <si>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</si>
  <si>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</si>
  <si>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</si>
  <si>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</si>
  <si>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</si>
  <si>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</si>
  <si>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</si>
  <si>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</si>
  <si>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</si>
  <si>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</si>
  <si>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</si>
  <si>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</si>
  <si>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</si>
  <si>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</si>
  <si>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</si>
  <si>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</si>
  <si>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</si>
  <si>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</si>
  <si>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</si>
  <si>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</si>
  <si>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</si>
  <si>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</si>
  <si>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</si>
  <si>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</si>
  <si>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</si>
  <si>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</si>
  <si>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</si>
  <si>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</si>
  <si>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</si>
  <si>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</si>
  <si>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</si>
  <si>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</si>
  <si>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</si>
  <si>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</si>
  <si>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</si>
  <si>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</si>
  <si>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</si>
  <si>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</si>
  <si>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</si>
  <si>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</si>
  <si>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</si>
  <si>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</si>
  <si>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</si>
  <si>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</si>
  <si>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</si>
  <si>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</si>
  <si>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</si>
  <si>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</si>
  <si>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</si>
  <si>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</si>
  <si>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</si>
  <si>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</si>
  <si>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</si>
  <si>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</si>
  <si>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</si>
  <si>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</si>
  <si>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</si>
  <si>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</si>
  <si>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</si>
  <si>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</si>
  <si>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</si>
  <si>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</si>
  <si>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</si>
  <si>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</si>
  <si>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</si>
  <si>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</si>
  <si>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</si>
  <si>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</si>
  <si>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GLACIAL WHITE 22191 SF</t>
  </si>
  <si>
    <t>5 DIAS HABILES</t>
  </si>
  <si>
    <t>N° 12015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</si>
</sst>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25913</xdr:rowOff>
    </xdr:from>
    <xdr:to>
      <xdr:col>5</xdr:col>
      <xdr:colOff>1728839</xdr:colOff>
      <xdr:row>29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84" zoomScaleNormal="84" workbookViewId="0">
      <selection activeCell="C23" sqref="C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46083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50125.248152059146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2">
        <v>2.2999999999999998</v>
      </c>
      <c r="E21" s="332">
        <v>0.6</v>
      </c>
      <c r="F21" s="330" t="s">
        <v>172</v>
      </c>
      <c r="G21" s="331">
        <v>74579</v>
      </c>
      <c r="H21" s="331">
        <f t="shared" ref="H21" si="1">G21*B21</f>
        <v>74579</v>
      </c>
      <c r="I21" s="320"/>
      <c r="J21" s="265"/>
      <c r="K21" s="47"/>
      <c r="L21" s="333">
        <f>B21</f>
        <v>1</v>
      </c>
      <c r="M21" s="39">
        <f>D21+M$19</f>
        <v>2.38</v>
      </c>
      <c r="N21" s="39">
        <f t="shared" ref="N21" si="2">E21+$N$19</f>
        <v>0.6</v>
      </c>
      <c r="O21" s="261">
        <f t="shared" ref="O21" si="3">M21*N21</f>
        <v>1.4279999999999999</v>
      </c>
      <c r="P21" s="259">
        <f t="shared" ref="P21" si="4">O21*L21</f>
        <v>1.4279999999999999</v>
      </c>
      <c r="Q21" s="252">
        <f t="shared" ref="Q21" si="5">Q$20*O21</f>
        <v>71578.85436114046</v>
      </c>
      <c r="R21" s="319">
        <f t="shared" ref="R21" si="6">Q21+R$20</f>
        <v>74578.85436114046</v>
      </c>
      <c r="S21" s="297">
        <f t="shared" ref="S21:S23" si="7">L21*M21</f>
        <v>2.38</v>
      </c>
      <c r="T21" s="46"/>
      <c r="U21" s="9"/>
      <c r="X21" s="4"/>
    </row>
    <row r="22" spans="2:25" ht="17.399999999999999" x14ac:dyDescent="0.3">
      <c r="B22" s="330">
        <v>1</v>
      </c>
      <c r="C22" s="330" t="s">
        <v>171</v>
      </c>
      <c r="D22" s="332">
        <v>2.0499999999999998</v>
      </c>
      <c r="E22" s="332">
        <v>0.6</v>
      </c>
      <c r="F22" s="330" t="s">
        <v>172</v>
      </c>
      <c r="G22" s="331">
        <v>67060</v>
      </c>
      <c r="H22" s="331">
        <f t="shared" ref="H22:H24" si="8">G22*B22</f>
        <v>67060</v>
      </c>
      <c r="I22" s="320"/>
      <c r="J22" s="265"/>
      <c r="K22" s="47"/>
      <c r="L22" s="333">
        <f>B22</f>
        <v>1</v>
      </c>
      <c r="M22" s="39">
        <f t="shared" ref="M22" si="9">D22+M$19</f>
        <v>2.13</v>
      </c>
      <c r="N22" s="39">
        <f t="shared" ref="N22" si="10">E22+$N$19</f>
        <v>0.6</v>
      </c>
      <c r="O22" s="261">
        <f t="shared" ref="O22" si="11">M22*N22</f>
        <v>1.2779999999999998</v>
      </c>
      <c r="P22" s="259">
        <f t="shared" ref="P22" si="12">O22*L22</f>
        <v>1.2779999999999998</v>
      </c>
      <c r="Q22" s="252">
        <f t="shared" ref="Q22" si="13">Q$20*O22</f>
        <v>64060.067138331578</v>
      </c>
      <c r="R22" s="319">
        <f t="shared" ref="R22" si="14">Q22+R$20</f>
        <v>67060.067138331578</v>
      </c>
      <c r="S22" s="297">
        <f t="shared" si="7"/>
        <v>2.13</v>
      </c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2">
        <v>3.2</v>
      </c>
      <c r="E23" s="332">
        <v>0.6</v>
      </c>
      <c r="F23" s="330" t="s">
        <v>172</v>
      </c>
      <c r="G23" s="331">
        <v>101646</v>
      </c>
      <c r="H23" s="331">
        <f t="shared" si="8"/>
        <v>101646</v>
      </c>
      <c r="I23" s="320"/>
      <c r="J23" s="265"/>
      <c r="K23" s="47"/>
      <c r="L23" s="333">
        <f t="shared" ref="L23:L24" si="15">B23</f>
        <v>1</v>
      </c>
      <c r="M23" s="39">
        <f t="shared" ref="M23:M24" si="16">D23+M$19</f>
        <v>3.2800000000000002</v>
      </c>
      <c r="N23" s="39">
        <f t="shared" ref="N23:N24" si="17">E23+$N$19</f>
        <v>0.6</v>
      </c>
      <c r="O23" s="261">
        <f t="shared" ref="O23:O24" si="18">M23*N23</f>
        <v>1.968</v>
      </c>
      <c r="P23" s="259">
        <f t="shared" ref="P23:P24" si="19">O23*L23</f>
        <v>1.968</v>
      </c>
      <c r="Q23" s="252">
        <f t="shared" ref="Q23:Q24" si="20">Q$20*O23</f>
        <v>98646.4883632524</v>
      </c>
      <c r="R23" s="319">
        <f t="shared" ref="R23:R24" si="21">Q23+R$20</f>
        <v>101646.4883632524</v>
      </c>
      <c r="S23" s="297">
        <f t="shared" si="7"/>
        <v>3.2800000000000002</v>
      </c>
      <c r="T23" s="46"/>
      <c r="U23" s="9"/>
      <c r="X23" s="4"/>
    </row>
    <row r="24" spans="2:25" ht="17.399999999999999" x14ac:dyDescent="0.3">
      <c r="B24" s="330">
        <v>1</v>
      </c>
      <c r="C24" s="330" t="s">
        <v>171</v>
      </c>
      <c r="D24" s="332">
        <v>1.6</v>
      </c>
      <c r="E24" s="332">
        <v>0.6</v>
      </c>
      <c r="F24" s="330" t="s">
        <v>172</v>
      </c>
      <c r="G24" s="331">
        <v>53526</v>
      </c>
      <c r="H24" s="331">
        <f t="shared" si="8"/>
        <v>53526</v>
      </c>
      <c r="I24" s="320"/>
      <c r="J24" s="265"/>
      <c r="K24" s="47"/>
      <c r="L24" s="333">
        <f t="shared" si="15"/>
        <v>1</v>
      </c>
      <c r="M24" s="39">
        <f t="shared" si="16"/>
        <v>1.6800000000000002</v>
      </c>
      <c r="N24" s="39">
        <f t="shared" si="17"/>
        <v>0.6</v>
      </c>
      <c r="O24" s="261">
        <f t="shared" si="18"/>
        <v>1.008</v>
      </c>
      <c r="P24" s="259">
        <f t="shared" si="19"/>
        <v>1.008</v>
      </c>
      <c r="Q24" s="252">
        <f t="shared" si="20"/>
        <v>50526.250137275623</v>
      </c>
      <c r="R24" s="319">
        <f t="shared" si="21"/>
        <v>53526.250137275623</v>
      </c>
      <c r="S24" s="297">
        <f t="shared" ref="S24" si="22">L24*M24</f>
        <v>1.6800000000000002</v>
      </c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333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296811</v>
      </c>
      <c r="I27" s="322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56394.090000000004</v>
      </c>
      <c r="I28" s="322"/>
      <c r="J28" s="265"/>
      <c r="K28" s="47"/>
      <c r="L28" s="47"/>
      <c r="M28" s="39">
        <f>SUM(M21:M27)</f>
        <v>9.4700000000000006</v>
      </c>
      <c r="N28" s="12"/>
      <c r="O28" s="12"/>
      <c r="P28" s="253">
        <f>SUM(P21:P26)</f>
        <v>5.6819999999999995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353205.09</v>
      </c>
      <c r="I29" s="322"/>
      <c r="J29" s="265"/>
      <c r="K29" s="47"/>
      <c r="L29" s="47"/>
      <c r="M29" s="39"/>
      <c r="N29" s="12"/>
      <c r="O29" s="12"/>
      <c r="P29" s="253">
        <f>P28</f>
        <v>5.6819999999999995</v>
      </c>
      <c r="Q29" s="14"/>
      <c r="R29" s="12"/>
      <c r="S29" s="239">
        <f>SUM(S21:S28)</f>
        <v>9.4700000000000006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1.1363999999999999</v>
      </c>
      <c r="Q30" s="39" t="s">
        <v>130</v>
      </c>
      <c r="R30" s="42"/>
      <c r="S30" s="240">
        <f>S29+T27</f>
        <v>9.4700000000000006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6.8183999999999996</v>
      </c>
      <c r="Q31" s="14"/>
      <c r="R31" s="14"/>
      <c r="S31" s="238">
        <f>S30*20%</f>
        <v>1.8940000000000001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11.364000000000001</v>
      </c>
      <c r="T32" s="14"/>
      <c r="U32" s="302" t="s">
        <v>21</v>
      </c>
      <c r="V32" s="299" t="s">
        <v>151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6.8183999999999996</v>
      </c>
      <c r="N33" s="12">
        <v>1500</v>
      </c>
      <c r="O33" s="12">
        <f t="shared" ref="O33:O38" si="23">M33*N33</f>
        <v>10227.599999999999</v>
      </c>
      <c r="P33" s="14" t="s">
        <v>21</v>
      </c>
      <c r="Q33" s="14"/>
      <c r="R33" s="14"/>
      <c r="S33" s="241"/>
      <c r="T33" s="14"/>
      <c r="U33" s="302" t="s">
        <v>152</v>
      </c>
      <c r="V33" s="299">
        <v>3625</v>
      </c>
      <c r="W33" s="59" t="s">
        <v>153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2</v>
      </c>
      <c r="N34" s="12">
        <v>23500</v>
      </c>
      <c r="O34" s="12">
        <f t="shared" si="23"/>
        <v>47000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154</v>
      </c>
      <c r="X34" s="304"/>
    </row>
    <row r="35" spans="1:24" s="230" customFormat="1" ht="17.399999999999999" x14ac:dyDescent="0.35">
      <c r="B35" s="24" t="s">
        <v>150</v>
      </c>
      <c r="J35" s="262"/>
      <c r="K35" s="232"/>
      <c r="L35" s="250"/>
      <c r="M35" s="14"/>
      <c r="N35" s="250">
        <v>23500</v>
      </c>
      <c r="O35" s="12">
        <f t="shared" si="23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155</v>
      </c>
      <c r="X35" s="59"/>
    </row>
    <row r="36" spans="1:24" s="230" customFormat="1" ht="17.399999999999999" x14ac:dyDescent="0.35">
      <c r="B36" s="24" t="s">
        <v>143</v>
      </c>
      <c r="C36"/>
      <c r="D36"/>
      <c r="E36"/>
      <c r="F36"/>
      <c r="J36" s="262"/>
      <c r="K36" s="232"/>
      <c r="L36" s="250"/>
      <c r="M36" s="14">
        <v>2</v>
      </c>
      <c r="N36" s="250">
        <v>36831</v>
      </c>
      <c r="O36" s="12">
        <f t="shared" si="23"/>
        <v>73662</v>
      </c>
      <c r="P36" s="14" t="s">
        <v>170</v>
      </c>
      <c r="Q36" s="17"/>
      <c r="S36" s="238"/>
      <c r="T36" s="256"/>
      <c r="U36" s="59"/>
      <c r="V36" s="59">
        <f>V34+V35</f>
        <v>1087.5</v>
      </c>
      <c r="W36" s="304" t="s">
        <v>156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15700</v>
      </c>
      <c r="O37" s="12">
        <f t="shared" si="23"/>
        <v>0</v>
      </c>
      <c r="P37" s="14" t="s">
        <v>32</v>
      </c>
      <c r="Q37" s="14"/>
      <c r="R37" s="230">
        <v>1.83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9.4700000000000006</v>
      </c>
      <c r="N38" s="12">
        <v>500</v>
      </c>
      <c r="O38" s="12">
        <f t="shared" si="23"/>
        <v>4735</v>
      </c>
      <c r="P38" s="14" t="s">
        <v>22</v>
      </c>
      <c r="Q38" s="14"/>
      <c r="R38">
        <v>2.5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135624.6</v>
      </c>
      <c r="P39" s="39" t="s">
        <v>23</v>
      </c>
      <c r="Q39" s="14"/>
      <c r="R39">
        <f>R37*R38</f>
        <v>4.5750000000000002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O39*2.1</f>
        <v>284811.66000000003</v>
      </c>
      <c r="P40" s="14" t="s">
        <v>140</v>
      </c>
      <c r="Q40" s="14"/>
      <c r="R40" s="40">
        <f>P31/R39</f>
        <v>1.4903606557377047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L41" s="250"/>
      <c r="M41" s="14"/>
      <c r="N41" s="12"/>
      <c r="O41" s="12">
        <f>O40/P29</f>
        <v>50125.248152059146</v>
      </c>
      <c r="P41" s="45" t="s">
        <v>24</v>
      </c>
      <c r="Q41" s="14"/>
      <c r="R41" s="14"/>
      <c r="S41"/>
      <c r="T41" s="238"/>
      <c r="U41" s="59" t="s">
        <v>157</v>
      </c>
      <c r="V41" s="299">
        <v>43650</v>
      </c>
    </row>
    <row r="42" spans="1:24" s="230" customFormat="1" ht="17.399999999999999" x14ac:dyDescent="0.35">
      <c r="G42"/>
      <c r="L42" s="250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159</v>
      </c>
      <c r="V42" s="300" t="s">
        <v>158</v>
      </c>
      <c r="W42" s="59">
        <v>2.4</v>
      </c>
    </row>
    <row r="43" spans="1:24" s="230" customFormat="1" ht="17.399999999999999" x14ac:dyDescent="0.35">
      <c r="G43" s="23"/>
      <c r="J43" s="260"/>
      <c r="L43" s="12"/>
      <c r="T43" s="238"/>
      <c r="U43" s="59" t="s">
        <v>160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-25526.535033454111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296811</v>
      </c>
      <c r="E11" s="132">
        <f>D11*0.19</f>
        <v>56394.090000000004</v>
      </c>
      <c r="F11" s="131">
        <f>E11+D11</f>
        <v>353205.09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80463.464966545886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87061.690787439613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62463.464966545886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209749.30921256039</v>
      </c>
      <c r="E13" s="221">
        <f>(D11/D12)-1</f>
        <v>2.4092032593837578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53463.464966545886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14463.464966545889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143651.78979927534</v>
      </c>
      <c r="F15" s="216">
        <f>E15-D12</f>
        <v>56590.099011835729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14463.464966545889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54463.464966545886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10227.599999999999</v>
      </c>
      <c r="E20" s="121">
        <f>D20*0.19</f>
        <v>1943.2439999999997</v>
      </c>
      <c r="F20" s="120">
        <f>SUM(D20:E20)</f>
        <v>12170.843999999997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57227.6</v>
      </c>
      <c r="E21" s="116">
        <f>SUM(E18:E20)</f>
        <v>10873.243999999999</v>
      </c>
      <c r="F21" s="115">
        <f>SUM(F18:F20)</f>
        <v>68100.843999999997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45520.846000000005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296811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57227.6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209749.30921256039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209749.30921256039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2026-03-03T13:57:24Z</dcterms:modified>
</cp:coreProperties>
</file>