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E9E14191-4BF3-47CC-A558-7E52A7EAFC6D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S21" i="1" s="1"/>
  <c r="N21" i="1"/>
  <c r="K31" i="1"/>
  <c r="K27" i="1"/>
  <c r="O21" i="1" l="1"/>
  <c r="P21" i="1" s="1"/>
  <c r="P25" i="1" s="1"/>
  <c r="K33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/>
  <c r="L25" i="1" s="1"/>
  <c r="S26" i="1" l="1"/>
  <c r="T24" i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G21" i="1"/>
  <c r="H21" i="1" s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<sst xmlns="http://schemas.openxmlformats.org/spreadsheetml/2006/main" count="486" uniqueCount="294">
  <si>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</si>
  <si>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</si>
  <si>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</si>
  <si>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</si>
  <si>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</si>
  <si>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</si>
  <si>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</si>
  <si>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</si>
  <si>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</si>
  <si>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</si>
  <si>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</si>
  <si>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</si>
  <si>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</si>
  <si>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</si>
  <si>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</si>
  <si>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</si>
  <si>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</si>
  <si>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</si>
  <si>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</si>
  <si>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</si>
  <si>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</si>
  <si>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</si>
  <si>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</si>
  <si>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</si>
  <si>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</si>
  <si>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</si>
  <si>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</si>
  <si>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</si>
  <si>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</si>
  <si>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</si>
  <si>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</si>
  <si>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</si>
  <si>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</si>
  <si>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</si>
  <si>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</si>
  <si>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</si>
  <si>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</si>
  <si>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</si>
  <si>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</si>
  <si>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</si>
  <si>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</si>
  <si>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</si>
  <si>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</si>
  <si>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</si>
  <si>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</si>
  <si>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</si>
  <si>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</si>
  <si>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</si>
  <si>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</si>
  <si>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</si>
  <si>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</si>
  <si>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</si>
  <si>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</si>
  <si>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</si>
  <si>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</si>
  <si>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</si>
  <si>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</si>
  <si>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</si>
  <si>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</si>
  <si>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</si>
  <si>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</si>
  <si>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</si>
  <si>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</si>
  <si>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</si>
  <si>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</si>
  <si>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</si>
  <si>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</si>
  <si>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</si>
  <si>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</si>
  <si>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</si>
  <si>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</si>
  <si>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</si>
  <si>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</si>
  <si>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</si>
  <si>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</si>
  <si>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</si>
  <si>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</si>
  <si>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</si>
  <si>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</si>
  <si>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</si>
  <si>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</si>
  <si>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</si>
  <si>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</si>
  <si>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</si>
  <si>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</si>
  <si>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</si>
  <si>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</si>
  <si>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</si>
  <si>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</si>
  <si>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</si>
  <si>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</si>
  <si>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</si>
  <si>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</si>
  <si>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</si>
  <si>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</si>
  <si>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</si>
  <si>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</si>
  <si>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</si>
  <si>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</si>
  <si>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</si>
  <si>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</si>
  <si>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</si>
  <si>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</si>
  <si>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</si>
  <si>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</si>
  <si>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</si>
  <si>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</si>
  <si>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</si>
  <si>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</si>
  <si>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</si>
  <si>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</si>
  <si>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</si>
  <si>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</si>
  <si>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</si>
  <si>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</si>
  <si>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</si>
  <si>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</si>
  <si>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</si>
  <si>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</si>
  <si>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</si>
  <si>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</si>
  <si>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</si>
  <si>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</si>
  <si>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</si>
  <si>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</si>
  <si>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</si>
  <si>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</si>
  <si>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</si>
  <si>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</si>
  <si>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</si>
  <si>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</si>
  <si>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</si>
  <si>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</si>
  <si>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</si>
  <si>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</si>
  <si>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</si>
  <si>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</si>
  <si>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</si>
  <si>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</si>
  <si>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</si>
  <si>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</si>
  <si>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</si>
  <si>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</si>
  <si>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</si>
  <si>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</si>
  <si>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</si>
  <si>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</si>
  <si>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</si>
  <si>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</si>
  <si>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</si>
  <si>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</si>
  <si>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</si>
  <si>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</si>
  <si>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</si>
  <si>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</si>
  <si>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</si>
  <si>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</si>
  <si>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</si>
  <si>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</si>
  <si>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</si>
  <si>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</si>
  <si>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</si>
  <si>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</si>
  <si>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</si>
  <si>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</si>
  <si>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</si>
  <si>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</si>
  <si>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</si>
  <si>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</si>
  <si>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</si>
  <si>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</si>
  <si>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</si>
  <si>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</si>
  <si>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</si>
  <si>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</si>
  <si>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</si>
  <si>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</si>
  <si>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</si>
  <si>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</si>
  <si>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</si>
  <si>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</si>
  <si>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</si>
  <si>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</si>
  <si>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</si>
  <si>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</si>
  <si>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</si>
  <si>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</si>
  <si>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</si>
  <si>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</si>
  <si>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</si>
  <si>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</si>
  <si>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</si>
  <si>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</si>
  <si>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</si>
  <si>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</si>
  <si>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</si>
  <si>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</si>
  <si>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</si>
  <si>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</si>
  <si>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</si>
  <si>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</si>
  <si>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</si>
  <si>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</si>
  <si>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</si>
  <si>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</si>
  <si>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</si>
  <si>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</si>
  <si>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</si>
  <si>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</si>
  <si>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</si>
  <si>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</si>
  <si>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</si>
  <si>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</si>
  <si>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</si>
  <si>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</si>
  <si>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</si>
  <si>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</si>
  <si>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</si>
  <si>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</si>
  <si>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</si>
  <si>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</si>
  <si>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</si>
  <si>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</si>
  <si>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</si>
  <si>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</si>
  <si>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</si>
  <si>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</si>
  <si>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</si>
  <si>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</si>
  <si>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</si>
  <si>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</si>
  <si>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</si>
  <si>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</si>
  <si>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</si>
  <si>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</si>
  <si>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</si>
  <si>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</si>
  <si>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</si>
  <si>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</si>
  <si>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</si>
  <si>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</si>
  <si>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</si>
  <si>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</si>
  <si>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</si>
  <si>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</si>
  <si>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</si>
  <si>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</si>
  <si>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</si>
  <si>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</si>
  <si>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</si>
  <si>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</si>
  <si>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</si>
  <si>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</si>
  <si>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</si>
  <si>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</si>
  <si>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</si>
  <si>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</si>
  <si>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</si>
  <si>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</si>
  <si>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</si>
  <si>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</si>
  <si>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</si>
  <si>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</si>
  <si>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</si>
  <si>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</si>
  <si>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</si>
  <si>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</si>
  <si>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</si>
  <si>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</si>
  <si>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</si>
  <si>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</si>
  <si>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</si>
  <si>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</si>
  <si>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</si>
  <si>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</si>
  <si>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</si>
  <si>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</si>
  <si>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</si>
  <si>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</si>
  <si>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</si>
  <si>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</si>
  <si>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</si>
  <si>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</si>
  <si>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</si>
  <si>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</si>
  <si>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</si>
  <si>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</si>
  <si>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</si>
  <si>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</si>
  <si>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FRENTE 90°</t>
  </si>
  <si>
    <t>N° 12071</t>
  </si>
  <si>
    <t>CARLOS ROJAS</t>
  </si>
  <si>
    <t>+56 9 6833 9286</t>
  </si>
  <si>
    <t>GRIS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</si>
</sst>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C21" zoomScale="93" zoomScaleNormal="93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8" t="s">
        <v>277</v>
      </c>
      <c r="G10" s="275">
        <v>46111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292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95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65661.356421356424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32">
        <v>1</v>
      </c>
      <c r="C21" s="433" t="s">
        <v>289</v>
      </c>
      <c r="D21" s="434">
        <v>1.1299999999999999</v>
      </c>
      <c r="E21" s="434">
        <v>0.63</v>
      </c>
      <c r="F21" s="435" t="s">
        <v>293</v>
      </c>
      <c r="G21" s="436">
        <f>Q21</f>
        <v>50053.652000000002</v>
      </c>
      <c r="H21" s="437">
        <f>G21*B21</f>
        <v>50053.652000000002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1.21</v>
      </c>
      <c r="N21" s="39">
        <f t="shared" ref="N21" si="2">E21+$N$19</f>
        <v>0.63</v>
      </c>
      <c r="O21" s="260">
        <f t="shared" ref="O21" si="3">M21*N21</f>
        <v>0.76229999999999998</v>
      </c>
      <c r="P21" s="258">
        <f t="shared" ref="P21" si="4">O21*L21</f>
        <v>0.76229999999999998</v>
      </c>
      <c r="Q21" s="251">
        <f t="shared" ref="Q21" si="5">Q$20*O21</f>
        <v>50053.652000000002</v>
      </c>
      <c r="R21" s="305">
        <f t="shared" ref="R21" si="6">Q21+R$20</f>
        <v>53053.652000000002</v>
      </c>
      <c r="S21" s="290">
        <f t="shared" ref="S21" si="7">M21*L21</f>
        <v>1.21</v>
      </c>
      <c r="T21" s="46"/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50053.652000000002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0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9510.1938800000007</v>
      </c>
      <c r="I25" s="308"/>
      <c r="J25" s="264"/>
      <c r="K25" s="47">
        <v>450</v>
      </c>
      <c r="L25" s="431">
        <f>M25*10</f>
        <v>12.1</v>
      </c>
      <c r="M25" s="39">
        <f>SUM(M21:M24)</f>
        <v>1.21</v>
      </c>
      <c r="N25" s="12"/>
      <c r="O25" s="12"/>
      <c r="P25" s="252">
        <f>SUM(P21:P22)</f>
        <v>0.76229999999999998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59563.845880000001</v>
      </c>
      <c r="I26" s="308"/>
      <c r="J26" s="264"/>
      <c r="K26" s="47">
        <v>60</v>
      </c>
      <c r="L26" s="47"/>
      <c r="M26" s="39"/>
      <c r="N26" s="12"/>
      <c r="O26" s="12"/>
      <c r="P26" s="252">
        <f>P25</f>
        <v>0.76229999999999998</v>
      </c>
      <c r="Q26" s="14"/>
      <c r="R26" s="12"/>
      <c r="S26" s="239">
        <f>SUM(S21:S25)</f>
        <v>1.21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>
        <f>SUM(K25:K26)</f>
        <v>510</v>
      </c>
      <c r="L27" s="47"/>
      <c r="M27" s="14"/>
      <c r="N27" s="12"/>
      <c r="O27" s="12"/>
      <c r="P27" s="39">
        <f>P26*20%</f>
        <v>0.15246000000000001</v>
      </c>
      <c r="Q27" s="39" t="s">
        <v>129</v>
      </c>
      <c r="R27" s="42"/>
      <c r="S27" s="240">
        <f>S26+T24</f>
        <v>1.21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0.91476000000000002</v>
      </c>
      <c r="Q28" s="14"/>
      <c r="R28" s="14"/>
      <c r="S28" s="238">
        <f>S27*20%</f>
        <v>0.24199999999999999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>
        <v>600</v>
      </c>
      <c r="L29" s="47"/>
      <c r="M29" s="14"/>
      <c r="N29" s="14"/>
      <c r="O29" s="14"/>
      <c r="P29" s="14"/>
      <c r="Q29" s="14"/>
      <c r="R29" s="14"/>
      <c r="S29" s="240">
        <f>S27+S28</f>
        <v>1.452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>
        <v>60</v>
      </c>
      <c r="L30" s="47"/>
      <c r="M30" s="39">
        <f>P28</f>
        <v>0.91476000000000002</v>
      </c>
      <c r="N30" s="12">
        <v>3500</v>
      </c>
      <c r="O30" s="12">
        <f t="shared" ref="O30:O35" si="8">M30*N30</f>
        <v>3201.66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>
        <f>SUM(K29:K30)</f>
        <v>660</v>
      </c>
      <c r="L31" s="47"/>
      <c r="M31" s="248">
        <v>0.3</v>
      </c>
      <c r="N31" s="12">
        <v>23500</v>
      </c>
      <c r="O31" s="12">
        <f t="shared" si="8"/>
        <v>7050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0.5</v>
      </c>
      <c r="N32" s="249">
        <v>25000</v>
      </c>
      <c r="O32" s="12">
        <f t="shared" si="8"/>
        <v>12500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>
        <f>K27+K31</f>
        <v>1170</v>
      </c>
      <c r="L33" s="249"/>
      <c r="M33" s="14"/>
      <c r="N33" s="249"/>
      <c r="O33" s="12">
        <f t="shared" si="8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8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22751.66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50053.652000000002</v>
      </c>
      <c r="P37" s="14" t="s">
        <v>138</v>
      </c>
      <c r="Q37" s="14"/>
      <c r="R37" s="40">
        <f>P28/R36</f>
        <v>0.24664581535806729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65661.356421356424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46111</v>
      </c>
    </row>
    <row r="6" spans="2:31" ht="16.2" thickBot="1" x14ac:dyDescent="0.35">
      <c r="B6" s="140" t="s">
        <v>2</v>
      </c>
      <c r="C6" s="139" t="str">
        <f>'2229'!C10</f>
        <v>CARLOS ROJAS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98</v>
      </c>
      <c r="I7" s="443"/>
      <c r="J7" s="443"/>
      <c r="K7" s="444"/>
      <c r="N7" s="75"/>
      <c r="O7" s="4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12071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6118.8061332125581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50053.652000000002</v>
      </c>
      <c r="E11" s="132">
        <f>D11*0.19</f>
        <v>9510.1938800000007</v>
      </c>
      <c r="F11" s="131">
        <f>E11+D11</f>
        <v>59563.845880000001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112108.80613321255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52585.750787439611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94108.806133212551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-2532.0987874396087</v>
      </c>
      <c r="E13" s="221">
        <f>(D11/D12)-1</f>
        <v>-4.8151804424639177E-2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85108.806133212551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46108.806133212558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86766.48879927535</v>
      </c>
      <c r="F15" s="216">
        <f>E15-D12</f>
        <v>34180.73801183574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46108.806133212558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86108.806133212551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12500</v>
      </c>
      <c r="E18" s="123">
        <f>D18*0.19</f>
        <v>2375</v>
      </c>
      <c r="F18" s="120">
        <f>SUM(D18:E18)</f>
        <v>14875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3201.66</v>
      </c>
      <c r="E20" s="121">
        <f>D20*0.19</f>
        <v>608.31539999999995</v>
      </c>
      <c r="F20" s="120">
        <f>SUM(D20:E20)</f>
        <v>3809.9753999999998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22751.66</v>
      </c>
      <c r="E21" s="116">
        <f>SUM(E18:E20)</f>
        <v>4322.8153999999995</v>
      </c>
      <c r="F21" s="115">
        <f>SUM(F18:F20)</f>
        <v>27074.475399999999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5187.3784800000012</v>
      </c>
    </row>
    <row r="41" spans="2:16" ht="15" thickBot="1" x14ac:dyDescent="0.35">
      <c r="H41" s="445" t="s">
        <v>60</v>
      </c>
      <c r="I41" s="446"/>
      <c r="J41" s="446"/>
      <c r="K41" s="446"/>
      <c r="L41" s="446"/>
      <c r="M41" s="4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50053.652000000002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22751.66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-2532.0987874396087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-2532.0987874396087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12071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CARLOS ROJAS</v>
      </c>
      <c r="D10" s="350"/>
      <c r="E10" s="350"/>
      <c r="F10" s="351" t="s">
        <v>167</v>
      </c>
      <c r="G10" s="352">
        <f>'2229'!G10</f>
        <v>46111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+56 9 6833 9286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175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176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182</v>
      </c>
      <c r="C2" s="453"/>
      <c r="D2" s="453"/>
      <c r="E2" s="361"/>
      <c r="G2" s="453" t="s">
        <v>183</v>
      </c>
      <c r="H2" s="453"/>
      <c r="I2" s="453"/>
      <c r="P2" s="454" t="s">
        <v>184</v>
      </c>
      <c r="Q2" s="454"/>
      <c r="R2" s="454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4" t="s">
        <v>184</v>
      </c>
      <c r="M8" s="454"/>
      <c r="N8" s="454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265</v>
      </c>
      <c r="L3" s="459"/>
      <c r="M3" s="459" t="s">
        <v>266</v>
      </c>
      <c r="N3" s="459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CARLOS ROJAS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265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266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272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95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12071</v>
      </c>
      <c r="C2" s="1">
        <f>'NOTA DE VENTA'!$G$10</f>
        <v>46111</v>
      </c>
      <c r="D2" s="1">
        <f>'NOTA DE VENTA'!$G$11</f>
        <v>46118</v>
      </c>
      <c r="E2" t="str">
        <f>'NOTA DE VENTA'!$C$10</f>
        <v>CARLOS ROJAS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2026-03-30T19:26:19Z</cp:lastPrinted>
  <dcterms:created xsi:type="dcterms:W3CDTF">2013-03-18T13:35:42Z</dcterms:created>
  <dcterms:modified xsi:type="dcterms:W3CDTF">2026-03-30T19:26:53Z</dcterms:modified>
</cp:coreProperties>
</file>