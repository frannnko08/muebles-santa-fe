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2665C540-1933-467D-B7C9-1153DE3E21EB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2" i="1"/>
  <c r="D27" i="6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<sst xmlns="http://schemas.openxmlformats.org/spreadsheetml/2006/main" count="489" uniqueCount="295">
  <si>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</si>
  <si>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</si>
  <si>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</si>
  <si>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</si>
  <si>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</si>
  <si>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</si>
  <si>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</si>
  <si>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</si>
  <si>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</si>
  <si>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</si>
  <si>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</si>
  <si>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</si>
  <si>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</si>
  <si>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</si>
  <si>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</si>
  <si>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</si>
  <si>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</si>
  <si>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</si>
  <si>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</si>
  <si>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</si>
  <si>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</si>
  <si>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</si>
  <si>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</si>
  <si>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</si>
  <si>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</si>
  <si>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</si>
  <si>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</si>
  <si>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</si>
  <si>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</si>
  <si>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</si>
  <si>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</si>
  <si>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</si>
  <si>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</si>
  <si>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</si>
  <si>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</si>
  <si>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</si>
  <si>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</si>
  <si>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</si>
  <si>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</si>
  <si>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</si>
  <si>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</si>
  <si>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</si>
  <si>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</si>
  <si>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</si>
  <si>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</si>
  <si>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</si>
  <si>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</si>
  <si>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</si>
  <si>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</si>
  <si>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</si>
  <si>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</si>
  <si>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</si>
  <si>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</si>
  <si>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</si>
  <si>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</si>
  <si>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</si>
  <si>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</si>
  <si>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</si>
  <si>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</si>
  <si>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</si>
  <si>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</si>
  <si>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</si>
  <si>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</si>
  <si>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</si>
  <si>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</si>
  <si>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</si>
  <si>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</si>
  <si>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</si>
  <si>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</si>
  <si>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</si>
  <si>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</si>
  <si>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</si>
  <si>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</si>
  <si>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</si>
  <si>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</si>
  <si>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</si>
  <si>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</si>
  <si>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</si>
  <si>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</si>
  <si>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</si>
  <si>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</si>
  <si>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</si>
  <si>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</si>
  <si>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</si>
  <si>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</si>
  <si>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</si>
  <si>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</si>
  <si>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</si>
  <si>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</si>
  <si>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</si>
  <si>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</si>
  <si>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</si>
  <si>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</si>
  <si>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</si>
  <si>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</si>
  <si>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</si>
  <si>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</si>
  <si>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</si>
  <si>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</si>
  <si>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</si>
  <si>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</si>
  <si>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</si>
  <si>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</si>
  <si>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</si>
  <si>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</si>
  <si>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</si>
  <si>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</si>
  <si>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</si>
  <si>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</si>
  <si>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</si>
  <si>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</si>
  <si>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</si>
  <si>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</si>
  <si>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</si>
  <si>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</si>
  <si>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</si>
  <si>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</si>
  <si>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</si>
  <si>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</si>
  <si>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</si>
  <si>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</si>
  <si>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</si>
  <si>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</si>
  <si>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</si>
  <si>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</si>
  <si>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</si>
  <si>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</si>
  <si>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</si>
  <si>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</si>
  <si>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</si>
  <si>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</si>
  <si>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</si>
  <si>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</si>
  <si>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</si>
  <si>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</si>
  <si>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</si>
  <si>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</si>
  <si>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</si>
  <si>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</si>
  <si>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</si>
  <si>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</si>
  <si>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</si>
  <si>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</si>
  <si>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</si>
  <si>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</si>
  <si>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</si>
  <si>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</si>
  <si>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</si>
  <si>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</si>
  <si>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</si>
  <si>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</si>
  <si>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</si>
  <si>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</si>
  <si>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</si>
  <si>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</si>
  <si>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</si>
  <si>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</si>
  <si>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</si>
  <si>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</si>
  <si>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</si>
  <si>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</si>
  <si>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</si>
  <si>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</si>
  <si>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</si>
  <si>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</si>
  <si>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</si>
  <si>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</si>
  <si>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</si>
  <si>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</si>
  <si>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</si>
  <si>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</si>
  <si>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</si>
  <si>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</si>
  <si>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</si>
  <si>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</si>
  <si>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</si>
  <si>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</si>
  <si>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</si>
  <si>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</si>
  <si>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</si>
  <si>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</si>
  <si>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</si>
  <si>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</si>
  <si>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</si>
  <si>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</si>
  <si>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</si>
  <si>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</si>
  <si>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</si>
  <si>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</si>
  <si>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</si>
  <si>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</si>
  <si>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</si>
  <si>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</si>
  <si>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</si>
  <si>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</si>
  <si>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</si>
  <si>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</si>
  <si>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</si>
  <si>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</si>
  <si>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</si>
  <si>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</si>
  <si>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</si>
  <si>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</si>
  <si>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</si>
  <si>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</si>
  <si>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</si>
  <si>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</si>
  <si>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</si>
  <si>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</si>
  <si>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</si>
  <si>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</si>
  <si>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</si>
  <si>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</si>
  <si>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</si>
  <si>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</si>
  <si>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</si>
  <si>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</si>
  <si>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</si>
  <si>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</si>
  <si>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</si>
  <si>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</si>
  <si>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</si>
  <si>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</si>
  <si>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</si>
  <si>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</si>
  <si>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</si>
  <si>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</si>
  <si>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</si>
  <si>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</si>
  <si>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</si>
  <si>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</si>
  <si>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</si>
  <si>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</si>
  <si>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</si>
  <si>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</si>
  <si>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</si>
  <si>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</si>
  <si>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</si>
  <si>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</si>
  <si>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</si>
  <si>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</si>
  <si>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</si>
  <si>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</si>
  <si>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</si>
  <si>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</si>
  <si>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</si>
  <si>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</si>
  <si>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</si>
  <si>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</si>
  <si>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</si>
  <si>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</si>
  <si>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</si>
  <si>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</si>
  <si>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</si>
  <si>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</si>
  <si>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</si>
  <si>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</si>
  <si>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</si>
  <si>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</si>
  <si>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</si>
  <si>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</si>
  <si>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</si>
  <si>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</si>
  <si>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</si>
  <si>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</si>
  <si>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</si>
  <si>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</si>
  <si>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</si>
  <si>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</si>
  <si>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</si>
  <si>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</si>
  <si>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</si>
  <si>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</si>
  <si>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</si>
  <si>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</si>
  <si>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</si>
  <si>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</si>
  <si>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</si>
  <si>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</si>
  <si>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</si>
  <si>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</si>
  <si>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</si>
  <si>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</si>
  <si>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</si>
  <si>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</si>
  <si>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</si>
  <si>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</si>
  <si>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</si>
  <si>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10 DIAS HABILES</t>
  </si>
  <si>
    <t>N° 12013</t>
  </si>
  <si>
    <t>MANUEL LOIZA</t>
  </si>
  <si>
    <t>+569 9360 1503</t>
  </si>
  <si>
    <t>CUB CON RESPALDO FTE 180°</t>
  </si>
  <si>
    <t>CHAMPAÑA METALIZADO MT 0220</t>
  </si>
  <si>
    <t>GRAFITO MT 2174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</si>
</sst>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24581</xdr:colOff>
      <xdr:row>23</xdr:row>
      <xdr:rowOff>0</xdr:rowOff>
    </xdr:from>
    <xdr:to>
      <xdr:col>5</xdr:col>
      <xdr:colOff>1728839</xdr:colOff>
      <xdr:row>25</xdr:row>
      <xdr:rowOff>221225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8" y="4555613"/>
          <a:ext cx="6292646" cy="66367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SOBRE MEDIDAS EN EL LARGO.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B9" zoomScale="93" zoomScaleNormal="93" workbookViewId="0">
      <selection activeCell="F23" sqref="F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2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290</v>
      </c>
      <c r="D10" s="243"/>
      <c r="E10" s="243"/>
      <c r="F10" s="417" t="s">
        <v>277</v>
      </c>
      <c r="G10" s="275">
        <v>46083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291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68287.619047619053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292</v>
      </c>
      <c r="D21" s="432">
        <v>3</v>
      </c>
      <c r="E21" s="432">
        <v>0.6</v>
      </c>
      <c r="F21" s="313" t="s">
        <v>293</v>
      </c>
      <c r="G21" s="314">
        <v>134996</v>
      </c>
      <c r="H21" s="433">
        <f>G21*B21</f>
        <v>134996</v>
      </c>
      <c r="I21" s="306"/>
      <c r="J21" s="264"/>
      <c r="K21" s="47"/>
      <c r="L21" s="47">
        <f>B21</f>
        <v>1</v>
      </c>
      <c r="M21" s="39">
        <f>D21+M$19</f>
        <v>3.08</v>
      </c>
      <c r="N21" s="39">
        <f>E21+$N$19</f>
        <v>0.6</v>
      </c>
      <c r="O21" s="260">
        <f t="shared" ref="O21" si="0">M21*N21</f>
        <v>1.8479999999999999</v>
      </c>
      <c r="P21" s="258">
        <f t="shared" ref="P21" si="1">O21*L21</f>
        <v>1.8479999999999999</v>
      </c>
      <c r="Q21" s="251">
        <f t="shared" ref="Q21" si="2">Q$20*O21</f>
        <v>126195.52</v>
      </c>
      <c r="R21" s="305">
        <f t="shared" ref="R21" si="3">Q21+R$20</f>
        <v>129195.52</v>
      </c>
      <c r="S21" s="290">
        <f>M21*L21</f>
        <v>3.08</v>
      </c>
      <c r="T21" s="46">
        <f>N21*2*L21*2</f>
        <v>2.4</v>
      </c>
      <c r="U21" s="9"/>
      <c r="X21" s="4"/>
    </row>
    <row r="22" spans="1:25" ht="18" thickBot="1" x14ac:dyDescent="0.35">
      <c r="B22" s="457">
        <v>1</v>
      </c>
      <c r="C22" s="458" t="s">
        <v>292</v>
      </c>
      <c r="D22" s="459">
        <v>3</v>
      </c>
      <c r="E22" s="459">
        <v>0.6</v>
      </c>
      <c r="F22" s="460" t="s">
        <v>294</v>
      </c>
      <c r="G22" s="461">
        <v>126196</v>
      </c>
      <c r="H22" s="462">
        <f>G22*B22</f>
        <v>126196</v>
      </c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261192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2.4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49626.48</v>
      </c>
      <c r="I25" s="308"/>
      <c r="J25" s="264"/>
      <c r="K25" s="47"/>
      <c r="L25" s="47"/>
      <c r="M25" s="39">
        <f>SUM(M21:M24)</f>
        <v>3.08</v>
      </c>
      <c r="N25" s="12"/>
      <c r="O25" s="12"/>
      <c r="P25" s="252">
        <f>SUM(P21:P21)</f>
        <v>1.8479999999999999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310818.48</v>
      </c>
      <c r="I26" s="308"/>
      <c r="J26" s="264"/>
      <c r="K26" s="47"/>
      <c r="L26" s="47"/>
      <c r="M26" s="39"/>
      <c r="N26" s="12"/>
      <c r="O26" s="12"/>
      <c r="P26" s="252">
        <f>P25</f>
        <v>1.8479999999999999</v>
      </c>
      <c r="Q26" s="14"/>
      <c r="R26" s="12"/>
      <c r="S26" s="239">
        <f>SUM(S21:S25)</f>
        <v>3.08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0.36959999999999998</v>
      </c>
      <c r="Q27" s="39" t="s">
        <v>129</v>
      </c>
      <c r="R27" s="42"/>
      <c r="S27" s="240">
        <f>S26+T24</f>
        <v>5.48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2.2176</v>
      </c>
      <c r="Q28" s="14"/>
      <c r="R28" s="14"/>
      <c r="S28" s="238">
        <f>S27*20%</f>
        <v>1.0960000000000001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6.5760000000000005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2.2176</v>
      </c>
      <c r="N30" s="12">
        <v>3500</v>
      </c>
      <c r="O30" s="12">
        <f t="shared" ref="O30:O35" si="4">M30*N30</f>
        <v>7761.6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0.6</v>
      </c>
      <c r="N31" s="12">
        <v>23500</v>
      </c>
      <c r="O31" s="12">
        <f t="shared" si="4"/>
        <v>14100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41800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31000</v>
      </c>
      <c r="O33" s="12">
        <f t="shared" si="4"/>
        <v>31000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3</v>
      </c>
      <c r="N35" s="12">
        <v>1500</v>
      </c>
      <c r="O35" s="12">
        <f t="shared" si="4"/>
        <v>4500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57361.599999999999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126195.52</v>
      </c>
      <c r="P37" s="14" t="s">
        <v>138</v>
      </c>
      <c r="Q37" s="14"/>
      <c r="R37" s="40">
        <f>P28/R36</f>
        <v>0.59792924935289038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68287.619047619053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46083</v>
      </c>
    </row>
    <row r="6" spans="2:31" ht="16.2" thickBot="1" x14ac:dyDescent="0.35">
      <c r="B6" s="140" t="s">
        <v>2</v>
      </c>
      <c r="C6" s="139" t="str">
        <f>'2229'!C10</f>
        <v>MANUEL LOIZA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12013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-29315.685033454105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261192</v>
      </c>
      <c r="E11" s="132">
        <f>D11*0.19</f>
        <v>49626.48</v>
      </c>
      <c r="F11" s="131">
        <f>E11+D11</f>
        <v>310818.48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76674.314966545891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51695.690787439613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58674.314966545891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209496.30921256039</v>
      </c>
      <c r="E13" s="221">
        <f>(D11/D12)-1</f>
        <v>4.052490759316079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49674.314966545891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10674.314966545895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85297.889799275363</v>
      </c>
      <c r="F15" s="216">
        <f>E15-D12</f>
        <v>33602.19901183575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10674.314966545895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50674.314966545891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7761.6</v>
      </c>
      <c r="E20" s="121">
        <f>D20*0.19</f>
        <v>1474.7040000000002</v>
      </c>
      <c r="F20" s="120">
        <f>SUM(D20:E20)</f>
        <v>9236.3040000000001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21861.599999999999</v>
      </c>
      <c r="E21" s="116">
        <f>SUM(E18:E20)</f>
        <v>4153.7039999999997</v>
      </c>
      <c r="F21" s="115">
        <f>SUM(F18:F20)</f>
        <v>26015.304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45472.776000000005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261192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21861.599999999999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209496.30921256039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209496.30921256039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12013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MANUEL LOIZA</v>
      </c>
      <c r="D10" s="350"/>
      <c r="E10" s="350"/>
      <c r="F10" s="351" t="s">
        <v>167</v>
      </c>
      <c r="G10" s="352">
        <f>'2229'!G10</f>
        <v>46083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46090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+569 9360 1503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3000</v>
      </c>
      <c r="E22" s="321">
        <f>'2229'!E21*1000</f>
        <v>600</v>
      </c>
      <c r="F22" s="322" t="str">
        <f>'2229'!F21</f>
        <v>CHAMPAÑA METALIZADO MT 0220</v>
      </c>
      <c r="G22" s="314">
        <f>'2229'!G21</f>
        <v>134996</v>
      </c>
      <c r="H22" s="323">
        <f>G22*B22</f>
        <v>134996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134996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25649.24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160645.24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MANUEL LOIZA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46083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46090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600</v>
      </c>
      <c r="F27" s="383" t="str">
        <f t="shared" si="3"/>
        <v>CHAMPAÑA METALIZADO MT 0220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600</v>
      </c>
      <c r="F49" s="430" t="str">
        <f>'NOTA DE VENTA'!F22</f>
        <v>CHAMPAÑA METALIZADO MT 0220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12013</v>
      </c>
      <c r="C2" s="1">
        <f>'NOTA DE VENTA'!$G$10</f>
        <v>46083</v>
      </c>
      <c r="D2" s="1">
        <f>'NOTA DE VENTA'!$G$11</f>
        <v>46090</v>
      </c>
      <c r="E2" t="str">
        <f>'NOTA DE VENTA'!$C$10</f>
        <v>MANUEL LOIZA</v>
      </c>
      <c r="F2" t="str">
        <f>'NOTA DE VENTA'!$C$22</f>
        <v>CUB C/R R8</v>
      </c>
      <c r="G2" t="str">
        <f>'NOTA DE VENTA'!$F$22</f>
        <v>CHAMPAÑA METALIZADO MT 0220</v>
      </c>
      <c r="H2" s="415">
        <f>'NOTA DE VENTA'!$H$25</f>
        <v>134996</v>
      </c>
      <c r="I2" s="415">
        <f>H2*0.19</f>
        <v>25649.24</v>
      </c>
      <c r="J2" s="415">
        <f>I2+H2</f>
        <v>160645.24</v>
      </c>
      <c r="L2" s="61">
        <f>J2-K2</f>
        <v>160645.24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2026-03-02T18:23:24Z</cp:lastPrinted>
  <dcterms:created xsi:type="dcterms:W3CDTF">2013-03-18T13:35:42Z</dcterms:created>
  <dcterms:modified xsi:type="dcterms:W3CDTF">2026-03-02T18:41:10Z</dcterms:modified>
</cp:coreProperties>
</file>