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ED840CE9-D4DA-48A8-A502-E954B3858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 s="1"/>
  <c r="G23" i="1"/>
  <c r="H23" i="1"/>
  <c r="P27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1" i="1"/>
  <c r="K33" i="1"/>
  <c r="K29" i="1"/>
  <c r="K35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s="1"/>
  <c r="L27" i="1" s="1"/>
  <c r="S21" i="1" l="1"/>
  <c r="S28" i="1" s="1"/>
  <c r="T21" i="1"/>
  <c r="T26" i="1" s="1"/>
  <c r="O21" i="1"/>
  <c r="P21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<sst xmlns="http://schemas.openxmlformats.org/spreadsheetml/2006/main" count="490" uniqueCount="293">
  <si>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</si>
  <si>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</si>
  <si>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</si>
  <si>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</si>
  <si>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</si>
  <si>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</si>
  <si>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</si>
  <si>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</si>
  <si>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</si>
  <si>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</si>
  <si>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</si>
  <si>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</si>
  <si>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</si>
  <si>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</si>
  <si>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</si>
  <si>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</si>
  <si>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</si>
  <si>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</si>
  <si>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</si>
  <si>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</si>
  <si>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</si>
  <si>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</si>
  <si>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</si>
  <si>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</si>
  <si>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</si>
  <si>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</si>
  <si>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</si>
  <si>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</si>
  <si>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</si>
  <si>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</si>
  <si>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</si>
  <si>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</si>
  <si>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</si>
  <si>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</si>
  <si>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</si>
  <si>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</si>
  <si>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</si>
  <si>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</si>
  <si>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</si>
  <si>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</si>
  <si>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</si>
  <si>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</si>
  <si>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</si>
  <si>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</si>
  <si>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</si>
  <si>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</si>
  <si>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</si>
  <si>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</si>
  <si>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</si>
  <si>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</si>
  <si>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</si>
  <si>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</si>
  <si>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</si>
  <si>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</si>
  <si>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</si>
  <si>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</si>
  <si>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</si>
  <si>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</si>
  <si>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</si>
  <si>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</si>
  <si>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</si>
  <si>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</si>
  <si>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</si>
  <si>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</si>
  <si>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</si>
  <si>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</si>
  <si>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</si>
  <si>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</si>
  <si>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</si>
  <si>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</si>
  <si>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</si>
  <si>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</si>
  <si>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</si>
  <si>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</si>
  <si>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</si>
  <si>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</si>
  <si>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</si>
  <si>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</si>
  <si>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</si>
  <si>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</si>
  <si>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</si>
  <si>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</si>
  <si>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</si>
  <si>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</si>
  <si>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</si>
  <si>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</si>
  <si>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</si>
  <si>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</si>
  <si>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</si>
  <si>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</si>
  <si>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</si>
  <si>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</si>
  <si>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</si>
  <si>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</si>
  <si>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</si>
  <si>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</si>
  <si>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</si>
  <si>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</si>
  <si>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</si>
  <si>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</si>
  <si>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</si>
  <si>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</si>
  <si>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</si>
  <si>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</si>
  <si>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</si>
  <si>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</si>
  <si>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</si>
  <si>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</si>
  <si>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</si>
  <si>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</si>
  <si>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</si>
  <si>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</si>
  <si>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</si>
  <si>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</si>
  <si>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</si>
  <si>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</si>
  <si>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</si>
  <si>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</si>
  <si>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</si>
  <si>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</si>
  <si>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</si>
  <si>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</si>
  <si>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</si>
  <si>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</si>
  <si>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</si>
  <si>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</si>
  <si>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</si>
  <si>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</si>
  <si>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</si>
  <si>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</si>
  <si>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</si>
  <si>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</si>
  <si>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</si>
  <si>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</si>
  <si>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</si>
  <si>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</si>
  <si>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</si>
  <si>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</si>
  <si>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</si>
  <si>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</si>
  <si>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</si>
  <si>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</si>
  <si>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</si>
  <si>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</si>
  <si>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</si>
  <si>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</si>
  <si>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</si>
  <si>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</si>
  <si>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</si>
  <si>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</si>
  <si>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</si>
  <si>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</si>
  <si>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</si>
  <si>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</si>
  <si>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</si>
  <si>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</si>
  <si>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</si>
  <si>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</si>
  <si>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</si>
  <si>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</si>
  <si>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</si>
  <si>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</si>
  <si>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</si>
  <si>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</si>
  <si>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</si>
  <si>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</si>
  <si>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</si>
  <si>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</si>
  <si>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</si>
  <si>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</si>
  <si>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</si>
  <si>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</si>
  <si>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</si>
  <si>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</si>
  <si>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</si>
  <si>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</si>
  <si>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</si>
  <si>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</si>
  <si>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</si>
  <si>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</si>
  <si>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</si>
  <si>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</si>
  <si>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</si>
  <si>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</si>
  <si>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</si>
  <si>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</si>
  <si>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</si>
  <si>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</si>
  <si>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</si>
  <si>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</si>
  <si>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</si>
  <si>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</si>
  <si>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</si>
  <si>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</si>
  <si>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</si>
  <si>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</si>
  <si>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</si>
  <si>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</si>
  <si>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</si>
  <si>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</si>
  <si>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</si>
  <si>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</si>
  <si>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</si>
  <si>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</si>
  <si>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</si>
  <si>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</si>
  <si>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</si>
  <si>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</si>
  <si>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</si>
  <si>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</si>
  <si>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</si>
  <si>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</si>
  <si>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</si>
  <si>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</si>
  <si>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</si>
  <si>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</si>
  <si>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</si>
  <si>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</si>
  <si>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</si>
  <si>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</si>
  <si>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</si>
  <si>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</si>
  <si>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</si>
  <si>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</si>
  <si>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</si>
  <si>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</si>
  <si>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</si>
  <si>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</si>
  <si>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</si>
  <si>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</si>
  <si>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</si>
  <si>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</si>
  <si>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</si>
  <si>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</si>
  <si>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</si>
  <si>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</si>
  <si>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</si>
  <si>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</si>
  <si>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</si>
  <si>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</si>
  <si>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</si>
  <si>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</si>
  <si>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</si>
  <si>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</si>
  <si>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</si>
  <si>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</si>
  <si>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</si>
  <si>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</si>
  <si>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</si>
  <si>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</si>
  <si>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</si>
  <si>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</si>
  <si>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</si>
  <si>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</si>
  <si>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</si>
  <si>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</si>
  <si>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</si>
  <si>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</si>
  <si>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</si>
  <si>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</si>
  <si>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</si>
  <si>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</si>
  <si>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</si>
  <si>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</si>
  <si>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</si>
  <si>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</si>
  <si>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</si>
  <si>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</si>
  <si>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</si>
  <si>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</si>
  <si>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</si>
  <si>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</si>
  <si>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</si>
  <si>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</si>
  <si>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</si>
  <si>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</si>
  <si>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</si>
  <si>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</si>
  <si>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</si>
  <si>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</si>
  <si>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</si>
  <si>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</si>
  <si>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</si>
  <si>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</si>
  <si>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</si>
  <si>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</si>
  <si>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</si>
  <si>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</si>
  <si>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</si>
  <si>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N° 12059</t>
  </si>
  <si>
    <t>RICARDO VALLEBELLA</t>
  </si>
  <si>
    <t>+569 8927 6027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</si>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</sst>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215079</xdr:rowOff>
    </xdr:from>
    <xdr:to>
      <xdr:col>5</xdr:col>
      <xdr:colOff>1732649</xdr:colOff>
      <xdr:row>27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baseline="0"/>
            <a:t>REGRUESO DE 2,5cm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2" zoomScale="93" zoomScaleNormal="93" workbookViewId="0">
      <selection activeCell="J26" sqref="J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8" t="s">
        <v>277</v>
      </c>
      <c r="G10" s="275">
        <v>46105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2" t="s">
        <v>95</v>
      </c>
      <c r="C19" s="433"/>
      <c r="D19" s="433"/>
      <c r="E19" s="433"/>
      <c r="F19" s="433"/>
      <c r="G19" s="433"/>
      <c r="H19" s="434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92406.303332295269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55">
        <v>1</v>
      </c>
      <c r="C21" s="456" t="s">
        <v>218</v>
      </c>
      <c r="D21" s="457">
        <v>1.6</v>
      </c>
      <c r="E21" s="457">
        <v>0.6</v>
      </c>
      <c r="F21" s="455" t="s">
        <v>292</v>
      </c>
      <c r="G21" s="458">
        <f>Q21</f>
        <v>93145.553758953625</v>
      </c>
      <c r="H21" s="458">
        <f>G21*B21</f>
        <v>93145.553758953625</v>
      </c>
      <c r="I21" s="306"/>
      <c r="J21" s="264"/>
      <c r="K21" s="47"/>
      <c r="L21" s="47">
        <f>B21</f>
        <v>1</v>
      </c>
      <c r="M21" s="39">
        <f>D21+M$19</f>
        <v>1.6800000000000002</v>
      </c>
      <c r="N21" s="39">
        <f>E21+$N$19</f>
        <v>0.6</v>
      </c>
      <c r="O21" s="260">
        <f t="shared" ref="O21" si="0">M21*N21</f>
        <v>1.008</v>
      </c>
      <c r="P21" s="258">
        <f t="shared" ref="P21" si="1">O21*L21</f>
        <v>1.008</v>
      </c>
      <c r="Q21" s="251">
        <f t="shared" ref="Q21" si="2">Q$20*O21</f>
        <v>93145.553758953625</v>
      </c>
      <c r="R21" s="305">
        <f t="shared" ref="R21" si="3">Q21+R$20</f>
        <v>96145.553758953625</v>
      </c>
      <c r="S21" s="290">
        <f>M21*L21</f>
        <v>1.6800000000000002</v>
      </c>
      <c r="T21" s="46">
        <f>N21*2*L21*2</f>
        <v>2.4</v>
      </c>
      <c r="U21" s="9"/>
      <c r="X21" s="4"/>
    </row>
    <row r="22" spans="2:25" ht="17.399999999999999" x14ac:dyDescent="0.3">
      <c r="B22" s="455">
        <v>1</v>
      </c>
      <c r="C22" s="456" t="s">
        <v>218</v>
      </c>
      <c r="D22" s="457">
        <v>1.95</v>
      </c>
      <c r="E22" s="457">
        <v>0.5</v>
      </c>
      <c r="F22" s="455" t="s">
        <v>292</v>
      </c>
      <c r="G22" s="458">
        <f t="shared" ref="G22:G23" si="4">Q22</f>
        <v>93792.397882279693</v>
      </c>
      <c r="H22" s="458">
        <f t="shared" ref="H22:H23" si="5">G22*B22</f>
        <v>93792.397882279693</v>
      </c>
      <c r="I22" s="306"/>
      <c r="J22" s="264"/>
      <c r="K22" s="47"/>
      <c r="L22" s="47">
        <f t="shared" ref="L22:L23" si="6">B22</f>
        <v>1</v>
      </c>
      <c r="M22" s="39">
        <f t="shared" ref="M22:M23" si="7">D22+M$19</f>
        <v>2.0299999999999998</v>
      </c>
      <c r="N22" s="39">
        <f t="shared" ref="N22:N23" si="8">E22+$N$19</f>
        <v>0.5</v>
      </c>
      <c r="O22" s="260">
        <f t="shared" ref="O22:O23" si="9">M22*N22</f>
        <v>1.0149999999999999</v>
      </c>
      <c r="P22" s="258">
        <f t="shared" ref="P22:P23" si="10">O22*L22</f>
        <v>1.0149999999999999</v>
      </c>
      <c r="Q22" s="251">
        <f t="shared" ref="Q22:Q23" si="11">Q$20*O22</f>
        <v>93792.397882279693</v>
      </c>
      <c r="R22" s="305">
        <f t="shared" ref="R22:R23" si="12">Q22+R$20</f>
        <v>96792.397882279693</v>
      </c>
      <c r="S22" s="290">
        <f t="shared" ref="S22:S23" si="13">M22*L22</f>
        <v>2.0299999999999998</v>
      </c>
      <c r="T22" s="46"/>
      <c r="U22" s="9"/>
      <c r="X22" s="4"/>
    </row>
    <row r="23" spans="2:25" ht="17.399999999999999" x14ac:dyDescent="0.3">
      <c r="B23" s="455">
        <v>1</v>
      </c>
      <c r="C23" s="456" t="s">
        <v>218</v>
      </c>
      <c r="D23" s="457">
        <v>1.9</v>
      </c>
      <c r="E23" s="457">
        <v>0.6</v>
      </c>
      <c r="F23" s="455" t="s">
        <v>292</v>
      </c>
      <c r="G23" s="458">
        <f t="shared" si="4"/>
        <v>109778.68835876677</v>
      </c>
      <c r="H23" s="458">
        <f t="shared" si="5"/>
        <v>109778.68835876677</v>
      </c>
      <c r="I23" s="306"/>
      <c r="J23" s="264"/>
      <c r="K23" s="47"/>
      <c r="L23" s="47">
        <f t="shared" si="6"/>
        <v>1</v>
      </c>
      <c r="M23" s="39">
        <f t="shared" si="7"/>
        <v>1.98</v>
      </c>
      <c r="N23" s="39">
        <f t="shared" si="8"/>
        <v>0.6</v>
      </c>
      <c r="O23" s="260">
        <f t="shared" si="9"/>
        <v>1.1879999999999999</v>
      </c>
      <c r="P23" s="258">
        <f t="shared" si="10"/>
        <v>1.1879999999999999</v>
      </c>
      <c r="Q23" s="251">
        <f t="shared" si="11"/>
        <v>109778.68835876677</v>
      </c>
      <c r="R23" s="305">
        <f t="shared" si="12"/>
        <v>112778.68835876677</v>
      </c>
      <c r="S23" s="290">
        <f t="shared" si="13"/>
        <v>1.98</v>
      </c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306"/>
      <c r="H24" s="306"/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SUM(H21:H24)</f>
        <v>296716.64000000007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SUM(T21:T24)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56376.161600000014</v>
      </c>
      <c r="I27" s="308"/>
      <c r="J27" s="264"/>
      <c r="K27" s="47">
        <v>450</v>
      </c>
      <c r="L27" s="431">
        <f>M27*10</f>
        <v>56.899999999999991</v>
      </c>
      <c r="M27" s="39">
        <f>SUM(M21:M26)</f>
        <v>5.6899999999999995</v>
      </c>
      <c r="N27" s="12"/>
      <c r="O27" s="12"/>
      <c r="P27" s="252">
        <f>SUM(P21:P23)</f>
        <v>3.2109999999999994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353092.80160000006</v>
      </c>
      <c r="I28" s="308"/>
      <c r="J28" s="264"/>
      <c r="K28" s="47">
        <v>60</v>
      </c>
      <c r="L28" s="47"/>
      <c r="M28" s="39"/>
      <c r="N28" s="12"/>
      <c r="O28" s="12"/>
      <c r="P28" s="252">
        <f>P27</f>
        <v>3.2109999999999994</v>
      </c>
      <c r="Q28" s="14"/>
      <c r="R28" s="12"/>
      <c r="S28" s="239">
        <f>SUM(S21:S27)</f>
        <v>5.6899999999999995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>
        <f>SUM(K27:K28)</f>
        <v>510</v>
      </c>
      <c r="L29" s="47"/>
      <c r="M29" s="14"/>
      <c r="N29" s="12"/>
      <c r="O29" s="12"/>
      <c r="P29" s="39">
        <f>P28*20%</f>
        <v>0.64219999999999988</v>
      </c>
      <c r="Q29" s="39" t="s">
        <v>129</v>
      </c>
      <c r="R29" s="42"/>
      <c r="S29" s="240">
        <f>S28+T26</f>
        <v>8.09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3.8531999999999993</v>
      </c>
      <c r="Q30" s="14"/>
      <c r="R30" s="14"/>
      <c r="S30" s="238">
        <f>S29*20%</f>
        <v>1.6180000000000001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>
        <v>600</v>
      </c>
      <c r="L31" s="47"/>
      <c r="M31" s="14"/>
      <c r="N31" s="14"/>
      <c r="O31" s="14"/>
      <c r="P31" s="14"/>
      <c r="Q31" s="14"/>
      <c r="R31" s="14"/>
      <c r="S31" s="240">
        <f>S29+S30</f>
        <v>9.7080000000000002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>
        <v>60</v>
      </c>
      <c r="L32" s="47"/>
      <c r="M32" s="39">
        <f>P30</f>
        <v>3.8531999999999993</v>
      </c>
      <c r="N32" s="12">
        <v>3500</v>
      </c>
      <c r="O32" s="12">
        <f t="shared" ref="O32:O37" si="14">M32*N32</f>
        <v>13486.199999999997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>
        <f>SUM(K31:K32)</f>
        <v>660</v>
      </c>
      <c r="L33" s="47"/>
      <c r="M33" s="248">
        <v>1.1000000000000001</v>
      </c>
      <c r="N33" s="12">
        <v>23500</v>
      </c>
      <c r="O33" s="12">
        <f t="shared" si="14"/>
        <v>25850.000000000004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1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>
        <f>K29+K33</f>
        <v>1170</v>
      </c>
      <c r="L35" s="249"/>
      <c r="M35" s="14">
        <v>3</v>
      </c>
      <c r="N35" s="249">
        <v>29000</v>
      </c>
      <c r="O35" s="12">
        <f t="shared" si="14"/>
        <v>87000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5.69</v>
      </c>
      <c r="N37" s="12">
        <v>1500</v>
      </c>
      <c r="O37" s="12">
        <f t="shared" si="14"/>
        <v>8535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134871.20000000001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296716.64000000007</v>
      </c>
      <c r="P39" s="14" t="s">
        <v>138</v>
      </c>
      <c r="Q39" s="14"/>
      <c r="R39" s="40">
        <f>P30/R38</f>
        <v>1.0389344262295079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51290</v>
      </c>
      <c r="L40" s="249"/>
      <c r="M40" s="14"/>
      <c r="N40" s="12"/>
      <c r="O40" s="12">
        <f>O39/P28</f>
        <v>92406.303332295269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43100.840336134454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46105</v>
      </c>
    </row>
    <row r="6" spans="2:31" ht="16.2" thickBot="1" x14ac:dyDescent="0.35">
      <c r="B6" s="140" t="s">
        <v>2</v>
      </c>
      <c r="C6" s="139" t="str">
        <f>'2229'!C10</f>
        <v>RICARDO VALLEBELLA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6" t="s">
        <v>98</v>
      </c>
      <c r="I7" s="437"/>
      <c r="J7" s="437"/>
      <c r="K7" s="438"/>
      <c r="N7" s="75"/>
      <c r="O7" s="43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-30430.943366787455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296716.64000000007</v>
      </c>
      <c r="E11" s="132">
        <f>D11*0.19</f>
        <v>56376.161600000014</v>
      </c>
      <c r="F11" s="131">
        <f>E11+D11</f>
        <v>353092.80160000006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75559.056633212545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69170.290787439619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57559.056633212545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227546.34921256045</v>
      </c>
      <c r="E13" s="221">
        <f>(D11/D12)-1</f>
        <v>3.2896543678240509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48559.056633212545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9559.0566332125454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114130.97979927536</v>
      </c>
      <c r="F15" s="216">
        <f>E15-D12</f>
        <v>44960.689011835741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9559.0566332125454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49559.056633212545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25850.000000000004</v>
      </c>
      <c r="E19" s="123">
        <f>D19*0.19</f>
        <v>4911.5000000000009</v>
      </c>
      <c r="F19" s="120">
        <f>SUM(D19:E19)</f>
        <v>30761.500000000004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13486.199999999997</v>
      </c>
      <c r="E20" s="121">
        <f>D20*0.19</f>
        <v>2562.3779999999997</v>
      </c>
      <c r="F20" s="120">
        <f>SUM(D20:E20)</f>
        <v>16048.577999999998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39336.199999999997</v>
      </c>
      <c r="E21" s="116">
        <f>SUM(E18:E20)</f>
        <v>7473.8780000000006</v>
      </c>
      <c r="F21" s="115">
        <f>SUM(F18:F20)</f>
        <v>46810.078000000001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48902.28360000001</v>
      </c>
    </row>
    <row r="41" spans="2:16" ht="15" thickBot="1" x14ac:dyDescent="0.35">
      <c r="H41" s="439" t="s">
        <v>60</v>
      </c>
      <c r="I41" s="440"/>
      <c r="J41" s="440"/>
      <c r="K41" s="440"/>
      <c r="L41" s="440"/>
      <c r="M41" s="44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296716.64000000007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39336.199999999997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227546.34921256045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227546.34921256045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12059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RICARDO VALLEBELLA</v>
      </c>
      <c r="D10" s="350"/>
      <c r="E10" s="350"/>
      <c r="F10" s="351" t="s">
        <v>167</v>
      </c>
      <c r="G10" s="352">
        <f>'2229'!G10</f>
        <v>46105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+569 8927 6027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2" t="s">
        <v>175</v>
      </c>
      <c r="G17" s="442"/>
      <c r="H17" s="44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4" t="s">
        <v>176</v>
      </c>
      <c r="C20" s="445"/>
      <c r="D20" s="445"/>
      <c r="E20" s="445"/>
      <c r="F20" s="445"/>
      <c r="G20" s="445"/>
      <c r="H20" s="44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R6</v>
      </c>
      <c r="D22" s="321">
        <f>'2229'!D21*1000</f>
        <v>1600</v>
      </c>
      <c r="E22" s="321">
        <f>'2229'!E21*1000</f>
        <v>600</v>
      </c>
      <c r="F22" s="322" t="str">
        <f>'2229'!F21</f>
        <v>GRIS OSCURO</v>
      </c>
      <c r="G22" s="314">
        <f>'2229'!G21</f>
        <v>93145.553758953625</v>
      </c>
      <c r="H22" s="323">
        <f>G22*B22</f>
        <v>93145.553758953625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93145.553758953625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17697.65521420119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110843.20897315482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7" t="s">
        <v>182</v>
      </c>
      <c r="C2" s="447"/>
      <c r="D2" s="447"/>
      <c r="E2" s="361"/>
      <c r="G2" s="447" t="s">
        <v>183</v>
      </c>
      <c r="H2" s="447"/>
      <c r="I2" s="447"/>
      <c r="P2" s="448" t="s">
        <v>184</v>
      </c>
      <c r="Q2" s="448"/>
      <c r="R2" s="448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8" t="s">
        <v>184</v>
      </c>
      <c r="M8" s="448"/>
      <c r="N8" s="448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3" t="s">
        <v>265</v>
      </c>
      <c r="L3" s="453"/>
      <c r="M3" s="453" t="s">
        <v>266</v>
      </c>
      <c r="N3" s="453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RICARDO VALLEBELLA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4" t="s">
        <v>265</v>
      </c>
      <c r="B10" s="454"/>
      <c r="C10" s="454"/>
      <c r="D10" s="454"/>
      <c r="E10" s="454"/>
      <c r="F10" s="45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4" t="s">
        <v>266</v>
      </c>
      <c r="B17" s="454"/>
      <c r="C17" s="454"/>
      <c r="D17" s="454"/>
      <c r="E17" s="454"/>
      <c r="F17" s="45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4" t="s">
        <v>272</v>
      </c>
      <c r="B45" s="454"/>
      <c r="C45" s="454"/>
      <c r="D45" s="454"/>
      <c r="E45" s="454"/>
      <c r="F45" s="45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9" t="s">
        <v>95</v>
      </c>
      <c r="C47" s="450"/>
      <c r="D47" s="451"/>
      <c r="E47" s="451"/>
      <c r="F47" s="452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12059</v>
      </c>
      <c r="C2" s="1">
        <f>'NOTA DE VENTA'!$G$10</f>
        <v>46105</v>
      </c>
      <c r="D2" s="1">
        <f>'NOTA DE VENTA'!$G$11</f>
        <v>46112</v>
      </c>
      <c r="E2" t="str">
        <f>'NOTA DE VENTA'!$C$10</f>
        <v>RICARDO VALLEBELLA</v>
      </c>
      <c r="F2" t="str">
        <f>'NOTA DE VENTA'!$C$22</f>
        <v>CUB C/R R6</v>
      </c>
      <c r="G2" t="str">
        <f>'NOTA DE VENTA'!$F$22</f>
        <v>GRIS OSCURO</v>
      </c>
      <c r="H2" s="416">
        <f>'NOTA DE VENTA'!$H$25</f>
        <v>93145.553758953625</v>
      </c>
      <c r="I2" s="416">
        <f>H2*0.19</f>
        <v>17697.65521420119</v>
      </c>
      <c r="J2" s="416">
        <f>I2+H2</f>
        <v>110843.20897315482</v>
      </c>
      <c r="L2" s="61">
        <f>J2-K2</f>
        <v>110843.20897315482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2026-03-23T15:13:52Z</cp:lastPrinted>
  <dcterms:created xsi:type="dcterms:W3CDTF">2013-03-18T13:35:42Z</dcterms:created>
  <dcterms:modified xsi:type="dcterms:W3CDTF">2026-03-24T13:10:41Z</dcterms:modified>
</cp:coreProperties>
</file>