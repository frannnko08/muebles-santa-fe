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233BCA17-A4D4-45FD-A63D-1B223B202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 (2)" sheetId="8" r:id="rId1"/>
    <sheet name="2229" sheetId="1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  <externalReference r:id="rId9"/>
  </externalReferences>
  <definedNames>
    <definedName name="_xlnm.Print_Area" localSheetId="1">'2229'!$B$1:$H$62</definedName>
    <definedName name="_xlnm.Print_Area" localSheetId="0">'2229 (2)'!$B$1:$H$62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" i="8" l="1"/>
  <c r="L29" i="8"/>
  <c r="L28" i="8"/>
  <c r="L27" i="8"/>
  <c r="L26" i="8"/>
  <c r="L25" i="8"/>
  <c r="L24" i="8"/>
  <c r="L23" i="8"/>
  <c r="L22" i="8"/>
  <c r="L21" i="8"/>
  <c r="H51" i="8"/>
  <c r="M52" i="8"/>
  <c r="H53" i="8"/>
  <c r="K66" i="8"/>
  <c r="R63" i="8" l="1"/>
  <c r="O62" i="8"/>
  <c r="O61" i="8"/>
  <c r="O60" i="8"/>
  <c r="V59" i="8"/>
  <c r="V60" i="8" s="1"/>
  <c r="O59" i="8"/>
  <c r="O58" i="8"/>
  <c r="N48" i="8"/>
  <c r="M48" i="8"/>
  <c r="S48" i="8" s="1"/>
  <c r="H48" i="8"/>
  <c r="N47" i="8"/>
  <c r="M47" i="8"/>
  <c r="S47" i="8" s="1"/>
  <c r="H47" i="8"/>
  <c r="N46" i="8"/>
  <c r="M46" i="8"/>
  <c r="S46" i="8" s="1"/>
  <c r="H46" i="8"/>
  <c r="S45" i="8"/>
  <c r="N45" i="8"/>
  <c r="O45" i="8" s="1"/>
  <c r="P45" i="8" s="1"/>
  <c r="M45" i="8"/>
  <c r="H45" i="8"/>
  <c r="N44" i="8"/>
  <c r="O44" i="8" s="1"/>
  <c r="M44" i="8"/>
  <c r="S44" i="8" s="1"/>
  <c r="H44" i="8"/>
  <c r="N43" i="8"/>
  <c r="M43" i="8"/>
  <c r="S43" i="8" s="1"/>
  <c r="H43" i="8"/>
  <c r="N42" i="8"/>
  <c r="M42" i="8"/>
  <c r="S42" i="8" s="1"/>
  <c r="H42" i="8"/>
  <c r="S41" i="8"/>
  <c r="N41" i="8"/>
  <c r="O41" i="8" s="1"/>
  <c r="P41" i="8" s="1"/>
  <c r="M41" i="8"/>
  <c r="H41" i="8"/>
  <c r="N40" i="8"/>
  <c r="O40" i="8" s="1"/>
  <c r="M40" i="8"/>
  <c r="S40" i="8"/>
  <c r="H40" i="8"/>
  <c r="N39" i="8"/>
  <c r="M39" i="8"/>
  <c r="S39" i="8" s="1"/>
  <c r="H39" i="8"/>
  <c r="N38" i="8"/>
  <c r="M38" i="8"/>
  <c r="S38" i="8" s="1"/>
  <c r="H38" i="8"/>
  <c r="S37" i="8"/>
  <c r="N37" i="8"/>
  <c r="O37" i="8" s="1"/>
  <c r="P37" i="8" s="1"/>
  <c r="M37" i="8"/>
  <c r="H37" i="8"/>
  <c r="N36" i="8"/>
  <c r="O36" i="8" s="1"/>
  <c r="M36" i="8"/>
  <c r="S36" i="8" s="1"/>
  <c r="H36" i="8"/>
  <c r="N35" i="8"/>
  <c r="M35" i="8"/>
  <c r="S35" i="8" s="1"/>
  <c r="H35" i="8"/>
  <c r="N34" i="8"/>
  <c r="M34" i="8"/>
  <c r="S34" i="8" s="1"/>
  <c r="H34" i="8"/>
  <c r="S33" i="8"/>
  <c r="N33" i="8"/>
  <c r="O33" i="8" s="1"/>
  <c r="P33" i="8" s="1"/>
  <c r="M33" i="8"/>
  <c r="H33" i="8"/>
  <c r="N32" i="8"/>
  <c r="O32" i="8" s="1"/>
  <c r="P32" i="8" s="1"/>
  <c r="M32" i="8"/>
  <c r="S32" i="8" s="1"/>
  <c r="H32" i="8"/>
  <c r="N31" i="8"/>
  <c r="M31" i="8"/>
  <c r="S31" i="8" s="1"/>
  <c r="H31" i="8"/>
  <c r="N30" i="8"/>
  <c r="M30" i="8"/>
  <c r="S30" i="8" s="1"/>
  <c r="H30" i="8"/>
  <c r="S29" i="8"/>
  <c r="N29" i="8"/>
  <c r="O29" i="8" s="1"/>
  <c r="P29" i="8" s="1"/>
  <c r="M29" i="8"/>
  <c r="H29" i="8"/>
  <c r="S28" i="8"/>
  <c r="O28" i="8"/>
  <c r="P28" i="8" s="1"/>
  <c r="N28" i="8"/>
  <c r="M28" i="8"/>
  <c r="H28" i="8"/>
  <c r="S27" i="8"/>
  <c r="N27" i="8"/>
  <c r="O27" i="8" s="1"/>
  <c r="P27" i="8" s="1"/>
  <c r="M27" i="8"/>
  <c r="H27" i="8"/>
  <c r="S26" i="8"/>
  <c r="O26" i="8"/>
  <c r="P26" i="8" s="1"/>
  <c r="N26" i="8"/>
  <c r="M26" i="8"/>
  <c r="H26" i="8"/>
  <c r="S25" i="8"/>
  <c r="N25" i="8"/>
  <c r="O25" i="8" s="1"/>
  <c r="P25" i="8" s="1"/>
  <c r="M25" i="8"/>
  <c r="H25" i="8"/>
  <c r="S24" i="8"/>
  <c r="N24" i="8"/>
  <c r="O24" i="8" s="1"/>
  <c r="P24" i="8" s="1"/>
  <c r="M24" i="8"/>
  <c r="H24" i="8"/>
  <c r="S23" i="8"/>
  <c r="N23" i="8"/>
  <c r="O23" i="8" s="1"/>
  <c r="P23" i="8" s="1"/>
  <c r="M23" i="8"/>
  <c r="H23" i="8"/>
  <c r="S22" i="8"/>
  <c r="N22" i="8"/>
  <c r="O22" i="8" s="1"/>
  <c r="P22" i="8" s="1"/>
  <c r="M22" i="8"/>
  <c r="H22" i="8"/>
  <c r="T21" i="8"/>
  <c r="T51" i="8" s="1"/>
  <c r="O21" i="8"/>
  <c r="P21" i="8" s="1"/>
  <c r="N21" i="8"/>
  <c r="M21" i="8"/>
  <c r="S21" i="8" s="1"/>
  <c r="H21" i="8"/>
  <c r="N20" i="8"/>
  <c r="L20" i="8"/>
  <c r="O64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30" i="1"/>
  <c r="P44" i="8" l="1"/>
  <c r="P36" i="8"/>
  <c r="S53" i="8"/>
  <c r="S54" i="8" s="1"/>
  <c r="P40" i="8"/>
  <c r="O30" i="8"/>
  <c r="P30" i="8" s="1"/>
  <c r="O34" i="8"/>
  <c r="P34" i="8" s="1"/>
  <c r="O38" i="8"/>
  <c r="P38" i="8" s="1"/>
  <c r="O42" i="8"/>
  <c r="P42" i="8" s="1"/>
  <c r="O46" i="8"/>
  <c r="P46" i="8" s="1"/>
  <c r="O31" i="8"/>
  <c r="P31" i="8" s="1"/>
  <c r="O35" i="8"/>
  <c r="P35" i="8" s="1"/>
  <c r="O39" i="8"/>
  <c r="P39" i="8" s="1"/>
  <c r="O43" i="8"/>
  <c r="P43" i="8" s="1"/>
  <c r="O47" i="8"/>
  <c r="P47" i="8" s="1"/>
  <c r="O48" i="8"/>
  <c r="P48" i="8" s="1"/>
  <c r="P52" i="8" l="1"/>
  <c r="P53" i="8" s="1"/>
  <c r="P54" i="8" s="1"/>
  <c r="P55" i="8" s="1"/>
  <c r="S55" i="8"/>
  <c r="S56" i="8" s="1"/>
  <c r="H48" i="1"/>
  <c r="H47" i="1"/>
  <c r="H46" i="1"/>
  <c r="H45" i="1"/>
  <c r="H44" i="1"/>
  <c r="H43" i="1"/>
  <c r="H42" i="1"/>
  <c r="H41" i="1"/>
  <c r="H40" i="1"/>
  <c r="H39" i="1"/>
  <c r="H38" i="1"/>
  <c r="H37" i="1"/>
  <c r="N48" i="1"/>
  <c r="O48" i="1" s="1"/>
  <c r="P48" i="1" s="1"/>
  <c r="M48" i="1"/>
  <c r="S48" i="1"/>
  <c r="N47" i="1"/>
  <c r="O47" i="1"/>
  <c r="P47" i="1" s="1"/>
  <c r="M47" i="1"/>
  <c r="S47" i="1" s="1"/>
  <c r="N46" i="1"/>
  <c r="O46" i="1" s="1"/>
  <c r="P46" i="1" s="1"/>
  <c r="M46" i="1"/>
  <c r="S46" i="1" s="1"/>
  <c r="N45" i="1"/>
  <c r="O45" i="1" s="1"/>
  <c r="P45" i="1" s="1"/>
  <c r="M45" i="1"/>
  <c r="S45" i="1" s="1"/>
  <c r="N44" i="1"/>
  <c r="O44" i="1" s="1"/>
  <c r="P44" i="1" s="1"/>
  <c r="M44" i="1"/>
  <c r="S44" i="1" s="1"/>
  <c r="N43" i="1"/>
  <c r="O43" i="1" s="1"/>
  <c r="P43" i="1" s="1"/>
  <c r="M43" i="1"/>
  <c r="S43" i="1" s="1"/>
  <c r="N42" i="1"/>
  <c r="O42" i="1" s="1"/>
  <c r="P42" i="1" s="1"/>
  <c r="M42" i="1"/>
  <c r="S42" i="1" s="1"/>
  <c r="N41" i="1"/>
  <c r="O41" i="1" s="1"/>
  <c r="P41" i="1" s="1"/>
  <c r="M41" i="1"/>
  <c r="S41" i="1" s="1"/>
  <c r="N40" i="1"/>
  <c r="O40" i="1" s="1"/>
  <c r="P40" i="1" s="1"/>
  <c r="M40" i="1"/>
  <c r="S40" i="1"/>
  <c r="N39" i="1"/>
  <c r="M39" i="1"/>
  <c r="S39" i="1" s="1"/>
  <c r="N38" i="1"/>
  <c r="O38" i="1" s="1"/>
  <c r="P38" i="1" s="1"/>
  <c r="M38" i="1"/>
  <c r="S38" i="1" s="1"/>
  <c r="N37" i="1"/>
  <c r="O37" i="1" s="1"/>
  <c r="P37" i="1" s="1"/>
  <c r="M37" i="1"/>
  <c r="S37" i="1"/>
  <c r="H29" i="1"/>
  <c r="R64" i="8" l="1"/>
  <c r="O57" i="8"/>
  <c r="O63" i="8" s="1"/>
  <c r="O64" i="8" s="1"/>
  <c r="O39" i="1"/>
  <c r="P39" i="1" s="1"/>
  <c r="O66" i="8" l="1"/>
  <c r="O65" i="8"/>
  <c r="Q20" i="8" s="1"/>
  <c r="N29" i="1"/>
  <c r="M29" i="1"/>
  <c r="H36" i="1"/>
  <c r="H35" i="1"/>
  <c r="H34" i="1"/>
  <c r="H33" i="1"/>
  <c r="H32" i="1"/>
  <c r="H31" i="1"/>
  <c r="H30" i="1"/>
  <c r="N36" i="1"/>
  <c r="N35" i="1"/>
  <c r="N34" i="1"/>
  <c r="N33" i="1"/>
  <c r="N32" i="1"/>
  <c r="N31" i="1"/>
  <c r="N30" i="1"/>
  <c r="M36" i="1"/>
  <c r="M35" i="1"/>
  <c r="S35" i="1" s="1"/>
  <c r="M34" i="1"/>
  <c r="S34" i="1" s="1"/>
  <c r="M33" i="1"/>
  <c r="S33" i="1" s="1"/>
  <c r="M32" i="1"/>
  <c r="S32" i="1" s="1"/>
  <c r="M31" i="1"/>
  <c r="M30" i="1"/>
  <c r="S30" i="1" s="1"/>
  <c r="M22" i="1"/>
  <c r="N22" i="1"/>
  <c r="M23" i="1"/>
  <c r="S23" i="1" s="1"/>
  <c r="N23" i="1"/>
  <c r="M24" i="1"/>
  <c r="N24" i="1"/>
  <c r="M25" i="1"/>
  <c r="S25" i="1" s="1"/>
  <c r="N25" i="1"/>
  <c r="M26" i="1"/>
  <c r="S26" i="1" s="1"/>
  <c r="N26" i="1"/>
  <c r="M27" i="1"/>
  <c r="S27" i="1" s="1"/>
  <c r="N27" i="1"/>
  <c r="M28" i="1"/>
  <c r="N28" i="1"/>
  <c r="D27" i="6"/>
  <c r="C27" i="6"/>
  <c r="C49" i="6"/>
  <c r="Q46" i="8" l="1"/>
  <c r="R46" i="8" s="1"/>
  <c r="Q42" i="8"/>
  <c r="R42" i="8" s="1"/>
  <c r="Q38" i="8"/>
  <c r="R38" i="8" s="1"/>
  <c r="Q34" i="8"/>
  <c r="R34" i="8" s="1"/>
  <c r="Q30" i="8"/>
  <c r="R30" i="8" s="1"/>
  <c r="Q39" i="8"/>
  <c r="R39" i="8" s="1"/>
  <c r="Q45" i="8"/>
  <c r="R45" i="8" s="1"/>
  <c r="Q41" i="8"/>
  <c r="R41" i="8" s="1"/>
  <c r="Q37" i="8"/>
  <c r="R37" i="8" s="1"/>
  <c r="Q33" i="8"/>
  <c r="R33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43" i="8"/>
  <c r="R43" i="8" s="1"/>
  <c r="Q48" i="8"/>
  <c r="R48" i="8" s="1"/>
  <c r="Q44" i="8"/>
  <c r="R44" i="8" s="1"/>
  <c r="Q40" i="8"/>
  <c r="R40" i="8" s="1"/>
  <c r="Q36" i="8"/>
  <c r="R36" i="8" s="1"/>
  <c r="Q32" i="8"/>
  <c r="R32" i="8" s="1"/>
  <c r="Q21" i="8"/>
  <c r="R21" i="8" s="1"/>
  <c r="Q47" i="8"/>
  <c r="R47" i="8" s="1"/>
  <c r="Q35" i="8"/>
  <c r="R35" i="8" s="1"/>
  <c r="Q31" i="8"/>
  <c r="R31" i="8" s="1"/>
  <c r="O32" i="1"/>
  <c r="P32" i="1" s="1"/>
  <c r="O29" i="1"/>
  <c r="P29" i="1" s="1"/>
  <c r="O36" i="1"/>
  <c r="P36" i="1" s="1"/>
  <c r="S29" i="1"/>
  <c r="S31" i="1"/>
  <c r="S36" i="1"/>
  <c r="O33" i="1"/>
  <c r="P33" i="1" s="1"/>
  <c r="O30" i="1"/>
  <c r="P30" i="1" s="1"/>
  <c r="O34" i="1"/>
  <c r="P34" i="1" s="1"/>
  <c r="O31" i="1"/>
  <c r="P31" i="1" s="1"/>
  <c r="O35" i="1"/>
  <c r="P35" i="1" s="1"/>
  <c r="S22" i="1"/>
  <c r="O27" i="1"/>
  <c r="P27" i="1" s="1"/>
  <c r="O26" i="1"/>
  <c r="P26" i="1" s="1"/>
  <c r="O23" i="1"/>
  <c r="P23" i="1" s="1"/>
  <c r="O22" i="1"/>
  <c r="P22" i="1" s="1"/>
  <c r="O28" i="1"/>
  <c r="P28" i="1" s="1"/>
  <c r="O25" i="1"/>
  <c r="P25" i="1" s="1"/>
  <c r="O24" i="1"/>
  <c r="P24" i="1" s="1"/>
  <c r="S28" i="1"/>
  <c r="S24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52" i="1" s="1"/>
  <c r="S21" i="1" l="1"/>
  <c r="S53" i="1" s="1"/>
  <c r="T21" i="1"/>
  <c r="T51" i="1" s="1"/>
  <c r="O21" i="1"/>
  <c r="P21" i="1" s="1"/>
  <c r="P52" i="1" s="1"/>
  <c r="K66" i="1"/>
  <c r="S54" i="1" l="1"/>
  <c r="S55" i="1" s="1"/>
  <c r="S56" i="1" s="1"/>
  <c r="V59" i="1"/>
  <c r="V60" i="1" s="1"/>
  <c r="P53" i="1" l="1"/>
  <c r="N20" i="1"/>
  <c r="L20" i="1"/>
  <c r="P54" i="1" l="1"/>
  <c r="P55" i="1" s="1"/>
  <c r="M57" i="1" s="1"/>
  <c r="O59" i="1"/>
  <c r="R63" i="1"/>
  <c r="R64" i="1" l="1"/>
  <c r="O58" i="1" s="1"/>
  <c r="O6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62" i="1"/>
  <c r="O61" i="1"/>
  <c r="F18" i="3" l="1"/>
  <c r="O57" i="1" l="1"/>
  <c r="O63" i="1" s="1"/>
  <c r="D20" i="3" l="1"/>
  <c r="E20" i="3" s="1"/>
  <c r="E21" i="3" s="1"/>
  <c r="O65" i="1" l="1"/>
  <c r="Q20" i="1" s="1"/>
  <c r="D21" i="3"/>
  <c r="M43" i="3" s="1"/>
  <c r="D12" i="3" s="1"/>
  <c r="F20" i="3"/>
  <c r="F21" i="3" s="1"/>
  <c r="Q47" i="1" l="1"/>
  <c r="R47" i="1" s="1"/>
  <c r="Q48" i="1"/>
  <c r="R48" i="1" s="1"/>
  <c r="Q45" i="1"/>
  <c r="R45" i="1" s="1"/>
  <c r="Q46" i="1"/>
  <c r="R46" i="1" s="1"/>
  <c r="Q43" i="1"/>
  <c r="R43" i="1" s="1"/>
  <c r="Q44" i="1"/>
  <c r="R44" i="1" s="1"/>
  <c r="Q41" i="1"/>
  <c r="R41" i="1" s="1"/>
  <c r="Q42" i="1"/>
  <c r="R42" i="1" s="1"/>
  <c r="Q39" i="1"/>
  <c r="R39" i="1" s="1"/>
  <c r="Q40" i="1"/>
  <c r="R40" i="1" s="1"/>
  <c r="Q37" i="1"/>
  <c r="R37" i="1" s="1"/>
  <c r="Q38" i="1"/>
  <c r="R38" i="1" s="1"/>
  <c r="Q36" i="1"/>
  <c r="R36" i="1" s="1"/>
  <c r="Q29" i="1"/>
  <c r="R29" i="1" s="1"/>
  <c r="Q34" i="1"/>
  <c r="R34" i="1" s="1"/>
  <c r="Q35" i="1"/>
  <c r="R35" i="1" s="1"/>
  <c r="Q32" i="1"/>
  <c r="R32" i="1" s="1"/>
  <c r="Q33" i="1"/>
  <c r="R33" i="1" s="1"/>
  <c r="Q30" i="1"/>
  <c r="R30" i="1" s="1"/>
  <c r="Q31" i="1"/>
  <c r="R31" i="1" s="1"/>
  <c r="Q28" i="1"/>
  <c r="R28" i="1" s="1"/>
  <c r="H28" i="1" s="1"/>
  <c r="Q22" i="1"/>
  <c r="R22" i="1" s="1"/>
  <c r="H22" i="1" s="1"/>
  <c r="Q23" i="1"/>
  <c r="R23" i="1" s="1"/>
  <c r="H23" i="1" s="1"/>
  <c r="Q24" i="1"/>
  <c r="R24" i="1" s="1"/>
  <c r="H24" i="1" s="1"/>
  <c r="Q25" i="1"/>
  <c r="R25" i="1" s="1"/>
  <c r="H25" i="1" s="1"/>
  <c r="Q26" i="1"/>
  <c r="R26" i="1" s="1"/>
  <c r="H26" i="1" s="1"/>
  <c r="Q27" i="1"/>
  <c r="R27" i="1" s="1"/>
  <c r="H27" i="1" s="1"/>
  <c r="O66" i="1"/>
  <c r="E15" i="3"/>
  <c r="Q21" i="1" l="1"/>
  <c r="F15" i="3"/>
  <c r="R21" i="1" l="1"/>
  <c r="H21" i="1" l="1"/>
  <c r="H51" i="1" s="1"/>
  <c r="H53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<sst xmlns="http://schemas.openxmlformats.org/spreadsheetml/2006/main" count="698" uniqueCount="303">
  <si>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</si>
  <si>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</si>
  <si>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</si>
  <si>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</si>
  <si>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</si>
  <si>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</si>
  <si>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</si>
  <si>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</si>
  <si>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</si>
  <si>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</si>
  <si>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</si>
  <si>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</si>
  <si>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</si>
  <si>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</si>
  <si>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</si>
  <si>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</si>
  <si>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</si>
  <si>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</si>
  <si>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</si>
  <si>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</si>
  <si>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</si>
  <si>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</si>
  <si>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</si>
  <si>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</si>
  <si>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</si>
  <si>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</si>
  <si>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</si>
  <si>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</si>
  <si>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</si>
  <si>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</si>
  <si>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</si>
  <si>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</si>
  <si>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</si>
  <si>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</si>
  <si>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</si>
  <si>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</si>
  <si>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</si>
  <si>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</si>
  <si>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</si>
  <si>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</si>
  <si>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</si>
  <si>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</si>
  <si>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</si>
  <si>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</si>
  <si>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</si>
  <si>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</si>
  <si>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</si>
  <si>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</si>
  <si>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</si>
  <si>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</si>
  <si>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</si>
  <si>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</si>
  <si>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</si>
  <si>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</si>
  <si>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</si>
  <si>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</si>
  <si>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</si>
  <si>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</si>
  <si>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</si>
  <si>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</si>
  <si>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</si>
  <si>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</si>
  <si>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</si>
  <si>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</si>
  <si>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</si>
  <si>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</si>
  <si>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</si>
  <si>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</si>
  <si>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</si>
  <si>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</si>
  <si>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</si>
  <si>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</si>
  <si>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</si>
  <si>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</si>
  <si>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</si>
  <si>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</si>
  <si>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</si>
  <si>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</si>
  <si>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</si>
  <si>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</si>
  <si>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</si>
  <si>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</si>
  <si>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</si>
  <si>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</si>
  <si>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</si>
  <si>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</si>
  <si>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</si>
  <si>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</si>
  <si>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</si>
  <si>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</si>
  <si>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</si>
  <si>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</si>
  <si>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</si>
  <si>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</si>
  <si>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</si>
  <si>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</si>
  <si>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</si>
  <si>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</si>
  <si>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</si>
  <si>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</si>
  <si>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</si>
  <si>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</si>
  <si>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</si>
  <si>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</si>
  <si>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</si>
  <si>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</si>
  <si>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</si>
  <si>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</si>
  <si>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</si>
  <si>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</si>
  <si>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</si>
  <si>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</si>
  <si>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</si>
  <si>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</si>
  <si>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</si>
  <si>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</si>
  <si>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</si>
  <si>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</si>
  <si>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</si>
  <si>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</si>
  <si>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</si>
  <si>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</si>
  <si>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</si>
  <si>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</si>
  <si>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</si>
  <si>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</si>
  <si>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</si>
  <si>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</si>
  <si>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</si>
  <si>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</si>
  <si>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</si>
  <si>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</si>
  <si>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</si>
  <si>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</si>
  <si>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</si>
  <si>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</si>
  <si>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</si>
  <si>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</si>
  <si>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</si>
  <si>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</si>
  <si>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</si>
  <si>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</si>
  <si>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</si>
  <si>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</si>
  <si>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</si>
  <si>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</si>
  <si>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</si>
  <si>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</si>
  <si>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</si>
  <si>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</si>
  <si>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</si>
  <si>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</si>
  <si>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</si>
  <si>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</si>
  <si>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</si>
  <si>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</si>
  <si>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</si>
  <si>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</si>
  <si>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</si>
  <si>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</si>
  <si>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</si>
  <si>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</si>
  <si>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</si>
  <si>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</si>
  <si>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</si>
  <si>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</si>
  <si>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</si>
  <si>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</si>
  <si>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</si>
  <si>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</si>
  <si>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</si>
  <si>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</si>
  <si>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</si>
  <si>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</si>
  <si>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</si>
  <si>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</si>
  <si>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</si>
  <si>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</si>
  <si>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</si>
  <si>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</si>
  <si>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</si>
  <si>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</si>
  <si>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</si>
  <si>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</si>
  <si>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</si>
  <si>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</si>
  <si>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</si>
  <si>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</si>
  <si>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</si>
  <si>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</si>
  <si>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</si>
  <si>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</si>
  <si>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</si>
  <si>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</si>
  <si>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</si>
  <si>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</si>
  <si>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</si>
  <si>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</si>
  <si>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</si>
  <si>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</si>
  <si>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</si>
  <si>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</si>
  <si>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</si>
  <si>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</si>
  <si>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</si>
  <si>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</si>
  <si>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</si>
  <si>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</si>
  <si>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</si>
  <si>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</si>
  <si>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</si>
  <si>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</si>
  <si>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</si>
  <si>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</si>
  <si>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</si>
  <si>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</si>
  <si>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</si>
  <si>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</si>
  <si>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</si>
  <si>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</si>
  <si>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</si>
  <si>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</si>
  <si>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</si>
  <si>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</si>
  <si>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</si>
  <si>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</si>
  <si>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</si>
  <si>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</si>
  <si>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</si>
  <si>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</si>
  <si>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</si>
  <si>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</si>
  <si>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</si>
  <si>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</si>
  <si>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</si>
  <si>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</si>
  <si>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</si>
  <si>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</si>
  <si>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</si>
  <si>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</si>
  <si>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</si>
  <si>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</si>
  <si>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</si>
  <si>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</si>
  <si>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</si>
  <si>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</si>
  <si>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</si>
  <si>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</si>
  <si>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</si>
  <si>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</si>
  <si>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</si>
  <si>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</si>
  <si>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</si>
  <si>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</si>
  <si>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</si>
  <si>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</si>
  <si>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</si>
  <si>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</si>
  <si>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</si>
  <si>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</si>
  <si>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</si>
  <si>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</si>
  <si>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</si>
  <si>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</si>
  <si>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</si>
  <si>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</si>
  <si>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</si>
  <si>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</si>
  <si>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</si>
  <si>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</si>
  <si>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</si>
  <si>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</si>
  <si>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</si>
  <si>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</si>
  <si>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</si>
  <si>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</si>
  <si>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</si>
  <si>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</si>
  <si>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</si>
  <si>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</si>
  <si>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</si>
  <si>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</si>
  <si>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</si>
  <si>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</si>
  <si>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</si>
  <si>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</si>
  <si>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</si>
  <si>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MUEBLERIA VALENTINA</t>
  </si>
  <si>
    <t>SI</t>
  </si>
  <si>
    <t>SAMI</t>
  </si>
  <si>
    <t>+569 7220 1095</t>
  </si>
  <si>
    <t>GLACIAL WHITE 22191 SF</t>
  </si>
  <si>
    <t>RANCAGUA</t>
  </si>
  <si>
    <t>N° 12056</t>
  </si>
  <si>
    <t>10 DIAS HABILES</t>
  </si>
  <si>
    <t>NEUTRAL OAK 1498 MT</t>
  </si>
  <si>
    <t>PR6  2 CARAS</t>
  </si>
  <si>
    <t xml:space="preserve">SHELL WHITE </t>
  </si>
  <si>
    <t>1498 MT</t>
  </si>
  <si>
    <t>2109 BR</t>
  </si>
  <si>
    <t>VAINILLA 2109 BR</t>
  </si>
  <si>
    <t>155x366</t>
  </si>
  <si>
    <t>PR8 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</si>
</sst>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5" borderId="0" xfId="0" applyNumberFormat="1" applyFont="1" applyFill="1"/>
    <xf numFmtId="166" fontId="3" fillId="25" borderId="0" xfId="0" applyNumberFormat="1" applyFont="1" applyFill="1"/>
    <xf numFmtId="167" fontId="0" fillId="26" borderId="0" xfId="0" applyNumberFormat="1" applyFill="1"/>
    <xf numFmtId="166" fontId="3" fillId="26" borderId="0" xfId="0" applyNumberFormat="1" applyFont="1" applyFill="1"/>
    <xf numFmtId="166" fontId="3" fillId="6" borderId="0" xfId="0" applyNumberFormat="1" applyFont="1" applyFill="1"/>
    <xf numFmtId="166" fontId="3" fillId="2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3" fontId="22" fillId="0" borderId="0" xfId="0" applyNumberFormat="1" applyFont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54</xdr:row>
      <xdr:rowOff>8194</xdr:rowOff>
    </xdr:from>
    <xdr:to>
      <xdr:col>8</xdr:col>
      <xdr:colOff>8193</xdr:colOff>
      <xdr:row>57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63154C2-C81F-4BFF-9C59-32BEA31D7149}"/>
            </a:ext>
          </a:extLst>
        </xdr:cNvPr>
        <xdr:cNvSpPr/>
      </xdr:nvSpPr>
      <xdr:spPr>
        <a:xfrm>
          <a:off x="6385560" y="1145343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56</xdr:row>
      <xdr:rowOff>154305</xdr:rowOff>
    </xdr:from>
    <xdr:to>
      <xdr:col>7</xdr:col>
      <xdr:colOff>853440</xdr:colOff>
      <xdr:row>56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459A315-8736-4B9D-AEA7-D350352BA26B}"/>
            </a:ext>
          </a:extLst>
        </xdr:cNvPr>
        <xdr:cNvCxnSpPr/>
      </xdr:nvCxnSpPr>
      <xdr:spPr>
        <a:xfrm>
          <a:off x="6608445" y="1204150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54</xdr:row>
      <xdr:rowOff>9525</xdr:rowOff>
    </xdr:from>
    <xdr:to>
      <xdr:col>5</xdr:col>
      <xdr:colOff>1745226</xdr:colOff>
      <xdr:row>57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978EE42-C377-468E-9507-F2B556A00DAA}"/>
            </a:ext>
          </a:extLst>
        </xdr:cNvPr>
        <xdr:cNvSpPr/>
      </xdr:nvSpPr>
      <xdr:spPr>
        <a:xfrm>
          <a:off x="390525" y="11454765"/>
          <a:ext cx="562952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215080</xdr:rowOff>
    </xdr:from>
    <xdr:to>
      <xdr:col>5</xdr:col>
      <xdr:colOff>1732649</xdr:colOff>
      <xdr:row>52</xdr:row>
      <xdr:rowOff>215511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BAD039B-61F4-4B2C-A501-8533E3AF6253}"/>
            </a:ext>
          </a:extLst>
        </xdr:cNvPr>
        <xdr:cNvSpPr/>
      </xdr:nvSpPr>
      <xdr:spPr>
        <a:xfrm>
          <a:off x="411480" y="10540180"/>
          <a:ext cx="5595989" cy="67099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BC0FDE-DC85-445B-8DCA-AD764B700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087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457794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114BCF-BB10-428D-BC9B-58836220E8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4076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54</xdr:row>
      <xdr:rowOff>8194</xdr:rowOff>
    </xdr:from>
    <xdr:to>
      <xdr:col>8</xdr:col>
      <xdr:colOff>8193</xdr:colOff>
      <xdr:row>57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56</xdr:row>
      <xdr:rowOff>154305</xdr:rowOff>
    </xdr:from>
    <xdr:to>
      <xdr:col>7</xdr:col>
      <xdr:colOff>853440</xdr:colOff>
      <xdr:row>56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54</xdr:row>
      <xdr:rowOff>9525</xdr:rowOff>
    </xdr:from>
    <xdr:to>
      <xdr:col>5</xdr:col>
      <xdr:colOff>1745226</xdr:colOff>
      <xdr:row>57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215080</xdr:rowOff>
    </xdr:from>
    <xdr:to>
      <xdr:col>5</xdr:col>
      <xdr:colOff>1732649</xdr:colOff>
      <xdr:row>52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457794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RRANES/BARRANES/4%20ABRIL%202026/4250%20MUEBLERIA%20VALENTINA.xlsx" TargetMode="External"/><Relationship Id="rId2" Type="http://schemas.openxmlformats.org/officeDocument/2006/relationships/externalLinkPath" Target="file:///C:\Users\fdono\Dropbox\PC\Desktop\POSTFORMADO%202020\BARRANES\BARRANES\4%20ABRIL%202026\4250%20MUEBLERIA%20VALENTINA.xlsx" TargetMode="External"/><Relationship Id="rId1" Type="http://schemas.openxmlformats.org/officeDocument/2006/relationships/externalLinkPath" Target="/Users/fdono/Dropbox/PC/Desktop/POSTFORMADO%202020/BARRANES/BARRANES/4%20ABRIL%202026/4250%20MUEBLERIA%20VALENT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21">
          <cell r="C21" t="str">
            <v>PR12  2 CARAS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F6CA-3301-43CD-828F-9986A0D52851}">
  <sheetPr>
    <pageSetUpPr fitToPage="1"/>
  </sheetPr>
  <dimension ref="A2:Y608"/>
  <sheetViews>
    <sheetView tabSelected="1" topLeftCell="C32" zoomScale="93" zoomScaleNormal="93" workbookViewId="0">
      <selection activeCell="M57" sqref="M57"/>
    </sheetView>
  </sheetViews>
  <sheetFormatPr baseColWidth="10" defaultRowHeight="14.4" x14ac:dyDescent="0.3"/>
  <cols>
    <col min="1" max="1" width="6" customWidth="1"/>
    <col min="2" max="2" width="10.5546875" customWidth="1"/>
    <col min="3" max="3" width="24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287</v>
      </c>
      <c r="D10" s="243"/>
      <c r="E10" s="243"/>
      <c r="F10" s="417" t="s">
        <v>277</v>
      </c>
      <c r="G10" s="275">
        <v>46118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289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292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5" t="s">
        <v>95</v>
      </c>
      <c r="C19" s="446"/>
      <c r="D19" s="446"/>
      <c r="E19" s="446"/>
      <c r="F19" s="446"/>
      <c r="G19" s="446"/>
      <c r="H19" s="44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O65</f>
        <v>134903.41635641459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2</v>
      </c>
      <c r="C21" s="432" t="s">
        <v>302</v>
      </c>
      <c r="D21" s="433">
        <v>0.5</v>
      </c>
      <c r="E21" s="433">
        <v>0.48</v>
      </c>
      <c r="F21" s="431" t="s">
        <v>295</v>
      </c>
      <c r="G21" s="434">
        <v>35395</v>
      </c>
      <c r="H21" s="434">
        <f>G21*B21</f>
        <v>70790</v>
      </c>
      <c r="I21" s="306"/>
      <c r="J21" s="264"/>
      <c r="K21" s="47"/>
      <c r="L21" s="435">
        <f t="shared" ref="L21:L30" si="0">B21</f>
        <v>2</v>
      </c>
      <c r="M21" s="39">
        <f>D21+M$19</f>
        <v>0.55000000000000004</v>
      </c>
      <c r="N21" s="39">
        <f>E21+$N$19</f>
        <v>0.48</v>
      </c>
      <c r="O21" s="260">
        <f t="shared" ref="O21:O48" si="1">M21*N21</f>
        <v>0.26400000000000001</v>
      </c>
      <c r="P21" s="258">
        <f t="shared" ref="P21:P48" si="2">O21*L21</f>
        <v>0.52800000000000002</v>
      </c>
      <c r="Q21" s="251">
        <f t="shared" ref="Q21:Q48" si="3">Q$20*O21</f>
        <v>35614.501918093454</v>
      </c>
      <c r="R21" s="305">
        <f t="shared" ref="R21:R48" si="4">Q21+R$20</f>
        <v>38614.501918093454</v>
      </c>
      <c r="S21" s="290">
        <f>M21*L21</f>
        <v>1.1000000000000001</v>
      </c>
      <c r="T21" s="46">
        <f>N21*2*L21*2</f>
        <v>3.84</v>
      </c>
      <c r="U21" s="9"/>
      <c r="X21" s="4"/>
    </row>
    <row r="22" spans="2:25" ht="17.399999999999999" x14ac:dyDescent="0.3">
      <c r="B22" s="431">
        <v>1</v>
      </c>
      <c r="C22" s="432" t="s">
        <v>302</v>
      </c>
      <c r="D22" s="433">
        <v>0.76</v>
      </c>
      <c r="E22" s="433">
        <v>0.42699999999999999</v>
      </c>
      <c r="F22" s="431" t="s">
        <v>295</v>
      </c>
      <c r="G22" s="434">
        <v>45441</v>
      </c>
      <c r="H22" s="434">
        <f t="shared" ref="H22:H48" si="5">G22*B22</f>
        <v>45441</v>
      </c>
      <c r="I22" s="306"/>
      <c r="J22" s="264"/>
      <c r="K22" s="47"/>
      <c r="L22" s="435">
        <f t="shared" si="0"/>
        <v>1</v>
      </c>
      <c r="M22" s="39">
        <f t="shared" ref="M22:M48" si="6">D22+M$19</f>
        <v>0.81</v>
      </c>
      <c r="N22" s="39">
        <f t="shared" ref="N22:N48" si="7">E22+$N$19</f>
        <v>0.42699999999999999</v>
      </c>
      <c r="O22" s="260">
        <f t="shared" si="1"/>
        <v>0.34587000000000001</v>
      </c>
      <c r="P22" s="258">
        <f t="shared" si="2"/>
        <v>0.34587000000000001</v>
      </c>
      <c r="Q22" s="251">
        <f t="shared" si="3"/>
        <v>46659.044615193117</v>
      </c>
      <c r="R22" s="305">
        <f t="shared" si="4"/>
        <v>49659.044615193117</v>
      </c>
      <c r="S22" s="290">
        <f t="shared" ref="S22:S48" si="8">M22*L22</f>
        <v>0.81</v>
      </c>
      <c r="T22" s="46"/>
      <c r="U22" s="9"/>
      <c r="X22" s="4"/>
    </row>
    <row r="23" spans="2:25" ht="17.399999999999999" x14ac:dyDescent="0.3">
      <c r="B23" s="431">
        <v>1</v>
      </c>
      <c r="C23" s="432" t="s">
        <v>302</v>
      </c>
      <c r="D23" s="433">
        <v>0.76</v>
      </c>
      <c r="E23" s="433">
        <v>0.71499999999999997</v>
      </c>
      <c r="F23" s="431" t="s">
        <v>295</v>
      </c>
      <c r="G23" s="434">
        <v>74066</v>
      </c>
      <c r="H23" s="434">
        <f t="shared" si="5"/>
        <v>74066</v>
      </c>
      <c r="I23" s="306"/>
      <c r="J23" s="264"/>
      <c r="K23" s="47"/>
      <c r="L23" s="435">
        <f t="shared" si="0"/>
        <v>1</v>
      </c>
      <c r="M23" s="39">
        <f t="shared" si="6"/>
        <v>0.81</v>
      </c>
      <c r="N23" s="39">
        <f t="shared" si="7"/>
        <v>0.71499999999999997</v>
      </c>
      <c r="O23" s="260">
        <f t="shared" si="1"/>
        <v>0.57915000000000005</v>
      </c>
      <c r="P23" s="258">
        <f t="shared" si="2"/>
        <v>0.57915000000000005</v>
      </c>
      <c r="Q23" s="251">
        <f t="shared" si="3"/>
        <v>78129.313582817515</v>
      </c>
      <c r="R23" s="305">
        <f t="shared" si="4"/>
        <v>81129.313582817515</v>
      </c>
      <c r="S23" s="290">
        <f t="shared" si="8"/>
        <v>0.81</v>
      </c>
      <c r="T23" s="46"/>
      <c r="U23" s="9"/>
      <c r="X23" s="4"/>
    </row>
    <row r="24" spans="2:25" ht="17.399999999999999" x14ac:dyDescent="0.3">
      <c r="B24" s="431">
        <v>1</v>
      </c>
      <c r="C24" s="432" t="s">
        <v>302</v>
      </c>
      <c r="D24" s="433">
        <v>0.76</v>
      </c>
      <c r="E24" s="433">
        <v>0.27</v>
      </c>
      <c r="F24" s="431" t="s">
        <v>295</v>
      </c>
      <c r="G24" s="434">
        <v>29836</v>
      </c>
      <c r="H24" s="434">
        <f t="shared" si="5"/>
        <v>29836</v>
      </c>
      <c r="I24" s="306"/>
      <c r="J24" s="264"/>
      <c r="K24" s="47"/>
      <c r="L24" s="435">
        <f t="shared" si="0"/>
        <v>1</v>
      </c>
      <c r="M24" s="439">
        <f t="shared" si="6"/>
        <v>0.81</v>
      </c>
      <c r="N24" s="439">
        <f t="shared" si="7"/>
        <v>0.27</v>
      </c>
      <c r="O24" s="260">
        <f t="shared" si="1"/>
        <v>0.21870000000000003</v>
      </c>
      <c r="P24" s="258">
        <f t="shared" si="2"/>
        <v>0.21870000000000003</v>
      </c>
      <c r="Q24" s="251">
        <f t="shared" si="3"/>
        <v>29503.377157147876</v>
      </c>
      <c r="R24" s="305">
        <f t="shared" si="4"/>
        <v>32503.377157147876</v>
      </c>
      <c r="S24" s="290">
        <f t="shared" si="8"/>
        <v>0.81</v>
      </c>
      <c r="T24" s="46"/>
      <c r="U24" s="9"/>
      <c r="X24" s="4"/>
    </row>
    <row r="25" spans="2:25" ht="17.399999999999999" x14ac:dyDescent="0.3">
      <c r="B25" s="431">
        <v>3</v>
      </c>
      <c r="C25" s="432" t="s">
        <v>302</v>
      </c>
      <c r="D25" s="433">
        <v>0.76</v>
      </c>
      <c r="E25" s="433">
        <v>0.47699999999999998</v>
      </c>
      <c r="F25" s="431" t="s">
        <v>295</v>
      </c>
      <c r="G25" s="434">
        <v>50411</v>
      </c>
      <c r="H25" s="434">
        <f t="shared" si="5"/>
        <v>151233</v>
      </c>
      <c r="I25" s="306"/>
      <c r="J25" s="264"/>
      <c r="K25" s="47"/>
      <c r="L25" s="435">
        <f t="shared" si="0"/>
        <v>3</v>
      </c>
      <c r="M25" s="439">
        <f t="shared" si="6"/>
        <v>0.81</v>
      </c>
      <c r="N25" s="439">
        <f t="shared" si="7"/>
        <v>0.47699999999999998</v>
      </c>
      <c r="O25" s="260">
        <f t="shared" si="1"/>
        <v>0.38636999999999999</v>
      </c>
      <c r="P25" s="258">
        <f t="shared" si="2"/>
        <v>1.1591100000000001</v>
      </c>
      <c r="Q25" s="251">
        <f t="shared" si="3"/>
        <v>52122.632977627902</v>
      </c>
      <c r="R25" s="305">
        <f t="shared" si="4"/>
        <v>55122.632977627902</v>
      </c>
      <c r="S25" s="290">
        <f t="shared" si="8"/>
        <v>2.4300000000000002</v>
      </c>
      <c r="T25" s="46"/>
      <c r="U25" s="9"/>
      <c r="X25" s="4"/>
    </row>
    <row r="26" spans="2:25" ht="17.399999999999999" x14ac:dyDescent="0.3">
      <c r="B26" s="431">
        <v>2</v>
      </c>
      <c r="C26" s="432" t="s">
        <v>302</v>
      </c>
      <c r="D26" s="433">
        <v>0.76</v>
      </c>
      <c r="E26" s="433">
        <v>0.47199999999999998</v>
      </c>
      <c r="F26" s="431" t="s">
        <v>295</v>
      </c>
      <c r="G26" s="434">
        <v>49914</v>
      </c>
      <c r="H26" s="434">
        <f t="shared" si="5"/>
        <v>99828</v>
      </c>
      <c r="I26" s="306"/>
      <c r="J26" s="264"/>
      <c r="K26" s="47"/>
      <c r="L26" s="435">
        <f t="shared" si="0"/>
        <v>2</v>
      </c>
      <c r="M26" s="439">
        <f t="shared" si="6"/>
        <v>0.81</v>
      </c>
      <c r="N26" s="439">
        <f t="shared" si="7"/>
        <v>0.47199999999999998</v>
      </c>
      <c r="O26" s="260">
        <f t="shared" si="1"/>
        <v>0.38231999999999999</v>
      </c>
      <c r="P26" s="258">
        <f t="shared" si="2"/>
        <v>0.76463999999999999</v>
      </c>
      <c r="Q26" s="251">
        <f t="shared" si="3"/>
        <v>51576.274141384427</v>
      </c>
      <c r="R26" s="305">
        <f t="shared" si="4"/>
        <v>54576.274141384427</v>
      </c>
      <c r="S26" s="290">
        <f t="shared" si="8"/>
        <v>1.62</v>
      </c>
      <c r="T26" s="46"/>
      <c r="U26" s="9"/>
      <c r="X26" s="4"/>
    </row>
    <row r="27" spans="2:25" ht="17.399999999999999" x14ac:dyDescent="0.3">
      <c r="B27" s="431">
        <v>2</v>
      </c>
      <c r="C27" s="432" t="s">
        <v>302</v>
      </c>
      <c r="D27" s="433">
        <v>0.76</v>
      </c>
      <c r="E27" s="433">
        <v>0.44600000000000001</v>
      </c>
      <c r="F27" s="431" t="s">
        <v>295</v>
      </c>
      <c r="G27" s="434">
        <v>47329</v>
      </c>
      <c r="H27" s="434">
        <f t="shared" si="5"/>
        <v>94658</v>
      </c>
      <c r="I27" s="306"/>
      <c r="J27" s="264"/>
      <c r="K27" s="47"/>
      <c r="L27" s="435">
        <f t="shared" si="0"/>
        <v>2</v>
      </c>
      <c r="M27" s="443">
        <f t="shared" si="6"/>
        <v>0.81</v>
      </c>
      <c r="N27" s="443">
        <f t="shared" si="7"/>
        <v>0.44600000000000001</v>
      </c>
      <c r="O27" s="260">
        <f t="shared" si="1"/>
        <v>0.36126000000000003</v>
      </c>
      <c r="P27" s="258">
        <f t="shared" si="2"/>
        <v>0.72252000000000005</v>
      </c>
      <c r="Q27" s="251">
        <f t="shared" si="3"/>
        <v>48735.208192918333</v>
      </c>
      <c r="R27" s="305">
        <f t="shared" si="4"/>
        <v>51735.208192918333</v>
      </c>
      <c r="S27" s="290">
        <f t="shared" si="8"/>
        <v>1.62</v>
      </c>
      <c r="T27" s="46"/>
      <c r="U27" s="9"/>
      <c r="X27" s="4"/>
    </row>
    <row r="28" spans="2:25" ht="17.399999999999999" x14ac:dyDescent="0.3">
      <c r="B28" s="431">
        <v>1</v>
      </c>
      <c r="C28" s="432" t="s">
        <v>302</v>
      </c>
      <c r="D28" s="433">
        <v>0.76</v>
      </c>
      <c r="E28" s="433">
        <v>0.59499999999999997</v>
      </c>
      <c r="F28" s="431" t="s">
        <v>295</v>
      </c>
      <c r="G28" s="434">
        <v>62139</v>
      </c>
      <c r="H28" s="434">
        <f t="shared" si="5"/>
        <v>62139</v>
      </c>
      <c r="I28" s="306"/>
      <c r="J28" s="264"/>
      <c r="K28" s="47"/>
      <c r="L28" s="435">
        <f t="shared" si="0"/>
        <v>1</v>
      </c>
      <c r="M28" s="443">
        <f t="shared" si="6"/>
        <v>0.81</v>
      </c>
      <c r="N28" s="443">
        <f t="shared" si="7"/>
        <v>0.59499999999999997</v>
      </c>
      <c r="O28" s="260">
        <f t="shared" si="1"/>
        <v>0.48194999999999999</v>
      </c>
      <c r="P28" s="258">
        <f t="shared" si="2"/>
        <v>0.48194999999999999</v>
      </c>
      <c r="Q28" s="251">
        <f t="shared" si="3"/>
        <v>65016.70151297401</v>
      </c>
      <c r="R28" s="305">
        <f t="shared" si="4"/>
        <v>68016.701512974018</v>
      </c>
      <c r="S28" s="290">
        <f t="shared" si="8"/>
        <v>0.81</v>
      </c>
      <c r="T28" s="46"/>
      <c r="U28" s="9"/>
      <c r="X28" s="4"/>
    </row>
    <row r="29" spans="2:25" ht="17.399999999999999" x14ac:dyDescent="0.3">
      <c r="B29" s="431">
        <v>1</v>
      </c>
      <c r="C29" s="432" t="s">
        <v>302</v>
      </c>
      <c r="D29" s="433">
        <v>0.76</v>
      </c>
      <c r="E29" s="433">
        <v>0.62</v>
      </c>
      <c r="F29" s="431" t="s">
        <v>295</v>
      </c>
      <c r="G29" s="434">
        <v>64624</v>
      </c>
      <c r="H29" s="434">
        <f t="shared" si="5"/>
        <v>64624</v>
      </c>
      <c r="I29" s="306"/>
      <c r="J29" s="264"/>
      <c r="K29" s="47"/>
      <c r="L29" s="435">
        <f t="shared" si="0"/>
        <v>1</v>
      </c>
      <c r="M29" s="443">
        <f t="shared" si="6"/>
        <v>0.81</v>
      </c>
      <c r="N29" s="443">
        <f t="shared" si="7"/>
        <v>0.62</v>
      </c>
      <c r="O29" s="260">
        <f t="shared" si="1"/>
        <v>0.50219999999999998</v>
      </c>
      <c r="P29" s="258">
        <f t="shared" si="2"/>
        <v>0.50219999999999998</v>
      </c>
      <c r="Q29" s="251">
        <f t="shared" si="3"/>
        <v>67748.495694191399</v>
      </c>
      <c r="R29" s="305">
        <f t="shared" si="4"/>
        <v>70748.495694191399</v>
      </c>
      <c r="S29" s="290">
        <f t="shared" si="8"/>
        <v>0.81</v>
      </c>
      <c r="T29" s="46"/>
      <c r="U29" s="9"/>
      <c r="X29" s="4"/>
    </row>
    <row r="30" spans="2:25" ht="17.399999999999999" x14ac:dyDescent="0.3">
      <c r="B30" s="431">
        <v>2</v>
      </c>
      <c r="C30" s="432" t="s">
        <v>263</v>
      </c>
      <c r="D30" s="433">
        <v>1.1200000000000001</v>
      </c>
      <c r="E30" s="433">
        <v>0.31900000000000001</v>
      </c>
      <c r="F30" s="431" t="s">
        <v>300</v>
      </c>
      <c r="G30" s="434">
        <v>29071</v>
      </c>
      <c r="H30" s="434">
        <f t="shared" si="5"/>
        <v>58142</v>
      </c>
      <c r="I30" s="306"/>
      <c r="J30" s="264"/>
      <c r="K30" s="47">
        <v>1</v>
      </c>
      <c r="L30" s="435"/>
      <c r="M30" s="39">
        <f t="shared" si="6"/>
        <v>1.1700000000000002</v>
      </c>
      <c r="N30" s="39">
        <f t="shared" si="7"/>
        <v>0.31900000000000001</v>
      </c>
      <c r="O30" s="260">
        <f t="shared" si="1"/>
        <v>0.37323000000000006</v>
      </c>
      <c r="P30" s="258">
        <f t="shared" si="2"/>
        <v>0</v>
      </c>
      <c r="Q30" s="251">
        <f t="shared" si="3"/>
        <v>50350.002086704626</v>
      </c>
      <c r="R30" s="305">
        <f t="shared" si="4"/>
        <v>53350.002086704626</v>
      </c>
      <c r="S30" s="290">
        <f t="shared" si="8"/>
        <v>0</v>
      </c>
      <c r="T30" s="46"/>
      <c r="U30" s="9"/>
      <c r="X30" s="4"/>
    </row>
    <row r="31" spans="2:25" ht="17.399999999999999" x14ac:dyDescent="0.3">
      <c r="B31" s="431">
        <v>2</v>
      </c>
      <c r="C31" s="432" t="s">
        <v>263</v>
      </c>
      <c r="D31" s="433">
        <v>0.63</v>
      </c>
      <c r="E31" s="433">
        <v>0.32100000000000001</v>
      </c>
      <c r="F31" s="431" t="s">
        <v>300</v>
      </c>
      <c r="G31" s="434">
        <v>18247</v>
      </c>
      <c r="H31" s="434">
        <f t="shared" si="5"/>
        <v>36494</v>
      </c>
      <c r="I31" s="306"/>
      <c r="J31" s="264"/>
      <c r="K31" s="47"/>
      <c r="L31" s="435"/>
      <c r="M31" s="437">
        <f t="shared" si="6"/>
        <v>0.68</v>
      </c>
      <c r="N31" s="437">
        <f t="shared" si="7"/>
        <v>0.32100000000000001</v>
      </c>
      <c r="O31" s="260">
        <f t="shared" si="1"/>
        <v>0.21828000000000003</v>
      </c>
      <c r="P31" s="258">
        <f t="shared" si="2"/>
        <v>0</v>
      </c>
      <c r="Q31" s="251">
        <f t="shared" si="3"/>
        <v>29446.717722278179</v>
      </c>
      <c r="R31" s="305">
        <f t="shared" si="4"/>
        <v>32446.717722278179</v>
      </c>
      <c r="S31" s="290">
        <f t="shared" si="8"/>
        <v>0</v>
      </c>
      <c r="T31" s="46"/>
      <c r="U31" s="9"/>
      <c r="X31" s="4"/>
    </row>
    <row r="32" spans="2:25" ht="17.399999999999999" x14ac:dyDescent="0.3">
      <c r="B32" s="431">
        <v>1</v>
      </c>
      <c r="C32" s="432" t="s">
        <v>263</v>
      </c>
      <c r="D32" s="433">
        <v>0.6</v>
      </c>
      <c r="E32" s="433">
        <v>0.64</v>
      </c>
      <c r="F32" s="431" t="s">
        <v>300</v>
      </c>
      <c r="G32" s="434">
        <v>32058</v>
      </c>
      <c r="H32" s="434">
        <f t="shared" si="5"/>
        <v>32058</v>
      </c>
      <c r="I32" s="306"/>
      <c r="J32" s="264"/>
      <c r="K32" s="47"/>
      <c r="L32" s="435"/>
      <c r="M32" s="437">
        <f t="shared" si="6"/>
        <v>0.65</v>
      </c>
      <c r="N32" s="437">
        <f t="shared" si="7"/>
        <v>0.64</v>
      </c>
      <c r="O32" s="260">
        <f t="shared" si="1"/>
        <v>0.41600000000000004</v>
      </c>
      <c r="P32" s="258">
        <f t="shared" si="2"/>
        <v>0</v>
      </c>
      <c r="Q32" s="251">
        <f t="shared" si="3"/>
        <v>56119.821204268475</v>
      </c>
      <c r="R32" s="305">
        <f t="shared" si="4"/>
        <v>59119.821204268475</v>
      </c>
      <c r="S32" s="290">
        <f t="shared" si="8"/>
        <v>0</v>
      </c>
      <c r="T32" s="46"/>
      <c r="U32" s="9"/>
      <c r="X32" s="4"/>
    </row>
    <row r="33" spans="2:24" ht="17.399999999999999" x14ac:dyDescent="0.3">
      <c r="B33" s="431">
        <v>2</v>
      </c>
      <c r="C33" s="432" t="s">
        <v>263</v>
      </c>
      <c r="D33" s="433">
        <v>0.84</v>
      </c>
      <c r="E33" s="433">
        <v>0.44700000000000001</v>
      </c>
      <c r="F33" s="431" t="s">
        <v>300</v>
      </c>
      <c r="G33" s="434">
        <v>30789</v>
      </c>
      <c r="H33" s="434">
        <f t="shared" si="5"/>
        <v>61578</v>
      </c>
      <c r="I33" s="306"/>
      <c r="J33" s="264"/>
      <c r="K33" s="47">
        <v>1</v>
      </c>
      <c r="L33" s="435"/>
      <c r="M33" s="440">
        <f t="shared" si="6"/>
        <v>0.89</v>
      </c>
      <c r="N33" s="440">
        <f t="shared" si="7"/>
        <v>0.44700000000000001</v>
      </c>
      <c r="O33" s="260">
        <f t="shared" si="1"/>
        <v>0.39783000000000002</v>
      </c>
      <c r="P33" s="258">
        <f t="shared" si="2"/>
        <v>0</v>
      </c>
      <c r="Q33" s="251">
        <f t="shared" si="3"/>
        <v>53668.626129072414</v>
      </c>
      <c r="R33" s="305">
        <f t="shared" si="4"/>
        <v>56668.626129072414</v>
      </c>
      <c r="S33" s="290">
        <f t="shared" si="8"/>
        <v>0</v>
      </c>
      <c r="T33" s="46"/>
      <c r="U33" s="9"/>
      <c r="X33" s="4"/>
    </row>
    <row r="34" spans="2:24" ht="17.399999999999999" x14ac:dyDescent="0.3">
      <c r="B34" s="431">
        <v>1</v>
      </c>
      <c r="C34" s="432" t="s">
        <v>263</v>
      </c>
      <c r="D34" s="433">
        <v>0.84</v>
      </c>
      <c r="E34" s="433">
        <v>0.62</v>
      </c>
      <c r="F34" s="431" t="s">
        <v>300</v>
      </c>
      <c r="G34" s="434">
        <v>41544</v>
      </c>
      <c r="H34" s="434">
        <f t="shared" si="5"/>
        <v>41544</v>
      </c>
      <c r="I34" s="306"/>
      <c r="J34" s="264"/>
      <c r="K34" s="47"/>
      <c r="L34" s="435"/>
      <c r="M34" s="39">
        <f t="shared" si="6"/>
        <v>0.89</v>
      </c>
      <c r="N34" s="39">
        <f t="shared" si="7"/>
        <v>0.62</v>
      </c>
      <c r="O34" s="260">
        <f t="shared" si="1"/>
        <v>0.55179999999999996</v>
      </c>
      <c r="P34" s="258">
        <f t="shared" si="2"/>
        <v>0</v>
      </c>
      <c r="Q34" s="251">
        <f t="shared" si="3"/>
        <v>74439.705145469561</v>
      </c>
      <c r="R34" s="305">
        <f t="shared" si="4"/>
        <v>77439.705145469561</v>
      </c>
      <c r="S34" s="290">
        <f t="shared" si="8"/>
        <v>0</v>
      </c>
      <c r="T34" s="46"/>
      <c r="U34" s="9"/>
      <c r="X34" s="4"/>
    </row>
    <row r="35" spans="2:24" ht="17.399999999999999" x14ac:dyDescent="0.3">
      <c r="B35" s="431">
        <v>4</v>
      </c>
      <c r="C35" s="432" t="s">
        <v>263</v>
      </c>
      <c r="D35" s="433">
        <v>0.84</v>
      </c>
      <c r="E35" s="433">
        <v>0.44700000000000001</v>
      </c>
      <c r="F35" s="431" t="s">
        <v>300</v>
      </c>
      <c r="G35" s="434">
        <v>30789</v>
      </c>
      <c r="H35" s="434">
        <f t="shared" si="5"/>
        <v>123156</v>
      </c>
      <c r="I35" s="306"/>
      <c r="J35" s="264"/>
      <c r="K35" s="47"/>
      <c r="L35" s="435"/>
      <c r="M35" s="440">
        <f t="shared" si="6"/>
        <v>0.89</v>
      </c>
      <c r="N35" s="440">
        <f t="shared" si="7"/>
        <v>0.44700000000000001</v>
      </c>
      <c r="O35" s="260">
        <f t="shared" si="1"/>
        <v>0.39783000000000002</v>
      </c>
      <c r="P35" s="258">
        <f t="shared" si="2"/>
        <v>0</v>
      </c>
      <c r="Q35" s="251">
        <f t="shared" si="3"/>
        <v>53668.626129072414</v>
      </c>
      <c r="R35" s="305">
        <f t="shared" si="4"/>
        <v>56668.626129072414</v>
      </c>
      <c r="S35" s="290">
        <f t="shared" si="8"/>
        <v>0</v>
      </c>
      <c r="T35" s="46"/>
      <c r="U35" s="9"/>
      <c r="X35" s="4"/>
    </row>
    <row r="36" spans="2:24" ht="17.399999999999999" x14ac:dyDescent="0.3">
      <c r="B36" s="431">
        <v>1</v>
      </c>
      <c r="C36" s="432" t="s">
        <v>263</v>
      </c>
      <c r="D36" s="433">
        <v>0.84</v>
      </c>
      <c r="E36" s="433">
        <v>0.62</v>
      </c>
      <c r="F36" s="431" t="s">
        <v>300</v>
      </c>
      <c r="G36" s="434">
        <v>41544</v>
      </c>
      <c r="H36" s="434">
        <f t="shared" si="5"/>
        <v>41544</v>
      </c>
      <c r="I36" s="306"/>
      <c r="J36" s="264"/>
      <c r="K36" s="47"/>
      <c r="L36" s="435"/>
      <c r="M36" s="39">
        <f t="shared" si="6"/>
        <v>0.89</v>
      </c>
      <c r="N36" s="39">
        <f t="shared" si="7"/>
        <v>0.62</v>
      </c>
      <c r="O36" s="260">
        <f t="shared" si="1"/>
        <v>0.55179999999999996</v>
      </c>
      <c r="P36" s="258">
        <f t="shared" si="2"/>
        <v>0</v>
      </c>
      <c r="Q36" s="251">
        <f t="shared" si="3"/>
        <v>74439.705145469561</v>
      </c>
      <c r="R36" s="305">
        <f t="shared" si="4"/>
        <v>77439.705145469561</v>
      </c>
      <c r="S36" s="290">
        <f t="shared" si="8"/>
        <v>0</v>
      </c>
      <c r="T36" s="46"/>
      <c r="U36" s="9"/>
      <c r="X36" s="4"/>
    </row>
    <row r="37" spans="2:24" ht="17.399999999999999" x14ac:dyDescent="0.3">
      <c r="B37" s="431">
        <v>4</v>
      </c>
      <c r="C37" s="432" t="s">
        <v>263</v>
      </c>
      <c r="D37" s="433">
        <v>0.84</v>
      </c>
      <c r="E37" s="433">
        <v>0.44700000000000001</v>
      </c>
      <c r="F37" s="431" t="s">
        <v>300</v>
      </c>
      <c r="G37" s="434">
        <v>30789</v>
      </c>
      <c r="H37" s="434">
        <f t="shared" si="5"/>
        <v>123156</v>
      </c>
      <c r="I37" s="306"/>
      <c r="J37" s="264"/>
      <c r="K37" s="47">
        <v>1</v>
      </c>
      <c r="L37" s="435"/>
      <c r="M37" s="441">
        <f t="shared" si="6"/>
        <v>0.89</v>
      </c>
      <c r="N37" s="441">
        <f t="shared" si="7"/>
        <v>0.44700000000000001</v>
      </c>
      <c r="O37" s="260">
        <f t="shared" si="1"/>
        <v>0.39783000000000002</v>
      </c>
      <c r="P37" s="258">
        <f t="shared" si="2"/>
        <v>0</v>
      </c>
      <c r="Q37" s="251">
        <f t="shared" si="3"/>
        <v>53668.626129072414</v>
      </c>
      <c r="R37" s="305">
        <f t="shared" si="4"/>
        <v>56668.626129072414</v>
      </c>
      <c r="S37" s="290">
        <f t="shared" si="8"/>
        <v>0</v>
      </c>
      <c r="T37" s="46"/>
      <c r="U37" s="9"/>
      <c r="X37" s="4"/>
    </row>
    <row r="38" spans="2:24" ht="17.399999999999999" x14ac:dyDescent="0.3">
      <c r="B38" s="431">
        <v>1</v>
      </c>
      <c r="C38" s="432" t="s">
        <v>263</v>
      </c>
      <c r="D38" s="433">
        <v>0.88</v>
      </c>
      <c r="E38" s="433">
        <v>0.64</v>
      </c>
      <c r="F38" s="431" t="s">
        <v>300</v>
      </c>
      <c r="G38" s="434">
        <v>44576</v>
      </c>
      <c r="H38" s="434">
        <f t="shared" si="5"/>
        <v>44576</v>
      </c>
      <c r="I38" s="306"/>
      <c r="J38" s="264"/>
      <c r="K38" s="47"/>
      <c r="L38" s="435"/>
      <c r="M38" s="436">
        <f t="shared" si="6"/>
        <v>0.93</v>
      </c>
      <c r="N38" s="436">
        <f t="shared" si="7"/>
        <v>0.64</v>
      </c>
      <c r="O38" s="260">
        <f t="shared" si="1"/>
        <v>0.59520000000000006</v>
      </c>
      <c r="P38" s="258">
        <f t="shared" si="2"/>
        <v>0</v>
      </c>
      <c r="Q38" s="251">
        <f t="shared" si="3"/>
        <v>80294.513415337977</v>
      </c>
      <c r="R38" s="305">
        <f t="shared" si="4"/>
        <v>83294.513415337977</v>
      </c>
      <c r="S38" s="290">
        <f t="shared" si="8"/>
        <v>0</v>
      </c>
      <c r="T38" s="46"/>
      <c r="U38" s="9"/>
      <c r="X38" s="4"/>
    </row>
    <row r="39" spans="2:24" ht="17.399999999999999" x14ac:dyDescent="0.3">
      <c r="B39" s="431">
        <v>2</v>
      </c>
      <c r="C39" s="432" t="s">
        <v>263</v>
      </c>
      <c r="D39" s="433">
        <v>2.23</v>
      </c>
      <c r="E39" s="433">
        <v>0.495</v>
      </c>
      <c r="F39" s="431" t="s">
        <v>300</v>
      </c>
      <c r="G39" s="434">
        <v>81835</v>
      </c>
      <c r="H39" s="434">
        <f t="shared" si="5"/>
        <v>163670</v>
      </c>
      <c r="I39" s="306"/>
      <c r="J39" s="264"/>
      <c r="K39" s="47">
        <v>1</v>
      </c>
      <c r="L39" s="435"/>
      <c r="M39" s="439">
        <f t="shared" si="6"/>
        <v>2.2799999999999998</v>
      </c>
      <c r="N39" s="439">
        <f t="shared" si="7"/>
        <v>0.495</v>
      </c>
      <c r="O39" s="260">
        <f t="shared" si="1"/>
        <v>1.1285999999999998</v>
      </c>
      <c r="P39" s="258">
        <f t="shared" si="2"/>
        <v>0</v>
      </c>
      <c r="Q39" s="251">
        <f t="shared" si="3"/>
        <v>152251.99569984947</v>
      </c>
      <c r="R39" s="305">
        <f t="shared" si="4"/>
        <v>155251.99569984947</v>
      </c>
      <c r="S39" s="290">
        <f t="shared" si="8"/>
        <v>0</v>
      </c>
      <c r="T39" s="46"/>
      <c r="U39" s="9"/>
      <c r="X39" s="4"/>
    </row>
    <row r="40" spans="2:24" ht="17.399999999999999" x14ac:dyDescent="0.3">
      <c r="B40" s="431">
        <v>2</v>
      </c>
      <c r="C40" s="432" t="s">
        <v>263</v>
      </c>
      <c r="D40" s="433">
        <v>0.76</v>
      </c>
      <c r="E40" s="433">
        <v>0.372</v>
      </c>
      <c r="F40" s="431" t="s">
        <v>300</v>
      </c>
      <c r="G40" s="434">
        <v>24048</v>
      </c>
      <c r="H40" s="434">
        <f t="shared" si="5"/>
        <v>48096</v>
      </c>
      <c r="I40" s="306"/>
      <c r="J40" s="264"/>
      <c r="K40" s="47"/>
      <c r="L40" s="435"/>
      <c r="M40" s="439">
        <f t="shared" si="6"/>
        <v>0.81</v>
      </c>
      <c r="N40" s="439">
        <f t="shared" si="7"/>
        <v>0.372</v>
      </c>
      <c r="O40" s="260">
        <f t="shared" si="1"/>
        <v>0.30132000000000003</v>
      </c>
      <c r="P40" s="258">
        <f t="shared" si="2"/>
        <v>0</v>
      </c>
      <c r="Q40" s="251">
        <f t="shared" si="3"/>
        <v>40649.097416514851</v>
      </c>
      <c r="R40" s="305">
        <f t="shared" si="4"/>
        <v>43649.097416514851</v>
      </c>
      <c r="S40" s="290">
        <f t="shared" si="8"/>
        <v>0</v>
      </c>
      <c r="T40" s="46"/>
      <c r="U40" s="9"/>
      <c r="X40" s="4"/>
    </row>
    <row r="41" spans="2:24" ht="17.399999999999999" x14ac:dyDescent="0.3">
      <c r="B41" s="431">
        <v>1</v>
      </c>
      <c r="C41" s="432" t="s">
        <v>263</v>
      </c>
      <c r="D41" s="433">
        <v>0.76</v>
      </c>
      <c r="E41" s="433">
        <v>0.505</v>
      </c>
      <c r="F41" s="431" t="s">
        <v>300</v>
      </c>
      <c r="G41" s="434">
        <v>31573</v>
      </c>
      <c r="H41" s="434">
        <f t="shared" si="5"/>
        <v>31573</v>
      </c>
      <c r="I41" s="306"/>
      <c r="J41" s="264"/>
      <c r="K41" s="47"/>
      <c r="L41" s="435"/>
      <c r="M41" s="441">
        <f t="shared" si="6"/>
        <v>0.81</v>
      </c>
      <c r="N41" s="441">
        <f t="shared" si="7"/>
        <v>0.505</v>
      </c>
      <c r="O41" s="260">
        <f t="shared" si="1"/>
        <v>0.40905000000000002</v>
      </c>
      <c r="P41" s="258">
        <f t="shared" si="2"/>
        <v>0</v>
      </c>
      <c r="Q41" s="251">
        <f t="shared" si="3"/>
        <v>55182.242460591391</v>
      </c>
      <c r="R41" s="305">
        <f t="shared" si="4"/>
        <v>58182.242460591391</v>
      </c>
      <c r="S41" s="290">
        <f t="shared" si="8"/>
        <v>0</v>
      </c>
      <c r="T41" s="46"/>
      <c r="U41" s="9"/>
      <c r="X41" s="4"/>
    </row>
    <row r="42" spans="2:24" ht="17.399999999999999" x14ac:dyDescent="0.3">
      <c r="B42" s="431">
        <v>1</v>
      </c>
      <c r="C42" s="432" t="s">
        <v>263</v>
      </c>
      <c r="D42" s="433">
        <v>0.76</v>
      </c>
      <c r="E42" s="433">
        <v>0.52</v>
      </c>
      <c r="F42" s="431" t="s">
        <v>300</v>
      </c>
      <c r="G42" s="434">
        <v>32422</v>
      </c>
      <c r="H42" s="434">
        <f t="shared" si="5"/>
        <v>32422</v>
      </c>
      <c r="I42" s="306"/>
      <c r="J42" s="264"/>
      <c r="K42" s="47"/>
      <c r="L42" s="435"/>
      <c r="M42" s="441">
        <f t="shared" si="6"/>
        <v>0.81</v>
      </c>
      <c r="N42" s="441">
        <f t="shared" si="7"/>
        <v>0.52</v>
      </c>
      <c r="O42" s="260">
        <f t="shared" si="1"/>
        <v>0.42120000000000002</v>
      </c>
      <c r="P42" s="258">
        <f t="shared" si="2"/>
        <v>0</v>
      </c>
      <c r="Q42" s="251">
        <f t="shared" si="3"/>
        <v>56821.318969321823</v>
      </c>
      <c r="R42" s="305">
        <f t="shared" si="4"/>
        <v>59821.318969321823</v>
      </c>
      <c r="S42" s="290">
        <f t="shared" si="8"/>
        <v>0</v>
      </c>
      <c r="T42" s="46"/>
      <c r="U42" s="9"/>
      <c r="X42" s="4"/>
    </row>
    <row r="43" spans="2:24" ht="17.399999999999999" x14ac:dyDescent="0.3">
      <c r="B43" s="431">
        <v>2</v>
      </c>
      <c r="C43" s="432" t="s">
        <v>263</v>
      </c>
      <c r="D43" s="433">
        <v>0.76</v>
      </c>
      <c r="E43" s="433">
        <v>0.30199999999999999</v>
      </c>
      <c r="F43" s="431" t="s">
        <v>300</v>
      </c>
      <c r="G43" s="434">
        <v>20087</v>
      </c>
      <c r="H43" s="434">
        <f t="shared" si="5"/>
        <v>40174</v>
      </c>
      <c r="I43" s="306"/>
      <c r="J43" s="264"/>
      <c r="K43" s="47">
        <v>1</v>
      </c>
      <c r="L43" s="435"/>
      <c r="M43" s="436">
        <f t="shared" si="6"/>
        <v>0.81</v>
      </c>
      <c r="N43" s="436">
        <f t="shared" si="7"/>
        <v>0.30199999999999999</v>
      </c>
      <c r="O43" s="260">
        <f t="shared" si="1"/>
        <v>0.24462</v>
      </c>
      <c r="P43" s="258">
        <f t="shared" si="2"/>
        <v>0</v>
      </c>
      <c r="Q43" s="251">
        <f t="shared" si="3"/>
        <v>33000.073709106138</v>
      </c>
      <c r="R43" s="305">
        <f t="shared" si="4"/>
        <v>36000.073709106138</v>
      </c>
      <c r="S43" s="290">
        <f t="shared" si="8"/>
        <v>0</v>
      </c>
      <c r="T43" s="46"/>
      <c r="U43" s="9"/>
      <c r="X43" s="4"/>
    </row>
    <row r="44" spans="2:24" ht="17.399999999999999" x14ac:dyDescent="0.3">
      <c r="B44" s="431">
        <v>2</v>
      </c>
      <c r="C44" s="432" t="s">
        <v>263</v>
      </c>
      <c r="D44" s="433">
        <v>0.46</v>
      </c>
      <c r="E44" s="433">
        <v>0.33</v>
      </c>
      <c r="F44" s="431" t="s">
        <v>300</v>
      </c>
      <c r="G44" s="434">
        <v>14756</v>
      </c>
      <c r="H44" s="434">
        <f t="shared" si="5"/>
        <v>29512</v>
      </c>
      <c r="I44" s="306"/>
      <c r="J44" s="264"/>
      <c r="K44" s="47"/>
      <c r="L44" s="435"/>
      <c r="M44" s="437">
        <f t="shared" si="6"/>
        <v>0.51</v>
      </c>
      <c r="N44" s="437">
        <f t="shared" si="7"/>
        <v>0.33</v>
      </c>
      <c r="O44" s="260">
        <f t="shared" si="1"/>
        <v>0.16830000000000001</v>
      </c>
      <c r="P44" s="258">
        <f t="shared" si="2"/>
        <v>0</v>
      </c>
      <c r="Q44" s="251">
        <f t="shared" si="3"/>
        <v>22704.244972784574</v>
      </c>
      <c r="R44" s="305">
        <f t="shared" si="4"/>
        <v>25704.244972784574</v>
      </c>
      <c r="S44" s="290">
        <f t="shared" si="8"/>
        <v>0</v>
      </c>
      <c r="T44" s="46"/>
      <c r="U44" s="9"/>
      <c r="X44" s="4"/>
    </row>
    <row r="45" spans="2:24" ht="17.399999999999999" x14ac:dyDescent="0.3">
      <c r="B45" s="431">
        <v>1</v>
      </c>
      <c r="C45" s="432" t="s">
        <v>263</v>
      </c>
      <c r="D45" s="433">
        <v>0.76</v>
      </c>
      <c r="E45" s="433">
        <v>0.495</v>
      </c>
      <c r="F45" s="431" t="s">
        <v>300</v>
      </c>
      <c r="G45" s="434">
        <v>31007</v>
      </c>
      <c r="H45" s="434">
        <f t="shared" si="5"/>
        <v>31007</v>
      </c>
      <c r="I45" s="306"/>
      <c r="J45" s="264"/>
      <c r="K45" s="47"/>
      <c r="L45" s="435"/>
      <c r="M45" s="436">
        <f t="shared" si="6"/>
        <v>0.81</v>
      </c>
      <c r="N45" s="436">
        <f t="shared" si="7"/>
        <v>0.495</v>
      </c>
      <c r="O45" s="260">
        <f t="shared" si="1"/>
        <v>0.40095000000000003</v>
      </c>
      <c r="P45" s="258">
        <f t="shared" si="2"/>
        <v>0</v>
      </c>
      <c r="Q45" s="251">
        <f t="shared" si="3"/>
        <v>54089.524788104434</v>
      </c>
      <c r="R45" s="305">
        <f t="shared" si="4"/>
        <v>57089.524788104434</v>
      </c>
      <c r="S45" s="290">
        <f t="shared" si="8"/>
        <v>0</v>
      </c>
      <c r="T45" s="46"/>
      <c r="U45" s="9"/>
      <c r="X45" s="4"/>
    </row>
    <row r="46" spans="2:24" ht="17.399999999999999" x14ac:dyDescent="0.3">
      <c r="B46" s="431">
        <v>2</v>
      </c>
      <c r="C46" s="432" t="s">
        <v>263</v>
      </c>
      <c r="D46" s="433">
        <v>0.76</v>
      </c>
      <c r="E46" s="433">
        <v>0.34200000000000003</v>
      </c>
      <c r="F46" s="431" t="s">
        <v>300</v>
      </c>
      <c r="G46" s="434">
        <v>22350</v>
      </c>
      <c r="H46" s="434">
        <f t="shared" si="5"/>
        <v>44700</v>
      </c>
      <c r="I46" s="306"/>
      <c r="J46" s="264"/>
      <c r="K46" s="47"/>
      <c r="L46" s="435"/>
      <c r="M46" s="436">
        <f t="shared" si="6"/>
        <v>0.81</v>
      </c>
      <c r="N46" s="436">
        <f t="shared" si="7"/>
        <v>0.34200000000000003</v>
      </c>
      <c r="O46" s="260">
        <f t="shared" si="1"/>
        <v>0.27702000000000004</v>
      </c>
      <c r="P46" s="258">
        <f t="shared" si="2"/>
        <v>0</v>
      </c>
      <c r="Q46" s="251">
        <f t="shared" si="3"/>
        <v>37370.944399053973</v>
      </c>
      <c r="R46" s="305">
        <f t="shared" si="4"/>
        <v>40370.944399053973</v>
      </c>
      <c r="S46" s="290">
        <f t="shared" si="8"/>
        <v>0</v>
      </c>
      <c r="T46" s="46"/>
      <c r="U46" s="9"/>
      <c r="X46" s="4"/>
    </row>
    <row r="47" spans="2:24" ht="17.399999999999999" x14ac:dyDescent="0.3">
      <c r="B47" s="431">
        <v>3</v>
      </c>
      <c r="C47" s="432" t="s">
        <v>263</v>
      </c>
      <c r="D47" s="433">
        <v>2.23</v>
      </c>
      <c r="E47" s="433">
        <v>0.46300000000000002</v>
      </c>
      <c r="F47" s="431" t="s">
        <v>300</v>
      </c>
      <c r="G47" s="434">
        <v>76739</v>
      </c>
      <c r="H47" s="434">
        <f t="shared" si="5"/>
        <v>230217</v>
      </c>
      <c r="I47" s="306"/>
      <c r="J47" s="264"/>
      <c r="K47" s="47">
        <v>3</v>
      </c>
      <c r="L47" s="435"/>
      <c r="M47" s="437">
        <f t="shared" si="6"/>
        <v>2.2799999999999998</v>
      </c>
      <c r="N47" s="437">
        <f t="shared" si="7"/>
        <v>0.46300000000000002</v>
      </c>
      <c r="O47" s="260">
        <f t="shared" si="1"/>
        <v>1.0556399999999999</v>
      </c>
      <c r="P47" s="258">
        <f t="shared" si="2"/>
        <v>0</v>
      </c>
      <c r="Q47" s="251">
        <f t="shared" si="3"/>
        <v>142409.44244248548</v>
      </c>
      <c r="R47" s="305">
        <f t="shared" si="4"/>
        <v>145409.44244248548</v>
      </c>
      <c r="S47" s="290">
        <f t="shared" si="8"/>
        <v>0</v>
      </c>
      <c r="T47" s="46"/>
      <c r="U47" s="9"/>
      <c r="X47" s="4"/>
    </row>
    <row r="48" spans="2:24" ht="17.399999999999999" x14ac:dyDescent="0.3">
      <c r="B48" s="431">
        <v>3</v>
      </c>
      <c r="C48" s="432" t="s">
        <v>263</v>
      </c>
      <c r="D48" s="433">
        <v>2.2999999999999998</v>
      </c>
      <c r="E48" s="433">
        <v>0.41699999999999998</v>
      </c>
      <c r="F48" s="431" t="s">
        <v>300</v>
      </c>
      <c r="G48" s="434">
        <v>71452</v>
      </c>
      <c r="H48" s="434">
        <f t="shared" si="5"/>
        <v>214356</v>
      </c>
      <c r="I48" s="306"/>
      <c r="J48" s="264"/>
      <c r="K48" s="47"/>
      <c r="L48" s="435"/>
      <c r="M48" s="437">
        <f t="shared" si="6"/>
        <v>2.3499999999999996</v>
      </c>
      <c r="N48" s="437">
        <f t="shared" si="7"/>
        <v>0.41699999999999998</v>
      </c>
      <c r="O48" s="260">
        <f t="shared" si="1"/>
        <v>0.97994999999999977</v>
      </c>
      <c r="P48" s="258">
        <f t="shared" si="2"/>
        <v>0</v>
      </c>
      <c r="Q48" s="251">
        <f t="shared" si="3"/>
        <v>132198.60285846845</v>
      </c>
      <c r="R48" s="305">
        <f t="shared" si="4"/>
        <v>135198.60285846845</v>
      </c>
      <c r="S48" s="290">
        <f t="shared" si="8"/>
        <v>0</v>
      </c>
      <c r="T48" s="46"/>
      <c r="U48" s="9"/>
      <c r="X48" s="4"/>
    </row>
    <row r="49" spans="1:24" ht="17.399999999999999" x14ac:dyDescent="0.3">
      <c r="B49" s="283"/>
      <c r="C49" s="325"/>
      <c r="D49" s="284"/>
      <c r="E49" s="284"/>
      <c r="F49" s="283"/>
      <c r="G49" s="264"/>
      <c r="H49" s="307"/>
      <c r="I49" s="309"/>
      <c r="J49" s="233"/>
      <c r="K49" s="47"/>
      <c r="L49" s="47"/>
      <c r="M49" s="39"/>
      <c r="N49" s="39"/>
      <c r="O49" s="260"/>
      <c r="P49" s="258"/>
      <c r="Q49" s="251"/>
      <c r="R49" s="257"/>
      <c r="S49" s="290"/>
      <c r="T49" s="14"/>
      <c r="U49" s="9"/>
      <c r="X49" s="4"/>
    </row>
    <row r="50" spans="1:24" ht="18" thickBot="1" x14ac:dyDescent="0.35">
      <c r="B50" s="283"/>
      <c r="C50" s="325"/>
      <c r="D50" s="284"/>
      <c r="E50" s="284"/>
      <c r="F50" s="283"/>
      <c r="G50" s="264"/>
      <c r="H50" s="307"/>
      <c r="I50" s="309"/>
      <c r="J50" s="233"/>
      <c r="K50" s="47"/>
      <c r="L50" s="47"/>
      <c r="M50" s="39"/>
      <c r="N50" s="39"/>
      <c r="O50" s="260"/>
      <c r="P50" s="258"/>
      <c r="Q50" s="251"/>
      <c r="R50" s="257"/>
      <c r="S50" s="290"/>
      <c r="T50" s="14"/>
      <c r="U50" s="9"/>
      <c r="X50" s="4"/>
    </row>
    <row r="51" spans="1:24" ht="17.399999999999999" x14ac:dyDescent="0.3">
      <c r="B51" s="283"/>
      <c r="C51" s="283"/>
      <c r="D51" s="284"/>
      <c r="E51" s="284"/>
      <c r="F51" s="283"/>
      <c r="G51" s="310" t="s">
        <v>28</v>
      </c>
      <c r="H51" s="311">
        <f>SUM(H21:H49)</f>
        <v>2120590</v>
      </c>
      <c r="I51" s="308"/>
      <c r="J51" s="264"/>
      <c r="K51" s="47"/>
      <c r="L51" s="47"/>
      <c r="M51" s="39"/>
      <c r="N51" s="39"/>
      <c r="O51" s="260"/>
      <c r="P51" s="258"/>
      <c r="Q51" s="251"/>
      <c r="R51" s="257"/>
      <c r="S51" s="290"/>
      <c r="T51" s="46">
        <f>SUM(T21:T49)</f>
        <v>3.84</v>
      </c>
      <c r="U51" s="9"/>
      <c r="X51" s="4"/>
    </row>
    <row r="52" spans="1:24" ht="17.399999999999999" x14ac:dyDescent="0.3">
      <c r="B52" s="277"/>
      <c r="C52" s="280"/>
      <c r="D52" s="281"/>
      <c r="E52" s="281"/>
      <c r="F52" s="282"/>
      <c r="G52" s="289" t="s">
        <v>51</v>
      </c>
      <c r="H52" s="287"/>
      <c r="I52" s="308"/>
      <c r="J52" s="264"/>
      <c r="K52" s="47"/>
      <c r="L52" s="47"/>
      <c r="M52" s="39">
        <f>SUM(M21:M51)</f>
        <v>27.189999999999998</v>
      </c>
      <c r="N52" s="12"/>
      <c r="O52" s="12"/>
      <c r="P52" s="252">
        <f>SUM(P21:P49)</f>
        <v>5.3021400000000005</v>
      </c>
      <c r="Q52" s="14"/>
      <c r="R52" s="12"/>
      <c r="S52" s="239"/>
      <c r="T52" s="46"/>
      <c r="U52" s="9"/>
      <c r="X52" s="4"/>
    </row>
    <row r="53" spans="1:24" ht="18" thickBot="1" x14ac:dyDescent="0.35">
      <c r="B53" s="274"/>
      <c r="C53" s="279"/>
      <c r="D53" s="271"/>
      <c r="E53" s="271"/>
      <c r="F53" s="272"/>
      <c r="G53" s="278" t="s">
        <v>6</v>
      </c>
      <c r="H53" s="288">
        <f>H51+H52</f>
        <v>2120590</v>
      </c>
      <c r="I53" s="308"/>
      <c r="J53" s="264"/>
      <c r="K53" s="47"/>
      <c r="L53" s="47"/>
      <c r="M53" s="39"/>
      <c r="N53" s="12"/>
      <c r="O53" s="12"/>
      <c r="P53" s="252">
        <f>P52</f>
        <v>5.3021400000000005</v>
      </c>
      <c r="Q53" s="14"/>
      <c r="R53" s="12"/>
      <c r="S53" s="239">
        <f>SUM(S21:S52)</f>
        <v>10.820000000000002</v>
      </c>
      <c r="T53" s="46"/>
      <c r="U53" s="9"/>
      <c r="X53" s="4"/>
    </row>
    <row r="54" spans="1:24" ht="17.399999999999999" x14ac:dyDescent="0.3">
      <c r="B54" s="274"/>
      <c r="C54" s="270"/>
      <c r="D54" s="271"/>
      <c r="E54" s="271"/>
      <c r="F54" s="272"/>
      <c r="J54" s="264"/>
      <c r="K54" s="47"/>
      <c r="L54" s="47"/>
      <c r="M54" s="14"/>
      <c r="N54" s="12"/>
      <c r="O54" s="12"/>
      <c r="P54" s="39">
        <f>P53*20%</f>
        <v>1.0604280000000001</v>
      </c>
      <c r="Q54" s="39" t="s">
        <v>129</v>
      </c>
      <c r="R54" s="42"/>
      <c r="S54" s="240">
        <f>S53+T51</f>
        <v>14.660000000000002</v>
      </c>
      <c r="T54" s="14"/>
      <c r="U54" s="9"/>
      <c r="X54" s="4"/>
    </row>
    <row r="55" spans="1:24" ht="17.399999999999999" x14ac:dyDescent="0.35">
      <c r="B55" s="268"/>
      <c r="C55" s="230"/>
      <c r="D55" s="230"/>
      <c r="E55" s="233"/>
      <c r="F55" s="234"/>
      <c r="G55" s="230"/>
      <c r="H55" s="273"/>
      <c r="I55" s="273"/>
      <c r="J55" s="264"/>
      <c r="K55" s="47"/>
      <c r="L55" s="47"/>
      <c r="M55" s="14"/>
      <c r="N55" s="12"/>
      <c r="O55" s="12"/>
      <c r="P55" s="46">
        <f>P53+P54</f>
        <v>6.3625680000000004</v>
      </c>
      <c r="Q55" s="14"/>
      <c r="R55" s="14"/>
      <c r="S55" s="238">
        <f>S54*20%</f>
        <v>2.9320000000000004</v>
      </c>
      <c r="T55" s="14"/>
      <c r="U55" s="9"/>
      <c r="X55" s="4"/>
    </row>
    <row r="56" spans="1:24" ht="17.399999999999999" x14ac:dyDescent="0.35">
      <c r="B56" s="235"/>
      <c r="C56" s="236"/>
      <c r="D56" s="237"/>
      <c r="E56" s="235"/>
      <c r="F56" s="230"/>
      <c r="G56" s="230"/>
      <c r="I56" s="273"/>
      <c r="J56" s="264"/>
      <c r="K56" s="47"/>
      <c r="L56" s="47"/>
      <c r="M56" s="14"/>
      <c r="N56" s="14"/>
      <c r="O56" s="14"/>
      <c r="P56" s="14"/>
      <c r="Q56" s="14"/>
      <c r="R56" s="14"/>
      <c r="S56" s="240">
        <f>S54+S55</f>
        <v>17.592000000000002</v>
      </c>
      <c r="T56" s="14"/>
      <c r="U56" s="294" t="s">
        <v>21</v>
      </c>
      <c r="V56" s="291" t="s">
        <v>149</v>
      </c>
      <c r="W56" s="295">
        <v>44971</v>
      </c>
      <c r="X56" s="296"/>
    </row>
    <row r="57" spans="1:24" ht="17.399999999999999" x14ac:dyDescent="0.35">
      <c r="B57" s="230"/>
      <c r="C57" s="230"/>
      <c r="D57" s="230"/>
      <c r="E57" s="230"/>
      <c r="F57" s="230"/>
      <c r="G57" s="230"/>
      <c r="J57" s="264"/>
      <c r="K57" s="47"/>
      <c r="L57" s="47"/>
      <c r="M57" s="39" t="b">
        <f>'[2]4637'!$C$21=P55*2</f>
        <v>0</v>
      </c>
      <c r="N57" s="12">
        <v>3500</v>
      </c>
      <c r="O57" s="12">
        <f t="shared" ref="O57:O62" si="9">M57*N57</f>
        <v>0</v>
      </c>
      <c r="P57" s="14" t="s">
        <v>21</v>
      </c>
      <c r="Q57" s="14"/>
      <c r="R57" s="14"/>
      <c r="S57" s="241"/>
      <c r="T57" s="14"/>
      <c r="U57" s="294" t="s">
        <v>150</v>
      </c>
      <c r="V57" s="291">
        <v>3625</v>
      </c>
      <c r="W57" s="59" t="s">
        <v>151</v>
      </c>
      <c r="X57" s="296"/>
    </row>
    <row r="58" spans="1:24" ht="17.399999999999999" x14ac:dyDescent="0.35">
      <c r="A58" s="230"/>
      <c r="B58" s="230"/>
      <c r="C58" s="230"/>
      <c r="D58" s="230"/>
      <c r="E58" s="230"/>
      <c r="F58" s="230"/>
      <c r="G58" s="230"/>
      <c r="H58" s="230"/>
      <c r="J58" s="264"/>
      <c r="K58" s="47"/>
      <c r="L58" s="47"/>
      <c r="M58" s="248">
        <v>2</v>
      </c>
      <c r="N58" s="12">
        <v>61000</v>
      </c>
      <c r="O58" s="12">
        <f t="shared" si="9"/>
        <v>122000</v>
      </c>
      <c r="P58" s="39" t="s">
        <v>31</v>
      </c>
      <c r="Q58" s="42"/>
      <c r="R58" s="14"/>
      <c r="S58" s="240"/>
      <c r="T58" s="14"/>
      <c r="U58" s="294"/>
      <c r="V58" s="59">
        <v>906.25</v>
      </c>
      <c r="W58" s="59" t="s">
        <v>152</v>
      </c>
      <c r="X58" s="296"/>
    </row>
    <row r="59" spans="1:24" s="230" customFormat="1" ht="17.399999999999999" x14ac:dyDescent="0.35">
      <c r="B59" s="24" t="s">
        <v>148</v>
      </c>
      <c r="J59" s="261"/>
      <c r="K59" s="232"/>
      <c r="L59" s="249"/>
      <c r="M59" s="14"/>
      <c r="N59" s="249">
        <v>41788</v>
      </c>
      <c r="O59" s="12">
        <f t="shared" si="9"/>
        <v>0</v>
      </c>
      <c r="P59" s="39" t="s">
        <v>30</v>
      </c>
      <c r="Q59" s="42"/>
      <c r="S59" s="240"/>
      <c r="T59" s="255"/>
      <c r="U59" s="59"/>
      <c r="V59" s="59">
        <f>V58*20%</f>
        <v>181.25</v>
      </c>
      <c r="W59" s="296" t="s">
        <v>153</v>
      </c>
      <c r="X59" s="59"/>
    </row>
    <row r="60" spans="1:24" s="230" customFormat="1" ht="17.399999999999999" x14ac:dyDescent="0.35">
      <c r="B60" s="24" t="s">
        <v>162</v>
      </c>
      <c r="C60"/>
      <c r="D60"/>
      <c r="E60"/>
      <c r="F60"/>
      <c r="J60" s="261" t="s">
        <v>298</v>
      </c>
      <c r="K60" s="444">
        <v>5</v>
      </c>
      <c r="L60" s="249"/>
      <c r="M60" s="14">
        <v>8</v>
      </c>
      <c r="N60" s="249">
        <v>27326</v>
      </c>
      <c r="O60" s="12">
        <f t="shared" si="9"/>
        <v>218608</v>
      </c>
      <c r="P60" s="14" t="s">
        <v>139</v>
      </c>
      <c r="Q60" s="17"/>
      <c r="S60" s="238"/>
      <c r="T60" s="255"/>
      <c r="U60" s="59"/>
      <c r="V60" s="59">
        <f>V58+V59</f>
        <v>1087.5</v>
      </c>
      <c r="W60" s="296" t="s">
        <v>154</v>
      </c>
      <c r="X60" s="59"/>
    </row>
    <row r="61" spans="1:24" s="230" customFormat="1" ht="17.399999999999999" x14ac:dyDescent="0.35">
      <c r="A61" s="230" t="s">
        <v>283</v>
      </c>
      <c r="B61" s="29" t="s">
        <v>124</v>
      </c>
      <c r="C61"/>
      <c r="D61"/>
      <c r="E61"/>
      <c r="F61" s="229" t="s">
        <v>15</v>
      </c>
      <c r="J61" s="261" t="s">
        <v>299</v>
      </c>
      <c r="K61" s="444">
        <v>8</v>
      </c>
      <c r="L61" s="267"/>
      <c r="M61" s="248"/>
      <c r="N61" s="249">
        <v>900</v>
      </c>
      <c r="O61" s="12">
        <f t="shared" si="9"/>
        <v>0</v>
      </c>
      <c r="P61" s="14" t="s">
        <v>32</v>
      </c>
      <c r="Q61" s="14"/>
      <c r="R61" s="230">
        <v>1.83</v>
      </c>
      <c r="S61" s="238"/>
      <c r="T61" s="238"/>
    </row>
    <row r="62" spans="1:24" s="230" customFormat="1" ht="17.399999999999999" x14ac:dyDescent="0.35">
      <c r="I62" s="230" t="s">
        <v>301</v>
      </c>
      <c r="J62" s="261" t="s">
        <v>299</v>
      </c>
      <c r="K62" s="444">
        <v>8</v>
      </c>
      <c r="L62" s="249"/>
      <c r="M62" s="265"/>
      <c r="N62" s="12">
        <v>1500</v>
      </c>
      <c r="O62" s="12">
        <f t="shared" si="9"/>
        <v>0</v>
      </c>
      <c r="P62" s="14" t="s">
        <v>22</v>
      </c>
      <c r="Q62" s="14"/>
      <c r="R62">
        <v>2.5</v>
      </c>
      <c r="S62"/>
      <c r="T62" s="238"/>
      <c r="X62" s="231"/>
    </row>
    <row r="63" spans="1:24" s="230" customFormat="1" ht="17.399999999999999" x14ac:dyDescent="0.35">
      <c r="K63" s="259"/>
      <c r="L63" s="249"/>
      <c r="M63" s="14"/>
      <c r="N63" s="12"/>
      <c r="O63" s="12">
        <f>SUM(O57:O62)</f>
        <v>340608</v>
      </c>
      <c r="P63" s="39" t="s">
        <v>23</v>
      </c>
      <c r="Q63" s="14"/>
      <c r="R63">
        <f>R61*R62</f>
        <v>4.5750000000000002</v>
      </c>
      <c r="S63"/>
      <c r="T63" s="238"/>
      <c r="X63" s="231"/>
    </row>
    <row r="64" spans="1:24" s="230" customFormat="1" ht="17.399999999999999" x14ac:dyDescent="0.35">
      <c r="L64" s="249"/>
      <c r="M64" s="253" t="s">
        <v>33</v>
      </c>
      <c r="N64" s="12"/>
      <c r="O64" s="254">
        <f>O63*2.1</f>
        <v>715276.80000000005</v>
      </c>
      <c r="P64" s="14" t="s">
        <v>138</v>
      </c>
      <c r="Q64" s="14"/>
      <c r="R64" s="40">
        <f>P55/R63</f>
        <v>1.3907252459016395</v>
      </c>
      <c r="S64"/>
      <c r="T64" s="256"/>
    </row>
    <row r="65" spans="2:23" s="230" customFormat="1" ht="17.399999999999999" x14ac:dyDescent="0.35">
      <c r="G65"/>
      <c r="H65" s="259"/>
      <c r="I65" s="259"/>
      <c r="J65" s="259"/>
      <c r="K65" s="230">
        <v>42800</v>
      </c>
      <c r="L65" s="249"/>
      <c r="M65" s="14"/>
      <c r="N65" s="12"/>
      <c r="O65" s="12">
        <f>O64/P53</f>
        <v>134903.41635641459</v>
      </c>
      <c r="P65" s="45" t="s">
        <v>24</v>
      </c>
      <c r="Q65" s="14"/>
      <c r="R65" s="14"/>
      <c r="S65"/>
      <c r="T65" s="238"/>
      <c r="U65" s="59" t="s">
        <v>155</v>
      </c>
      <c r="V65" s="291">
        <v>43650</v>
      </c>
    </row>
    <row r="66" spans="2:23" s="230" customFormat="1" ht="17.399999999999999" x14ac:dyDescent="0.35">
      <c r="G66"/>
      <c r="K66" s="230">
        <f>K65/1.19</f>
        <v>35966.386554621851</v>
      </c>
      <c r="L66" s="249"/>
      <c r="M66" s="13"/>
      <c r="N66" s="14"/>
      <c r="O66" s="17">
        <f>O64/O63</f>
        <v>2.1</v>
      </c>
      <c r="P66" s="15"/>
      <c r="Q66"/>
      <c r="R66"/>
      <c r="S66"/>
      <c r="T66" s="238"/>
      <c r="U66" s="59" t="s">
        <v>157</v>
      </c>
      <c r="V66" s="292" t="s">
        <v>156</v>
      </c>
      <c r="W66" s="59">
        <v>2.4</v>
      </c>
    </row>
    <row r="67" spans="2:23" s="230" customFormat="1" ht="17.399999999999999" x14ac:dyDescent="0.35">
      <c r="G67" s="23"/>
      <c r="L67" s="12"/>
      <c r="T67" s="238"/>
      <c r="U67" s="59" t="s">
        <v>158</v>
      </c>
      <c r="V67" s="293">
        <v>395.37</v>
      </c>
    </row>
    <row r="68" spans="2:23" s="230" customFormat="1" ht="17.399999999999999" x14ac:dyDescent="0.35">
      <c r="B68"/>
      <c r="C68" s="228"/>
      <c r="D68" s="22"/>
      <c r="E68" s="22"/>
      <c r="F68" s="21"/>
      <c r="G68" s="23"/>
      <c r="L68" s="12"/>
      <c r="T68" s="238"/>
      <c r="U68" s="59" t="s">
        <v>153</v>
      </c>
      <c r="V68" s="59">
        <v>474.45</v>
      </c>
    </row>
    <row r="69" spans="2:23" ht="14.4" customHeight="1" x14ac:dyDescent="0.3">
      <c r="L69" s="12"/>
      <c r="U69" s="59"/>
      <c r="V69" s="59"/>
    </row>
    <row r="70" spans="2:23" x14ac:dyDescent="0.3">
      <c r="L70" s="249"/>
    </row>
    <row r="71" spans="2:23" x14ac:dyDescent="0.3">
      <c r="L71" s="249"/>
      <c r="T71" s="269"/>
    </row>
    <row r="72" spans="2:23" x14ac:dyDescent="0.3">
      <c r="L72" s="249"/>
    </row>
    <row r="73" spans="2:23" ht="15" customHeight="1" x14ac:dyDescent="0.3"/>
    <row r="75" spans="2:23" x14ac:dyDescent="0.3">
      <c r="O75">
        <v>40935</v>
      </c>
      <c r="P75" t="s">
        <v>16</v>
      </c>
      <c r="Q75" t="s">
        <v>26</v>
      </c>
    </row>
    <row r="77" spans="2:23" x14ac:dyDescent="0.3">
      <c r="O77" s="54"/>
      <c r="P77" s="54"/>
    </row>
    <row r="78" spans="2:23" x14ac:dyDescent="0.3">
      <c r="S78" s="18"/>
      <c r="T78" s="18"/>
    </row>
    <row r="79" spans="2:23" x14ac:dyDescent="0.3">
      <c r="S79" s="18"/>
      <c r="T79" s="18"/>
    </row>
    <row r="80" spans="2:23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4" spans="15:20" x14ac:dyDescent="0.3">
      <c r="S84" s="18"/>
      <c r="T84" s="18"/>
    </row>
    <row r="85" spans="15:20" x14ac:dyDescent="0.3">
      <c r="S85" s="18"/>
      <c r="T85" s="18"/>
    </row>
    <row r="86" spans="15:20" x14ac:dyDescent="0.3">
      <c r="S86" s="18"/>
      <c r="T86" s="18"/>
    </row>
    <row r="89" spans="15:20" x14ac:dyDescent="0.3">
      <c r="O89" s="43"/>
    </row>
    <row r="90" spans="15:20" x14ac:dyDescent="0.3">
      <c r="O90" s="43"/>
    </row>
    <row r="91" spans="15:20" x14ac:dyDescent="0.3">
      <c r="O91" s="6"/>
    </row>
    <row r="92" spans="15:20" x14ac:dyDescent="0.3">
      <c r="O92" s="6"/>
    </row>
    <row r="100" spans="3:3" x14ac:dyDescent="0.3">
      <c r="C100" t="s">
        <v>145</v>
      </c>
    </row>
    <row r="101" spans="3:3" x14ac:dyDescent="0.3">
      <c r="C101" t="s">
        <v>144</v>
      </c>
    </row>
    <row r="104" spans="3:3" x14ac:dyDescent="0.3">
      <c r="C104" t="s">
        <v>144</v>
      </c>
    </row>
    <row r="181" spans="3:3" x14ac:dyDescent="0.3">
      <c r="C181" t="s">
        <v>144</v>
      </c>
    </row>
    <row r="182" spans="3:3" x14ac:dyDescent="0.3">
      <c r="C182" t="s">
        <v>146</v>
      </c>
    </row>
    <row r="183" spans="3:3" x14ac:dyDescent="0.3">
      <c r="C183" t="s">
        <v>147</v>
      </c>
    </row>
    <row r="608" spans="3:3" x14ac:dyDescent="0.3">
      <c r="C608" t="s">
        <v>144</v>
      </c>
    </row>
  </sheetData>
  <mergeCells count="1">
    <mergeCell ref="B19:H19"/>
  </mergeCells>
  <hyperlinks>
    <hyperlink ref="F61" r:id="rId1" xr:uid="{E69ACFB8-772D-4644-B2F2-F842FEFCDEB8}"/>
  </hyperlinks>
  <pageMargins left="0.23622047244094491" right="0.23622047244094491" top="0.74803149606299213" bottom="0.74803149606299213" header="0.31496062992125984" footer="0.31496062992125984"/>
  <pageSetup scale="6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8"/>
  <sheetViews>
    <sheetView topLeftCell="D29" zoomScale="93" zoomScaleNormal="93" workbookViewId="0">
      <selection activeCell="I49" sqref="I49"/>
    </sheetView>
  </sheetViews>
  <sheetFormatPr baseColWidth="10" defaultRowHeight="14.4" x14ac:dyDescent="0.3"/>
  <cols>
    <col min="1" max="1" width="6" customWidth="1"/>
    <col min="2" max="2" width="10.5546875" customWidth="1"/>
    <col min="3" max="3" width="24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287</v>
      </c>
      <c r="D10" s="243"/>
      <c r="E10" s="243"/>
      <c r="F10" s="417" t="s">
        <v>277</v>
      </c>
      <c r="G10" s="275">
        <v>46118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289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292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5" t="s">
        <v>95</v>
      </c>
      <c r="C19" s="446"/>
      <c r="D19" s="446"/>
      <c r="E19" s="446"/>
      <c r="F19" s="446"/>
      <c r="G19" s="446"/>
      <c r="H19" s="44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O65</f>
        <v>69852.046265449782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2</v>
      </c>
      <c r="C21" s="432" t="s">
        <v>296</v>
      </c>
      <c r="D21" s="433">
        <v>0.5</v>
      </c>
      <c r="E21" s="433">
        <v>0.48</v>
      </c>
      <c r="F21" s="431" t="s">
        <v>295</v>
      </c>
      <c r="G21" s="434">
        <v>35395</v>
      </c>
      <c r="H21" s="434">
        <f>G21*B21</f>
        <v>70790</v>
      </c>
      <c r="I21" s="306"/>
      <c r="J21" s="264"/>
      <c r="K21" s="47"/>
      <c r="L21" s="47"/>
      <c r="M21" s="39">
        <f>D21+M$19</f>
        <v>0.55000000000000004</v>
      </c>
      <c r="N21" s="39">
        <f>E21+$N$19</f>
        <v>0.48</v>
      </c>
      <c r="O21" s="260">
        <f t="shared" ref="O21" si="0">M21*N21</f>
        <v>0.26400000000000001</v>
      </c>
      <c r="P21" s="258">
        <f t="shared" ref="P21" si="1">O21*L21</f>
        <v>0</v>
      </c>
      <c r="Q21" s="251">
        <f t="shared" ref="Q21" si="2">Q$20*O21</f>
        <v>18440.940214078742</v>
      </c>
      <c r="R21" s="305">
        <f t="shared" ref="R21" si="3">Q21+R$20</f>
        <v>21440.940214078742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31">
        <v>1</v>
      </c>
      <c r="C22" s="432" t="s">
        <v>296</v>
      </c>
      <c r="D22" s="433">
        <v>0.76</v>
      </c>
      <c r="E22" s="433">
        <v>0.42699999999999999</v>
      </c>
      <c r="F22" s="431" t="s">
        <v>295</v>
      </c>
      <c r="G22" s="434">
        <v>45441</v>
      </c>
      <c r="H22" s="434">
        <f t="shared" ref="H22:H48" si="4">G22*B22</f>
        <v>45441</v>
      </c>
      <c r="I22" s="306"/>
      <c r="J22" s="264"/>
      <c r="K22" s="47"/>
      <c r="L22" s="47"/>
      <c r="M22" s="39">
        <f t="shared" ref="M22:M48" si="5">D22+M$19</f>
        <v>0.81</v>
      </c>
      <c r="N22" s="39">
        <f t="shared" ref="N22:N48" si="6">E22+$N$19</f>
        <v>0.42699999999999999</v>
      </c>
      <c r="O22" s="260">
        <f t="shared" ref="O22:O48" si="7">M22*N22</f>
        <v>0.34587000000000001</v>
      </c>
      <c r="P22" s="258">
        <f t="shared" ref="P22:P48" si="8">O22*L22</f>
        <v>0</v>
      </c>
      <c r="Q22" s="251">
        <f t="shared" ref="Q22:Q48" si="9">Q$20*O22</f>
        <v>24159.727241831119</v>
      </c>
      <c r="R22" s="305">
        <f t="shared" ref="R22:R48" si="10">Q22+R$20</f>
        <v>27159.727241831119</v>
      </c>
      <c r="S22" s="290">
        <f t="shared" ref="S22:S48" si="11">M22*L22</f>
        <v>0</v>
      </c>
      <c r="T22" s="46"/>
      <c r="U22" s="9"/>
      <c r="X22" s="4"/>
    </row>
    <row r="23" spans="2:25" ht="17.399999999999999" x14ac:dyDescent="0.3">
      <c r="B23" s="431">
        <v>1</v>
      </c>
      <c r="C23" s="432" t="s">
        <v>296</v>
      </c>
      <c r="D23" s="433">
        <v>0.76</v>
      </c>
      <c r="E23" s="433">
        <v>0.71499999999999997</v>
      </c>
      <c r="F23" s="431" t="s">
        <v>295</v>
      </c>
      <c r="G23" s="434">
        <v>74066</v>
      </c>
      <c r="H23" s="434">
        <f t="shared" si="4"/>
        <v>74066</v>
      </c>
      <c r="I23" s="306"/>
      <c r="J23" s="264"/>
      <c r="K23" s="47"/>
      <c r="L23" s="47"/>
      <c r="M23" s="39">
        <f t="shared" si="5"/>
        <v>0.81</v>
      </c>
      <c r="N23" s="39">
        <f t="shared" si="6"/>
        <v>0.71499999999999997</v>
      </c>
      <c r="O23" s="260">
        <f t="shared" si="7"/>
        <v>0.57915000000000005</v>
      </c>
      <c r="P23" s="258">
        <f t="shared" si="8"/>
        <v>0</v>
      </c>
      <c r="Q23" s="251">
        <f t="shared" si="9"/>
        <v>40454.812594635245</v>
      </c>
      <c r="R23" s="305">
        <f t="shared" si="10"/>
        <v>43454.812594635245</v>
      </c>
      <c r="S23" s="290">
        <f t="shared" si="11"/>
        <v>0</v>
      </c>
      <c r="T23" s="46"/>
      <c r="U23" s="9"/>
      <c r="X23" s="4"/>
    </row>
    <row r="24" spans="2:25" ht="17.399999999999999" x14ac:dyDescent="0.3">
      <c r="B24" s="431">
        <v>1</v>
      </c>
      <c r="C24" s="432" t="s">
        <v>296</v>
      </c>
      <c r="D24" s="433">
        <v>0.76</v>
      </c>
      <c r="E24" s="433">
        <v>0.27</v>
      </c>
      <c r="F24" s="431" t="s">
        <v>295</v>
      </c>
      <c r="G24" s="434">
        <v>29836</v>
      </c>
      <c r="H24" s="434">
        <f t="shared" si="4"/>
        <v>29836</v>
      </c>
      <c r="I24" s="306"/>
      <c r="J24" s="264"/>
      <c r="K24" s="47"/>
      <c r="L24" s="438"/>
      <c r="M24" s="439">
        <f t="shared" si="5"/>
        <v>0.81</v>
      </c>
      <c r="N24" s="439">
        <f t="shared" si="6"/>
        <v>0.27</v>
      </c>
      <c r="O24" s="260">
        <f t="shared" si="7"/>
        <v>0.21870000000000003</v>
      </c>
      <c r="P24" s="258">
        <f t="shared" si="8"/>
        <v>0</v>
      </c>
      <c r="Q24" s="251">
        <f t="shared" si="9"/>
        <v>15276.64251825387</v>
      </c>
      <c r="R24" s="305">
        <f t="shared" si="10"/>
        <v>18276.64251825387</v>
      </c>
      <c r="S24" s="290">
        <f t="shared" si="11"/>
        <v>0</v>
      </c>
      <c r="T24" s="46"/>
      <c r="U24" s="9"/>
      <c r="X24" s="4"/>
    </row>
    <row r="25" spans="2:25" ht="17.399999999999999" x14ac:dyDescent="0.3">
      <c r="B25" s="431">
        <v>3</v>
      </c>
      <c r="C25" s="432" t="s">
        <v>296</v>
      </c>
      <c r="D25" s="433">
        <v>0.76</v>
      </c>
      <c r="E25" s="433">
        <v>0.47699999999999998</v>
      </c>
      <c r="F25" s="431" t="s">
        <v>295</v>
      </c>
      <c r="G25" s="434">
        <v>50411</v>
      </c>
      <c r="H25" s="434">
        <f t="shared" si="4"/>
        <v>151233</v>
      </c>
      <c r="I25" s="306"/>
      <c r="J25" s="264"/>
      <c r="K25" s="47"/>
      <c r="L25" s="438"/>
      <c r="M25" s="439">
        <f t="shared" si="5"/>
        <v>0.81</v>
      </c>
      <c r="N25" s="439">
        <f t="shared" si="6"/>
        <v>0.47699999999999998</v>
      </c>
      <c r="O25" s="260">
        <f t="shared" si="7"/>
        <v>0.38636999999999999</v>
      </c>
      <c r="P25" s="258">
        <f t="shared" si="8"/>
        <v>0</v>
      </c>
      <c r="Q25" s="251">
        <f t="shared" si="9"/>
        <v>26988.735115581832</v>
      </c>
      <c r="R25" s="305">
        <f t="shared" si="10"/>
        <v>29988.735115581832</v>
      </c>
      <c r="S25" s="290">
        <f t="shared" si="11"/>
        <v>0</v>
      </c>
      <c r="T25" s="46"/>
      <c r="U25" s="9"/>
      <c r="X25" s="4"/>
    </row>
    <row r="26" spans="2:25" ht="17.399999999999999" x14ac:dyDescent="0.3">
      <c r="B26" s="431">
        <v>2</v>
      </c>
      <c r="C26" s="432" t="s">
        <v>296</v>
      </c>
      <c r="D26" s="433">
        <v>0.76</v>
      </c>
      <c r="E26" s="433">
        <v>0.47199999999999998</v>
      </c>
      <c r="F26" s="431" t="s">
        <v>295</v>
      </c>
      <c r="G26" s="434">
        <v>49914</v>
      </c>
      <c r="H26" s="434">
        <f t="shared" si="4"/>
        <v>99828</v>
      </c>
      <c r="I26" s="306"/>
      <c r="J26" s="264"/>
      <c r="K26" s="47"/>
      <c r="L26" s="438"/>
      <c r="M26" s="439">
        <f t="shared" si="5"/>
        <v>0.81</v>
      </c>
      <c r="N26" s="439">
        <f t="shared" si="6"/>
        <v>0.47199999999999998</v>
      </c>
      <c r="O26" s="260">
        <f t="shared" si="7"/>
        <v>0.38231999999999999</v>
      </c>
      <c r="P26" s="258">
        <f t="shared" si="8"/>
        <v>0</v>
      </c>
      <c r="Q26" s="251">
        <f t="shared" si="9"/>
        <v>26705.834328206762</v>
      </c>
      <c r="R26" s="305">
        <f t="shared" si="10"/>
        <v>29705.834328206762</v>
      </c>
      <c r="S26" s="290">
        <f t="shared" si="11"/>
        <v>0</v>
      </c>
      <c r="T26" s="46"/>
      <c r="U26" s="9"/>
      <c r="X26" s="4"/>
    </row>
    <row r="27" spans="2:25" ht="17.399999999999999" x14ac:dyDescent="0.3">
      <c r="B27" s="431">
        <v>2</v>
      </c>
      <c r="C27" s="432" t="s">
        <v>296</v>
      </c>
      <c r="D27" s="433">
        <v>0.76</v>
      </c>
      <c r="E27" s="433">
        <v>0.44600000000000001</v>
      </c>
      <c r="F27" s="431" t="s">
        <v>295</v>
      </c>
      <c r="G27" s="434">
        <v>47329</v>
      </c>
      <c r="H27" s="434">
        <f t="shared" si="4"/>
        <v>94658</v>
      </c>
      <c r="I27" s="306"/>
      <c r="J27" s="264"/>
      <c r="K27" s="47"/>
      <c r="L27" s="442"/>
      <c r="M27" s="443">
        <f t="shared" si="5"/>
        <v>0.81</v>
      </c>
      <c r="N27" s="443">
        <f t="shared" si="6"/>
        <v>0.44600000000000001</v>
      </c>
      <c r="O27" s="260">
        <f t="shared" si="7"/>
        <v>0.36126000000000003</v>
      </c>
      <c r="P27" s="258">
        <f t="shared" si="8"/>
        <v>0</v>
      </c>
      <c r="Q27" s="251">
        <f t="shared" si="9"/>
        <v>25234.75023385639</v>
      </c>
      <c r="R27" s="305">
        <f t="shared" si="10"/>
        <v>28234.75023385639</v>
      </c>
      <c r="S27" s="290">
        <f t="shared" si="11"/>
        <v>0</v>
      </c>
      <c r="T27" s="46"/>
      <c r="U27" s="9"/>
      <c r="X27" s="4"/>
    </row>
    <row r="28" spans="2:25" ht="17.399999999999999" x14ac:dyDescent="0.3">
      <c r="B28" s="431">
        <v>1</v>
      </c>
      <c r="C28" s="432" t="s">
        <v>296</v>
      </c>
      <c r="D28" s="433">
        <v>0.76</v>
      </c>
      <c r="E28" s="433">
        <v>0.59499999999999997</v>
      </c>
      <c r="F28" s="431" t="s">
        <v>295</v>
      </c>
      <c r="G28" s="434">
        <v>62139</v>
      </c>
      <c r="H28" s="434">
        <f t="shared" si="4"/>
        <v>62139</v>
      </c>
      <c r="I28" s="306"/>
      <c r="J28" s="264"/>
      <c r="K28" s="47"/>
      <c r="L28" s="442"/>
      <c r="M28" s="443">
        <f t="shared" si="5"/>
        <v>0.81</v>
      </c>
      <c r="N28" s="443">
        <f t="shared" si="6"/>
        <v>0.59499999999999997</v>
      </c>
      <c r="O28" s="260">
        <f t="shared" si="7"/>
        <v>0.48194999999999999</v>
      </c>
      <c r="P28" s="258">
        <f t="shared" si="8"/>
        <v>0</v>
      </c>
      <c r="Q28" s="251">
        <f t="shared" si="9"/>
        <v>33665.19369763352</v>
      </c>
      <c r="R28" s="305">
        <f t="shared" si="10"/>
        <v>36665.19369763352</v>
      </c>
      <c r="S28" s="290">
        <f t="shared" si="11"/>
        <v>0</v>
      </c>
      <c r="T28" s="46"/>
      <c r="U28" s="9"/>
      <c r="X28" s="4"/>
    </row>
    <row r="29" spans="2:25" ht="17.399999999999999" x14ac:dyDescent="0.3">
      <c r="B29" s="431">
        <v>1</v>
      </c>
      <c r="C29" s="432" t="s">
        <v>296</v>
      </c>
      <c r="D29" s="433">
        <v>0.76</v>
      </c>
      <c r="E29" s="433">
        <v>0.62</v>
      </c>
      <c r="F29" s="431" t="s">
        <v>295</v>
      </c>
      <c r="G29" s="434">
        <v>64624</v>
      </c>
      <c r="H29" s="434">
        <f t="shared" si="4"/>
        <v>64624</v>
      </c>
      <c r="I29" s="306"/>
      <c r="J29" s="264"/>
      <c r="K29" s="47"/>
      <c r="L29" s="442"/>
      <c r="M29" s="443">
        <f t="shared" si="5"/>
        <v>0.81</v>
      </c>
      <c r="N29" s="443">
        <f t="shared" si="6"/>
        <v>0.62</v>
      </c>
      <c r="O29" s="260">
        <f t="shared" si="7"/>
        <v>0.50219999999999998</v>
      </c>
      <c r="P29" s="258">
        <f t="shared" si="8"/>
        <v>0</v>
      </c>
      <c r="Q29" s="251">
        <f t="shared" si="9"/>
        <v>35079.697634508877</v>
      </c>
      <c r="R29" s="305">
        <f t="shared" si="10"/>
        <v>38079.697634508877</v>
      </c>
      <c r="S29" s="290">
        <f t="shared" si="11"/>
        <v>0</v>
      </c>
      <c r="T29" s="46"/>
      <c r="U29" s="9"/>
      <c r="X29" s="4"/>
    </row>
    <row r="30" spans="2:25" ht="17.399999999999999" x14ac:dyDescent="0.3">
      <c r="B30" s="431">
        <v>2</v>
      </c>
      <c r="C30" s="432" t="s">
        <v>260</v>
      </c>
      <c r="D30" s="433">
        <v>1.1200000000000001</v>
      </c>
      <c r="E30" s="433">
        <v>0.31900000000000001</v>
      </c>
      <c r="F30" s="431" t="s">
        <v>297</v>
      </c>
      <c r="G30" s="434">
        <v>25180</v>
      </c>
      <c r="H30" s="434">
        <f t="shared" si="4"/>
        <v>50360</v>
      </c>
      <c r="I30" s="306">
        <v>29071</v>
      </c>
      <c r="J30" s="264"/>
      <c r="K30" s="47">
        <v>1</v>
      </c>
      <c r="L30" s="435">
        <f>B30</f>
        <v>2</v>
      </c>
      <c r="M30" s="39">
        <f t="shared" si="5"/>
        <v>1.1700000000000002</v>
      </c>
      <c r="N30" s="39">
        <f t="shared" si="6"/>
        <v>0.31900000000000001</v>
      </c>
      <c r="O30" s="260">
        <f t="shared" si="7"/>
        <v>0.37323000000000006</v>
      </c>
      <c r="P30" s="258">
        <f t="shared" si="8"/>
        <v>0.74646000000000012</v>
      </c>
      <c r="Q30" s="251">
        <f t="shared" si="9"/>
        <v>26070.879227653826</v>
      </c>
      <c r="R30" s="305">
        <f t="shared" si="10"/>
        <v>29070.879227653826</v>
      </c>
      <c r="S30" s="290">
        <f t="shared" si="11"/>
        <v>2.3400000000000003</v>
      </c>
      <c r="T30" s="46"/>
      <c r="U30" s="9"/>
      <c r="X30" s="4"/>
    </row>
    <row r="31" spans="2:25" ht="17.399999999999999" x14ac:dyDescent="0.3">
      <c r="B31" s="431">
        <v>2</v>
      </c>
      <c r="C31" s="432" t="s">
        <v>260</v>
      </c>
      <c r="D31" s="433">
        <v>0.63</v>
      </c>
      <c r="E31" s="433">
        <v>0.32100000000000001</v>
      </c>
      <c r="F31" s="431" t="s">
        <v>291</v>
      </c>
      <c r="G31" s="434">
        <v>15972</v>
      </c>
      <c r="H31" s="434">
        <f t="shared" si="4"/>
        <v>31944</v>
      </c>
      <c r="I31" s="306">
        <v>18247</v>
      </c>
      <c r="J31" s="264"/>
      <c r="K31" s="47"/>
      <c r="L31" s="435">
        <f t="shared" ref="L31:L48" si="12">B31</f>
        <v>2</v>
      </c>
      <c r="M31" s="437">
        <f t="shared" si="5"/>
        <v>0.68</v>
      </c>
      <c r="N31" s="437">
        <f t="shared" si="6"/>
        <v>0.32100000000000001</v>
      </c>
      <c r="O31" s="260">
        <f t="shared" si="7"/>
        <v>0.21828000000000003</v>
      </c>
      <c r="P31" s="258">
        <f t="shared" si="8"/>
        <v>0.43656000000000006</v>
      </c>
      <c r="Q31" s="251">
        <f t="shared" si="9"/>
        <v>15247.304658822381</v>
      </c>
      <c r="R31" s="305">
        <f t="shared" si="10"/>
        <v>18247.304658822381</v>
      </c>
      <c r="S31" s="290">
        <f t="shared" si="11"/>
        <v>1.36</v>
      </c>
      <c r="T31" s="46"/>
      <c r="U31" s="9"/>
      <c r="X31" s="4"/>
    </row>
    <row r="32" spans="2:25" ht="17.399999999999999" x14ac:dyDescent="0.3">
      <c r="B32" s="431">
        <v>1</v>
      </c>
      <c r="C32" s="432" t="s">
        <v>260</v>
      </c>
      <c r="D32" s="433">
        <v>0.6</v>
      </c>
      <c r="E32" s="433">
        <v>0.64</v>
      </c>
      <c r="F32" s="431" t="s">
        <v>291</v>
      </c>
      <c r="G32" s="434">
        <v>27722</v>
      </c>
      <c r="H32" s="434">
        <f t="shared" si="4"/>
        <v>27722</v>
      </c>
      <c r="I32" s="306">
        <v>32058</v>
      </c>
      <c r="J32" s="264"/>
      <c r="K32" s="47"/>
      <c r="L32" s="435">
        <f t="shared" si="12"/>
        <v>1</v>
      </c>
      <c r="M32" s="437">
        <f t="shared" si="5"/>
        <v>0.65</v>
      </c>
      <c r="N32" s="437">
        <f t="shared" si="6"/>
        <v>0.64</v>
      </c>
      <c r="O32" s="260">
        <f t="shared" si="7"/>
        <v>0.41600000000000004</v>
      </c>
      <c r="P32" s="258">
        <f t="shared" si="8"/>
        <v>0.41600000000000004</v>
      </c>
      <c r="Q32" s="251">
        <f t="shared" si="9"/>
        <v>29058.451246427114</v>
      </c>
      <c r="R32" s="305">
        <f t="shared" si="10"/>
        <v>32058.451246427114</v>
      </c>
      <c r="S32" s="290">
        <f t="shared" si="11"/>
        <v>0.65</v>
      </c>
      <c r="T32" s="46"/>
      <c r="U32" s="9"/>
      <c r="X32" s="4"/>
    </row>
    <row r="33" spans="2:24" ht="17.399999999999999" x14ac:dyDescent="0.3">
      <c r="B33" s="431">
        <v>2</v>
      </c>
      <c r="C33" s="432" t="s">
        <v>260</v>
      </c>
      <c r="D33" s="433">
        <v>0.84</v>
      </c>
      <c r="E33" s="433">
        <v>0.44700000000000001</v>
      </c>
      <c r="F33" s="431" t="s">
        <v>291</v>
      </c>
      <c r="G33" s="434">
        <v>26642</v>
      </c>
      <c r="H33" s="434">
        <f t="shared" si="4"/>
        <v>53284</v>
      </c>
      <c r="I33" s="306">
        <v>30789</v>
      </c>
      <c r="J33" s="264"/>
      <c r="K33" s="47">
        <v>1</v>
      </c>
      <c r="L33" s="435">
        <f t="shared" si="12"/>
        <v>2</v>
      </c>
      <c r="M33" s="440">
        <f t="shared" si="5"/>
        <v>0.89</v>
      </c>
      <c r="N33" s="440">
        <f t="shared" si="6"/>
        <v>0.44700000000000001</v>
      </c>
      <c r="O33" s="260">
        <f t="shared" si="7"/>
        <v>0.39783000000000002</v>
      </c>
      <c r="P33" s="258">
        <f t="shared" si="8"/>
        <v>0.79566000000000003</v>
      </c>
      <c r="Q33" s="251">
        <f t="shared" si="9"/>
        <v>27789.23956578389</v>
      </c>
      <c r="R33" s="305">
        <f t="shared" si="10"/>
        <v>30789.23956578389</v>
      </c>
      <c r="S33" s="290">
        <f t="shared" si="11"/>
        <v>1.78</v>
      </c>
      <c r="T33" s="46"/>
      <c r="U33" s="9"/>
      <c r="X33" s="4"/>
    </row>
    <row r="34" spans="2:24" ht="17.399999999999999" x14ac:dyDescent="0.3">
      <c r="B34" s="431">
        <v>1</v>
      </c>
      <c r="C34" s="432" t="s">
        <v>260</v>
      </c>
      <c r="D34" s="433">
        <v>0.84</v>
      </c>
      <c r="E34" s="433">
        <v>0.62</v>
      </c>
      <c r="F34" s="431" t="s">
        <v>291</v>
      </c>
      <c r="G34" s="434">
        <v>35792</v>
      </c>
      <c r="H34" s="434">
        <f t="shared" si="4"/>
        <v>35792</v>
      </c>
      <c r="I34" s="306">
        <v>41544</v>
      </c>
      <c r="J34" s="264"/>
      <c r="K34" s="47"/>
      <c r="L34" s="435">
        <f t="shared" si="12"/>
        <v>1</v>
      </c>
      <c r="M34" s="39">
        <f t="shared" si="5"/>
        <v>0.89</v>
      </c>
      <c r="N34" s="39">
        <f t="shared" si="6"/>
        <v>0.62</v>
      </c>
      <c r="O34" s="260">
        <f t="shared" si="7"/>
        <v>0.55179999999999996</v>
      </c>
      <c r="P34" s="258">
        <f t="shared" si="8"/>
        <v>0.55179999999999996</v>
      </c>
      <c r="Q34" s="251">
        <f t="shared" si="9"/>
        <v>38544.359129275188</v>
      </c>
      <c r="R34" s="305">
        <f t="shared" si="10"/>
        <v>41544.359129275188</v>
      </c>
      <c r="S34" s="290">
        <f t="shared" si="11"/>
        <v>0.89</v>
      </c>
      <c r="T34" s="46"/>
      <c r="U34" s="9"/>
      <c r="X34" s="4"/>
    </row>
    <row r="35" spans="2:24" ht="17.399999999999999" x14ac:dyDescent="0.3">
      <c r="B35" s="431">
        <v>4</v>
      </c>
      <c r="C35" s="432" t="s">
        <v>260</v>
      </c>
      <c r="D35" s="433">
        <v>0.84</v>
      </c>
      <c r="E35" s="433">
        <v>0.44700000000000001</v>
      </c>
      <c r="F35" s="431" t="s">
        <v>291</v>
      </c>
      <c r="G35" s="434">
        <v>26642</v>
      </c>
      <c r="H35" s="434">
        <f t="shared" si="4"/>
        <v>106568</v>
      </c>
      <c r="I35" s="306">
        <v>30789</v>
      </c>
      <c r="J35" s="264"/>
      <c r="K35" s="47"/>
      <c r="L35" s="435">
        <f t="shared" si="12"/>
        <v>4</v>
      </c>
      <c r="M35" s="440">
        <f t="shared" si="5"/>
        <v>0.89</v>
      </c>
      <c r="N35" s="440">
        <f t="shared" si="6"/>
        <v>0.44700000000000001</v>
      </c>
      <c r="O35" s="260">
        <f t="shared" si="7"/>
        <v>0.39783000000000002</v>
      </c>
      <c r="P35" s="258">
        <f t="shared" si="8"/>
        <v>1.5913200000000001</v>
      </c>
      <c r="Q35" s="251">
        <f t="shared" si="9"/>
        <v>27789.23956578389</v>
      </c>
      <c r="R35" s="305">
        <f t="shared" si="10"/>
        <v>30789.23956578389</v>
      </c>
      <c r="S35" s="290">
        <f t="shared" si="11"/>
        <v>3.56</v>
      </c>
      <c r="T35" s="46"/>
      <c r="U35" s="9"/>
      <c r="X35" s="4"/>
    </row>
    <row r="36" spans="2:24" ht="17.399999999999999" x14ac:dyDescent="0.3">
      <c r="B36" s="431">
        <v>1</v>
      </c>
      <c r="C36" s="432" t="s">
        <v>260</v>
      </c>
      <c r="D36" s="433">
        <v>0.84</v>
      </c>
      <c r="E36" s="433">
        <v>0.62</v>
      </c>
      <c r="F36" s="431" t="s">
        <v>291</v>
      </c>
      <c r="G36" s="434">
        <v>35792</v>
      </c>
      <c r="H36" s="434">
        <f t="shared" si="4"/>
        <v>35792</v>
      </c>
      <c r="I36" s="306">
        <v>41544</v>
      </c>
      <c r="J36" s="264"/>
      <c r="K36" s="47"/>
      <c r="L36" s="435">
        <f t="shared" si="12"/>
        <v>1</v>
      </c>
      <c r="M36" s="39">
        <f t="shared" si="5"/>
        <v>0.89</v>
      </c>
      <c r="N36" s="39">
        <f t="shared" si="6"/>
        <v>0.62</v>
      </c>
      <c r="O36" s="260">
        <f t="shared" si="7"/>
        <v>0.55179999999999996</v>
      </c>
      <c r="P36" s="258">
        <f t="shared" si="8"/>
        <v>0.55179999999999996</v>
      </c>
      <c r="Q36" s="251">
        <f t="shared" si="9"/>
        <v>38544.359129275188</v>
      </c>
      <c r="R36" s="305">
        <f t="shared" si="10"/>
        <v>41544.359129275188</v>
      </c>
      <c r="S36" s="290">
        <f t="shared" si="11"/>
        <v>0.89</v>
      </c>
      <c r="T36" s="46"/>
      <c r="U36" s="9"/>
      <c r="X36" s="4"/>
    </row>
    <row r="37" spans="2:24" ht="17.399999999999999" x14ac:dyDescent="0.3">
      <c r="B37" s="431">
        <v>4</v>
      </c>
      <c r="C37" s="432" t="s">
        <v>260</v>
      </c>
      <c r="D37" s="433">
        <v>0.84</v>
      </c>
      <c r="E37" s="433">
        <v>0.44700000000000001</v>
      </c>
      <c r="F37" s="431" t="s">
        <v>291</v>
      </c>
      <c r="G37" s="434">
        <v>26642</v>
      </c>
      <c r="H37" s="434">
        <f t="shared" si="4"/>
        <v>106568</v>
      </c>
      <c r="I37" s="306">
        <v>30789</v>
      </c>
      <c r="J37" s="264"/>
      <c r="K37" s="47">
        <v>1</v>
      </c>
      <c r="L37" s="435">
        <f t="shared" si="12"/>
        <v>4</v>
      </c>
      <c r="M37" s="441">
        <f t="shared" si="5"/>
        <v>0.89</v>
      </c>
      <c r="N37" s="441">
        <f t="shared" si="6"/>
        <v>0.44700000000000001</v>
      </c>
      <c r="O37" s="260">
        <f t="shared" si="7"/>
        <v>0.39783000000000002</v>
      </c>
      <c r="P37" s="258">
        <f t="shared" si="8"/>
        <v>1.5913200000000001</v>
      </c>
      <c r="Q37" s="251">
        <f t="shared" si="9"/>
        <v>27789.23956578389</v>
      </c>
      <c r="R37" s="305">
        <f t="shared" si="10"/>
        <v>30789.23956578389</v>
      </c>
      <c r="S37" s="290">
        <f t="shared" si="11"/>
        <v>3.56</v>
      </c>
      <c r="T37" s="46"/>
      <c r="U37" s="9"/>
      <c r="X37" s="4"/>
    </row>
    <row r="38" spans="2:24" ht="17.399999999999999" x14ac:dyDescent="0.3">
      <c r="B38" s="431">
        <v>1</v>
      </c>
      <c r="C38" s="432" t="s">
        <v>260</v>
      </c>
      <c r="D38" s="433">
        <v>0.88</v>
      </c>
      <c r="E38" s="433">
        <v>0.64</v>
      </c>
      <c r="F38" s="431" t="s">
        <v>291</v>
      </c>
      <c r="G38" s="434">
        <v>38371</v>
      </c>
      <c r="H38" s="434">
        <f t="shared" si="4"/>
        <v>38371</v>
      </c>
      <c r="I38" s="306">
        <v>44576</v>
      </c>
      <c r="J38" s="264"/>
      <c r="K38" s="47"/>
      <c r="L38" s="435">
        <f t="shared" si="12"/>
        <v>1</v>
      </c>
      <c r="M38" s="436">
        <f t="shared" si="5"/>
        <v>0.93</v>
      </c>
      <c r="N38" s="436">
        <f t="shared" si="6"/>
        <v>0.64</v>
      </c>
      <c r="O38" s="260">
        <f t="shared" si="7"/>
        <v>0.59520000000000006</v>
      </c>
      <c r="P38" s="258">
        <f t="shared" si="8"/>
        <v>0.59520000000000006</v>
      </c>
      <c r="Q38" s="251">
        <f t="shared" si="9"/>
        <v>41575.937937195718</v>
      </c>
      <c r="R38" s="305">
        <f t="shared" si="10"/>
        <v>44575.937937195718</v>
      </c>
      <c r="S38" s="290">
        <f t="shared" si="11"/>
        <v>0.93</v>
      </c>
      <c r="T38" s="46"/>
      <c r="U38" s="9"/>
      <c r="X38" s="4"/>
    </row>
    <row r="39" spans="2:24" ht="17.399999999999999" x14ac:dyDescent="0.3">
      <c r="B39" s="431">
        <v>2</v>
      </c>
      <c r="C39" s="432" t="s">
        <v>260</v>
      </c>
      <c r="D39" s="433">
        <v>2.23</v>
      </c>
      <c r="E39" s="433">
        <v>0.495</v>
      </c>
      <c r="F39" s="431" t="s">
        <v>291</v>
      </c>
      <c r="G39" s="434">
        <v>70070</v>
      </c>
      <c r="H39" s="434">
        <f t="shared" si="4"/>
        <v>140140</v>
      </c>
      <c r="I39" s="306">
        <v>81835</v>
      </c>
      <c r="J39" s="264"/>
      <c r="K39" s="47">
        <v>1</v>
      </c>
      <c r="L39" s="435">
        <f t="shared" si="12"/>
        <v>2</v>
      </c>
      <c r="M39" s="439">
        <f t="shared" si="5"/>
        <v>2.2799999999999998</v>
      </c>
      <c r="N39" s="439">
        <f t="shared" si="6"/>
        <v>0.495</v>
      </c>
      <c r="O39" s="260">
        <f t="shared" si="7"/>
        <v>1.1285999999999998</v>
      </c>
      <c r="P39" s="258">
        <f t="shared" si="8"/>
        <v>2.2571999999999997</v>
      </c>
      <c r="Q39" s="251">
        <f t="shared" si="9"/>
        <v>78835.019415186616</v>
      </c>
      <c r="R39" s="305">
        <f t="shared" si="10"/>
        <v>81835.019415186616</v>
      </c>
      <c r="S39" s="290">
        <f t="shared" si="11"/>
        <v>4.5599999999999996</v>
      </c>
      <c r="T39" s="46"/>
      <c r="U39" s="9"/>
      <c r="X39" s="4"/>
    </row>
    <row r="40" spans="2:24" ht="17.399999999999999" x14ac:dyDescent="0.3">
      <c r="B40" s="431">
        <v>2</v>
      </c>
      <c r="C40" s="432" t="s">
        <v>260</v>
      </c>
      <c r="D40" s="433">
        <v>0.76</v>
      </c>
      <c r="E40" s="433">
        <v>0.372</v>
      </c>
      <c r="F40" s="431" t="s">
        <v>291</v>
      </c>
      <c r="G40" s="434">
        <v>20907</v>
      </c>
      <c r="H40" s="434">
        <f t="shared" si="4"/>
        <v>41814</v>
      </c>
      <c r="I40" s="306">
        <v>24048</v>
      </c>
      <c r="J40" s="264"/>
      <c r="K40" s="47"/>
      <c r="L40" s="435">
        <f t="shared" si="12"/>
        <v>2</v>
      </c>
      <c r="M40" s="439">
        <f t="shared" si="5"/>
        <v>0.81</v>
      </c>
      <c r="N40" s="439">
        <f t="shared" si="6"/>
        <v>0.372</v>
      </c>
      <c r="O40" s="260">
        <f t="shared" si="7"/>
        <v>0.30132000000000003</v>
      </c>
      <c r="P40" s="258">
        <f t="shared" si="8"/>
        <v>0.60264000000000006</v>
      </c>
      <c r="Q40" s="251">
        <f t="shared" si="9"/>
        <v>21047.818580705331</v>
      </c>
      <c r="R40" s="305">
        <f t="shared" si="10"/>
        <v>24047.818580705331</v>
      </c>
      <c r="S40" s="290">
        <f t="shared" si="11"/>
        <v>1.62</v>
      </c>
      <c r="T40" s="46"/>
      <c r="U40" s="9"/>
      <c r="X40" s="4"/>
    </row>
    <row r="41" spans="2:24" ht="17.399999999999999" x14ac:dyDescent="0.3">
      <c r="B41" s="431">
        <v>1</v>
      </c>
      <c r="C41" s="432" t="s">
        <v>260</v>
      </c>
      <c r="D41" s="433">
        <v>0.76</v>
      </c>
      <c r="E41" s="433">
        <v>0.505</v>
      </c>
      <c r="F41" s="431" t="s">
        <v>291</v>
      </c>
      <c r="G41" s="434">
        <v>27309</v>
      </c>
      <c r="H41" s="434">
        <f t="shared" si="4"/>
        <v>27309</v>
      </c>
      <c r="I41" s="306">
        <v>31573</v>
      </c>
      <c r="J41" s="264"/>
      <c r="K41" s="47"/>
      <c r="L41" s="435">
        <f t="shared" si="12"/>
        <v>1</v>
      </c>
      <c r="M41" s="441">
        <f t="shared" si="5"/>
        <v>0.81</v>
      </c>
      <c r="N41" s="441">
        <f t="shared" si="6"/>
        <v>0.505</v>
      </c>
      <c r="O41" s="260">
        <f t="shared" si="7"/>
        <v>0.40905000000000002</v>
      </c>
      <c r="P41" s="258">
        <f t="shared" si="8"/>
        <v>0.40905000000000002</v>
      </c>
      <c r="Q41" s="251">
        <f t="shared" si="9"/>
        <v>28572.979524882234</v>
      </c>
      <c r="R41" s="305">
        <f t="shared" si="10"/>
        <v>31572.979524882234</v>
      </c>
      <c r="S41" s="290">
        <f t="shared" si="11"/>
        <v>0.81</v>
      </c>
      <c r="T41" s="46"/>
      <c r="U41" s="9"/>
      <c r="X41" s="4"/>
    </row>
    <row r="42" spans="2:24" ht="17.399999999999999" x14ac:dyDescent="0.3">
      <c r="B42" s="431">
        <v>1</v>
      </c>
      <c r="C42" s="432" t="s">
        <v>260</v>
      </c>
      <c r="D42" s="433">
        <v>0.76</v>
      </c>
      <c r="E42" s="433">
        <v>0.52</v>
      </c>
      <c r="F42" s="431" t="s">
        <v>291</v>
      </c>
      <c r="G42" s="434">
        <v>28031</v>
      </c>
      <c r="H42" s="434">
        <f t="shared" si="4"/>
        <v>28031</v>
      </c>
      <c r="I42" s="306">
        <v>32422</v>
      </c>
      <c r="J42" s="264"/>
      <c r="K42" s="47"/>
      <c r="L42" s="435">
        <f t="shared" si="12"/>
        <v>1</v>
      </c>
      <c r="M42" s="441">
        <f t="shared" si="5"/>
        <v>0.81</v>
      </c>
      <c r="N42" s="441">
        <f t="shared" si="6"/>
        <v>0.52</v>
      </c>
      <c r="O42" s="260">
        <f t="shared" si="7"/>
        <v>0.42120000000000002</v>
      </c>
      <c r="P42" s="258">
        <f t="shared" si="8"/>
        <v>0.42120000000000002</v>
      </c>
      <c r="Q42" s="251">
        <f t="shared" si="9"/>
        <v>29421.681887007449</v>
      </c>
      <c r="R42" s="305">
        <f t="shared" si="10"/>
        <v>32421.681887007449</v>
      </c>
      <c r="S42" s="290">
        <f t="shared" si="11"/>
        <v>0.81</v>
      </c>
      <c r="T42" s="46"/>
      <c r="U42" s="9"/>
      <c r="X42" s="4"/>
    </row>
    <row r="43" spans="2:24" ht="17.399999999999999" x14ac:dyDescent="0.3">
      <c r="B43" s="431">
        <v>2</v>
      </c>
      <c r="C43" s="432" t="s">
        <v>260</v>
      </c>
      <c r="D43" s="433">
        <v>0.76</v>
      </c>
      <c r="E43" s="433">
        <v>0.30199999999999999</v>
      </c>
      <c r="F43" s="431" t="s">
        <v>291</v>
      </c>
      <c r="G43" s="434">
        <v>17537</v>
      </c>
      <c r="H43" s="434">
        <f t="shared" si="4"/>
        <v>35074</v>
      </c>
      <c r="I43" s="306">
        <v>20087</v>
      </c>
      <c r="J43" s="264"/>
      <c r="K43" s="47">
        <v>1</v>
      </c>
      <c r="L43" s="435">
        <f t="shared" si="12"/>
        <v>2</v>
      </c>
      <c r="M43" s="436">
        <f t="shared" si="5"/>
        <v>0.81</v>
      </c>
      <c r="N43" s="436">
        <f t="shared" si="6"/>
        <v>0.30199999999999999</v>
      </c>
      <c r="O43" s="260">
        <f t="shared" si="7"/>
        <v>0.24462</v>
      </c>
      <c r="P43" s="258">
        <f t="shared" si="8"/>
        <v>0.48924000000000001</v>
      </c>
      <c r="Q43" s="251">
        <f t="shared" si="9"/>
        <v>17087.207557454327</v>
      </c>
      <c r="R43" s="305">
        <f t="shared" si="10"/>
        <v>20087.207557454327</v>
      </c>
      <c r="S43" s="290">
        <f t="shared" si="11"/>
        <v>1.62</v>
      </c>
      <c r="T43" s="46"/>
      <c r="U43" s="9"/>
      <c r="X43" s="4"/>
    </row>
    <row r="44" spans="2:24" ht="17.399999999999999" x14ac:dyDescent="0.3">
      <c r="B44" s="431">
        <v>2</v>
      </c>
      <c r="C44" s="432" t="s">
        <v>260</v>
      </c>
      <c r="D44" s="433">
        <v>0.46</v>
      </c>
      <c r="E44" s="433">
        <v>0.33</v>
      </c>
      <c r="F44" s="431" t="s">
        <v>291</v>
      </c>
      <c r="G44" s="434">
        <v>13002</v>
      </c>
      <c r="H44" s="434">
        <f t="shared" si="4"/>
        <v>26004</v>
      </c>
      <c r="I44" s="306">
        <v>14756</v>
      </c>
      <c r="J44" s="264"/>
      <c r="K44" s="47"/>
      <c r="L44" s="435">
        <f t="shared" si="12"/>
        <v>2</v>
      </c>
      <c r="M44" s="437">
        <f t="shared" si="5"/>
        <v>0.51</v>
      </c>
      <c r="N44" s="437">
        <f t="shared" si="6"/>
        <v>0.33</v>
      </c>
      <c r="O44" s="260">
        <f t="shared" si="7"/>
        <v>0.16830000000000001</v>
      </c>
      <c r="P44" s="258">
        <f t="shared" si="8"/>
        <v>0.33660000000000001</v>
      </c>
      <c r="Q44" s="251">
        <f t="shared" si="9"/>
        <v>11756.099386475198</v>
      </c>
      <c r="R44" s="305">
        <f t="shared" si="10"/>
        <v>14756.099386475198</v>
      </c>
      <c r="S44" s="290">
        <f t="shared" si="11"/>
        <v>1.02</v>
      </c>
      <c r="T44" s="46"/>
      <c r="U44" s="9"/>
      <c r="X44" s="4"/>
    </row>
    <row r="45" spans="2:24" ht="17.399999999999999" x14ac:dyDescent="0.3">
      <c r="B45" s="431">
        <v>1</v>
      </c>
      <c r="C45" s="432" t="s">
        <v>260</v>
      </c>
      <c r="D45" s="433">
        <v>0.76</v>
      </c>
      <c r="E45" s="433">
        <v>0.495</v>
      </c>
      <c r="F45" s="431" t="s">
        <v>291</v>
      </c>
      <c r="G45" s="434">
        <v>26827</v>
      </c>
      <c r="H45" s="434">
        <f t="shared" si="4"/>
        <v>26827</v>
      </c>
      <c r="I45" s="306">
        <v>31007</v>
      </c>
      <c r="J45" s="264"/>
      <c r="K45" s="47"/>
      <c r="L45" s="435">
        <f t="shared" si="12"/>
        <v>1</v>
      </c>
      <c r="M45" s="436">
        <f t="shared" si="5"/>
        <v>0.81</v>
      </c>
      <c r="N45" s="436">
        <f t="shared" si="6"/>
        <v>0.495</v>
      </c>
      <c r="O45" s="260">
        <f t="shared" si="7"/>
        <v>0.40095000000000003</v>
      </c>
      <c r="P45" s="258">
        <f t="shared" si="8"/>
        <v>0.40095000000000003</v>
      </c>
      <c r="Q45" s="251">
        <f t="shared" si="9"/>
        <v>28007.177950132093</v>
      </c>
      <c r="R45" s="305">
        <f t="shared" si="10"/>
        <v>31007.177950132093</v>
      </c>
      <c r="S45" s="290">
        <f t="shared" si="11"/>
        <v>0.81</v>
      </c>
      <c r="T45" s="46"/>
      <c r="U45" s="9"/>
      <c r="X45" s="4"/>
    </row>
    <row r="46" spans="2:24" ht="17.399999999999999" x14ac:dyDescent="0.3">
      <c r="B46" s="431">
        <v>2</v>
      </c>
      <c r="C46" s="432" t="s">
        <v>260</v>
      </c>
      <c r="D46" s="433">
        <v>0.76</v>
      </c>
      <c r="E46" s="433">
        <v>0.34200000000000003</v>
      </c>
      <c r="F46" s="431" t="s">
        <v>291</v>
      </c>
      <c r="G46" s="434">
        <v>19463</v>
      </c>
      <c r="H46" s="434">
        <f t="shared" si="4"/>
        <v>38926</v>
      </c>
      <c r="I46" s="306">
        <v>22350</v>
      </c>
      <c r="J46" s="264"/>
      <c r="K46" s="47"/>
      <c r="L46" s="435">
        <f t="shared" si="12"/>
        <v>2</v>
      </c>
      <c r="M46" s="436">
        <f t="shared" si="5"/>
        <v>0.81</v>
      </c>
      <c r="N46" s="436">
        <f t="shared" si="6"/>
        <v>0.34200000000000003</v>
      </c>
      <c r="O46" s="260">
        <f t="shared" si="7"/>
        <v>0.27702000000000004</v>
      </c>
      <c r="P46" s="258">
        <f t="shared" si="8"/>
        <v>0.55404000000000009</v>
      </c>
      <c r="Q46" s="251">
        <f t="shared" si="9"/>
        <v>19350.413856454903</v>
      </c>
      <c r="R46" s="305">
        <f t="shared" si="10"/>
        <v>22350.413856454903</v>
      </c>
      <c r="S46" s="290">
        <f t="shared" si="11"/>
        <v>1.62</v>
      </c>
      <c r="T46" s="46"/>
      <c r="U46" s="9"/>
      <c r="X46" s="4"/>
    </row>
    <row r="47" spans="2:24" ht="17.399999999999999" x14ac:dyDescent="0.3">
      <c r="B47" s="431">
        <v>3</v>
      </c>
      <c r="C47" s="432" t="s">
        <v>260</v>
      </c>
      <c r="D47" s="433">
        <v>2.23</v>
      </c>
      <c r="E47" s="433">
        <v>0.46300000000000002</v>
      </c>
      <c r="F47" s="431" t="s">
        <v>291</v>
      </c>
      <c r="G47" s="434">
        <v>65734</v>
      </c>
      <c r="H47" s="434">
        <f t="shared" si="4"/>
        <v>197202</v>
      </c>
      <c r="I47" s="306">
        <v>76739</v>
      </c>
      <c r="J47" s="264"/>
      <c r="K47" s="47">
        <v>3</v>
      </c>
      <c r="L47" s="435">
        <f t="shared" si="12"/>
        <v>3</v>
      </c>
      <c r="M47" s="437">
        <f t="shared" si="5"/>
        <v>2.2799999999999998</v>
      </c>
      <c r="N47" s="437">
        <f t="shared" si="6"/>
        <v>0.46300000000000002</v>
      </c>
      <c r="O47" s="260">
        <f t="shared" si="7"/>
        <v>1.0556399999999999</v>
      </c>
      <c r="P47" s="258">
        <f t="shared" si="8"/>
        <v>3.1669199999999997</v>
      </c>
      <c r="Q47" s="251">
        <f t="shared" si="9"/>
        <v>73738.614119659396</v>
      </c>
      <c r="R47" s="305">
        <f t="shared" si="10"/>
        <v>76738.614119659396</v>
      </c>
      <c r="S47" s="290">
        <f t="shared" si="11"/>
        <v>6.84</v>
      </c>
      <c r="T47" s="46"/>
      <c r="U47" s="9"/>
      <c r="X47" s="4"/>
    </row>
    <row r="48" spans="2:24" ht="17.399999999999999" x14ac:dyDescent="0.3">
      <c r="B48" s="431">
        <v>3</v>
      </c>
      <c r="C48" s="432" t="s">
        <v>260</v>
      </c>
      <c r="D48" s="433">
        <v>2.2999999999999998</v>
      </c>
      <c r="E48" s="433">
        <v>0.41699999999999998</v>
      </c>
      <c r="F48" s="431" t="s">
        <v>291</v>
      </c>
      <c r="G48" s="434">
        <v>61236</v>
      </c>
      <c r="H48" s="434">
        <f t="shared" si="4"/>
        <v>183708</v>
      </c>
      <c r="I48" s="306">
        <v>71452</v>
      </c>
      <c r="J48" s="264"/>
      <c r="K48" s="47"/>
      <c r="L48" s="435">
        <f t="shared" si="12"/>
        <v>3</v>
      </c>
      <c r="M48" s="437">
        <f t="shared" si="5"/>
        <v>2.3499999999999996</v>
      </c>
      <c r="N48" s="437">
        <f t="shared" si="6"/>
        <v>0.41699999999999998</v>
      </c>
      <c r="O48" s="260">
        <f t="shared" si="7"/>
        <v>0.97994999999999977</v>
      </c>
      <c r="P48" s="258">
        <f t="shared" si="8"/>
        <v>2.9398499999999994</v>
      </c>
      <c r="Q48" s="251">
        <f t="shared" si="9"/>
        <v>68451.512737827492</v>
      </c>
      <c r="R48" s="305">
        <f t="shared" si="10"/>
        <v>71451.512737827492</v>
      </c>
      <c r="S48" s="290">
        <f t="shared" si="11"/>
        <v>7.0499999999999989</v>
      </c>
      <c r="T48" s="46"/>
      <c r="U48" s="9"/>
      <c r="X48" s="4"/>
    </row>
    <row r="49" spans="1:24" ht="17.399999999999999" x14ac:dyDescent="0.3">
      <c r="B49" s="283"/>
      <c r="C49" s="325"/>
      <c r="D49" s="284"/>
      <c r="E49" s="284"/>
      <c r="F49" s="283"/>
      <c r="G49" s="264"/>
      <c r="H49" s="307"/>
      <c r="I49" s="309"/>
      <c r="J49" s="233"/>
      <c r="K49" s="47"/>
      <c r="L49" s="47"/>
      <c r="M49" s="39"/>
      <c r="N49" s="39"/>
      <c r="O49" s="260"/>
      <c r="P49" s="258"/>
      <c r="Q49" s="251"/>
      <c r="R49" s="257"/>
      <c r="S49" s="290"/>
      <c r="T49" s="14"/>
      <c r="U49" s="9"/>
      <c r="X49" s="4"/>
    </row>
    <row r="50" spans="1:24" ht="18" thickBot="1" x14ac:dyDescent="0.35">
      <c r="B50" s="283"/>
      <c r="C50" s="325"/>
      <c r="D50" s="284"/>
      <c r="E50" s="284"/>
      <c r="F50" s="283"/>
      <c r="G50" s="264"/>
      <c r="H50" s="307"/>
      <c r="I50" s="309"/>
      <c r="J50" s="233"/>
      <c r="K50" s="47"/>
      <c r="L50" s="47"/>
      <c r="M50" s="39"/>
      <c r="N50" s="39"/>
      <c r="O50" s="260"/>
      <c r="P50" s="258"/>
      <c r="Q50" s="251"/>
      <c r="R50" s="257"/>
      <c r="S50" s="290"/>
      <c r="T50" s="14"/>
      <c r="U50" s="9"/>
      <c r="X50" s="4"/>
    </row>
    <row r="51" spans="1:24" ht="17.399999999999999" x14ac:dyDescent="0.3">
      <c r="B51" s="283"/>
      <c r="C51" s="283"/>
      <c r="D51" s="284"/>
      <c r="E51" s="284"/>
      <c r="F51" s="283"/>
      <c r="G51" s="310" t="s">
        <v>28</v>
      </c>
      <c r="H51" s="311">
        <f>SUM(H21:H49)</f>
        <v>1924051</v>
      </c>
      <c r="I51" s="308"/>
      <c r="J51" s="264"/>
      <c r="K51" s="47"/>
      <c r="L51" s="47"/>
      <c r="M51" s="39"/>
      <c r="N51" s="39"/>
      <c r="O51" s="260"/>
      <c r="P51" s="258"/>
      <c r="Q51" s="251"/>
      <c r="R51" s="257"/>
      <c r="S51" s="290"/>
      <c r="T51" s="46">
        <f>SUM(T21:T49)</f>
        <v>0</v>
      </c>
      <c r="U51" s="9"/>
      <c r="X51" s="4"/>
    </row>
    <row r="52" spans="1:24" ht="17.399999999999999" x14ac:dyDescent="0.3">
      <c r="B52" s="277"/>
      <c r="C52" s="280"/>
      <c r="D52" s="281"/>
      <c r="E52" s="281"/>
      <c r="F52" s="282"/>
      <c r="G52" s="289" t="s">
        <v>51</v>
      </c>
      <c r="H52" s="287"/>
      <c r="I52" s="308"/>
      <c r="J52" s="264"/>
      <c r="K52" s="47"/>
      <c r="L52" s="47"/>
      <c r="M52" s="39">
        <f>SUM(M21:M51)</f>
        <v>27.189999999999998</v>
      </c>
      <c r="N52" s="12"/>
      <c r="O52" s="12"/>
      <c r="P52" s="252">
        <f>SUM(P21:P49)</f>
        <v>18.853810000000003</v>
      </c>
      <c r="Q52" s="14"/>
      <c r="R52" s="12"/>
      <c r="S52" s="239"/>
      <c r="T52" s="46"/>
      <c r="U52" s="9"/>
      <c r="X52" s="4"/>
    </row>
    <row r="53" spans="1:24" ht="18" thickBot="1" x14ac:dyDescent="0.35">
      <c r="B53" s="274"/>
      <c r="C53" s="279"/>
      <c r="D53" s="271"/>
      <c r="E53" s="271"/>
      <c r="F53" s="272"/>
      <c r="G53" s="278" t="s">
        <v>6</v>
      </c>
      <c r="H53" s="288">
        <f>H51+H52</f>
        <v>1924051</v>
      </c>
      <c r="I53" s="308"/>
      <c r="J53" s="264"/>
      <c r="K53" s="47"/>
      <c r="L53" s="47"/>
      <c r="M53" s="39"/>
      <c r="N53" s="12"/>
      <c r="O53" s="12"/>
      <c r="P53" s="252">
        <f>P52</f>
        <v>18.853810000000003</v>
      </c>
      <c r="Q53" s="14"/>
      <c r="R53" s="12"/>
      <c r="S53" s="239">
        <f>SUM(S21:S52)</f>
        <v>42.72</v>
      </c>
      <c r="T53" s="46"/>
      <c r="U53" s="9"/>
      <c r="X53" s="4"/>
    </row>
    <row r="54" spans="1:24" ht="17.399999999999999" x14ac:dyDescent="0.3">
      <c r="B54" s="274"/>
      <c r="C54" s="270"/>
      <c r="D54" s="271"/>
      <c r="E54" s="271"/>
      <c r="F54" s="272"/>
      <c r="J54" s="264"/>
      <c r="K54" s="47"/>
      <c r="L54" s="47"/>
      <c r="M54" s="14"/>
      <c r="N54" s="12"/>
      <c r="O54" s="12"/>
      <c r="P54" s="39">
        <f>P53*20%</f>
        <v>3.7707620000000008</v>
      </c>
      <c r="Q54" s="39" t="s">
        <v>129</v>
      </c>
      <c r="R54" s="42"/>
      <c r="S54" s="240">
        <f>S53+T51</f>
        <v>42.72</v>
      </c>
      <c r="T54" s="14"/>
      <c r="U54" s="9"/>
      <c r="X54" s="4"/>
    </row>
    <row r="55" spans="1:24" ht="17.399999999999999" x14ac:dyDescent="0.35">
      <c r="B55" s="268"/>
      <c r="C55" s="230"/>
      <c r="D55" s="230"/>
      <c r="E55" s="233"/>
      <c r="F55" s="234"/>
      <c r="G55" s="230"/>
      <c r="H55" s="273"/>
      <c r="I55" s="273"/>
      <c r="J55" s="264"/>
      <c r="K55" s="47"/>
      <c r="L55" s="47"/>
      <c r="M55" s="14"/>
      <c r="N55" s="12"/>
      <c r="O55" s="12"/>
      <c r="P55" s="46">
        <f>P53+P54</f>
        <v>22.624572000000004</v>
      </c>
      <c r="Q55" s="14"/>
      <c r="R55" s="14"/>
      <c r="S55" s="238">
        <f>S54*20%</f>
        <v>8.5440000000000005</v>
      </c>
      <c r="T55" s="14"/>
      <c r="U55" s="9"/>
      <c r="X55" s="4"/>
    </row>
    <row r="56" spans="1:24" ht="17.399999999999999" x14ac:dyDescent="0.35">
      <c r="B56" s="235"/>
      <c r="C56" s="236"/>
      <c r="D56" s="237"/>
      <c r="E56" s="235"/>
      <c r="F56" s="230"/>
      <c r="G56" s="230"/>
      <c r="I56" s="273"/>
      <c r="J56" s="264"/>
      <c r="K56" s="47"/>
      <c r="L56" s="47"/>
      <c r="M56" s="14"/>
      <c r="N56" s="14"/>
      <c r="O56" s="14"/>
      <c r="P56" s="14"/>
      <c r="Q56" s="14"/>
      <c r="R56" s="14"/>
      <c r="S56" s="240">
        <f>S54+S55</f>
        <v>51.263999999999996</v>
      </c>
      <c r="T56" s="14"/>
      <c r="U56" s="294" t="s">
        <v>21</v>
      </c>
      <c r="V56" s="291" t="s">
        <v>149</v>
      </c>
      <c r="W56" s="295">
        <v>44971</v>
      </c>
      <c r="X56" s="296"/>
    </row>
    <row r="57" spans="1:24" ht="17.399999999999999" x14ac:dyDescent="0.35">
      <c r="B57" s="230"/>
      <c r="C57" s="230"/>
      <c r="D57" s="230"/>
      <c r="E57" s="230"/>
      <c r="F57" s="230"/>
      <c r="G57" s="230"/>
      <c r="J57" s="264"/>
      <c r="K57" s="47"/>
      <c r="L57" s="47"/>
      <c r="M57" s="39">
        <f>P55*2</f>
        <v>45.249144000000008</v>
      </c>
      <c r="N57" s="12">
        <v>3500</v>
      </c>
      <c r="O57" s="12">
        <f t="shared" ref="O57:O62" si="13">M57*N57</f>
        <v>158372.00400000002</v>
      </c>
      <c r="P57" s="14" t="s">
        <v>21</v>
      </c>
      <c r="Q57" s="14"/>
      <c r="R57" s="14"/>
      <c r="S57" s="241"/>
      <c r="T57" s="14"/>
      <c r="U57" s="294" t="s">
        <v>150</v>
      </c>
      <c r="V57" s="291">
        <v>3625</v>
      </c>
      <c r="W57" s="59" t="s">
        <v>151</v>
      </c>
      <c r="X57" s="296"/>
    </row>
    <row r="58" spans="1:24" ht="17.399999999999999" x14ac:dyDescent="0.35">
      <c r="A58" s="230"/>
      <c r="B58" s="230"/>
      <c r="C58" s="230"/>
      <c r="D58" s="230"/>
      <c r="E58" s="230"/>
      <c r="F58" s="230"/>
      <c r="G58" s="230"/>
      <c r="H58" s="230"/>
      <c r="J58" s="264"/>
      <c r="K58" s="47"/>
      <c r="L58" s="47"/>
      <c r="M58" s="248">
        <v>6</v>
      </c>
      <c r="N58" s="12">
        <v>41692</v>
      </c>
      <c r="O58" s="12">
        <f t="shared" si="13"/>
        <v>250152</v>
      </c>
      <c r="P58" s="39" t="s">
        <v>31</v>
      </c>
      <c r="Q58" s="42"/>
      <c r="R58" s="14"/>
      <c r="S58" s="240"/>
      <c r="T58" s="14"/>
      <c r="U58" s="294"/>
      <c r="V58" s="59">
        <v>906.25</v>
      </c>
      <c r="W58" s="59" t="s">
        <v>152</v>
      </c>
      <c r="X58" s="296"/>
    </row>
    <row r="59" spans="1:24" s="230" customFormat="1" ht="17.399999999999999" x14ac:dyDescent="0.35">
      <c r="B59" s="24" t="s">
        <v>148</v>
      </c>
      <c r="J59" s="261"/>
      <c r="K59" s="232"/>
      <c r="L59" s="249"/>
      <c r="M59" s="14"/>
      <c r="N59" s="249">
        <v>40000</v>
      </c>
      <c r="O59" s="12">
        <f t="shared" si="13"/>
        <v>0</v>
      </c>
      <c r="P59" s="39" t="s">
        <v>30</v>
      </c>
      <c r="Q59" s="42"/>
      <c r="S59" s="240"/>
      <c r="T59" s="255"/>
      <c r="U59" s="59"/>
      <c r="V59" s="59">
        <f>V58*20%</f>
        <v>181.25</v>
      </c>
      <c r="W59" s="296" t="s">
        <v>153</v>
      </c>
      <c r="X59" s="59"/>
    </row>
    <row r="60" spans="1:24" s="230" customFormat="1" ht="17.399999999999999" x14ac:dyDescent="0.35">
      <c r="B60" s="24" t="s">
        <v>162</v>
      </c>
      <c r="C60"/>
      <c r="D60"/>
      <c r="E60"/>
      <c r="F60"/>
      <c r="J60" s="261" t="s">
        <v>298</v>
      </c>
      <c r="K60" s="444">
        <v>5</v>
      </c>
      <c r="L60" s="249"/>
      <c r="M60" s="14">
        <v>8</v>
      </c>
      <c r="N60" s="249">
        <v>27326</v>
      </c>
      <c r="O60" s="12">
        <f t="shared" si="13"/>
        <v>218608</v>
      </c>
      <c r="P60" s="14" t="s">
        <v>139</v>
      </c>
      <c r="Q60" s="17"/>
      <c r="S60" s="238"/>
      <c r="T60" s="255"/>
      <c r="U60" s="59"/>
      <c r="V60" s="59">
        <f>V58+V59</f>
        <v>1087.5</v>
      </c>
      <c r="W60" s="296" t="s">
        <v>154</v>
      </c>
      <c r="X60" s="59"/>
    </row>
    <row r="61" spans="1:24" s="230" customFormat="1" ht="17.399999999999999" x14ac:dyDescent="0.35">
      <c r="A61" s="230" t="s">
        <v>283</v>
      </c>
      <c r="B61" s="29" t="s">
        <v>124</v>
      </c>
      <c r="C61"/>
      <c r="D61"/>
      <c r="E61"/>
      <c r="F61" s="229" t="s">
        <v>15</v>
      </c>
      <c r="J61" s="261" t="s">
        <v>299</v>
      </c>
      <c r="K61" s="444">
        <v>8</v>
      </c>
      <c r="L61" s="249"/>
      <c r="M61" s="248"/>
      <c r="N61" s="249">
        <v>900</v>
      </c>
      <c r="O61" s="12">
        <f t="shared" si="13"/>
        <v>0</v>
      </c>
      <c r="P61" s="14" t="s">
        <v>32</v>
      </c>
      <c r="Q61" s="14"/>
      <c r="R61" s="230">
        <v>1.52</v>
      </c>
      <c r="S61" s="238"/>
      <c r="T61" s="238"/>
    </row>
    <row r="62" spans="1:24" s="230" customFormat="1" ht="17.399999999999999" x14ac:dyDescent="0.35">
      <c r="J62" s="286"/>
      <c r="K62" s="259"/>
      <c r="L62" s="249"/>
      <c r="M62" s="265"/>
      <c r="N62" s="12">
        <v>1500</v>
      </c>
      <c r="O62" s="12">
        <f t="shared" si="13"/>
        <v>0</v>
      </c>
      <c r="P62" s="14" t="s">
        <v>22</v>
      </c>
      <c r="Q62" s="14"/>
      <c r="R62">
        <v>2.44</v>
      </c>
      <c r="S62"/>
      <c r="T62" s="238"/>
      <c r="X62" s="231"/>
    </row>
    <row r="63" spans="1:24" s="230" customFormat="1" ht="17.399999999999999" x14ac:dyDescent="0.35">
      <c r="K63" s="259"/>
      <c r="L63" s="249"/>
      <c r="M63" s="14"/>
      <c r="N63" s="12"/>
      <c r="O63" s="12">
        <f>SUM(O57:O62)</f>
        <v>627132.00399999996</v>
      </c>
      <c r="P63" s="39" t="s">
        <v>23</v>
      </c>
      <c r="Q63" s="14"/>
      <c r="R63">
        <f>R61*R62</f>
        <v>3.7088000000000001</v>
      </c>
      <c r="S63"/>
      <c r="T63" s="238"/>
      <c r="X63" s="231"/>
    </row>
    <row r="64" spans="1:24" s="230" customFormat="1" ht="17.399999999999999" x14ac:dyDescent="0.35">
      <c r="L64" s="249"/>
      <c r="M64" s="253" t="s">
        <v>33</v>
      </c>
      <c r="N64" s="12"/>
      <c r="O64" s="254">
        <f>O63*2.1</f>
        <v>1316977.2083999999</v>
      </c>
      <c r="P64" s="14" t="s">
        <v>138</v>
      </c>
      <c r="Q64" s="14"/>
      <c r="R64" s="40">
        <f>P55/R63</f>
        <v>6.1002405090595353</v>
      </c>
      <c r="S64"/>
      <c r="T64" s="256"/>
    </row>
    <row r="65" spans="2:23" s="230" customFormat="1" ht="17.399999999999999" x14ac:dyDescent="0.35">
      <c r="G65"/>
      <c r="H65" s="259"/>
      <c r="I65" s="259"/>
      <c r="J65" s="259"/>
      <c r="K65" s="230">
        <v>42800</v>
      </c>
      <c r="L65" s="249"/>
      <c r="M65" s="14"/>
      <c r="N65" s="12"/>
      <c r="O65" s="12">
        <f>O64/P53</f>
        <v>69852.046265449782</v>
      </c>
      <c r="P65" s="45" t="s">
        <v>24</v>
      </c>
      <c r="Q65" s="14"/>
      <c r="R65" s="14"/>
      <c r="S65"/>
      <c r="T65" s="238"/>
      <c r="U65" s="59" t="s">
        <v>155</v>
      </c>
      <c r="V65" s="291">
        <v>43650</v>
      </c>
    </row>
    <row r="66" spans="2:23" s="230" customFormat="1" ht="17.399999999999999" x14ac:dyDescent="0.35">
      <c r="G66"/>
      <c r="K66" s="230">
        <f>K65/1.19</f>
        <v>35966.386554621851</v>
      </c>
      <c r="L66" s="249"/>
      <c r="M66" s="13"/>
      <c r="N66" s="14"/>
      <c r="O66" s="17">
        <f>O64/O63</f>
        <v>2.1</v>
      </c>
      <c r="P66" s="15"/>
      <c r="Q66"/>
      <c r="R66"/>
      <c r="S66"/>
      <c r="T66" s="238"/>
      <c r="U66" s="59" t="s">
        <v>157</v>
      </c>
      <c r="V66" s="292" t="s">
        <v>156</v>
      </c>
      <c r="W66" s="59">
        <v>2.4</v>
      </c>
    </row>
    <row r="67" spans="2:23" s="230" customFormat="1" ht="17.399999999999999" x14ac:dyDescent="0.35">
      <c r="G67" s="23"/>
      <c r="L67" s="12"/>
      <c r="T67" s="238"/>
      <c r="U67" s="59" t="s">
        <v>158</v>
      </c>
      <c r="V67" s="293">
        <v>395.37</v>
      </c>
    </row>
    <row r="68" spans="2:23" s="230" customFormat="1" ht="17.399999999999999" x14ac:dyDescent="0.35">
      <c r="B68"/>
      <c r="C68" s="228"/>
      <c r="D68" s="22"/>
      <c r="E68" s="22"/>
      <c r="F68" s="21"/>
      <c r="G68" s="23"/>
      <c r="L68" s="12"/>
      <c r="T68" s="238"/>
      <c r="U68" s="59" t="s">
        <v>153</v>
      </c>
      <c r="V68" s="59">
        <v>474.45</v>
      </c>
    </row>
    <row r="69" spans="2:23" ht="14.4" customHeight="1" x14ac:dyDescent="0.3">
      <c r="L69" s="12"/>
      <c r="U69" s="59"/>
      <c r="V69" s="59"/>
    </row>
    <row r="70" spans="2:23" x14ac:dyDescent="0.3">
      <c r="L70" s="249"/>
    </row>
    <row r="71" spans="2:23" x14ac:dyDescent="0.3">
      <c r="L71" s="249"/>
      <c r="T71" s="269"/>
    </row>
    <row r="72" spans="2:23" x14ac:dyDescent="0.3">
      <c r="L72" s="249"/>
    </row>
    <row r="73" spans="2:23" ht="15" customHeight="1" x14ac:dyDescent="0.3"/>
    <row r="75" spans="2:23" x14ac:dyDescent="0.3">
      <c r="O75">
        <v>40935</v>
      </c>
      <c r="P75" t="s">
        <v>16</v>
      </c>
      <c r="Q75" t="s">
        <v>26</v>
      </c>
    </row>
    <row r="77" spans="2:23" x14ac:dyDescent="0.3">
      <c r="O77" s="54"/>
      <c r="P77" s="54"/>
    </row>
    <row r="78" spans="2:23" x14ac:dyDescent="0.3">
      <c r="S78" s="18"/>
      <c r="T78" s="18"/>
    </row>
    <row r="79" spans="2:23" x14ac:dyDescent="0.3">
      <c r="S79" s="18"/>
      <c r="T79" s="18"/>
    </row>
    <row r="80" spans="2:23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4" spans="15:20" x14ac:dyDescent="0.3">
      <c r="S84" s="18"/>
      <c r="T84" s="18"/>
    </row>
    <row r="85" spans="15:20" x14ac:dyDescent="0.3">
      <c r="S85" s="18"/>
      <c r="T85" s="18"/>
    </row>
    <row r="86" spans="15:20" x14ac:dyDescent="0.3">
      <c r="S86" s="18"/>
      <c r="T86" s="18"/>
    </row>
    <row r="89" spans="15:20" x14ac:dyDescent="0.3">
      <c r="O89" s="43"/>
    </row>
    <row r="90" spans="15:20" x14ac:dyDescent="0.3">
      <c r="O90" s="43"/>
    </row>
    <row r="91" spans="15:20" x14ac:dyDescent="0.3">
      <c r="O91" s="6"/>
    </row>
    <row r="92" spans="15:20" x14ac:dyDescent="0.3">
      <c r="O92" s="6"/>
    </row>
    <row r="100" spans="3:3" x14ac:dyDescent="0.3">
      <c r="C100" t="s">
        <v>145</v>
      </c>
    </row>
    <row r="101" spans="3:3" x14ac:dyDescent="0.3">
      <c r="C101" t="s">
        <v>144</v>
      </c>
    </row>
    <row r="104" spans="3:3" x14ac:dyDescent="0.3">
      <c r="C104" t="s">
        <v>144</v>
      </c>
    </row>
    <row r="181" spans="3:3" x14ac:dyDescent="0.3">
      <c r="C181" t="s">
        <v>144</v>
      </c>
    </row>
    <row r="182" spans="3:3" x14ac:dyDescent="0.3">
      <c r="C182" t="s">
        <v>146</v>
      </c>
    </row>
    <row r="183" spans="3:3" x14ac:dyDescent="0.3">
      <c r="C183" t="s">
        <v>147</v>
      </c>
    </row>
    <row r="608" spans="3:3" x14ac:dyDescent="0.3">
      <c r="C608" t="s">
        <v>144</v>
      </c>
    </row>
  </sheetData>
  <mergeCells count="1">
    <mergeCell ref="B19:H19"/>
  </mergeCells>
  <phoneticPr fontId="32" type="noConversion"/>
  <hyperlinks>
    <hyperlink ref="F6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46118</v>
      </c>
    </row>
    <row r="6" spans="2:31" ht="16.2" thickBot="1" x14ac:dyDescent="0.35">
      <c r="B6" s="140" t="s">
        <v>2</v>
      </c>
      <c r="C6" s="139" t="str">
        <f>'2229'!C10</f>
        <v>MUEBLERIA VALENTINA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9" t="s">
        <v>98</v>
      </c>
      <c r="I7" s="450"/>
      <c r="J7" s="450"/>
      <c r="K7" s="451"/>
      <c r="N7" s="75"/>
      <c r="O7" s="44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-200126.69060012078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'2229'!H51</f>
        <v>1924051</v>
      </c>
      <c r="E11" s="132">
        <f>D11*0.19</f>
        <v>365569.69</v>
      </c>
      <c r="F11" s="131">
        <f>E11+D11</f>
        <v>2289620.69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-94136.690600120783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438358.09478743968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-112136.69060012078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1485692.9052125602</v>
      </c>
      <c r="E13" s="221">
        <f>(D11/D12)-1</f>
        <v>3.3892220147844521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-121136.69060012078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-160136.69060012078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723290.85639927548</v>
      </c>
      <c r="F15" s="216">
        <f>E15-D12</f>
        <v>284932.7616118358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-160136.69060012078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-120136.69060012078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'2229'!O59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'2229'!O58</f>
        <v>250152</v>
      </c>
      <c r="E19" s="123">
        <f>D19*0.19</f>
        <v>47528.88</v>
      </c>
      <c r="F19" s="120">
        <f>SUM(D19:E19)</f>
        <v>297680.88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'2229'!O57</f>
        <v>158372.00400000002</v>
      </c>
      <c r="E20" s="121">
        <f>D20*0.19</f>
        <v>30090.680760000003</v>
      </c>
      <c r="F20" s="120">
        <f>SUM(D20:E20)</f>
        <v>188462.68476000003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408524.00400000002</v>
      </c>
      <c r="E21" s="116">
        <f>SUM(E18:E20)</f>
        <v>77619.560759999993</v>
      </c>
      <c r="F21" s="115">
        <f>SUM(F18:F20)</f>
        <v>486143.56476000004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287950.12924000004</v>
      </c>
    </row>
    <row r="41" spans="2:16" ht="15" thickBot="1" x14ac:dyDescent="0.35">
      <c r="H41" s="452" t="s">
        <v>60</v>
      </c>
      <c r="I41" s="453"/>
      <c r="J41" s="453"/>
      <c r="K41" s="453"/>
      <c r="L41" s="453"/>
      <c r="M41" s="45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1924051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408524.00400000002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1485692.9052125602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1485692.9052125602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MUEBLERIA VALENTINA</v>
      </c>
      <c r="D10" s="350"/>
      <c r="E10" s="350"/>
      <c r="F10" s="351" t="s">
        <v>167</v>
      </c>
      <c r="G10" s="352">
        <f>'2229'!G10</f>
        <v>46118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46125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SAMI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+569 7220 1095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RANCAGUA</v>
      </c>
      <c r="D17" s="343"/>
      <c r="E17" s="344"/>
      <c r="F17" s="455" t="s">
        <v>175</v>
      </c>
      <c r="G17" s="455"/>
      <c r="H17" s="45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7" t="s">
        <v>176</v>
      </c>
      <c r="C20" s="458"/>
      <c r="D20" s="458"/>
      <c r="E20" s="458"/>
      <c r="F20" s="458"/>
      <c r="G20" s="458"/>
      <c r="H20" s="45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">
        <v>35</v>
      </c>
      <c r="D22" s="321">
        <f>'2229'!D21*1000</f>
        <v>500</v>
      </c>
      <c r="E22" s="321">
        <f>'2229'!E21*1000</f>
        <v>480</v>
      </c>
      <c r="F22" s="322" t="str">
        <f>'2229'!F21</f>
        <v>NEUTRAL OAK 1498 MT</v>
      </c>
      <c r="G22" s="314">
        <f>'2229'!G21</f>
        <v>35395</v>
      </c>
      <c r="H22" s="323">
        <f>G22*B22</f>
        <v>70790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70790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13450.1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84240.1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0" t="s">
        <v>182</v>
      </c>
      <c r="C2" s="460"/>
      <c r="D2" s="460"/>
      <c r="E2" s="361"/>
      <c r="G2" s="460" t="s">
        <v>183</v>
      </c>
      <c r="H2" s="460"/>
      <c r="I2" s="460"/>
      <c r="P2" s="461" t="s">
        <v>184</v>
      </c>
      <c r="Q2" s="461"/>
      <c r="R2" s="46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1" t="s">
        <v>184</v>
      </c>
      <c r="M8" s="461"/>
      <c r="N8" s="46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6" t="s">
        <v>265</v>
      </c>
      <c r="L3" s="466"/>
      <c r="M3" s="466" t="s">
        <v>266</v>
      </c>
      <c r="N3" s="46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MUEBLERIA VALENTINA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450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46118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46125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7" t="s">
        <v>265</v>
      </c>
      <c r="B10" s="467"/>
      <c r="C10" s="467"/>
      <c r="D10" s="467"/>
      <c r="E10" s="467"/>
      <c r="F10" s="46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450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480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7" t="s">
        <v>266</v>
      </c>
      <c r="B17" s="467"/>
      <c r="C17" s="467"/>
      <c r="D17" s="467"/>
      <c r="E17" s="467"/>
      <c r="F17" s="46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610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480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480</v>
      </c>
      <c r="F27" s="383" t="str">
        <f t="shared" si="3"/>
        <v>NEUTRAL OAK 1498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7" t="s">
        <v>272</v>
      </c>
      <c r="B45" s="467"/>
      <c r="C45" s="467"/>
      <c r="D45" s="467"/>
      <c r="E45" s="467"/>
      <c r="F45" s="46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2" t="s">
        <v>95</v>
      </c>
      <c r="C47" s="463"/>
      <c r="D47" s="464"/>
      <c r="E47" s="464"/>
      <c r="F47" s="46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480</v>
      </c>
      <c r="F49" s="430" t="str">
        <f>'NOTA DE VENTA'!F22</f>
        <v>NEUTRAL OAK 1498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12056</v>
      </c>
      <c r="C2" s="1">
        <f>'NOTA DE VENTA'!$G$10</f>
        <v>46118</v>
      </c>
      <c r="D2" s="1">
        <f>'NOTA DE VENTA'!$G$11</f>
        <v>46125</v>
      </c>
      <c r="E2" t="str">
        <f>'NOTA DE VENTA'!$C$10</f>
        <v>MUEBLERIA VALENTINA</v>
      </c>
      <c r="F2" t="str">
        <f>'NOTA DE VENTA'!$C$22</f>
        <v>CUB C/R R8</v>
      </c>
      <c r="G2" t="str">
        <f>'NOTA DE VENTA'!$F$22</f>
        <v>NEUTRAL OAK 1498 MT</v>
      </c>
      <c r="H2" s="415">
        <f>'NOTA DE VENTA'!$H$25</f>
        <v>70790</v>
      </c>
      <c r="I2" s="415">
        <f>H2*0.19</f>
        <v>13450.1</v>
      </c>
      <c r="J2" s="415">
        <f>I2+H2</f>
        <v>84240.1</v>
      </c>
      <c r="L2" s="61">
        <f>J2-K2</f>
        <v>84240.1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2229 (2)</vt:lpstr>
      <vt:lpstr>2229</vt:lpstr>
      <vt:lpstr>COSTOS</vt:lpstr>
      <vt:lpstr>NOTA DE VENTA</vt:lpstr>
      <vt:lpstr>REGLAS</vt:lpstr>
      <vt:lpstr>PRODUCCION</vt:lpstr>
      <vt:lpstr>SEGUIMIENTO</vt:lpstr>
      <vt:lpstr>'2229'!Área_de_impresión</vt:lpstr>
      <vt:lpstr>'2229 (2)'!Área_de_impresión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2026-04-06T13:34:14Z</cp:lastPrinted>
  <dcterms:created xsi:type="dcterms:W3CDTF">2013-03-18T13:35:42Z</dcterms:created>
  <dcterms:modified xsi:type="dcterms:W3CDTF">2026-04-06T16:10:03Z</dcterms:modified>
</cp:coreProperties>
</file>