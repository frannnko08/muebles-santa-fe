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\"/>
    </mc:Choice>
  </mc:AlternateContent>
  <xr:revisionPtr revIDLastSave="0" documentId="13_ncr:1_{634A60EB-440C-40B7-8BED-52BF6D272B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1" l="1"/>
  <c r="H44" i="1"/>
  <c r="H43" i="1"/>
  <c r="H42" i="1"/>
  <c r="H41" i="1"/>
  <c r="H40" i="1"/>
  <c r="N45" i="1"/>
  <c r="O45" i="1" s="1"/>
  <c r="P45" i="1" s="1"/>
  <c r="N44" i="1"/>
  <c r="O44" i="1" s="1"/>
  <c r="P44" i="1" s="1"/>
  <c r="N43" i="1"/>
  <c r="O43" i="1" s="1"/>
  <c r="P43" i="1" s="1"/>
  <c r="N42" i="1"/>
  <c r="O42" i="1"/>
  <c r="P42" i="1"/>
  <c r="N41" i="1"/>
  <c r="O41" i="1" s="1"/>
  <c r="P41" i="1" s="1"/>
  <c r="N40" i="1"/>
  <c r="O40" i="1"/>
  <c r="P40" i="1" s="1"/>
  <c r="M45" i="1"/>
  <c r="S45" i="1" s="1"/>
  <c r="M44" i="1"/>
  <c r="S44" i="1" s="1"/>
  <c r="M43" i="1"/>
  <c r="S43" i="1"/>
  <c r="M42" i="1"/>
  <c r="S42" i="1" s="1"/>
  <c r="M41" i="1"/>
  <c r="S41" i="1"/>
  <c r="M40" i="1"/>
  <c r="S40" i="1" s="1"/>
  <c r="L45" i="1"/>
  <c r="L44" i="1"/>
  <c r="L43" i="1"/>
  <c r="L42" i="1"/>
  <c r="L41" i="1"/>
  <c r="L40" i="1"/>
  <c r="H39" i="1"/>
  <c r="H38" i="1"/>
  <c r="H37" i="1"/>
  <c r="H36" i="1"/>
  <c r="H35" i="1"/>
  <c r="H34" i="1"/>
  <c r="H33" i="1"/>
  <c r="H32" i="1"/>
  <c r="H31" i="1"/>
  <c r="H30" i="1"/>
  <c r="N39" i="1"/>
  <c r="N38" i="1"/>
  <c r="N37" i="1"/>
  <c r="O37" i="1" s="1"/>
  <c r="N36" i="1"/>
  <c r="O36" i="1" s="1"/>
  <c r="P36" i="1" s="1"/>
  <c r="N35" i="1"/>
  <c r="N34" i="1"/>
  <c r="N33" i="1"/>
  <c r="N32" i="1"/>
  <c r="O32" i="1" s="1"/>
  <c r="P32" i="1" s="1"/>
  <c r="N31" i="1"/>
  <c r="N30" i="1"/>
  <c r="O30" i="1"/>
  <c r="M39" i="1"/>
  <c r="S39" i="1" s="1"/>
  <c r="M38" i="1"/>
  <c r="M37" i="1"/>
  <c r="M36" i="1"/>
  <c r="S36" i="1"/>
  <c r="M35" i="1"/>
  <c r="S35" i="1" s="1"/>
  <c r="M34" i="1"/>
  <c r="M33" i="1"/>
  <c r="S33" i="1" s="1"/>
  <c r="M32" i="1"/>
  <c r="M31" i="1"/>
  <c r="S31" i="1"/>
  <c r="M30" i="1"/>
  <c r="H29" i="1"/>
  <c r="H28" i="1"/>
  <c r="H27" i="1"/>
  <c r="H26" i="1"/>
  <c r="G21" i="1"/>
  <c r="M26" i="1"/>
  <c r="O26" i="1" s="1"/>
  <c r="P26" i="1" s="1"/>
  <c r="N26" i="1"/>
  <c r="M27" i="1"/>
  <c r="N27" i="1"/>
  <c r="M28" i="1"/>
  <c r="N28" i="1"/>
  <c r="O28" i="1" s="1"/>
  <c r="P28" i="1" s="1"/>
  <c r="S28" i="1"/>
  <c r="M29" i="1"/>
  <c r="O29" i="1" s="1"/>
  <c r="P29" i="1" s="1"/>
  <c r="N29" i="1"/>
  <c r="S29" i="1" l="1"/>
  <c r="P30" i="1"/>
  <c r="O33" i="1"/>
  <c r="P33" i="1" s="1"/>
  <c r="S26" i="1"/>
  <c r="S32" i="1"/>
  <c r="S37" i="1"/>
  <c r="O34" i="1"/>
  <c r="P34" i="1" s="1"/>
  <c r="O38" i="1"/>
  <c r="P38" i="1" s="1"/>
  <c r="O27" i="1"/>
  <c r="P27" i="1" s="1"/>
  <c r="S34" i="1"/>
  <c r="P37" i="1"/>
  <c r="S30" i="1"/>
  <c r="S38" i="1"/>
  <c r="O31" i="1"/>
  <c r="P31" i="1" s="1"/>
  <c r="O35" i="1"/>
  <c r="P35" i="1" s="1"/>
  <c r="O39" i="1"/>
  <c r="P39" i="1" s="1"/>
  <c r="S27" i="1"/>
  <c r="M22" i="1" l="1"/>
  <c r="N22" i="1"/>
  <c r="M23" i="1"/>
  <c r="N23" i="1"/>
  <c r="M24" i="1"/>
  <c r="N24" i="1"/>
  <c r="M25" i="1"/>
  <c r="N25" i="1"/>
  <c r="D27" i="6"/>
  <c r="C27" i="6"/>
  <c r="C49" i="6"/>
  <c r="S25" i="1" l="1"/>
  <c r="S23" i="1"/>
  <c r="S22" i="1"/>
  <c r="O23" i="1"/>
  <c r="P23" i="1" s="1"/>
  <c r="O22" i="1"/>
  <c r="P22" i="1" s="1"/>
  <c r="O25" i="1"/>
  <c r="P25" i="1" s="1"/>
  <c r="O24" i="1"/>
  <c r="P24" i="1" s="1"/>
  <c r="S24" i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49" i="1" s="1"/>
  <c r="S21" i="1" l="1"/>
  <c r="S50" i="1" s="1"/>
  <c r="T21" i="1"/>
  <c r="T48" i="1" s="1"/>
  <c r="O21" i="1"/>
  <c r="P21" i="1" s="1"/>
  <c r="P49" i="1" s="1"/>
  <c r="K63" i="1"/>
  <c r="S51" i="1" l="1"/>
  <c r="S52" i="1" s="1"/>
  <c r="S53" i="1" s="1"/>
  <c r="V56" i="1"/>
  <c r="V57" i="1" s="1"/>
  <c r="P50" i="1" l="1"/>
  <c r="N20" i="1"/>
  <c r="L20" i="1"/>
  <c r="P51" i="1" l="1"/>
  <c r="P52" i="1" s="1"/>
  <c r="M54" i="1" s="1"/>
  <c r="O56" i="1"/>
  <c r="R60" i="1"/>
  <c r="R61" i="1" l="1"/>
  <c r="O55" i="1" s="1"/>
  <c r="O5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59" i="1"/>
  <c r="O58" i="1"/>
  <c r="F18" i="3" l="1"/>
  <c r="O54" i="1" l="1"/>
  <c r="O60" i="1" s="1"/>
  <c r="O61" i="1" s="1"/>
  <c r="D20" i="3" l="1"/>
  <c r="E20" i="3" s="1"/>
  <c r="E21" i="3" s="1"/>
  <c r="O62" i="1" l="1"/>
  <c r="Q20" i="1" s="1"/>
  <c r="D21" i="3"/>
  <c r="M43" i="3" s="1"/>
  <c r="D12" i="3" s="1"/>
  <c r="F20" i="3"/>
  <c r="F21" i="3" s="1"/>
  <c r="Q44" i="1" l="1"/>
  <c r="R44" i="1" s="1"/>
  <c r="Q45" i="1"/>
  <c r="R45" i="1" s="1"/>
  <c r="Q42" i="1"/>
  <c r="R42" i="1" s="1"/>
  <c r="Q43" i="1"/>
  <c r="R43" i="1" s="1"/>
  <c r="Q40" i="1"/>
  <c r="R40" i="1" s="1"/>
  <c r="Q41" i="1"/>
  <c r="R41" i="1" s="1"/>
  <c r="Q38" i="1"/>
  <c r="R38" i="1" s="1"/>
  <c r="Q39" i="1"/>
  <c r="R39" i="1" s="1"/>
  <c r="Q36" i="1"/>
  <c r="R36" i="1" s="1"/>
  <c r="Q37" i="1"/>
  <c r="R37" i="1" s="1"/>
  <c r="Q34" i="1"/>
  <c r="R34" i="1" s="1"/>
  <c r="Q35" i="1"/>
  <c r="R35" i="1" s="1"/>
  <c r="Q32" i="1"/>
  <c r="R32" i="1" s="1"/>
  <c r="Q33" i="1"/>
  <c r="R33" i="1" s="1"/>
  <c r="Q30" i="1"/>
  <c r="R30" i="1" s="1"/>
  <c r="Q31" i="1"/>
  <c r="R31" i="1" s="1"/>
  <c r="Q26" i="1"/>
  <c r="R26" i="1" s="1"/>
  <c r="Q29" i="1"/>
  <c r="R29" i="1" s="1"/>
  <c r="Q27" i="1"/>
  <c r="R27" i="1" s="1"/>
  <c r="Q28" i="1"/>
  <c r="R28" i="1" s="1"/>
  <c r="Q22" i="1"/>
  <c r="R22" i="1" s="1"/>
  <c r="H22" i="1" s="1"/>
  <c r="Q23" i="1"/>
  <c r="R23" i="1" s="1"/>
  <c r="H23" i="1" s="1"/>
  <c r="Q24" i="1"/>
  <c r="R24" i="1" s="1"/>
  <c r="H24" i="1" s="1"/>
  <c r="Q25" i="1"/>
  <c r="R25" i="1" s="1"/>
  <c r="H25" i="1" s="1"/>
  <c r="O63" i="1"/>
  <c r="E15" i="3"/>
  <c r="Q21" i="1" l="1"/>
  <c r="F15" i="3"/>
  <c r="R21" i="1" l="1"/>
  <c r="H21" i="1" l="1"/>
  <c r="H48" i="1" s="1"/>
  <c r="H49" i="1" l="1"/>
  <c r="H50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<sst xmlns="http://schemas.openxmlformats.org/spreadsheetml/2006/main" count="536" uniqueCount="297">
  <si>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</si>
  <si>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</si>
  <si>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</si>
  <si>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</si>
  <si>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</si>
  <si>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</si>
  <si>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</si>
  <si>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</si>
  <si>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</si>
  <si>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</si>
  <si>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</si>
  <si>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</si>
  <si>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</si>
  <si>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</si>
  <si>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</si>
  <si>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</si>
  <si>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</si>
  <si>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</si>
  <si>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</si>
  <si>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</si>
  <si>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</si>
  <si>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</si>
  <si>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</si>
  <si>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</si>
  <si>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</si>
  <si>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</si>
  <si>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</si>
  <si>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</si>
  <si>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</si>
  <si>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</si>
  <si>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</si>
  <si>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</si>
  <si>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</si>
  <si>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</si>
  <si>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</si>
  <si>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</si>
  <si>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</si>
  <si>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</si>
  <si>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</si>
  <si>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</si>
  <si>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</si>
  <si>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</si>
  <si>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</si>
  <si>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</si>
  <si>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</si>
  <si>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</si>
  <si>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</si>
  <si>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</si>
  <si>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</si>
  <si>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</si>
  <si>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</si>
  <si>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</si>
  <si>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</si>
  <si>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</si>
  <si>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</si>
  <si>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</si>
  <si>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</si>
  <si>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</si>
  <si>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</si>
  <si>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</si>
  <si>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</si>
  <si>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</si>
  <si>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</si>
  <si>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</si>
  <si>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</si>
  <si>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</si>
  <si>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</si>
  <si>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</si>
  <si>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</si>
  <si>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</si>
  <si>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</si>
  <si>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</si>
  <si>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</si>
  <si>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</si>
  <si>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</si>
  <si>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</si>
  <si>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</si>
  <si>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</si>
  <si>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</si>
  <si>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</si>
  <si>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</si>
  <si>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</si>
  <si>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</si>
  <si>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</si>
  <si>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</si>
  <si>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</si>
  <si>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</si>
  <si>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</si>
  <si>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</si>
  <si>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</si>
  <si>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</si>
  <si>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</si>
  <si>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</si>
  <si>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</si>
  <si>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</si>
  <si>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</si>
  <si>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</si>
  <si>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</si>
  <si>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</si>
  <si>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</si>
  <si>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</si>
  <si>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</si>
  <si>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</si>
  <si>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</si>
  <si>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</si>
  <si>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</si>
  <si>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</si>
  <si>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</si>
  <si>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</si>
  <si>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</si>
  <si>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</si>
  <si>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</si>
  <si>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</si>
  <si>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</si>
  <si>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</si>
  <si>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</si>
  <si>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</si>
  <si>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</si>
  <si>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</si>
  <si>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</si>
  <si>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</si>
  <si>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</si>
  <si>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</si>
  <si>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</si>
  <si>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</si>
  <si>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</si>
  <si>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</si>
  <si>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</si>
  <si>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</si>
  <si>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</si>
  <si>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</si>
  <si>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</si>
  <si>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</si>
  <si>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</si>
  <si>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</si>
  <si>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</si>
  <si>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</si>
  <si>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</si>
  <si>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</si>
  <si>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</si>
  <si>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</si>
  <si>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</si>
  <si>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</si>
  <si>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</si>
  <si>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</si>
  <si>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</si>
  <si>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</si>
  <si>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</si>
  <si>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</si>
  <si>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</si>
  <si>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</si>
  <si>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</si>
  <si>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</si>
  <si>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</si>
  <si>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</si>
  <si>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</si>
  <si>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</si>
  <si>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</si>
  <si>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</si>
  <si>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</si>
  <si>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</si>
  <si>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</si>
  <si>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</si>
  <si>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</si>
  <si>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</si>
  <si>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</si>
  <si>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</si>
  <si>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</si>
  <si>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</si>
  <si>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</si>
  <si>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</si>
  <si>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</si>
  <si>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</si>
  <si>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</si>
  <si>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</si>
  <si>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</si>
  <si>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</si>
  <si>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</si>
  <si>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</si>
  <si>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</si>
  <si>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</si>
  <si>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</si>
  <si>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</si>
  <si>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</si>
  <si>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</si>
  <si>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</si>
  <si>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</si>
  <si>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</si>
  <si>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</si>
  <si>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</si>
  <si>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</si>
  <si>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</si>
  <si>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</si>
  <si>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</si>
  <si>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</si>
  <si>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</si>
  <si>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</si>
  <si>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</si>
  <si>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</si>
  <si>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</si>
  <si>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</si>
  <si>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</si>
  <si>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</si>
  <si>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</si>
  <si>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</si>
  <si>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</si>
  <si>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</si>
  <si>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</si>
  <si>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</si>
  <si>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</si>
  <si>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</si>
  <si>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</si>
  <si>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</si>
  <si>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</si>
  <si>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</si>
  <si>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</si>
  <si>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</si>
  <si>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</si>
  <si>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</si>
  <si>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</si>
  <si>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</si>
  <si>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</si>
  <si>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</si>
  <si>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</si>
  <si>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</si>
  <si>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</si>
  <si>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</si>
  <si>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</si>
  <si>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</si>
  <si>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</si>
  <si>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</si>
  <si>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</si>
  <si>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</si>
  <si>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</si>
  <si>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</si>
  <si>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</si>
  <si>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</si>
  <si>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</si>
  <si>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</si>
  <si>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</si>
  <si>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</si>
  <si>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</si>
  <si>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</si>
  <si>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</si>
  <si>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</si>
  <si>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</si>
  <si>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</si>
  <si>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</si>
  <si>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</si>
  <si>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</si>
  <si>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</si>
  <si>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</si>
  <si>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</si>
  <si>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</si>
  <si>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</si>
  <si>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</si>
  <si>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</si>
  <si>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</si>
  <si>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</si>
  <si>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</si>
  <si>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</si>
  <si>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</si>
  <si>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</si>
  <si>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</si>
  <si>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</si>
  <si>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</si>
  <si>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</si>
  <si>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</si>
  <si>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</si>
  <si>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</si>
  <si>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</si>
  <si>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</si>
  <si>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</si>
  <si>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</si>
  <si>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</si>
  <si>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</si>
  <si>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</si>
  <si>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</si>
  <si>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</si>
  <si>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</si>
  <si>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</si>
  <si>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</si>
  <si>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</si>
  <si>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</si>
  <si>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</si>
  <si>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</si>
  <si>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</si>
  <si>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MUEBLERIA VALENTINA</t>
  </si>
  <si>
    <t>SI</t>
  </si>
  <si>
    <t>SAMI</t>
  </si>
  <si>
    <t>+569 7220 1095</t>
  </si>
  <si>
    <t>RANCAGUA</t>
  </si>
  <si>
    <t>CELTIC STAD OAK 14012 SF</t>
  </si>
  <si>
    <t>CELTIK</t>
  </si>
  <si>
    <t>BLANCO BRILLO</t>
  </si>
  <si>
    <t>BLANCO MATE</t>
  </si>
  <si>
    <t>N° 12027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</si>
</sst>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9" fillId="0" borderId="0" xfId="0" applyFont="1" applyBorder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14" borderId="0" xfId="0" applyNumberFormat="1" applyFill="1"/>
    <xf numFmtId="166" fontId="3" fillId="14" borderId="0" xfId="0" applyNumberFormat="1" applyFont="1" applyFill="1"/>
    <xf numFmtId="167" fontId="0" fillId="10" borderId="0" xfId="0" applyNumberFormat="1" applyFill="1"/>
    <xf numFmtId="166" fontId="3" fillId="10" borderId="0" xfId="0" applyNumberFormat="1" applyFont="1" applyFill="1"/>
    <xf numFmtId="167" fontId="0" fillId="25" borderId="0" xfId="0" applyNumberFormat="1" applyFill="1"/>
    <xf numFmtId="166" fontId="3" fillId="25" borderId="0" xfId="0" applyNumberFormat="1" applyFont="1" applyFill="1"/>
    <xf numFmtId="41" fontId="22" fillId="0" borderId="1" xfId="4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51</xdr:row>
      <xdr:rowOff>8194</xdr:rowOff>
    </xdr:from>
    <xdr:to>
      <xdr:col>8</xdr:col>
      <xdr:colOff>8193</xdr:colOff>
      <xdr:row>54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53</xdr:row>
      <xdr:rowOff>154305</xdr:rowOff>
    </xdr:from>
    <xdr:to>
      <xdr:col>7</xdr:col>
      <xdr:colOff>853440</xdr:colOff>
      <xdr:row>53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51</xdr:row>
      <xdr:rowOff>9525</xdr:rowOff>
    </xdr:from>
    <xdr:to>
      <xdr:col>5</xdr:col>
      <xdr:colOff>1745226</xdr:colOff>
      <xdr:row>54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46</xdr:row>
      <xdr:rowOff>215080</xdr:rowOff>
    </xdr:from>
    <xdr:to>
      <xdr:col>5</xdr:col>
      <xdr:colOff>1732649</xdr:colOff>
      <xdr:row>49</xdr:row>
      <xdr:rowOff>215511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049274"/>
          <a:ext cx="6331278" cy="65591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SE ENTREGAN CORTADAS A LA MEDIDA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MELAMIL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3</xdr:col>
      <xdr:colOff>457794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 refreshError="1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605"/>
  <sheetViews>
    <sheetView tabSelected="1" topLeftCell="A6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24.109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296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287</v>
      </c>
      <c r="D10" s="243"/>
      <c r="E10" s="243"/>
      <c r="F10" s="417" t="s">
        <v>277</v>
      </c>
      <c r="G10" s="275">
        <v>46080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>
        <v>46090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C13" t="s">
        <v>289</v>
      </c>
      <c r="F13" s="29" t="s">
        <v>134</v>
      </c>
      <c r="G13" s="422" t="s">
        <v>288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290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4" t="s">
        <v>13</v>
      </c>
      <c r="C17" s="299" t="s">
        <v>291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O62</f>
        <v>75705.632129384932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31">
        <v>2</v>
      </c>
      <c r="C21" s="432" t="s">
        <v>260</v>
      </c>
      <c r="D21" s="433">
        <v>0.5</v>
      </c>
      <c r="E21" s="433">
        <v>0.48</v>
      </c>
      <c r="F21" s="431" t="s">
        <v>292</v>
      </c>
      <c r="G21" s="434">
        <f>22418</f>
        <v>22418</v>
      </c>
      <c r="H21" s="434">
        <f>G21*B21</f>
        <v>44836</v>
      </c>
      <c r="I21" s="306"/>
      <c r="J21" s="264"/>
      <c r="K21" s="47"/>
      <c r="L21" s="47"/>
      <c r="M21" s="39">
        <f>D21+M$19</f>
        <v>0.55000000000000004</v>
      </c>
      <c r="N21" s="39">
        <f>E21+$N$19</f>
        <v>0.48</v>
      </c>
      <c r="O21" s="260">
        <f t="shared" ref="O21" si="0">M21*N21</f>
        <v>0.26400000000000001</v>
      </c>
      <c r="P21" s="258">
        <f t="shared" ref="P21" si="1">O21*L21</f>
        <v>0</v>
      </c>
      <c r="Q21" s="251">
        <f t="shared" ref="Q21" si="2">Q$20*O21</f>
        <v>19986.286882157623</v>
      </c>
      <c r="R21" s="305">
        <f t="shared" ref="R21" si="3">Q21+R$20</f>
        <v>22986.286882157623</v>
      </c>
      <c r="S21" s="290">
        <f>M21*L21</f>
        <v>0</v>
      </c>
      <c r="T21" s="46">
        <f>N21*2*L21*2</f>
        <v>0</v>
      </c>
      <c r="U21" s="9"/>
      <c r="X21" s="4"/>
    </row>
    <row r="22" spans="2:25" ht="17.399999999999999" x14ac:dyDescent="0.3">
      <c r="B22" s="431">
        <v>1</v>
      </c>
      <c r="C22" s="432" t="s">
        <v>260</v>
      </c>
      <c r="D22" s="433">
        <v>0.76</v>
      </c>
      <c r="E22" s="433">
        <v>0.42699999999999999</v>
      </c>
      <c r="F22" s="431" t="s">
        <v>292</v>
      </c>
      <c r="G22" s="434">
        <v>28440</v>
      </c>
      <c r="H22" s="434">
        <f t="shared" ref="H22:H45" si="4">G22*B22</f>
        <v>28440</v>
      </c>
      <c r="I22" s="306"/>
      <c r="J22" s="264"/>
      <c r="K22" s="47"/>
      <c r="L22" s="47"/>
      <c r="M22" s="39">
        <f t="shared" ref="M22:M25" si="5">D22+M$19</f>
        <v>0.81</v>
      </c>
      <c r="N22" s="39">
        <f t="shared" ref="N22:N25" si="6">E22+$N$19</f>
        <v>0.42699999999999999</v>
      </c>
      <c r="O22" s="260">
        <f t="shared" ref="O22:O25" si="7">M22*N22</f>
        <v>0.34587000000000001</v>
      </c>
      <c r="P22" s="258">
        <f t="shared" ref="P22:P25" si="8">O22*L22</f>
        <v>0</v>
      </c>
      <c r="Q22" s="251">
        <f t="shared" ref="Q22:Q25" si="9">Q$20*O22</f>
        <v>26184.306984590366</v>
      </c>
      <c r="R22" s="305">
        <f t="shared" ref="R22:R25" si="10">Q22+R$20</f>
        <v>29184.306984590366</v>
      </c>
      <c r="S22" s="290">
        <f t="shared" ref="S22:S25" si="11">M22*L22</f>
        <v>0</v>
      </c>
      <c r="T22" s="46"/>
      <c r="U22" s="9"/>
      <c r="X22" s="4"/>
    </row>
    <row r="23" spans="2:25" ht="17.399999999999999" x14ac:dyDescent="0.3">
      <c r="B23" s="431">
        <v>1</v>
      </c>
      <c r="C23" s="432" t="s">
        <v>260</v>
      </c>
      <c r="D23" s="433">
        <v>0.76</v>
      </c>
      <c r="E23" s="433">
        <v>0.71499999999999997</v>
      </c>
      <c r="F23" s="431" t="s">
        <v>292</v>
      </c>
      <c r="G23" s="434">
        <v>45599</v>
      </c>
      <c r="H23" s="434">
        <f t="shared" si="4"/>
        <v>45599</v>
      </c>
      <c r="I23" s="306"/>
      <c r="J23" s="264"/>
      <c r="K23" s="47"/>
      <c r="L23" s="459"/>
      <c r="M23" s="460">
        <f t="shared" si="5"/>
        <v>0.81</v>
      </c>
      <c r="N23" s="460">
        <f t="shared" si="6"/>
        <v>0.71499999999999997</v>
      </c>
      <c r="O23" s="260">
        <f t="shared" si="7"/>
        <v>0.57915000000000005</v>
      </c>
      <c r="P23" s="258">
        <f t="shared" si="8"/>
        <v>0</v>
      </c>
      <c r="Q23" s="251">
        <f t="shared" si="9"/>
        <v>43844.916847733286</v>
      </c>
      <c r="R23" s="305">
        <f t="shared" si="10"/>
        <v>46844.916847733286</v>
      </c>
      <c r="S23" s="290">
        <f t="shared" si="11"/>
        <v>0</v>
      </c>
      <c r="T23" s="46"/>
      <c r="U23" s="9"/>
      <c r="X23" s="4"/>
    </row>
    <row r="24" spans="2:25" ht="17.399999999999999" x14ac:dyDescent="0.3">
      <c r="B24" s="431">
        <v>1</v>
      </c>
      <c r="C24" s="432" t="s">
        <v>260</v>
      </c>
      <c r="D24" s="433">
        <v>0.76</v>
      </c>
      <c r="E24" s="433">
        <v>0.27</v>
      </c>
      <c r="F24" s="431" t="s">
        <v>292</v>
      </c>
      <c r="G24" s="434">
        <v>19086</v>
      </c>
      <c r="H24" s="434">
        <f t="shared" si="4"/>
        <v>19086</v>
      </c>
      <c r="I24" s="306"/>
      <c r="J24" s="264"/>
      <c r="K24" s="47"/>
      <c r="L24" s="459"/>
      <c r="M24" s="460">
        <f t="shared" si="5"/>
        <v>0.81</v>
      </c>
      <c r="N24" s="460">
        <f t="shared" si="6"/>
        <v>0.27</v>
      </c>
      <c r="O24" s="260">
        <f t="shared" si="7"/>
        <v>0.21870000000000003</v>
      </c>
      <c r="P24" s="258">
        <f t="shared" si="8"/>
        <v>0</v>
      </c>
      <c r="Q24" s="251">
        <f t="shared" si="9"/>
        <v>16556.821746696489</v>
      </c>
      <c r="R24" s="305">
        <f t="shared" si="10"/>
        <v>19556.821746696489</v>
      </c>
      <c r="S24" s="290">
        <f t="shared" si="11"/>
        <v>0</v>
      </c>
      <c r="T24" s="46"/>
      <c r="U24" s="9"/>
      <c r="X24" s="4"/>
    </row>
    <row r="25" spans="2:25" ht="17.399999999999999" x14ac:dyDescent="0.3">
      <c r="B25" s="431">
        <v>3</v>
      </c>
      <c r="C25" s="432" t="s">
        <v>260</v>
      </c>
      <c r="D25" s="433">
        <v>0.76</v>
      </c>
      <c r="E25" s="433">
        <v>0.47699999999999998</v>
      </c>
      <c r="F25" s="431" t="s">
        <v>292</v>
      </c>
      <c r="G25" s="434">
        <v>31419</v>
      </c>
      <c r="H25" s="434">
        <f t="shared" si="4"/>
        <v>94257</v>
      </c>
      <c r="I25" s="306"/>
      <c r="J25" s="264"/>
      <c r="K25" s="47"/>
      <c r="L25" s="459"/>
      <c r="M25" s="460">
        <f t="shared" si="5"/>
        <v>0.81</v>
      </c>
      <c r="N25" s="460">
        <f t="shared" si="6"/>
        <v>0.47699999999999998</v>
      </c>
      <c r="O25" s="260">
        <f t="shared" si="7"/>
        <v>0.38636999999999999</v>
      </c>
      <c r="P25" s="258">
        <f t="shared" si="8"/>
        <v>0</v>
      </c>
      <c r="Q25" s="251">
        <f t="shared" si="9"/>
        <v>29250.385085830454</v>
      </c>
      <c r="R25" s="305">
        <f t="shared" si="10"/>
        <v>32250.385085830454</v>
      </c>
      <c r="S25" s="290">
        <f t="shared" si="11"/>
        <v>0</v>
      </c>
      <c r="T25" s="46"/>
      <c r="U25" s="9"/>
      <c r="X25" s="4"/>
    </row>
    <row r="26" spans="2:25" ht="17.399999999999999" x14ac:dyDescent="0.3">
      <c r="B26" s="431">
        <v>2</v>
      </c>
      <c r="C26" s="432" t="s">
        <v>260</v>
      </c>
      <c r="D26" s="433">
        <v>0.76</v>
      </c>
      <c r="E26" s="433">
        <v>0.47199999999999998</v>
      </c>
      <c r="F26" s="431" t="s">
        <v>292</v>
      </c>
      <c r="G26" s="434">
        <v>31121</v>
      </c>
      <c r="H26" s="434">
        <f t="shared" si="4"/>
        <v>62242</v>
      </c>
      <c r="I26" s="306"/>
      <c r="J26" s="264"/>
      <c r="K26" s="47"/>
      <c r="L26" s="47"/>
      <c r="M26" s="39">
        <f t="shared" ref="M26:M45" si="12">D26+M$19</f>
        <v>0.81</v>
      </c>
      <c r="N26" s="39">
        <f t="shared" ref="N26:N45" si="13">E26+$N$19</f>
        <v>0.47199999999999998</v>
      </c>
      <c r="O26" s="260">
        <f t="shared" ref="O26:O45" si="14">M26*N26</f>
        <v>0.38231999999999999</v>
      </c>
      <c r="P26" s="258">
        <f t="shared" ref="P26:P45" si="15">O26*L26</f>
        <v>0</v>
      </c>
      <c r="Q26" s="251">
        <f t="shared" ref="Q26:Q45" si="16">Q$20*O26</f>
        <v>28943.777275706449</v>
      </c>
      <c r="R26" s="305">
        <f t="shared" ref="R26:R45" si="17">Q26+R$20</f>
        <v>31943.777275706449</v>
      </c>
      <c r="S26" s="290">
        <f t="shared" ref="S26:S45" si="18">M26*L26</f>
        <v>0</v>
      </c>
      <c r="T26" s="46"/>
      <c r="U26" s="9"/>
      <c r="X26" s="4"/>
    </row>
    <row r="27" spans="2:25" ht="17.399999999999999" x14ac:dyDescent="0.3">
      <c r="B27" s="431">
        <v>2</v>
      </c>
      <c r="C27" s="432" t="s">
        <v>260</v>
      </c>
      <c r="D27" s="433">
        <v>0.76</v>
      </c>
      <c r="E27" s="433">
        <v>0.44600000000000001</v>
      </c>
      <c r="F27" s="431" t="s">
        <v>292</v>
      </c>
      <c r="G27" s="434">
        <v>29572</v>
      </c>
      <c r="H27" s="434">
        <f t="shared" si="4"/>
        <v>59144</v>
      </c>
      <c r="I27" s="306"/>
      <c r="J27" s="264"/>
      <c r="K27" s="47"/>
      <c r="L27" s="47"/>
      <c r="M27" s="39">
        <f t="shared" si="12"/>
        <v>0.81</v>
      </c>
      <c r="N27" s="39">
        <f t="shared" si="13"/>
        <v>0.44600000000000001</v>
      </c>
      <c r="O27" s="260">
        <f t="shared" si="14"/>
        <v>0.36126000000000003</v>
      </c>
      <c r="P27" s="258">
        <f t="shared" si="15"/>
        <v>0</v>
      </c>
      <c r="Q27" s="251">
        <f t="shared" si="16"/>
        <v>27349.416663061602</v>
      </c>
      <c r="R27" s="305">
        <f t="shared" si="17"/>
        <v>30349.416663061602</v>
      </c>
      <c r="S27" s="290">
        <f t="shared" si="18"/>
        <v>0</v>
      </c>
      <c r="T27" s="46"/>
      <c r="U27" s="9"/>
      <c r="X27" s="4"/>
    </row>
    <row r="28" spans="2:25" ht="17.399999999999999" x14ac:dyDescent="0.3">
      <c r="B28" s="431">
        <v>1</v>
      </c>
      <c r="C28" s="432" t="s">
        <v>260</v>
      </c>
      <c r="D28" s="433">
        <v>0.76</v>
      </c>
      <c r="E28" s="433">
        <v>0.59499999999999997</v>
      </c>
      <c r="F28" s="431" t="s">
        <v>292</v>
      </c>
      <c r="G28" s="434">
        <v>38449</v>
      </c>
      <c r="H28" s="434">
        <f t="shared" si="4"/>
        <v>38449</v>
      </c>
      <c r="I28" s="306"/>
      <c r="J28" s="264"/>
      <c r="K28" s="47"/>
      <c r="L28" s="459"/>
      <c r="M28" s="460">
        <f t="shared" si="12"/>
        <v>0.81</v>
      </c>
      <c r="N28" s="460">
        <f t="shared" si="13"/>
        <v>0.59499999999999997</v>
      </c>
      <c r="O28" s="260">
        <f t="shared" si="14"/>
        <v>0.48194999999999999</v>
      </c>
      <c r="P28" s="258">
        <f t="shared" si="15"/>
        <v>0</v>
      </c>
      <c r="Q28" s="251">
        <f t="shared" si="16"/>
        <v>36486.329404757067</v>
      </c>
      <c r="R28" s="305">
        <f t="shared" si="17"/>
        <v>39486.329404757067</v>
      </c>
      <c r="S28" s="290">
        <f t="shared" si="18"/>
        <v>0</v>
      </c>
      <c r="T28" s="46"/>
      <c r="U28" s="9"/>
      <c r="X28" s="4"/>
    </row>
    <row r="29" spans="2:25" ht="17.399999999999999" x14ac:dyDescent="0.3">
      <c r="B29" s="431">
        <v>1</v>
      </c>
      <c r="C29" s="432" t="s">
        <v>260</v>
      </c>
      <c r="D29" s="433">
        <v>0.76</v>
      </c>
      <c r="E29" s="433">
        <v>0.62</v>
      </c>
      <c r="F29" s="431" t="s">
        <v>292</v>
      </c>
      <c r="G29" s="434">
        <v>39939</v>
      </c>
      <c r="H29" s="434">
        <f t="shared" si="4"/>
        <v>39939</v>
      </c>
      <c r="I29" s="306"/>
      <c r="J29" s="264"/>
      <c r="K29" s="47"/>
      <c r="L29" s="47"/>
      <c r="M29" s="39">
        <f t="shared" si="12"/>
        <v>0.81</v>
      </c>
      <c r="N29" s="39">
        <f t="shared" si="13"/>
        <v>0.62</v>
      </c>
      <c r="O29" s="260">
        <f t="shared" si="14"/>
        <v>0.50219999999999998</v>
      </c>
      <c r="P29" s="258">
        <f t="shared" si="15"/>
        <v>0</v>
      </c>
      <c r="Q29" s="251">
        <f t="shared" si="16"/>
        <v>38019.368455377109</v>
      </c>
      <c r="R29" s="305">
        <f t="shared" si="17"/>
        <v>41019.368455377109</v>
      </c>
      <c r="S29" s="290">
        <f t="shared" si="18"/>
        <v>0</v>
      </c>
      <c r="T29" s="46"/>
      <c r="U29" s="9"/>
      <c r="X29" s="4"/>
    </row>
    <row r="30" spans="2:25" ht="17.399999999999999" x14ac:dyDescent="0.3">
      <c r="B30" s="431">
        <v>2</v>
      </c>
      <c r="C30" s="432" t="s">
        <v>260</v>
      </c>
      <c r="D30" s="433">
        <v>2.23</v>
      </c>
      <c r="E30" s="433">
        <v>0.495</v>
      </c>
      <c r="F30" s="431" t="s">
        <v>294</v>
      </c>
      <c r="G30" s="434">
        <v>73033</v>
      </c>
      <c r="H30" s="434">
        <f t="shared" si="4"/>
        <v>146066</v>
      </c>
      <c r="I30" s="306"/>
      <c r="J30" s="264">
        <v>1</v>
      </c>
      <c r="K30" s="47"/>
      <c r="L30" s="461"/>
      <c r="M30" s="462">
        <f t="shared" si="12"/>
        <v>2.2799999999999998</v>
      </c>
      <c r="N30" s="462">
        <f t="shared" si="13"/>
        <v>0.495</v>
      </c>
      <c r="O30" s="260">
        <f t="shared" si="14"/>
        <v>1.1285999999999998</v>
      </c>
      <c r="P30" s="258">
        <f t="shared" si="15"/>
        <v>0</v>
      </c>
      <c r="Q30" s="251">
        <f t="shared" si="16"/>
        <v>85441.376421223817</v>
      </c>
      <c r="R30" s="305">
        <f t="shared" si="17"/>
        <v>88441.376421223817</v>
      </c>
      <c r="S30" s="290">
        <f t="shared" si="18"/>
        <v>0</v>
      </c>
      <c r="T30" s="46"/>
      <c r="U30" s="9"/>
      <c r="X30" s="4"/>
    </row>
    <row r="31" spans="2:25" ht="17.399999999999999" x14ac:dyDescent="0.3">
      <c r="B31" s="431">
        <v>2</v>
      </c>
      <c r="C31" s="432" t="s">
        <v>260</v>
      </c>
      <c r="D31" s="433">
        <v>0.76</v>
      </c>
      <c r="E31" s="433">
        <v>0.372</v>
      </c>
      <c r="F31" s="431" t="s">
        <v>294</v>
      </c>
      <c r="G31" s="434">
        <v>21698</v>
      </c>
      <c r="H31" s="434">
        <f t="shared" si="4"/>
        <v>43396</v>
      </c>
      <c r="I31" s="306"/>
      <c r="J31" s="264"/>
      <c r="K31" s="47"/>
      <c r="L31" s="461"/>
      <c r="M31" s="462">
        <f t="shared" si="12"/>
        <v>0.81</v>
      </c>
      <c r="N31" s="462">
        <f t="shared" si="13"/>
        <v>0.372</v>
      </c>
      <c r="O31" s="260">
        <f t="shared" si="14"/>
        <v>0.30132000000000003</v>
      </c>
      <c r="P31" s="258">
        <f t="shared" si="15"/>
        <v>0</v>
      </c>
      <c r="Q31" s="251">
        <f t="shared" si="16"/>
        <v>22811.62107322627</v>
      </c>
      <c r="R31" s="305">
        <f t="shared" si="17"/>
        <v>25811.62107322627</v>
      </c>
      <c r="S31" s="290">
        <f t="shared" si="18"/>
        <v>0</v>
      </c>
      <c r="T31" s="46"/>
      <c r="U31" s="9"/>
      <c r="X31" s="4"/>
    </row>
    <row r="32" spans="2:25" ht="17.399999999999999" x14ac:dyDescent="0.3">
      <c r="B32" s="431">
        <v>1</v>
      </c>
      <c r="C32" s="432" t="s">
        <v>260</v>
      </c>
      <c r="D32" s="433">
        <v>0.76</v>
      </c>
      <c r="E32" s="433">
        <v>0.505</v>
      </c>
      <c r="F32" s="431" t="s">
        <v>294</v>
      </c>
      <c r="G32" s="434">
        <v>28383</v>
      </c>
      <c r="H32" s="434">
        <f t="shared" si="4"/>
        <v>28383</v>
      </c>
      <c r="I32" s="306"/>
      <c r="J32" s="264"/>
      <c r="K32" s="47"/>
      <c r="L32" s="47"/>
      <c r="M32" s="39">
        <f t="shared" si="12"/>
        <v>0.81</v>
      </c>
      <c r="N32" s="39">
        <f t="shared" si="13"/>
        <v>0.505</v>
      </c>
      <c r="O32" s="260">
        <f t="shared" si="14"/>
        <v>0.40905000000000002</v>
      </c>
      <c r="P32" s="258">
        <f t="shared" si="15"/>
        <v>0</v>
      </c>
      <c r="Q32" s="251">
        <f t="shared" si="16"/>
        <v>30967.38882252491</v>
      </c>
      <c r="R32" s="305">
        <f t="shared" si="17"/>
        <v>33967.38882252491</v>
      </c>
      <c r="S32" s="290">
        <f t="shared" si="18"/>
        <v>0</v>
      </c>
      <c r="T32" s="46"/>
      <c r="U32" s="9"/>
      <c r="X32" s="4"/>
    </row>
    <row r="33" spans="2:24" ht="17.399999999999999" x14ac:dyDescent="0.3">
      <c r="B33" s="431">
        <v>1</v>
      </c>
      <c r="C33" s="432" t="s">
        <v>260</v>
      </c>
      <c r="D33" s="433">
        <v>0.76</v>
      </c>
      <c r="E33" s="433">
        <v>0.52</v>
      </c>
      <c r="F33" s="431" t="s">
        <v>294</v>
      </c>
      <c r="G33" s="434">
        <v>29137</v>
      </c>
      <c r="H33" s="434">
        <f t="shared" si="4"/>
        <v>29137</v>
      </c>
      <c r="I33" s="306"/>
      <c r="J33" s="264"/>
      <c r="K33" s="47"/>
      <c r="L33" s="47"/>
      <c r="M33" s="39">
        <f t="shared" si="12"/>
        <v>0.81</v>
      </c>
      <c r="N33" s="39">
        <f t="shared" si="13"/>
        <v>0.52</v>
      </c>
      <c r="O33" s="260">
        <f t="shared" si="14"/>
        <v>0.42120000000000002</v>
      </c>
      <c r="P33" s="258">
        <f t="shared" si="15"/>
        <v>0</v>
      </c>
      <c r="Q33" s="251">
        <f t="shared" si="16"/>
        <v>31887.212252896934</v>
      </c>
      <c r="R33" s="305">
        <f t="shared" si="17"/>
        <v>34887.212252896934</v>
      </c>
      <c r="S33" s="290">
        <f t="shared" si="18"/>
        <v>0</v>
      </c>
      <c r="T33" s="46"/>
      <c r="U33" s="9"/>
      <c r="X33" s="4"/>
    </row>
    <row r="34" spans="2:24" ht="17.399999999999999" x14ac:dyDescent="0.3">
      <c r="B34" s="431">
        <v>2</v>
      </c>
      <c r="C34" s="432" t="s">
        <v>260</v>
      </c>
      <c r="D34" s="433">
        <v>0.73</v>
      </c>
      <c r="E34" s="433">
        <v>0.30199999999999999</v>
      </c>
      <c r="F34" s="431" t="s">
        <v>294</v>
      </c>
      <c r="G34" s="434">
        <v>17617</v>
      </c>
      <c r="H34" s="434">
        <f t="shared" si="4"/>
        <v>35234</v>
      </c>
      <c r="I34" s="306"/>
      <c r="J34" s="264"/>
      <c r="K34" s="47"/>
      <c r="L34" s="463"/>
      <c r="M34" s="464">
        <f t="shared" si="12"/>
        <v>0.78</v>
      </c>
      <c r="N34" s="464">
        <f t="shared" si="13"/>
        <v>0.30199999999999999</v>
      </c>
      <c r="O34" s="260">
        <f t="shared" si="14"/>
        <v>0.23555999999999999</v>
      </c>
      <c r="P34" s="258">
        <f t="shared" si="15"/>
        <v>0</v>
      </c>
      <c r="Q34" s="251">
        <f t="shared" si="16"/>
        <v>17833.218704397914</v>
      </c>
      <c r="R34" s="305">
        <f t="shared" si="17"/>
        <v>20833.218704397914</v>
      </c>
      <c r="S34" s="290">
        <f t="shared" si="18"/>
        <v>0</v>
      </c>
      <c r="T34" s="46"/>
      <c r="U34" s="9"/>
      <c r="X34" s="4"/>
    </row>
    <row r="35" spans="2:24" ht="17.399999999999999" x14ac:dyDescent="0.3">
      <c r="B35" s="431">
        <v>2</v>
      </c>
      <c r="C35" s="432" t="s">
        <v>260</v>
      </c>
      <c r="D35" s="433">
        <v>0.46</v>
      </c>
      <c r="E35" s="433">
        <v>0.33</v>
      </c>
      <c r="F35" s="431" t="s">
        <v>294</v>
      </c>
      <c r="G35" s="434">
        <v>13444</v>
      </c>
      <c r="H35" s="434">
        <f t="shared" si="4"/>
        <v>26888</v>
      </c>
      <c r="I35" s="306"/>
      <c r="J35" s="264"/>
      <c r="K35" s="47"/>
      <c r="L35" s="463"/>
      <c r="M35" s="464">
        <f t="shared" si="12"/>
        <v>0.51</v>
      </c>
      <c r="N35" s="464">
        <f t="shared" si="13"/>
        <v>0.33</v>
      </c>
      <c r="O35" s="260">
        <f t="shared" si="14"/>
        <v>0.16830000000000001</v>
      </c>
      <c r="P35" s="258">
        <f t="shared" si="15"/>
        <v>0</v>
      </c>
      <c r="Q35" s="251">
        <f t="shared" si="16"/>
        <v>12741.257887375485</v>
      </c>
      <c r="R35" s="305">
        <f t="shared" si="17"/>
        <v>15741.257887375485</v>
      </c>
      <c r="S35" s="290">
        <f t="shared" si="18"/>
        <v>0</v>
      </c>
      <c r="T35" s="46"/>
      <c r="U35" s="9"/>
      <c r="X35" s="4"/>
    </row>
    <row r="36" spans="2:24" ht="17.399999999999999" x14ac:dyDescent="0.3">
      <c r="B36" s="431">
        <v>1</v>
      </c>
      <c r="C36" s="432" t="s">
        <v>260</v>
      </c>
      <c r="D36" s="433">
        <v>0.76</v>
      </c>
      <c r="E36" s="433">
        <v>0.495</v>
      </c>
      <c r="F36" s="431" t="s">
        <v>294</v>
      </c>
      <c r="G36" s="434">
        <v>27880</v>
      </c>
      <c r="H36" s="434">
        <f t="shared" si="4"/>
        <v>27880</v>
      </c>
      <c r="I36" s="306"/>
      <c r="J36" s="264"/>
      <c r="K36" s="47"/>
      <c r="L36" s="47"/>
      <c r="M36" s="39">
        <f t="shared" si="12"/>
        <v>0.81</v>
      </c>
      <c r="N36" s="39">
        <f t="shared" si="13"/>
        <v>0.495</v>
      </c>
      <c r="O36" s="260">
        <f t="shared" si="14"/>
        <v>0.40095000000000003</v>
      </c>
      <c r="P36" s="258">
        <f t="shared" si="15"/>
        <v>0</v>
      </c>
      <c r="Q36" s="251">
        <f t="shared" si="16"/>
        <v>30354.173202276892</v>
      </c>
      <c r="R36" s="305">
        <f t="shared" si="17"/>
        <v>33354.173202276892</v>
      </c>
      <c r="S36" s="290">
        <f t="shared" si="18"/>
        <v>0</v>
      </c>
      <c r="T36" s="46"/>
      <c r="U36" s="9"/>
      <c r="X36" s="4"/>
    </row>
    <row r="37" spans="2:24" ht="17.399999999999999" x14ac:dyDescent="0.3">
      <c r="B37" s="431">
        <v>2</v>
      </c>
      <c r="C37" s="432" t="s">
        <v>260</v>
      </c>
      <c r="D37" s="433">
        <v>0.76</v>
      </c>
      <c r="E37" s="433">
        <v>0.34200000000000003</v>
      </c>
      <c r="F37" s="431" t="s">
        <v>294</v>
      </c>
      <c r="G37" s="434">
        <v>20190</v>
      </c>
      <c r="H37" s="434">
        <f t="shared" si="4"/>
        <v>40380</v>
      </c>
      <c r="I37" s="306"/>
      <c r="J37" s="264"/>
      <c r="K37" s="47"/>
      <c r="L37" s="463"/>
      <c r="M37" s="464">
        <f t="shared" si="12"/>
        <v>0.81</v>
      </c>
      <c r="N37" s="464">
        <f t="shared" si="13"/>
        <v>0.34200000000000003</v>
      </c>
      <c r="O37" s="260">
        <f t="shared" si="14"/>
        <v>0.27702000000000004</v>
      </c>
      <c r="P37" s="258">
        <f t="shared" si="15"/>
        <v>0</v>
      </c>
      <c r="Q37" s="251">
        <f t="shared" si="16"/>
        <v>20971.974212482219</v>
      </c>
      <c r="R37" s="305">
        <f t="shared" si="17"/>
        <v>23971.974212482219</v>
      </c>
      <c r="S37" s="290">
        <f t="shared" si="18"/>
        <v>0</v>
      </c>
      <c r="T37" s="46"/>
      <c r="U37" s="9"/>
      <c r="X37" s="4"/>
    </row>
    <row r="38" spans="2:24" ht="17.399999999999999" x14ac:dyDescent="0.3">
      <c r="B38" s="431">
        <v>3</v>
      </c>
      <c r="C38" s="432" t="s">
        <v>260</v>
      </c>
      <c r="D38" s="433">
        <v>2.23</v>
      </c>
      <c r="E38" s="433">
        <v>0.46300000000000002</v>
      </c>
      <c r="F38" s="431" t="s">
        <v>294</v>
      </c>
      <c r="G38" s="434">
        <v>68506</v>
      </c>
      <c r="H38" s="434">
        <f t="shared" si="4"/>
        <v>205518</v>
      </c>
      <c r="I38" s="306"/>
      <c r="J38" s="264">
        <v>3</v>
      </c>
      <c r="K38" s="47"/>
      <c r="L38" s="463"/>
      <c r="M38" s="464">
        <f t="shared" si="12"/>
        <v>2.2799999999999998</v>
      </c>
      <c r="N38" s="464">
        <f t="shared" si="13"/>
        <v>0.46300000000000002</v>
      </c>
      <c r="O38" s="260">
        <f t="shared" si="14"/>
        <v>1.0556399999999999</v>
      </c>
      <c r="P38" s="258">
        <f t="shared" si="15"/>
        <v>0</v>
      </c>
      <c r="Q38" s="251">
        <f t="shared" si="16"/>
        <v>79917.893501063896</v>
      </c>
      <c r="R38" s="305">
        <f t="shared" si="17"/>
        <v>82917.893501063896</v>
      </c>
      <c r="S38" s="290">
        <f t="shared" si="18"/>
        <v>0</v>
      </c>
      <c r="T38" s="46"/>
      <c r="U38" s="9"/>
      <c r="X38" s="4"/>
    </row>
    <row r="39" spans="2:24" ht="17.399999999999999" x14ac:dyDescent="0.3">
      <c r="B39" s="431">
        <v>3</v>
      </c>
      <c r="C39" s="432" t="s">
        <v>260</v>
      </c>
      <c r="D39" s="433">
        <v>2.2999999999999998</v>
      </c>
      <c r="E39" s="433">
        <v>0.41699999999999998</v>
      </c>
      <c r="F39" s="431" t="s">
        <v>294</v>
      </c>
      <c r="G39" s="434">
        <v>63809</v>
      </c>
      <c r="H39" s="434">
        <f t="shared" si="4"/>
        <v>191427</v>
      </c>
      <c r="I39" s="306"/>
      <c r="J39" s="264"/>
      <c r="K39" s="47"/>
      <c r="L39" s="463"/>
      <c r="M39" s="464">
        <f t="shared" si="12"/>
        <v>2.3499999999999996</v>
      </c>
      <c r="N39" s="464">
        <f t="shared" si="13"/>
        <v>0.41699999999999998</v>
      </c>
      <c r="O39" s="260">
        <f t="shared" si="14"/>
        <v>0.97994999999999977</v>
      </c>
      <c r="P39" s="258">
        <f t="shared" si="15"/>
        <v>0</v>
      </c>
      <c r="Q39" s="251">
        <f t="shared" si="16"/>
        <v>74187.734205190747</v>
      </c>
      <c r="R39" s="305">
        <f t="shared" si="17"/>
        <v>77187.734205190747</v>
      </c>
      <c r="S39" s="290">
        <f t="shared" si="18"/>
        <v>0</v>
      </c>
      <c r="T39" s="46"/>
      <c r="U39" s="9"/>
      <c r="X39" s="4"/>
    </row>
    <row r="40" spans="2:24" ht="17.399999999999999" x14ac:dyDescent="0.3">
      <c r="B40" s="431">
        <v>2</v>
      </c>
      <c r="C40" s="432" t="s">
        <v>260</v>
      </c>
      <c r="D40" s="433">
        <v>1.1200000000000001</v>
      </c>
      <c r="E40" s="433">
        <v>0.31900000000000001</v>
      </c>
      <c r="F40" s="431" t="s">
        <v>295</v>
      </c>
      <c r="G40" s="434">
        <v>31256</v>
      </c>
      <c r="H40" s="434">
        <f t="shared" si="4"/>
        <v>62512</v>
      </c>
      <c r="I40" s="306"/>
      <c r="J40" s="264"/>
      <c r="K40" s="47"/>
      <c r="L40" s="465">
        <f t="shared" ref="L30:L45" si="19">B40</f>
        <v>2</v>
      </c>
      <c r="M40" s="466">
        <f t="shared" si="12"/>
        <v>1.1700000000000002</v>
      </c>
      <c r="N40" s="466">
        <f t="shared" si="13"/>
        <v>0.31900000000000001</v>
      </c>
      <c r="O40" s="260">
        <f t="shared" si="14"/>
        <v>0.37323000000000006</v>
      </c>
      <c r="P40" s="258">
        <f t="shared" si="15"/>
        <v>0.74646000000000012</v>
      </c>
      <c r="Q40" s="251">
        <f t="shared" si="16"/>
        <v>28255.613079650342</v>
      </c>
      <c r="R40" s="305">
        <f t="shared" si="17"/>
        <v>31255.613079650342</v>
      </c>
      <c r="S40" s="290">
        <f t="shared" si="18"/>
        <v>2.3400000000000003</v>
      </c>
      <c r="T40" s="46"/>
      <c r="U40" s="9"/>
      <c r="X40" s="4"/>
    </row>
    <row r="41" spans="2:24" ht="17.399999999999999" x14ac:dyDescent="0.3">
      <c r="B41" s="431">
        <v>2</v>
      </c>
      <c r="C41" s="432" t="s">
        <v>260</v>
      </c>
      <c r="D41" s="433">
        <v>0.63</v>
      </c>
      <c r="E41" s="433">
        <v>0.32100000000000001</v>
      </c>
      <c r="F41" s="431" t="s">
        <v>295</v>
      </c>
      <c r="G41" s="434">
        <v>19525</v>
      </c>
      <c r="H41" s="434">
        <f t="shared" si="4"/>
        <v>39050</v>
      </c>
      <c r="I41" s="306"/>
      <c r="J41" s="264"/>
      <c r="K41" s="47"/>
      <c r="L41" s="47">
        <f t="shared" si="19"/>
        <v>2</v>
      </c>
      <c r="M41" s="39">
        <f t="shared" si="12"/>
        <v>0.68</v>
      </c>
      <c r="N41" s="39">
        <f t="shared" si="13"/>
        <v>0.32100000000000001</v>
      </c>
      <c r="O41" s="260">
        <f t="shared" si="14"/>
        <v>0.21828000000000003</v>
      </c>
      <c r="P41" s="258">
        <f t="shared" si="15"/>
        <v>0.43656000000000006</v>
      </c>
      <c r="Q41" s="251">
        <f t="shared" si="16"/>
        <v>16525.025381202144</v>
      </c>
      <c r="R41" s="305">
        <f t="shared" si="17"/>
        <v>19525.025381202144</v>
      </c>
      <c r="S41" s="290">
        <f t="shared" si="18"/>
        <v>1.36</v>
      </c>
      <c r="T41" s="46"/>
      <c r="U41" s="9"/>
      <c r="X41" s="4"/>
    </row>
    <row r="42" spans="2:24" ht="17.399999999999999" x14ac:dyDescent="0.3">
      <c r="B42" s="431">
        <v>1</v>
      </c>
      <c r="C42" s="432" t="s">
        <v>260</v>
      </c>
      <c r="D42" s="433">
        <v>0.6</v>
      </c>
      <c r="E42" s="433">
        <v>0.64</v>
      </c>
      <c r="F42" s="431" t="s">
        <v>295</v>
      </c>
      <c r="G42" s="434">
        <v>34494</v>
      </c>
      <c r="H42" s="434">
        <f t="shared" si="4"/>
        <v>34494</v>
      </c>
      <c r="I42" s="306"/>
      <c r="J42" s="264"/>
      <c r="K42" s="47"/>
      <c r="L42" s="47">
        <f t="shared" si="19"/>
        <v>1</v>
      </c>
      <c r="M42" s="39">
        <f t="shared" si="12"/>
        <v>0.65</v>
      </c>
      <c r="N42" s="39">
        <f t="shared" si="13"/>
        <v>0.64</v>
      </c>
      <c r="O42" s="260">
        <f t="shared" si="14"/>
        <v>0.41600000000000004</v>
      </c>
      <c r="P42" s="258">
        <f t="shared" si="15"/>
        <v>0.41600000000000004</v>
      </c>
      <c r="Q42" s="251">
        <f t="shared" si="16"/>
        <v>31493.542965824134</v>
      </c>
      <c r="R42" s="305">
        <f t="shared" si="17"/>
        <v>34493.542965824134</v>
      </c>
      <c r="S42" s="290">
        <f t="shared" si="18"/>
        <v>0.65</v>
      </c>
      <c r="T42" s="46"/>
      <c r="U42" s="9"/>
      <c r="X42" s="4"/>
    </row>
    <row r="43" spans="2:24" ht="17.399999999999999" x14ac:dyDescent="0.3">
      <c r="B43" s="431">
        <v>2</v>
      </c>
      <c r="C43" s="432" t="s">
        <v>260</v>
      </c>
      <c r="D43" s="433">
        <v>0.84</v>
      </c>
      <c r="E43" s="433">
        <v>0.44700000000000001</v>
      </c>
      <c r="F43" s="431" t="s">
        <v>295</v>
      </c>
      <c r="G43" s="434">
        <v>33118</v>
      </c>
      <c r="H43" s="434">
        <f t="shared" si="4"/>
        <v>66236</v>
      </c>
      <c r="I43" s="306"/>
      <c r="J43" s="264"/>
      <c r="K43" s="47"/>
      <c r="L43" s="465">
        <f t="shared" si="19"/>
        <v>2</v>
      </c>
      <c r="M43" s="466">
        <f t="shared" si="12"/>
        <v>0.89</v>
      </c>
      <c r="N43" s="466">
        <f t="shared" si="13"/>
        <v>0.44700000000000001</v>
      </c>
      <c r="O43" s="260">
        <f t="shared" si="14"/>
        <v>0.39783000000000002</v>
      </c>
      <c r="P43" s="258">
        <f t="shared" si="15"/>
        <v>0.79566000000000003</v>
      </c>
      <c r="Q43" s="251">
        <f t="shared" si="16"/>
        <v>30117.971630033207</v>
      </c>
      <c r="R43" s="305">
        <f t="shared" si="17"/>
        <v>33117.971630033207</v>
      </c>
      <c r="S43" s="290">
        <f t="shared" si="18"/>
        <v>1.78</v>
      </c>
      <c r="T43" s="46"/>
      <c r="U43" s="9"/>
      <c r="X43" s="4"/>
    </row>
    <row r="44" spans="2:24" ht="17.399999999999999" x14ac:dyDescent="0.3">
      <c r="B44" s="431">
        <v>1</v>
      </c>
      <c r="C44" s="432" t="s">
        <v>260</v>
      </c>
      <c r="D44" s="433">
        <v>0.84</v>
      </c>
      <c r="E44" s="433">
        <v>0.62</v>
      </c>
      <c r="F44" s="431" t="s">
        <v>295</v>
      </c>
      <c r="G44" s="434">
        <v>44774</v>
      </c>
      <c r="H44" s="434">
        <f t="shared" si="4"/>
        <v>44774</v>
      </c>
      <c r="I44" s="306"/>
      <c r="J44" s="264"/>
      <c r="K44" s="47"/>
      <c r="L44" s="465">
        <f t="shared" si="19"/>
        <v>1</v>
      </c>
      <c r="M44" s="466">
        <f t="shared" si="12"/>
        <v>0.89</v>
      </c>
      <c r="N44" s="466">
        <f t="shared" si="13"/>
        <v>0.62</v>
      </c>
      <c r="O44" s="260">
        <f t="shared" si="14"/>
        <v>0.55179999999999996</v>
      </c>
      <c r="P44" s="258">
        <f t="shared" si="15"/>
        <v>0.55179999999999996</v>
      </c>
      <c r="Q44" s="251">
        <f t="shared" si="16"/>
        <v>41774.367808994604</v>
      </c>
      <c r="R44" s="305">
        <f t="shared" si="17"/>
        <v>44774.367808994604</v>
      </c>
      <c r="S44" s="290">
        <f t="shared" si="18"/>
        <v>0.89</v>
      </c>
      <c r="T44" s="46"/>
      <c r="U44" s="9"/>
      <c r="X44" s="4"/>
    </row>
    <row r="45" spans="2:24" ht="17.399999999999999" x14ac:dyDescent="0.3">
      <c r="B45" s="431">
        <v>1</v>
      </c>
      <c r="C45" s="432" t="s">
        <v>260</v>
      </c>
      <c r="D45" s="433">
        <v>0.88</v>
      </c>
      <c r="E45" s="433">
        <v>0.64</v>
      </c>
      <c r="F45" s="431" t="s">
        <v>295</v>
      </c>
      <c r="G45" s="467">
        <v>48060</v>
      </c>
      <c r="H45" s="467">
        <f t="shared" si="4"/>
        <v>48060</v>
      </c>
      <c r="I45" s="309"/>
      <c r="J45" s="233"/>
      <c r="K45" s="47"/>
      <c r="L45" s="47">
        <f t="shared" si="19"/>
        <v>1</v>
      </c>
      <c r="M45" s="39">
        <f t="shared" si="12"/>
        <v>0.93</v>
      </c>
      <c r="N45" s="39">
        <f t="shared" si="13"/>
        <v>0.64</v>
      </c>
      <c r="O45" s="260">
        <f t="shared" si="14"/>
        <v>0.59520000000000006</v>
      </c>
      <c r="P45" s="258">
        <f t="shared" si="15"/>
        <v>0.59520000000000006</v>
      </c>
      <c r="Q45" s="251">
        <f t="shared" si="16"/>
        <v>45059.992243409913</v>
      </c>
      <c r="R45" s="257">
        <f t="shared" si="17"/>
        <v>48059.992243409913</v>
      </c>
      <c r="S45" s="290">
        <f t="shared" si="18"/>
        <v>0.93</v>
      </c>
      <c r="T45" s="14"/>
      <c r="U45" s="9"/>
      <c r="X45" s="4"/>
    </row>
    <row r="46" spans="2:24" ht="17.399999999999999" x14ac:dyDescent="0.3">
      <c r="B46" s="283"/>
      <c r="C46" s="458"/>
      <c r="D46" s="284"/>
      <c r="E46" s="284"/>
      <c r="F46" s="283"/>
      <c r="G46" s="264"/>
      <c r="H46" s="307"/>
      <c r="I46" s="309"/>
      <c r="J46" s="233"/>
      <c r="K46" s="47"/>
      <c r="L46" s="47"/>
      <c r="M46" s="39"/>
      <c r="N46" s="39"/>
      <c r="O46" s="260"/>
      <c r="P46" s="258"/>
      <c r="Q46" s="251"/>
      <c r="R46" s="257"/>
      <c r="S46" s="290"/>
      <c r="T46" s="14"/>
      <c r="U46" s="9"/>
      <c r="X46" s="4"/>
    </row>
    <row r="47" spans="2:24" ht="18" thickBot="1" x14ac:dyDescent="0.35">
      <c r="B47" s="283"/>
      <c r="C47" s="325"/>
      <c r="D47" s="284"/>
      <c r="E47" s="284"/>
      <c r="F47" s="283"/>
      <c r="G47" s="264"/>
      <c r="H47" s="307"/>
      <c r="I47" s="309"/>
      <c r="J47" s="233"/>
      <c r="K47" s="47"/>
      <c r="L47" s="47"/>
      <c r="M47" s="39"/>
      <c r="N47" s="39"/>
      <c r="O47" s="260"/>
      <c r="P47" s="258"/>
      <c r="Q47" s="251"/>
      <c r="R47" s="257"/>
      <c r="S47" s="290"/>
      <c r="T47" s="14"/>
      <c r="U47" s="9"/>
      <c r="X47" s="4"/>
    </row>
    <row r="48" spans="2:24" ht="17.399999999999999" x14ac:dyDescent="0.3">
      <c r="B48" s="283"/>
      <c r="C48" s="283"/>
      <c r="D48" s="284"/>
      <c r="E48" s="284"/>
      <c r="F48" s="283"/>
      <c r="G48" s="310" t="s">
        <v>28</v>
      </c>
      <c r="H48" s="311">
        <f>SUM(H21:H45)</f>
        <v>1501427</v>
      </c>
      <c r="I48" s="308"/>
      <c r="J48" s="264"/>
      <c r="K48" s="47"/>
      <c r="L48" s="47"/>
      <c r="M48" s="39"/>
      <c r="N48" s="39"/>
      <c r="O48" s="260"/>
      <c r="P48" s="258"/>
      <c r="Q48" s="251"/>
      <c r="R48" s="257"/>
      <c r="S48" s="290"/>
      <c r="T48" s="46">
        <f>SUM(T21:T45)</f>
        <v>0</v>
      </c>
      <c r="U48" s="9"/>
      <c r="X48" s="4"/>
    </row>
    <row r="49" spans="1:24" ht="17.399999999999999" x14ac:dyDescent="0.3">
      <c r="B49" s="277"/>
      <c r="C49" s="280"/>
      <c r="D49" s="281"/>
      <c r="E49" s="281"/>
      <c r="F49" s="282"/>
      <c r="G49" s="289" t="s">
        <v>51</v>
      </c>
      <c r="H49" s="287">
        <f>H48*19%</f>
        <v>285271.13</v>
      </c>
      <c r="I49" s="308"/>
      <c r="J49" s="264"/>
      <c r="K49" s="47"/>
      <c r="L49" s="47"/>
      <c r="M49" s="39">
        <f>SUM(M21:M48)</f>
        <v>24.490000000000002</v>
      </c>
      <c r="N49" s="12"/>
      <c r="O49" s="12"/>
      <c r="P49" s="252">
        <f>SUM(P21:P45)</f>
        <v>3.5416800000000004</v>
      </c>
      <c r="Q49" s="14"/>
      <c r="R49" s="12"/>
      <c r="S49" s="239"/>
      <c r="T49" s="46"/>
      <c r="U49" s="9"/>
      <c r="X49" s="4"/>
    </row>
    <row r="50" spans="1:24" ht="18" thickBot="1" x14ac:dyDescent="0.35">
      <c r="B50" s="274"/>
      <c r="C50" s="279"/>
      <c r="D50" s="271"/>
      <c r="E50" s="271"/>
      <c r="F50" s="272"/>
      <c r="G50" s="278" t="s">
        <v>6</v>
      </c>
      <c r="H50" s="288">
        <f>H48+H49</f>
        <v>1786698.13</v>
      </c>
      <c r="I50" s="308"/>
      <c r="J50" s="264"/>
      <c r="K50" s="47"/>
      <c r="L50" s="47"/>
      <c r="M50" s="39"/>
      <c r="N50" s="12"/>
      <c r="O50" s="12"/>
      <c r="P50" s="252">
        <f>P49</f>
        <v>3.5416800000000004</v>
      </c>
      <c r="Q50" s="14"/>
      <c r="R50" s="12"/>
      <c r="S50" s="239">
        <f>SUM(S21:S49)</f>
        <v>7.95</v>
      </c>
      <c r="T50" s="46"/>
      <c r="U50" s="9"/>
      <c r="X50" s="4"/>
    </row>
    <row r="51" spans="1:24" ht="17.399999999999999" x14ac:dyDescent="0.3">
      <c r="B51" s="274"/>
      <c r="C51" s="270"/>
      <c r="D51" s="271"/>
      <c r="E51" s="271"/>
      <c r="F51" s="272"/>
      <c r="J51" s="264"/>
      <c r="K51" s="47"/>
      <c r="L51" s="47"/>
      <c r="M51" s="14"/>
      <c r="N51" s="12"/>
      <c r="O51" s="12"/>
      <c r="P51" s="39">
        <f>P50*20%</f>
        <v>0.70833600000000008</v>
      </c>
      <c r="Q51" s="39" t="s">
        <v>129</v>
      </c>
      <c r="R51" s="42"/>
      <c r="S51" s="240">
        <f>S50+T48</f>
        <v>7.95</v>
      </c>
      <c r="T51" s="14"/>
      <c r="U51" s="9"/>
      <c r="X51" s="4"/>
    </row>
    <row r="52" spans="1:24" ht="17.399999999999999" x14ac:dyDescent="0.35">
      <c r="B52" s="268"/>
      <c r="C52" s="230"/>
      <c r="D52" s="230"/>
      <c r="E52" s="233"/>
      <c r="F52" s="234"/>
      <c r="G52" s="230"/>
      <c r="H52" s="273"/>
      <c r="I52" s="273"/>
      <c r="J52" s="264"/>
      <c r="K52" s="47"/>
      <c r="L52" s="47"/>
      <c r="M52" s="14"/>
      <c r="N52" s="12"/>
      <c r="O52" s="12"/>
      <c r="P52" s="46">
        <f>P50+P51</f>
        <v>4.2500160000000005</v>
      </c>
      <c r="Q52" s="14"/>
      <c r="R52" s="14"/>
      <c r="S52" s="238">
        <f>S51*20%</f>
        <v>1.59</v>
      </c>
      <c r="T52" s="14"/>
      <c r="U52" s="9"/>
      <c r="X52" s="4"/>
    </row>
    <row r="53" spans="1:24" ht="17.399999999999999" x14ac:dyDescent="0.35">
      <c r="B53" s="235"/>
      <c r="C53" s="236"/>
      <c r="D53" s="237"/>
      <c r="E53" s="235"/>
      <c r="F53" s="230"/>
      <c r="G53" s="230"/>
      <c r="I53" s="273"/>
      <c r="J53" s="264"/>
      <c r="K53" s="47"/>
      <c r="L53" s="47"/>
      <c r="M53" s="14"/>
      <c r="N53" s="14"/>
      <c r="O53" s="14"/>
      <c r="P53" s="14"/>
      <c r="Q53" s="14"/>
      <c r="R53" s="14"/>
      <c r="S53" s="240">
        <f>S51+S52</f>
        <v>9.5400000000000009</v>
      </c>
      <c r="T53" s="14"/>
      <c r="U53" s="294" t="s">
        <v>21</v>
      </c>
      <c r="V53" s="291" t="s">
        <v>149</v>
      </c>
      <c r="W53" s="295">
        <v>44971</v>
      </c>
      <c r="X53" s="296"/>
    </row>
    <row r="54" spans="1:24" ht="17.399999999999999" x14ac:dyDescent="0.35">
      <c r="B54" s="230"/>
      <c r="C54" s="230"/>
      <c r="D54" s="230"/>
      <c r="E54" s="230"/>
      <c r="F54" s="230"/>
      <c r="G54" s="230"/>
      <c r="J54" s="264"/>
      <c r="K54" s="47"/>
      <c r="L54" s="47"/>
      <c r="M54" s="39">
        <f>P52</f>
        <v>4.2500160000000005</v>
      </c>
      <c r="N54" s="12">
        <v>3500</v>
      </c>
      <c r="O54" s="12">
        <f t="shared" ref="O54:O59" si="20">M54*N54</f>
        <v>14875.056000000002</v>
      </c>
      <c r="P54" s="14" t="s">
        <v>21</v>
      </c>
      <c r="Q54" s="14"/>
      <c r="R54" s="14"/>
      <c r="S54" s="241"/>
      <c r="T54" s="14"/>
      <c r="U54" s="294" t="s">
        <v>150</v>
      </c>
      <c r="V54" s="291">
        <v>3625</v>
      </c>
      <c r="W54" s="59" t="s">
        <v>151</v>
      </c>
      <c r="X54" s="296"/>
    </row>
    <row r="55" spans="1:24" ht="17.399999999999999" x14ac:dyDescent="0.35">
      <c r="A55" s="230"/>
      <c r="B55" s="230"/>
      <c r="C55" s="230"/>
      <c r="D55" s="230"/>
      <c r="E55" s="230"/>
      <c r="F55" s="230"/>
      <c r="G55" s="230"/>
      <c r="H55" s="230"/>
      <c r="J55" s="264"/>
      <c r="K55" s="47"/>
      <c r="L55" s="47"/>
      <c r="M55" s="248">
        <v>1.5</v>
      </c>
      <c r="N55" s="12">
        <v>40000</v>
      </c>
      <c r="O55" s="12">
        <f t="shared" si="20"/>
        <v>60000</v>
      </c>
      <c r="P55" s="39" t="s">
        <v>31</v>
      </c>
      <c r="Q55" s="42"/>
      <c r="R55" s="14"/>
      <c r="S55" s="240"/>
      <c r="T55" s="14"/>
      <c r="U55" s="294"/>
      <c r="V55" s="59">
        <v>906.25</v>
      </c>
      <c r="W55" s="59" t="s">
        <v>152</v>
      </c>
      <c r="X55" s="296"/>
    </row>
    <row r="56" spans="1:24" s="230" customFormat="1" ht="17.399999999999999" x14ac:dyDescent="0.35">
      <c r="B56" s="24" t="s">
        <v>148</v>
      </c>
      <c r="J56" s="261"/>
      <c r="K56" s="232"/>
      <c r="L56" s="249"/>
      <c r="M56" s="14"/>
      <c r="N56" s="249">
        <v>40000</v>
      </c>
      <c r="O56" s="12">
        <f t="shared" si="20"/>
        <v>0</v>
      </c>
      <c r="P56" s="39" t="s">
        <v>30</v>
      </c>
      <c r="Q56" s="42"/>
      <c r="S56" s="240"/>
      <c r="T56" s="255"/>
      <c r="U56" s="59"/>
      <c r="V56" s="59">
        <f>V55*20%</f>
        <v>181.25</v>
      </c>
      <c r="W56" s="296" t="s">
        <v>153</v>
      </c>
      <c r="X56" s="59"/>
    </row>
    <row r="57" spans="1:24" s="230" customFormat="1" ht="17.399999999999999" x14ac:dyDescent="0.35">
      <c r="B57" s="24" t="s">
        <v>162</v>
      </c>
      <c r="C57"/>
      <c r="D57"/>
      <c r="E57"/>
      <c r="F57"/>
      <c r="J57" s="261"/>
      <c r="K57" s="232"/>
      <c r="L57" s="249"/>
      <c r="M57" s="14">
        <v>2</v>
      </c>
      <c r="N57" s="249">
        <v>23500</v>
      </c>
      <c r="O57" s="12">
        <f t="shared" si="20"/>
        <v>47000</v>
      </c>
      <c r="P57" s="14" t="s">
        <v>139</v>
      </c>
      <c r="Q57" s="17"/>
      <c r="S57" s="238"/>
      <c r="T57" s="255"/>
      <c r="U57" s="59"/>
      <c r="V57" s="59">
        <f>V55+V56</f>
        <v>1087.5</v>
      </c>
      <c r="W57" s="296" t="s">
        <v>154</v>
      </c>
      <c r="X57" s="59"/>
    </row>
    <row r="58" spans="1:24" s="230" customFormat="1" ht="17.399999999999999" x14ac:dyDescent="0.35">
      <c r="A58" s="230" t="s">
        <v>283</v>
      </c>
      <c r="B58" s="29" t="s">
        <v>124</v>
      </c>
      <c r="C58"/>
      <c r="D58"/>
      <c r="E58"/>
      <c r="F58" s="229" t="s">
        <v>15</v>
      </c>
      <c r="J58" s="261"/>
      <c r="K58" s="259"/>
      <c r="L58" s="249"/>
      <c r="M58" s="248"/>
      <c r="N58" s="249">
        <v>900</v>
      </c>
      <c r="O58" s="12">
        <f t="shared" si="20"/>
        <v>0</v>
      </c>
      <c r="P58" s="14" t="s">
        <v>32</v>
      </c>
      <c r="Q58" s="14"/>
      <c r="R58" s="230">
        <v>1.52</v>
      </c>
      <c r="S58" s="238"/>
      <c r="T58" s="238"/>
    </row>
    <row r="59" spans="1:24" s="230" customFormat="1" ht="17.399999999999999" x14ac:dyDescent="0.35">
      <c r="J59" s="286"/>
      <c r="K59" s="259"/>
      <c r="L59" s="249"/>
      <c r="M59" s="265"/>
      <c r="N59" s="12">
        <v>1500</v>
      </c>
      <c r="O59" s="12">
        <f t="shared" si="20"/>
        <v>0</v>
      </c>
      <c r="P59" s="14" t="s">
        <v>22</v>
      </c>
      <c r="Q59" s="14"/>
      <c r="R59">
        <v>2.44</v>
      </c>
      <c r="S59"/>
      <c r="T59" s="238"/>
      <c r="X59" s="231"/>
    </row>
    <row r="60" spans="1:24" s="230" customFormat="1" ht="17.399999999999999" x14ac:dyDescent="0.35">
      <c r="K60" s="259"/>
      <c r="L60" s="249"/>
      <c r="M60" s="14"/>
      <c r="N60" s="12"/>
      <c r="O60" s="12">
        <f>SUM(O54:O59)</f>
        <v>121875.056</v>
      </c>
      <c r="P60" s="39" t="s">
        <v>23</v>
      </c>
      <c r="Q60" s="14"/>
      <c r="R60">
        <f>R58*R59</f>
        <v>3.7088000000000001</v>
      </c>
      <c r="S60"/>
      <c r="T60" s="238"/>
      <c r="X60" s="231"/>
    </row>
    <row r="61" spans="1:24" s="230" customFormat="1" ht="17.399999999999999" x14ac:dyDescent="0.35">
      <c r="J61" s="230" t="s">
        <v>293</v>
      </c>
      <c r="K61" s="230">
        <v>37500</v>
      </c>
      <c r="L61" s="249"/>
      <c r="M61" s="253" t="s">
        <v>33</v>
      </c>
      <c r="N61" s="12"/>
      <c r="O61" s="254">
        <f>O60*2.2</f>
        <v>268125.12320000003</v>
      </c>
      <c r="P61" s="14" t="s">
        <v>138</v>
      </c>
      <c r="Q61" s="14"/>
      <c r="R61" s="40">
        <f>P52/R60</f>
        <v>1.1459275237273512</v>
      </c>
      <c r="S61"/>
      <c r="T61" s="256"/>
    </row>
    <row r="62" spans="1:24" s="230" customFormat="1" ht="17.399999999999999" x14ac:dyDescent="0.35">
      <c r="G62"/>
      <c r="H62" s="259"/>
      <c r="I62" s="259"/>
      <c r="J62" s="259"/>
      <c r="K62" s="230">
        <v>37500</v>
      </c>
      <c r="L62" s="249"/>
      <c r="M62" s="14"/>
      <c r="N62" s="12"/>
      <c r="O62" s="12">
        <f>O61/P50</f>
        <v>75705.632129384932</v>
      </c>
      <c r="P62" s="45" t="s">
        <v>24</v>
      </c>
      <c r="Q62" s="14"/>
      <c r="R62" s="14"/>
      <c r="S62"/>
      <c r="T62" s="238"/>
      <c r="U62" s="59" t="s">
        <v>155</v>
      </c>
      <c r="V62" s="291">
        <v>43650</v>
      </c>
    </row>
    <row r="63" spans="1:24" s="230" customFormat="1" ht="17.399999999999999" x14ac:dyDescent="0.35">
      <c r="G63"/>
      <c r="K63" s="230">
        <f>K62/1.19</f>
        <v>31512.605042016807</v>
      </c>
      <c r="L63" s="249"/>
      <c r="M63" s="13"/>
      <c r="N63" s="14"/>
      <c r="O63" s="17">
        <f>O61/O60</f>
        <v>2.2000000000000002</v>
      </c>
      <c r="P63" s="15"/>
      <c r="Q63"/>
      <c r="R63"/>
      <c r="S63"/>
      <c r="T63" s="238"/>
      <c r="U63" s="59" t="s">
        <v>157</v>
      </c>
      <c r="V63" s="292" t="s">
        <v>156</v>
      </c>
      <c r="W63" s="59">
        <v>2.4</v>
      </c>
    </row>
    <row r="64" spans="1:24" s="230" customFormat="1" ht="17.399999999999999" x14ac:dyDescent="0.35">
      <c r="G64" s="23"/>
      <c r="L64" s="12"/>
      <c r="T64" s="238"/>
      <c r="U64" s="59" t="s">
        <v>158</v>
      </c>
      <c r="V64" s="293">
        <v>395.37</v>
      </c>
    </row>
    <row r="65" spans="2:22" s="230" customFormat="1" ht="17.399999999999999" x14ac:dyDescent="0.35">
      <c r="B65"/>
      <c r="C65" s="228"/>
      <c r="D65" s="22"/>
      <c r="E65" s="22"/>
      <c r="F65" s="21"/>
      <c r="G65" s="23"/>
      <c r="L65" s="12"/>
      <c r="T65" s="238"/>
      <c r="U65" s="59" t="s">
        <v>153</v>
      </c>
      <c r="V65" s="59">
        <v>474.45</v>
      </c>
    </row>
    <row r="66" spans="2:22" ht="14.4" customHeight="1" x14ac:dyDescent="0.3">
      <c r="L66" s="12"/>
      <c r="U66" s="59"/>
      <c r="V66" s="59"/>
    </row>
    <row r="67" spans="2:22" x14ac:dyDescent="0.3">
      <c r="L67" s="249"/>
    </row>
    <row r="68" spans="2:22" x14ac:dyDescent="0.3">
      <c r="L68" s="249"/>
      <c r="T68" s="269"/>
    </row>
    <row r="69" spans="2:22" x14ac:dyDescent="0.3">
      <c r="L69" s="249"/>
    </row>
    <row r="70" spans="2:22" ht="15" customHeight="1" x14ac:dyDescent="0.3"/>
    <row r="72" spans="2:22" x14ac:dyDescent="0.3">
      <c r="O72">
        <v>40935</v>
      </c>
      <c r="P72" t="s">
        <v>16</v>
      </c>
      <c r="Q72" t="s">
        <v>26</v>
      </c>
    </row>
    <row r="74" spans="2:22" x14ac:dyDescent="0.3">
      <c r="O74" s="54"/>
      <c r="P74" s="54"/>
    </row>
    <row r="75" spans="2:22" x14ac:dyDescent="0.3">
      <c r="S75" s="18"/>
      <c r="T75" s="18"/>
    </row>
    <row r="76" spans="2:22" x14ac:dyDescent="0.3">
      <c r="S76" s="18"/>
      <c r="T76" s="18"/>
    </row>
    <row r="77" spans="2:22" x14ac:dyDescent="0.3">
      <c r="S77" s="18"/>
      <c r="T77" s="18"/>
    </row>
    <row r="78" spans="2:22" x14ac:dyDescent="0.3">
      <c r="S78" s="18"/>
      <c r="T78" s="18"/>
    </row>
    <row r="79" spans="2:22" x14ac:dyDescent="0.3">
      <c r="S79" s="18"/>
      <c r="T79" s="18"/>
    </row>
    <row r="80" spans="2:22" x14ac:dyDescent="0.3">
      <c r="S80" s="18"/>
      <c r="T80" s="18"/>
    </row>
    <row r="81" spans="15:20" x14ac:dyDescent="0.3">
      <c r="S81" s="18"/>
      <c r="T81" s="18"/>
    </row>
    <row r="82" spans="15:20" x14ac:dyDescent="0.3">
      <c r="S82" s="18"/>
      <c r="T82" s="18"/>
    </row>
    <row r="83" spans="15:20" x14ac:dyDescent="0.3">
      <c r="S83" s="18"/>
      <c r="T83" s="18"/>
    </row>
    <row r="86" spans="15:20" x14ac:dyDescent="0.3">
      <c r="O86" s="43"/>
    </row>
    <row r="87" spans="15:20" x14ac:dyDescent="0.3">
      <c r="O87" s="43"/>
    </row>
    <row r="88" spans="15:20" x14ac:dyDescent="0.3">
      <c r="O88" s="6"/>
    </row>
    <row r="89" spans="15:20" x14ac:dyDescent="0.3">
      <c r="O89" s="6"/>
    </row>
    <row r="97" spans="3:3" x14ac:dyDescent="0.3">
      <c r="C97" t="s">
        <v>145</v>
      </c>
    </row>
    <row r="98" spans="3:3" x14ac:dyDescent="0.3">
      <c r="C98" t="s">
        <v>144</v>
      </c>
    </row>
    <row r="101" spans="3:3" x14ac:dyDescent="0.3">
      <c r="C101" t="s">
        <v>144</v>
      </c>
    </row>
    <row r="178" spans="3:3" x14ac:dyDescent="0.3">
      <c r="C178" t="s">
        <v>144</v>
      </c>
    </row>
    <row r="179" spans="3:3" x14ac:dyDescent="0.3">
      <c r="C179" t="s">
        <v>146</v>
      </c>
    </row>
    <row r="180" spans="3:3" x14ac:dyDescent="0.3">
      <c r="C180" t="s">
        <v>147</v>
      </c>
    </row>
    <row r="605" spans="3:3" x14ac:dyDescent="0.3">
      <c r="C605" t="s">
        <v>144</v>
      </c>
    </row>
  </sheetData>
  <mergeCells count="1">
    <mergeCell ref="B19:H19"/>
  </mergeCells>
  <phoneticPr fontId="32" type="noConversion"/>
  <hyperlinks>
    <hyperlink ref="F5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46080</v>
      </c>
    </row>
    <row r="6" spans="2:31" ht="16.2" thickBot="1" x14ac:dyDescent="0.35">
      <c r="B6" s="140" t="s">
        <v>2</v>
      </c>
      <c r="C6" s="139" t="str">
        <f>'2229'!C10</f>
        <v>MUEBLERIA VALENTINA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12027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-221442.81796678746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'2229'!H48</f>
        <v>1501427</v>
      </c>
      <c r="E11" s="132">
        <f>D11*0.19</f>
        <v>285271.13</v>
      </c>
      <c r="F11" s="131">
        <f>E11+D11</f>
        <v>1786698.13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-115452.81796678746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104709.14678743962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-133452.81796678746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1396717.8532125603</v>
      </c>
      <c r="E13" s="221">
        <f>(D11/D12)-1</f>
        <v>13.339024297924119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-142452.81796678746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-181452.81796678746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172770.09219927536</v>
      </c>
      <c r="F15" s="216">
        <f>E15-D12</f>
        <v>68060.945411835739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-181452.81796678746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-141452.81796678746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'2229'!O56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'2229'!O55</f>
        <v>60000</v>
      </c>
      <c r="E19" s="123">
        <f>D19*0.19</f>
        <v>11400</v>
      </c>
      <c r="F19" s="120">
        <f>SUM(D19:E19)</f>
        <v>71400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'2229'!O54</f>
        <v>14875.056000000002</v>
      </c>
      <c r="E20" s="121">
        <f>D20*0.19</f>
        <v>2826.2606400000004</v>
      </c>
      <c r="F20" s="120">
        <f>SUM(D20:E20)</f>
        <v>17701.316640000005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74875.055999999997</v>
      </c>
      <c r="E21" s="116">
        <f>SUM(E18:E20)</f>
        <v>14226.26064</v>
      </c>
      <c r="F21" s="115">
        <f>SUM(F18:F20)</f>
        <v>89101.316640000005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271044.86936000001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1501427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74875.055999999997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1396717.8532125603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1396717.8532125603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12027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MUEBLERIA VALENTINA</v>
      </c>
      <c r="D10" s="350"/>
      <c r="E10" s="350"/>
      <c r="F10" s="351" t="s">
        <v>167</v>
      </c>
      <c r="G10" s="352">
        <f>'2229'!G10</f>
        <v>46080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46087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SAMI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+569 7220 1095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RANCAGUA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2</v>
      </c>
      <c r="C22" s="313" t="s">
        <v>35</v>
      </c>
      <c r="D22" s="321">
        <f>'2229'!D21*1000</f>
        <v>500</v>
      </c>
      <c r="E22" s="321">
        <f>'2229'!E21*1000</f>
        <v>480</v>
      </c>
      <c r="F22" s="322" t="str">
        <f>'2229'!F21</f>
        <v>CELTIC STAD OAK 14012 SF</v>
      </c>
      <c r="G22" s="314">
        <f>'2229'!G21</f>
        <v>22418</v>
      </c>
      <c r="H22" s="323">
        <f>G22*B22</f>
        <v>44836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44836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8518.84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53354.84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MUEBLERIA VALENTINA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450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46080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46087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450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480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610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480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480</v>
      </c>
      <c r="F27" s="383" t="str">
        <f t="shared" si="3"/>
        <v>CELTIC STAD OAK 14012 SF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480</v>
      </c>
      <c r="F49" s="430" t="str">
        <f>'NOTA DE VENTA'!F22</f>
        <v>CELTIC STAD OAK 14012 SF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12027</v>
      </c>
      <c r="C2" s="1">
        <f>'NOTA DE VENTA'!$G$10</f>
        <v>46080</v>
      </c>
      <c r="D2" s="1">
        <f>'NOTA DE VENTA'!$G$11</f>
        <v>46087</v>
      </c>
      <c r="E2" t="str">
        <f>'NOTA DE VENTA'!$C$10</f>
        <v>MUEBLERIA VALENTINA</v>
      </c>
      <c r="F2" t="str">
        <f>'NOTA DE VENTA'!$C$22</f>
        <v>CUB C/R R8</v>
      </c>
      <c r="G2" t="str">
        <f>'NOTA DE VENTA'!$F$22</f>
        <v>CELTIC STAD OAK 14012 SF</v>
      </c>
      <c r="H2" s="415">
        <f>'NOTA DE VENTA'!$H$25</f>
        <v>44836</v>
      </c>
      <c r="I2" s="415">
        <f>H2*0.19</f>
        <v>8518.84</v>
      </c>
      <c r="J2" s="415">
        <f>I2+H2</f>
        <v>53354.84</v>
      </c>
      <c r="L2" s="61">
        <f>J2-K2</f>
        <v>53354.84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2026-02-20T18:17:18Z</cp:lastPrinted>
  <dcterms:created xsi:type="dcterms:W3CDTF">2013-03-18T13:35:42Z</dcterms:created>
  <dcterms:modified xsi:type="dcterms:W3CDTF">2026-03-09T17:29:01Z</dcterms:modified>
</cp:coreProperties>
</file>