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779CAF5E-5F0E-4AE2-8295-529F48D9EF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1" i="1"/>
  <c r="K31" i="1"/>
  <c r="K27" i="1"/>
  <c r="K33" i="1" s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L25" i="1" s="1"/>
  <c r="S21" i="1" l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<sst xmlns="http://schemas.openxmlformats.org/spreadsheetml/2006/main" count="487" uniqueCount="295">
  <si>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</si>
  <si>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</si>
  <si>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</si>
  <si>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</si>
  <si>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</si>
  <si>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</si>
  <si>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</si>
  <si>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</si>
  <si>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</si>
  <si>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</si>
  <si>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</si>
  <si>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</si>
  <si>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</si>
  <si>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</si>
  <si>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</si>
  <si>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</si>
  <si>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</si>
  <si>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</si>
  <si>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</si>
  <si>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</si>
  <si>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</si>
  <si>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</si>
  <si>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</si>
  <si>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</si>
  <si>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</si>
  <si>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</si>
  <si>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</si>
  <si>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</si>
  <si>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</si>
  <si>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</si>
  <si>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</si>
  <si>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</si>
  <si>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</si>
  <si>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</si>
  <si>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</si>
  <si>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</si>
  <si>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</si>
  <si>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</si>
  <si>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</si>
  <si>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</si>
  <si>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</si>
  <si>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</si>
  <si>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</si>
  <si>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</si>
  <si>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</si>
  <si>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</si>
  <si>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</si>
  <si>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</si>
  <si>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</si>
  <si>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</si>
  <si>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</si>
  <si>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</si>
  <si>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</si>
  <si>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</si>
  <si>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</si>
  <si>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</si>
  <si>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</si>
  <si>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</si>
  <si>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</si>
  <si>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</si>
  <si>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</si>
  <si>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</si>
  <si>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</si>
  <si>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</si>
  <si>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</si>
  <si>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</si>
  <si>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</si>
  <si>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</si>
  <si>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</si>
  <si>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</si>
  <si>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</si>
  <si>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</si>
  <si>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</si>
  <si>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</si>
  <si>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</si>
  <si>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</si>
  <si>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</si>
  <si>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</si>
  <si>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</si>
  <si>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</si>
  <si>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</si>
  <si>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</si>
  <si>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</si>
  <si>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</si>
  <si>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</si>
  <si>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</si>
  <si>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</si>
  <si>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</si>
  <si>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</si>
  <si>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</si>
  <si>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</si>
  <si>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</si>
  <si>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</si>
  <si>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</si>
  <si>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</si>
  <si>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</si>
  <si>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</si>
  <si>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</si>
  <si>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</si>
  <si>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</si>
  <si>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</si>
  <si>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</si>
  <si>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</si>
  <si>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</si>
  <si>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</si>
  <si>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</si>
  <si>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</si>
  <si>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</si>
  <si>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</si>
  <si>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</si>
  <si>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</si>
  <si>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</si>
  <si>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</si>
  <si>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</si>
  <si>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</si>
  <si>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</si>
  <si>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</si>
  <si>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</si>
  <si>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</si>
  <si>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</si>
  <si>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</si>
  <si>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</si>
  <si>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</si>
  <si>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</si>
  <si>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</si>
  <si>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</si>
  <si>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</si>
  <si>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</si>
  <si>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</si>
  <si>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</si>
  <si>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</si>
  <si>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</si>
  <si>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</si>
  <si>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</si>
  <si>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</si>
  <si>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</si>
  <si>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</si>
  <si>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</si>
  <si>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</si>
  <si>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</si>
  <si>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</si>
  <si>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</si>
  <si>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</si>
  <si>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</si>
  <si>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</si>
  <si>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</si>
  <si>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</si>
  <si>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</si>
  <si>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</si>
  <si>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</si>
  <si>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</si>
  <si>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</si>
  <si>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</si>
  <si>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</si>
  <si>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</si>
  <si>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</si>
  <si>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</si>
  <si>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</si>
  <si>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</si>
  <si>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</si>
  <si>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</si>
  <si>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</si>
  <si>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</si>
  <si>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</si>
  <si>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</si>
  <si>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</si>
  <si>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</si>
  <si>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</si>
  <si>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</si>
  <si>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</si>
  <si>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</si>
  <si>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</si>
  <si>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</si>
  <si>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</si>
  <si>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</si>
  <si>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</si>
  <si>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</si>
  <si>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</si>
  <si>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</si>
  <si>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</si>
  <si>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</si>
  <si>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</si>
  <si>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</si>
  <si>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</si>
  <si>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</si>
  <si>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</si>
  <si>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</si>
  <si>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</si>
  <si>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</si>
  <si>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</si>
  <si>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</si>
  <si>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</si>
  <si>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</si>
  <si>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</si>
  <si>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</si>
  <si>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</si>
  <si>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</si>
  <si>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</si>
  <si>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</si>
  <si>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</si>
  <si>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</si>
  <si>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</si>
  <si>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</si>
  <si>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</si>
  <si>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</si>
  <si>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</si>
  <si>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</si>
  <si>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</si>
  <si>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</si>
  <si>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</si>
  <si>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</si>
  <si>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</si>
  <si>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</si>
  <si>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</si>
  <si>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</si>
  <si>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</si>
  <si>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</si>
  <si>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</si>
  <si>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</si>
  <si>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</si>
  <si>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</si>
  <si>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</si>
  <si>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</si>
  <si>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</si>
  <si>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</si>
  <si>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</si>
  <si>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</si>
  <si>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</si>
  <si>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</si>
  <si>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</si>
  <si>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</si>
  <si>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</si>
  <si>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</si>
  <si>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</si>
  <si>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</si>
  <si>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</si>
  <si>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</si>
  <si>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</si>
  <si>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</si>
  <si>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</si>
  <si>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</si>
  <si>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</si>
  <si>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</si>
  <si>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</si>
  <si>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</si>
  <si>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</si>
  <si>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</si>
  <si>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</si>
  <si>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</si>
  <si>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</si>
  <si>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</si>
  <si>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</si>
  <si>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</si>
  <si>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</si>
  <si>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</si>
  <si>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</si>
  <si>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</si>
  <si>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</si>
  <si>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</si>
  <si>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</si>
  <si>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</si>
  <si>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</si>
  <si>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</si>
  <si>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</si>
  <si>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</si>
  <si>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</si>
  <si>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</si>
  <si>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</si>
  <si>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</si>
  <si>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</si>
  <si>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</si>
  <si>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</si>
  <si>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</si>
  <si>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</si>
  <si>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</si>
  <si>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</si>
  <si>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</si>
  <si>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</si>
  <si>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</si>
  <si>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</si>
  <si>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</si>
  <si>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</si>
  <si>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</si>
  <si>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</si>
  <si>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</si>
  <si>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</si>
  <si>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</si>
  <si>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</si>
  <si>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</si>
  <si>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CON RESPALDO FTE 90°</t>
  </si>
  <si>
    <t>N° 12068</t>
  </si>
  <si>
    <t>PAULA CAMPOS</t>
  </si>
  <si>
    <t xml:space="preserve">+56 </t>
  </si>
  <si>
    <t>COLOR MERINO POR DEFINIR</t>
  </si>
  <si>
    <t>DESPACHO A MAIPU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</si>
</sst>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215079</xdr:rowOff>
    </xdr:from>
    <xdr:to>
      <xdr:col>5</xdr:col>
      <xdr:colOff>1732649</xdr:colOff>
      <xdr:row>25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I25" sqref="I2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291</v>
      </c>
      <c r="D10" s="243"/>
      <c r="E10" s="243"/>
      <c r="F10" s="418" t="s">
        <v>277</v>
      </c>
      <c r="G10" s="275">
        <v>46111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292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2" t="s">
        <v>95</v>
      </c>
      <c r="C19" s="433"/>
      <c r="D19" s="433"/>
      <c r="E19" s="433"/>
      <c r="F19" s="433"/>
      <c r="G19" s="433"/>
      <c r="H19" s="434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130583.75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55">
        <v>1</v>
      </c>
      <c r="C21" s="456" t="s">
        <v>289</v>
      </c>
      <c r="D21" s="457">
        <v>1.52</v>
      </c>
      <c r="E21" s="457">
        <v>0.52</v>
      </c>
      <c r="F21" s="455" t="s">
        <v>293</v>
      </c>
      <c r="G21" s="458">
        <f>Q21</f>
        <v>108645.68000000001</v>
      </c>
      <c r="H21" s="458">
        <f>G21*B21</f>
        <v>108645.68000000001</v>
      </c>
      <c r="I21" s="306"/>
      <c r="J21" s="264"/>
      <c r="K21" s="47"/>
      <c r="L21" s="47">
        <f>B21</f>
        <v>1</v>
      </c>
      <c r="M21" s="39">
        <f>D21+M$19</f>
        <v>1.6</v>
      </c>
      <c r="N21" s="39">
        <f>E21+$N$19</f>
        <v>0.52</v>
      </c>
      <c r="O21" s="260">
        <f t="shared" ref="O21" si="0">M21*N21</f>
        <v>0.83200000000000007</v>
      </c>
      <c r="P21" s="258">
        <f t="shared" ref="P21" si="1">O21*L21</f>
        <v>0.83200000000000007</v>
      </c>
      <c r="Q21" s="251">
        <f t="shared" ref="Q21" si="2">Q$20*O21</f>
        <v>108645.68000000001</v>
      </c>
      <c r="R21" s="305">
        <f t="shared" ref="R21" si="3">Q21+R$20</f>
        <v>111645.68000000001</v>
      </c>
      <c r="S21" s="290">
        <f>M21*L21</f>
        <v>1.6</v>
      </c>
      <c r="T21" s="46">
        <f>N21*2*L21*2</f>
        <v>2.08</v>
      </c>
      <c r="U21" s="9"/>
      <c r="X21" s="4"/>
    </row>
    <row r="22" spans="1:25" ht="17.399999999999999" x14ac:dyDescent="0.3">
      <c r="B22" s="455">
        <v>1</v>
      </c>
      <c r="C22" s="456" t="s">
        <v>294</v>
      </c>
      <c r="D22" s="457"/>
      <c r="E22" s="457"/>
      <c r="F22" s="455"/>
      <c r="G22" s="458">
        <v>28000</v>
      </c>
      <c r="H22" s="458">
        <f>G22*B22</f>
        <v>28000</v>
      </c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136645.68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2.08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25962.679199999999</v>
      </c>
      <c r="I25" s="308"/>
      <c r="J25" s="264"/>
      <c r="K25" s="47">
        <v>450</v>
      </c>
      <c r="L25" s="431">
        <f>M25*10</f>
        <v>16</v>
      </c>
      <c r="M25" s="39">
        <f>SUM(M21:M24)</f>
        <v>1.6</v>
      </c>
      <c r="N25" s="12"/>
      <c r="O25" s="12"/>
      <c r="P25" s="252">
        <f>SUM(P21:P21)</f>
        <v>0.83200000000000007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162608.35920000001</v>
      </c>
      <c r="I26" s="308"/>
      <c r="J26" s="264"/>
      <c r="K26" s="47">
        <v>60</v>
      </c>
      <c r="L26" s="47"/>
      <c r="M26" s="39"/>
      <c r="N26" s="12"/>
      <c r="O26" s="12"/>
      <c r="P26" s="252">
        <f>P25</f>
        <v>0.83200000000000007</v>
      </c>
      <c r="Q26" s="14"/>
      <c r="R26" s="12"/>
      <c r="S26" s="239">
        <f>SUM(S21:S25)</f>
        <v>1.6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>
        <f>SUM(K25:K26)</f>
        <v>510</v>
      </c>
      <c r="L27" s="47"/>
      <c r="M27" s="14"/>
      <c r="N27" s="12"/>
      <c r="O27" s="12"/>
      <c r="P27" s="39">
        <f>P26*20%</f>
        <v>0.16640000000000002</v>
      </c>
      <c r="Q27" s="39" t="s">
        <v>129</v>
      </c>
      <c r="R27" s="42"/>
      <c r="S27" s="240">
        <f>S26+T24</f>
        <v>3.68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0.99840000000000007</v>
      </c>
      <c r="Q28" s="14"/>
      <c r="R28" s="14"/>
      <c r="S28" s="238">
        <f>S27*20%</f>
        <v>0.7360000000000001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>
        <v>600</v>
      </c>
      <c r="L29" s="47"/>
      <c r="M29" s="14"/>
      <c r="N29" s="14"/>
      <c r="O29" s="14"/>
      <c r="P29" s="14"/>
      <c r="Q29" s="14"/>
      <c r="R29" s="14"/>
      <c r="S29" s="240">
        <f>S27+S28</f>
        <v>4.4160000000000004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>
        <v>60</v>
      </c>
      <c r="L30" s="47"/>
      <c r="M30" s="39">
        <f>P28</f>
        <v>0.99840000000000007</v>
      </c>
      <c r="N30" s="12">
        <v>3500</v>
      </c>
      <c r="O30" s="12">
        <f t="shared" ref="O30:O35" si="4">M30*N30</f>
        <v>3494.4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>
        <f>SUM(K29:K30)</f>
        <v>660</v>
      </c>
      <c r="L31" s="47"/>
      <c r="M31" s="248">
        <v>0.3</v>
      </c>
      <c r="N31" s="12">
        <v>23500</v>
      </c>
      <c r="O31" s="12">
        <f t="shared" si="4"/>
        <v>7050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>
        <f>K27+K31</f>
        <v>1170</v>
      </c>
      <c r="L33" s="249"/>
      <c r="M33" s="14">
        <v>1</v>
      </c>
      <c r="N33" s="249">
        <v>35000</v>
      </c>
      <c r="O33" s="12">
        <f t="shared" si="4"/>
        <v>35000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>
        <v>1.6</v>
      </c>
      <c r="N34" s="249">
        <v>900</v>
      </c>
      <c r="O34" s="12">
        <f t="shared" si="4"/>
        <v>1440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1.6</v>
      </c>
      <c r="N35" s="12">
        <v>1500</v>
      </c>
      <c r="O35" s="12">
        <f t="shared" si="4"/>
        <v>2400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49384.4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108645.68000000001</v>
      </c>
      <c r="P37" s="14" t="s">
        <v>138</v>
      </c>
      <c r="Q37" s="14"/>
      <c r="R37" s="40">
        <f>P28/R36</f>
        <v>0.26919758412424505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51290</v>
      </c>
      <c r="L38" s="249"/>
      <c r="M38" s="14"/>
      <c r="N38" s="12"/>
      <c r="O38" s="12">
        <f>O37/P26</f>
        <v>130583.75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43100.840336134454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46111</v>
      </c>
    </row>
    <row r="6" spans="2:31" ht="16.2" thickBot="1" x14ac:dyDescent="0.35">
      <c r="B6" s="140" t="s">
        <v>2</v>
      </c>
      <c r="C6" s="139" t="str">
        <f>'2229'!C10</f>
        <v>PAULA CAMPOS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6" t="s">
        <v>98</v>
      </c>
      <c r="I7" s="437"/>
      <c r="J7" s="437"/>
      <c r="K7" s="438"/>
      <c r="N7" s="75"/>
      <c r="O7" s="43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12068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-11670.195033454105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136645.68</v>
      </c>
      <c r="E11" s="132">
        <f>D11*0.19</f>
        <v>25962.679199999999</v>
      </c>
      <c r="F11" s="131">
        <f>E11+D11</f>
        <v>162608.35920000001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94319.804966545897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40378.490787439616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76319.804966545897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96267.189212560377</v>
      </c>
      <c r="E13" s="221">
        <f>(D11/D12)-1</f>
        <v>2.3841205388118629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67319.804966545897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28319.804966545897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66624.509799275358</v>
      </c>
      <c r="F15" s="216">
        <f>E15-D12</f>
        <v>26246.019011835742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28319.804966545897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68319.804966545897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3494.4</v>
      </c>
      <c r="E20" s="121">
        <f>D20*0.19</f>
        <v>663.93600000000004</v>
      </c>
      <c r="F20" s="120">
        <f>SUM(D20:E20)</f>
        <v>4158.3360000000002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10544.4</v>
      </c>
      <c r="E21" s="116">
        <f>SUM(E18:E20)</f>
        <v>2003.4360000000001</v>
      </c>
      <c r="F21" s="115">
        <f>SUM(F18:F20)</f>
        <v>12547.835999999999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23959.243199999997</v>
      </c>
    </row>
    <row r="41" spans="2:16" ht="15" thickBot="1" x14ac:dyDescent="0.35">
      <c r="H41" s="439" t="s">
        <v>60</v>
      </c>
      <c r="I41" s="440"/>
      <c r="J41" s="440"/>
      <c r="K41" s="440"/>
      <c r="L41" s="440"/>
      <c r="M41" s="441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136645.68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10544.4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96267.189212560377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96267.189212560377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12068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PAULA CAMPOS</v>
      </c>
      <c r="D10" s="350"/>
      <c r="E10" s="350"/>
      <c r="F10" s="351" t="s">
        <v>167</v>
      </c>
      <c r="G10" s="352">
        <f>'2229'!G10</f>
        <v>46111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 xml:space="preserve">+56 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2" t="s">
        <v>175</v>
      </c>
      <c r="G17" s="442"/>
      <c r="H17" s="443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4" t="s">
        <v>176</v>
      </c>
      <c r="C20" s="445"/>
      <c r="D20" s="445"/>
      <c r="E20" s="445"/>
      <c r="F20" s="445"/>
      <c r="G20" s="445"/>
      <c r="H20" s="446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FTE 90°</v>
      </c>
      <c r="D22" s="321">
        <f>'2229'!D21*1000</f>
        <v>1520</v>
      </c>
      <c r="E22" s="321">
        <f>'2229'!E21*1000</f>
        <v>520</v>
      </c>
      <c r="F22" s="322" t="str">
        <f>'2229'!F21</f>
        <v>COLOR MERINO POR DEFINIR</v>
      </c>
      <c r="G22" s="314">
        <f>'2229'!G21</f>
        <v>108645.68000000001</v>
      </c>
      <c r="H22" s="323">
        <f>G22*B22</f>
        <v>108645.68000000001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108645.68000000001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20642.679200000002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129288.35920000001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7" t="s">
        <v>182</v>
      </c>
      <c r="C2" s="447"/>
      <c r="D2" s="447"/>
      <c r="E2" s="361"/>
      <c r="G2" s="447" t="s">
        <v>183</v>
      </c>
      <c r="H2" s="447"/>
      <c r="I2" s="447"/>
      <c r="P2" s="448" t="s">
        <v>184</v>
      </c>
      <c r="Q2" s="448"/>
      <c r="R2" s="448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48" t="s">
        <v>184</v>
      </c>
      <c r="M8" s="448"/>
      <c r="N8" s="448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3" t="s">
        <v>265</v>
      </c>
      <c r="L3" s="453"/>
      <c r="M3" s="453" t="s">
        <v>266</v>
      </c>
      <c r="N3" s="453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PAULA CAMPOS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4" t="s">
        <v>265</v>
      </c>
      <c r="B10" s="454"/>
      <c r="C10" s="454"/>
      <c r="D10" s="454"/>
      <c r="E10" s="454"/>
      <c r="F10" s="454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4" t="s">
        <v>266</v>
      </c>
      <c r="B17" s="454"/>
      <c r="C17" s="454"/>
      <c r="D17" s="454"/>
      <c r="E17" s="454"/>
      <c r="F17" s="454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4" t="s">
        <v>272</v>
      </c>
      <c r="B45" s="454"/>
      <c r="C45" s="454"/>
      <c r="D45" s="454"/>
      <c r="E45" s="454"/>
      <c r="F45" s="454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9" t="s">
        <v>95</v>
      </c>
      <c r="C47" s="450"/>
      <c r="D47" s="451"/>
      <c r="E47" s="451"/>
      <c r="F47" s="452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12068</v>
      </c>
      <c r="C2" s="1">
        <f>'NOTA DE VENTA'!$G$10</f>
        <v>46111</v>
      </c>
      <c r="D2" s="1">
        <f>'NOTA DE VENTA'!$G$11</f>
        <v>46118</v>
      </c>
      <c r="E2" t="str">
        <f>'NOTA DE VENTA'!$C$10</f>
        <v>PAULA CAMPOS</v>
      </c>
      <c r="F2" t="str">
        <f>'NOTA DE VENTA'!$C$22</f>
        <v>CUB CON RESPALDO FTE 90°</v>
      </c>
      <c r="G2" t="str">
        <f>'NOTA DE VENTA'!$F$22</f>
        <v>COLOR MERINO POR DEFINIR</v>
      </c>
      <c r="H2" s="416">
        <f>'NOTA DE VENTA'!$H$25</f>
        <v>108645.68000000001</v>
      </c>
      <c r="I2" s="416">
        <f>H2*0.19</f>
        <v>20642.679200000002</v>
      </c>
      <c r="J2" s="416">
        <f>I2+H2</f>
        <v>129288.35920000001</v>
      </c>
      <c r="L2" s="61">
        <f>J2-K2</f>
        <v>129288.35920000001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2026-03-26T19:56:52Z</cp:lastPrinted>
  <dcterms:created xsi:type="dcterms:W3CDTF">2013-03-18T13:35:42Z</dcterms:created>
  <dcterms:modified xsi:type="dcterms:W3CDTF">2026-03-30T13:47:17Z</dcterms:modified>
</cp:coreProperties>
</file>