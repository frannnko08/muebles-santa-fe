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F040B56C-A474-46E5-BCA7-1423BBB1D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O26" i="1"/>
  <c r="P26" i="1" s="1"/>
  <c r="Q26" i="1" s="1"/>
  <c r="O25" i="1"/>
  <c r="N26" i="1"/>
  <c r="T26" i="1"/>
  <c r="N25" i="1"/>
  <c r="T25" i="1" s="1"/>
  <c r="M26" i="1"/>
  <c r="M25" i="1"/>
  <c r="M24" i="1"/>
  <c r="N24" i="1"/>
  <c r="O24" i="1"/>
  <c r="M23" i="1"/>
  <c r="N23" i="1"/>
  <c r="O23" i="1"/>
  <c r="M22" i="1"/>
  <c r="N22" i="1"/>
  <c r="O22" i="1"/>
  <c r="M21" i="1"/>
  <c r="K44" i="1"/>
  <c r="L38" i="1"/>
  <c r="L39" i="1" s="1"/>
  <c r="P25" i="1" l="1"/>
  <c r="Q25" i="1" s="1"/>
  <c r="P24" i="1"/>
  <c r="Q24" i="1" s="1"/>
  <c r="T24" i="1"/>
  <c r="P23" i="1"/>
  <c r="Q23" i="1" s="1"/>
  <c r="P22" i="1"/>
  <c r="Q22" i="1" s="1"/>
  <c r="T22" i="1"/>
  <c r="N21" i="1"/>
  <c r="T21" i="1" s="1"/>
  <c r="O21" i="1"/>
  <c r="T30" i="1" l="1"/>
  <c r="P21" i="1"/>
  <c r="Q21" i="1" s="1"/>
  <c r="Q29" i="1" s="1"/>
  <c r="N29" i="1"/>
  <c r="U28" i="1"/>
  <c r="L43" i="1"/>
  <c r="T31" i="1" l="1"/>
  <c r="T32" i="1" s="1"/>
  <c r="T33" i="1" s="1"/>
  <c r="W36" i="1"/>
  <c r="W37" i="1" s="1"/>
  <c r="P35" i="1" l="1"/>
  <c r="Q30" i="1" l="1"/>
  <c r="O20" i="1"/>
  <c r="M20" i="1"/>
  <c r="Q31" i="1" l="1"/>
  <c r="Q32" i="1" s="1"/>
  <c r="N34" i="1" s="1"/>
  <c r="P36" i="1"/>
  <c r="S40" i="1"/>
  <c r="S41" i="1" l="1"/>
  <c r="P37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P39" i="1"/>
  <c r="P38" i="1"/>
  <c r="F18" i="3" l="1"/>
  <c r="P34" i="1" l="1"/>
  <c r="P40" i="1" s="1"/>
  <c r="P41" i="1" s="1"/>
  <c r="D21" i="3" l="1"/>
  <c r="E21" i="3" s="1"/>
  <c r="E22" i="3" s="1"/>
  <c r="P42" i="1" l="1"/>
  <c r="R20" i="1" s="1"/>
  <c r="R26" i="1" s="1"/>
  <c r="S26" i="1" s="1"/>
  <c r="D22" i="3"/>
  <c r="M44" i="3" s="1"/>
  <c r="D12" i="3" s="1"/>
  <c r="F21" i="3"/>
  <c r="F22" i="3" s="1"/>
  <c r="R24" i="1" l="1"/>
  <c r="S24" i="1" s="1"/>
  <c r="R25" i="1"/>
  <c r="S25" i="1" s="1"/>
  <c r="I24" i="1"/>
  <c r="R23" i="1"/>
  <c r="R22" i="1"/>
  <c r="R21" i="1"/>
  <c r="P43" i="1"/>
  <c r="E15" i="3"/>
  <c r="S23" i="1" l="1"/>
  <c r="I23" i="1"/>
  <c r="S21" i="1"/>
  <c r="I21" i="1"/>
  <c r="S22" i="1"/>
  <c r="I22" i="1"/>
  <c r="F15" i="3"/>
  <c r="I28" i="1" l="1"/>
  <c r="D11" i="3"/>
  <c r="X9" i="3" s="1"/>
  <c r="X15" i="3" s="1"/>
  <c r="I29" i="1" l="1"/>
  <c r="I30" i="1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<sst xmlns="http://schemas.openxmlformats.org/spreadsheetml/2006/main" count="241" uniqueCount="178">
  <si>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</si>
  <si>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</si>
  <si>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</si>
  <si>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</si>
  <si>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</si>
  <si>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</si>
  <si>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</si>
  <si>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</si>
  <si>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</si>
  <si>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</si>
  <si>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</si>
  <si>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</si>
  <si>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</si>
  <si>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</si>
  <si>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</si>
  <si>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</si>
  <si>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</si>
  <si>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</si>
  <si>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</si>
  <si>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</si>
  <si>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</si>
  <si>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</si>
  <si>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</si>
  <si>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</si>
  <si>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</si>
  <si>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</si>
  <si>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</si>
  <si>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</si>
  <si>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</si>
  <si>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</si>
  <si>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</si>
  <si>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</si>
  <si>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</si>
  <si>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</si>
  <si>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</si>
  <si>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</si>
  <si>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</si>
  <si>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</si>
  <si>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</si>
  <si>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</si>
  <si>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</si>
  <si>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</si>
  <si>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</si>
  <si>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</si>
  <si>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</si>
  <si>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</si>
  <si>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</si>
  <si>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</si>
  <si>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</si>
  <si>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</si>
  <si>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</si>
  <si>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</si>
  <si>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</si>
  <si>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</si>
  <si>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</si>
  <si>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</si>
  <si>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</si>
  <si>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</si>
  <si>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</si>
  <si>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</si>
  <si>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</si>
  <si>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</si>
  <si>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</si>
  <si>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</si>
  <si>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</si>
  <si>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</si>
  <si>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</si>
  <si>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</si>
  <si>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</si>
  <si>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</si>
  <si>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</si>
  <si>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</si>
  <si>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</si>
  <si>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</si>
  <si>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</si>
  <si>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</si>
  <si>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</si>
  <si>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</si>
  <si>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</si>
  <si>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</si>
  <si>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</si>
  <si>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</si>
  <si>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</si>
  <si>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</si>
  <si>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</si>
  <si>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</si>
  <si>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</si>
  <si>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</si>
  <si>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</si>
  <si>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</si>
  <si>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</si>
  <si>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</si>
  <si>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</si>
  <si>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</si>
  <si>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</si>
  <si>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</si>
  <si>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</si>
  <si>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</si>
  <si>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</si>
  <si>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</si>
  <si>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</si>
  <si>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</si>
  <si>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</si>
  <si>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</si>
  <si>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</si>
  <si>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</si>
  <si>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</si>
  <si>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</si>
  <si>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</si>
  <si>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</si>
  <si>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</si>
  <si>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</si>
  <si>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</si>
  <si>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</si>
  <si>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</si>
  <si>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</si>
  <si>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</si>
  <si>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</si>
  <si>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</si>
  <si>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</si>
  <si>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</si>
  <si>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</si>
  <si>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</si>
  <si>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</si>
  <si>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</si>
  <si>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</si>
  <si>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</si>
  <si>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</si>
  <si>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</si>
  <si>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</si>
  <si>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</si>
  <si>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</si>
  <si>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</si>
  <si>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</si>
  <si>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</si>
  <si>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</si>
  <si>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</si>
  <si>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</si>
  <si>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</si>
  <si>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</si>
  <si>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</si>
  <si>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</si>
  <si>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</si>
  <si>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</si>
  <si>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</si>
  <si>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</si>
  <si>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</si>
  <si>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</si>
  <si>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</si>
  <si>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</si>
  <si>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</si>
  <si>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</si>
  <si>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</si>
  <si>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</si>
  <si>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</si>
  <si>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</si>
  <si>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</si>
  <si>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</si>
  <si>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</si>
  <si>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</si>
  <si>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</si>
  <si>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</si>
  <si>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</si>
  <si>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</si>
  <si>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</si>
  <si>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</si>
  <si>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</si>
  <si>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</si>
  <si>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</si>
  <si>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</si>
  <si>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</si>
  <si>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LAMINA CHICA</t>
  </si>
  <si>
    <t>URGENTE</t>
  </si>
  <si>
    <t>N° 12061</t>
  </si>
  <si>
    <t>CUB C/R 90° R8</t>
  </si>
  <si>
    <t>CUB S/R R8</t>
  </si>
  <si>
    <t>GLACIAL WHITE 22191 SF</t>
  </si>
  <si>
    <t>N/V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</si>
</sst>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3" fillId="0" borderId="0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0" fillId="0" borderId="1" xfId="0" applyBorder="1"/>
    <xf numFmtId="3" fontId="11" fillId="18" borderId="1" xfId="0" applyNumberFormat="1" applyFont="1" applyFill="1" applyBorder="1" applyAlignment="1">
      <alignment horizontal="center"/>
    </xf>
    <xf numFmtId="42" fontId="33" fillId="18" borderId="1" xfId="8" applyFont="1" applyFill="1" applyBorder="1"/>
    <xf numFmtId="0" fontId="11" fillId="0" borderId="1" xfId="0" applyFont="1" applyBorder="1" applyAlignment="1">
      <alignment horizontal="center"/>
    </xf>
    <xf numFmtId="42" fontId="33" fillId="0" borderId="1" xfId="8" applyFont="1" applyFill="1" applyBorder="1"/>
    <xf numFmtId="41" fontId="11" fillId="0" borderId="1" xfId="4" applyFont="1" applyBorder="1"/>
    <xf numFmtId="42" fontId="33" fillId="0" borderId="1" xfId="0" applyNumberFormat="1" applyFont="1" applyBorder="1"/>
    <xf numFmtId="1" fontId="37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31</xdr:row>
      <xdr:rowOff>8194</xdr:rowOff>
    </xdr:from>
    <xdr:to>
      <xdr:col>9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33</xdr:row>
      <xdr:rowOff>154305</xdr:rowOff>
    </xdr:from>
    <xdr:to>
      <xdr:col>8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6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6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5"/>
  <sheetViews>
    <sheetView tabSelected="1" topLeftCell="A9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6" width="10.5546875" customWidth="1"/>
    <col min="7" max="7" width="32.3320312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141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138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142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163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0" t="s">
        <v>126</v>
      </c>
      <c r="C8" s="291"/>
      <c r="D8" s="321" t="s">
        <v>173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301" t="s">
        <v>161</v>
      </c>
      <c r="C10" s="278" t="s">
        <v>166</v>
      </c>
      <c r="D10" s="243"/>
      <c r="E10" s="243"/>
      <c r="F10" s="243"/>
      <c r="G10" s="244" t="s">
        <v>0</v>
      </c>
      <c r="H10" s="276">
        <v>46105</v>
      </c>
      <c r="I10" s="245"/>
      <c r="L10" s="1"/>
      <c r="S10" s="2"/>
      <c r="T10" s="3"/>
      <c r="U10" s="3"/>
      <c r="V10" s="4"/>
      <c r="W10" s="2"/>
      <c r="X10" s="3"/>
    </row>
    <row r="11" spans="2:25" ht="16.8" x14ac:dyDescent="0.4">
      <c r="B11" s="286" t="s">
        <v>12</v>
      </c>
      <c r="C11" s="294"/>
      <c r="G11" t="s">
        <v>123</v>
      </c>
      <c r="H11" s="287" t="s">
        <v>172</v>
      </c>
      <c r="I11" s="288"/>
      <c r="R11" s="19"/>
      <c r="S11" s="25" t="s">
        <v>18</v>
      </c>
      <c r="T11" s="19"/>
    </row>
    <row r="12" spans="2:25" ht="16.8" x14ac:dyDescent="0.4">
      <c r="B12" s="246" t="s">
        <v>144</v>
      </c>
      <c r="C12" s="302"/>
      <c r="D12" s="247"/>
      <c r="E12" s="247"/>
      <c r="F12" s="247"/>
      <c r="G12" s="247" t="s">
        <v>127</v>
      </c>
      <c r="H12" s="277" t="s">
        <v>135</v>
      </c>
      <c r="I12" s="248"/>
      <c r="R12" s="19"/>
      <c r="S12" s="25"/>
      <c r="T12" s="19"/>
    </row>
    <row r="13" spans="2:25" x14ac:dyDescent="0.3">
      <c r="B13" s="286" t="s">
        <v>145</v>
      </c>
      <c r="C13" t="s">
        <v>167</v>
      </c>
      <c r="G13" t="s">
        <v>169</v>
      </c>
      <c r="H13" s="303"/>
      <c r="I13" s="288"/>
      <c r="R13" s="19"/>
      <c r="S13" s="25"/>
      <c r="T13" s="19"/>
    </row>
    <row r="14" spans="2:25" x14ac:dyDescent="0.3">
      <c r="B14" s="246" t="s">
        <v>139</v>
      </c>
      <c r="C14" s="310"/>
      <c r="D14" s="247"/>
      <c r="E14" s="247"/>
      <c r="F14" s="247"/>
      <c r="G14" s="311" t="s">
        <v>136</v>
      </c>
      <c r="H14" s="289" t="s">
        <v>135</v>
      </c>
      <c r="I14" s="248"/>
      <c r="L14" s="29"/>
      <c r="R14" s="20"/>
      <c r="S14" s="26" t="s">
        <v>17</v>
      </c>
      <c r="T14" s="20"/>
    </row>
    <row r="15" spans="2:25" ht="15.6" x14ac:dyDescent="0.3">
      <c r="B15" s="286" t="s">
        <v>4</v>
      </c>
      <c r="C15" s="305"/>
      <c r="D15" s="306"/>
      <c r="G15" t="s">
        <v>134</v>
      </c>
      <c r="H15" s="304" t="s">
        <v>168</v>
      </c>
      <c r="I15" s="288"/>
    </row>
    <row r="16" spans="2:25" ht="16.8" x14ac:dyDescent="0.4">
      <c r="B16" s="312" t="s">
        <v>3</v>
      </c>
      <c r="C16" s="302"/>
      <c r="D16" s="247"/>
      <c r="E16" s="247"/>
      <c r="F16" s="247"/>
      <c r="G16" s="313" t="s">
        <v>129</v>
      </c>
      <c r="H16" s="314" t="s">
        <v>162</v>
      </c>
      <c r="I16" s="248"/>
    </row>
    <row r="17" spans="2:26" ht="15" thickBot="1" x14ac:dyDescent="0.35">
      <c r="B17" s="307" t="s">
        <v>13</v>
      </c>
      <c r="C17" s="308" t="s">
        <v>165</v>
      </c>
      <c r="D17" s="309"/>
      <c r="E17" s="119"/>
      <c r="F17" s="119"/>
      <c r="G17" s="335" t="s">
        <v>164</v>
      </c>
      <c r="H17" s="335"/>
      <c r="I17" s="336"/>
      <c r="J17" s="263"/>
      <c r="K17" s="263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8"/>
      <c r="I19" s="339"/>
      <c r="J19" s="264"/>
      <c r="K19" s="264"/>
      <c r="L19" s="5"/>
      <c r="M19" s="250"/>
      <c r="N19" s="14">
        <v>0.08</v>
      </c>
      <c r="O19" s="14"/>
      <c r="P19" s="14"/>
      <c r="Q19" s="251" t="s">
        <v>6</v>
      </c>
      <c r="R19" s="36" t="s">
        <v>20</v>
      </c>
      <c r="S19" s="37" t="s">
        <v>133</v>
      </c>
      <c r="T19" s="10" t="s">
        <v>137</v>
      </c>
      <c r="V19" s="9"/>
      <c r="W19" s="9"/>
      <c r="Y19" s="6"/>
      <c r="Z19" s="6"/>
    </row>
    <row r="20" spans="2:26" ht="17.399999999999999" x14ac:dyDescent="0.3">
      <c r="B20" s="318" t="s">
        <v>7</v>
      </c>
      <c r="C20" s="319" t="s">
        <v>1</v>
      </c>
      <c r="D20" s="319" t="s">
        <v>10</v>
      </c>
      <c r="E20" s="319" t="s">
        <v>11</v>
      </c>
      <c r="F20" s="319" t="s">
        <v>177</v>
      </c>
      <c r="G20" s="319" t="s">
        <v>8</v>
      </c>
      <c r="H20" s="319" t="s">
        <v>5</v>
      </c>
      <c r="I20" s="320" t="s">
        <v>6</v>
      </c>
      <c r="J20" s="265"/>
      <c r="K20" s="265"/>
      <c r="L20" s="47"/>
      <c r="M20" s="268" t="str">
        <f>B20</f>
        <v>UNIDAD</v>
      </c>
      <c r="N20" s="267" t="s">
        <v>131</v>
      </c>
      <c r="O20" s="39" t="str">
        <f t="shared" ref="O20" si="0">E20</f>
        <v>ANCHO</v>
      </c>
      <c r="P20" s="261" t="s">
        <v>132</v>
      </c>
      <c r="Q20" s="259" t="s">
        <v>16</v>
      </c>
      <c r="R20" s="252">
        <f>P42</f>
        <v>57309.942468619251</v>
      </c>
      <c r="S20" s="258">
        <v>3000</v>
      </c>
      <c r="T20" s="38"/>
      <c r="U20" s="14" t="s">
        <v>128</v>
      </c>
      <c r="V20" s="9"/>
      <c r="Y20" s="4"/>
    </row>
    <row r="21" spans="2:26" ht="17.399999999999999" x14ac:dyDescent="0.3">
      <c r="B21" s="322">
        <v>1</v>
      </c>
      <c r="C21" s="322" t="s">
        <v>174</v>
      </c>
      <c r="D21" s="325">
        <v>3</v>
      </c>
      <c r="E21" s="325">
        <v>0.71</v>
      </c>
      <c r="F21" s="334">
        <v>28212</v>
      </c>
      <c r="G21" s="322" t="s">
        <v>176</v>
      </c>
      <c r="H21" s="323">
        <v>125325</v>
      </c>
      <c r="I21" s="323">
        <f t="shared" ref="I21" si="1">H21*B21</f>
        <v>125325</v>
      </c>
      <c r="J21" s="316"/>
      <c r="K21" s="265"/>
      <c r="L21" s="47"/>
      <c r="M21" s="324">
        <f>B21</f>
        <v>1</v>
      </c>
      <c r="N21" s="39">
        <f t="shared" ref="N21" si="2">D21+N$19</f>
        <v>3.08</v>
      </c>
      <c r="O21" s="39">
        <f t="shared" ref="O21" si="3">E21+$O$19</f>
        <v>0.71</v>
      </c>
      <c r="P21" s="261">
        <f t="shared" ref="P21" si="4">N21*O21</f>
        <v>2.1867999999999999</v>
      </c>
      <c r="Q21" s="259">
        <f t="shared" ref="Q21" si="5">P21*M21</f>
        <v>2.1867999999999999</v>
      </c>
      <c r="R21" s="252">
        <f t="shared" ref="R21" si="6">R$20*P21</f>
        <v>125325.38219037656</v>
      </c>
      <c r="S21" s="315">
        <f t="shared" ref="S21" si="7">R21+S$20</f>
        <v>128325.38219037656</v>
      </c>
      <c r="T21" s="293">
        <f>M21*N21</f>
        <v>3.08</v>
      </c>
      <c r="U21" s="46"/>
      <c r="V21" s="9"/>
      <c r="Y21" s="4"/>
    </row>
    <row r="22" spans="2:26" ht="17.399999999999999" x14ac:dyDescent="0.3">
      <c r="B22" s="322">
        <v>1</v>
      </c>
      <c r="C22" s="322" t="s">
        <v>174</v>
      </c>
      <c r="D22" s="325">
        <v>1</v>
      </c>
      <c r="E22" s="325">
        <v>0.71</v>
      </c>
      <c r="F22" s="334">
        <v>28212</v>
      </c>
      <c r="G22" s="322" t="s">
        <v>176</v>
      </c>
      <c r="H22" s="323">
        <v>43945</v>
      </c>
      <c r="I22" s="323">
        <f t="shared" ref="I22:I26" si="8">H22*B22</f>
        <v>43945</v>
      </c>
      <c r="J22" s="316"/>
      <c r="K22" s="265"/>
      <c r="L22" s="47"/>
      <c r="M22" s="324">
        <f t="shared" ref="M22" si="9">B22</f>
        <v>1</v>
      </c>
      <c r="N22" s="39">
        <f t="shared" ref="N22" si="10">D22+N$19</f>
        <v>1.08</v>
      </c>
      <c r="O22" s="39">
        <f t="shared" ref="O22" si="11">E22+$O$19</f>
        <v>0.71</v>
      </c>
      <c r="P22" s="261">
        <f t="shared" ref="P22" si="12">N22*O22</f>
        <v>0.76680000000000004</v>
      </c>
      <c r="Q22" s="259">
        <f t="shared" ref="Q22" si="13">P22*M22</f>
        <v>0.76680000000000004</v>
      </c>
      <c r="R22" s="252">
        <f t="shared" ref="R22" si="14">R$20*P22</f>
        <v>43945.263884937245</v>
      </c>
      <c r="S22" s="315">
        <f t="shared" ref="S22" si="15">R22+S$20</f>
        <v>46945.263884937245</v>
      </c>
      <c r="T22" s="293">
        <f t="shared" ref="T22:T26" si="16">M22*N22</f>
        <v>1.08</v>
      </c>
      <c r="U22" s="46"/>
      <c r="V22" s="9"/>
      <c r="Y22" s="4"/>
    </row>
    <row r="23" spans="2:26" ht="17.399999999999999" x14ac:dyDescent="0.3">
      <c r="B23" s="322">
        <v>1</v>
      </c>
      <c r="C23" s="322" t="s">
        <v>175</v>
      </c>
      <c r="D23" s="325">
        <v>3.5</v>
      </c>
      <c r="E23" s="325">
        <v>0.5</v>
      </c>
      <c r="F23" s="334">
        <v>28212</v>
      </c>
      <c r="G23" s="322" t="s">
        <v>176</v>
      </c>
      <c r="H23" s="323">
        <v>102585</v>
      </c>
      <c r="I23" s="323">
        <f t="shared" si="8"/>
        <v>102585</v>
      </c>
      <c r="J23" s="316"/>
      <c r="K23" s="265"/>
      <c r="L23" s="47"/>
      <c r="M23" s="324">
        <f t="shared" ref="M23" si="17">B23</f>
        <v>1</v>
      </c>
      <c r="N23" s="39">
        <f t="shared" ref="N23" si="18">D23+N$19</f>
        <v>3.58</v>
      </c>
      <c r="O23" s="39">
        <f t="shared" ref="O23" si="19">E23+$O$19</f>
        <v>0.5</v>
      </c>
      <c r="P23" s="261">
        <f t="shared" ref="P23" si="20">N23*O23</f>
        <v>1.79</v>
      </c>
      <c r="Q23" s="259">
        <f t="shared" ref="Q23" si="21">P23*M23</f>
        <v>1.79</v>
      </c>
      <c r="R23" s="252">
        <f t="shared" ref="R23" si="22">R$20*P23</f>
        <v>102584.79701882847</v>
      </c>
      <c r="S23" s="315">
        <f t="shared" ref="S23" si="23">R23+S$20</f>
        <v>105584.79701882847</v>
      </c>
      <c r="T23" s="293"/>
      <c r="U23" s="46"/>
      <c r="V23" s="9"/>
      <c r="Y23" s="4"/>
    </row>
    <row r="24" spans="2:26" ht="17.399999999999999" x14ac:dyDescent="0.3">
      <c r="B24" s="322">
        <v>1</v>
      </c>
      <c r="C24" s="322" t="s">
        <v>174</v>
      </c>
      <c r="D24" s="325">
        <v>2.1</v>
      </c>
      <c r="E24" s="325">
        <v>0.6</v>
      </c>
      <c r="F24" s="334">
        <v>28211</v>
      </c>
      <c r="G24" s="322" t="s">
        <v>176</v>
      </c>
      <c r="H24" s="323">
        <v>74961</v>
      </c>
      <c r="I24" s="323">
        <f t="shared" si="8"/>
        <v>74961</v>
      </c>
      <c r="J24" s="316"/>
      <c r="K24" s="265"/>
      <c r="L24" s="47"/>
      <c r="M24" s="324">
        <f t="shared" ref="M24:M26" si="24">B24</f>
        <v>1</v>
      </c>
      <c r="N24" s="39">
        <f t="shared" ref="N24:N26" si="25">D24+N$19</f>
        <v>2.1800000000000002</v>
      </c>
      <c r="O24" s="39">
        <f t="shared" ref="O24:O26" si="26">E24+$O$19</f>
        <v>0.6</v>
      </c>
      <c r="P24" s="261">
        <f t="shared" ref="P24:P26" si="27">N24*O24</f>
        <v>1.3080000000000001</v>
      </c>
      <c r="Q24" s="259">
        <f t="shared" ref="Q24:Q26" si="28">P24*M24</f>
        <v>1.3080000000000001</v>
      </c>
      <c r="R24" s="252">
        <f t="shared" ref="R24:R26" si="29">R$20*P24</f>
        <v>74961.404748953981</v>
      </c>
      <c r="S24" s="315">
        <f t="shared" ref="S24:S26" si="30">R24+S$20</f>
        <v>77961.404748953981</v>
      </c>
      <c r="T24" s="293">
        <f t="shared" si="16"/>
        <v>2.1800000000000002</v>
      </c>
      <c r="U24" s="46"/>
      <c r="V24" s="9"/>
      <c r="Y24" s="4"/>
    </row>
    <row r="25" spans="2:26" ht="17.399999999999999" x14ac:dyDescent="0.3">
      <c r="B25" s="322">
        <v>1</v>
      </c>
      <c r="C25" s="322" t="s">
        <v>174</v>
      </c>
      <c r="D25" s="325">
        <v>2.25</v>
      </c>
      <c r="E25" s="325">
        <v>0.6</v>
      </c>
      <c r="F25" s="334">
        <v>28294</v>
      </c>
      <c r="G25" s="322" t="s">
        <v>176</v>
      </c>
      <c r="H25" s="323">
        <v>80119</v>
      </c>
      <c r="I25" s="323">
        <f t="shared" si="8"/>
        <v>80119</v>
      </c>
      <c r="J25" s="316"/>
      <c r="K25" s="265"/>
      <c r="L25" s="47"/>
      <c r="M25" s="324">
        <f t="shared" si="24"/>
        <v>1</v>
      </c>
      <c r="N25" s="39">
        <f t="shared" si="25"/>
        <v>2.33</v>
      </c>
      <c r="O25" s="39">
        <f t="shared" si="26"/>
        <v>0.6</v>
      </c>
      <c r="P25" s="261">
        <f t="shared" si="27"/>
        <v>1.3979999999999999</v>
      </c>
      <c r="Q25" s="259">
        <f t="shared" si="28"/>
        <v>1.3979999999999999</v>
      </c>
      <c r="R25" s="252">
        <f t="shared" si="29"/>
        <v>80119.299571129712</v>
      </c>
      <c r="S25" s="315">
        <f t="shared" si="30"/>
        <v>83119.299571129712</v>
      </c>
      <c r="T25" s="293">
        <f t="shared" si="16"/>
        <v>2.33</v>
      </c>
      <c r="U25" s="46"/>
      <c r="V25" s="9"/>
      <c r="Y25" s="4"/>
    </row>
    <row r="26" spans="2:26" ht="17.399999999999999" x14ac:dyDescent="0.3">
      <c r="B26" s="322">
        <v>1</v>
      </c>
      <c r="C26" s="322" t="s">
        <v>174</v>
      </c>
      <c r="D26" s="325">
        <v>2.8</v>
      </c>
      <c r="E26" s="325">
        <v>0.6</v>
      </c>
      <c r="F26" s="334">
        <v>28294</v>
      </c>
      <c r="G26" s="322" t="s">
        <v>176</v>
      </c>
      <c r="H26" s="332">
        <v>99032</v>
      </c>
      <c r="I26" s="332">
        <f t="shared" si="8"/>
        <v>99032</v>
      </c>
      <c r="J26" s="316"/>
      <c r="K26" s="265"/>
      <c r="L26" s="47"/>
      <c r="M26" s="324">
        <f t="shared" si="24"/>
        <v>1</v>
      </c>
      <c r="N26" s="39">
        <f t="shared" si="25"/>
        <v>2.88</v>
      </c>
      <c r="O26" s="39">
        <f t="shared" si="26"/>
        <v>0.6</v>
      </c>
      <c r="P26" s="261">
        <f t="shared" si="27"/>
        <v>1.728</v>
      </c>
      <c r="Q26" s="259">
        <f t="shared" si="28"/>
        <v>1.728</v>
      </c>
      <c r="R26" s="252">
        <f t="shared" si="29"/>
        <v>99031.580585774063</v>
      </c>
      <c r="S26" s="315">
        <f t="shared" si="30"/>
        <v>102031.58058577406</v>
      </c>
      <c r="T26" s="293">
        <f t="shared" si="16"/>
        <v>2.88</v>
      </c>
      <c r="U26" s="46"/>
      <c r="V26" s="9"/>
      <c r="Y26" s="4"/>
    </row>
    <row r="27" spans="2:26" ht="17.399999999999999" x14ac:dyDescent="0.3">
      <c r="B27" s="284"/>
      <c r="C27" s="284"/>
      <c r="D27" s="285"/>
      <c r="E27" s="285"/>
      <c r="F27" s="285"/>
      <c r="G27" s="284"/>
      <c r="J27" s="316"/>
      <c r="K27" s="265"/>
      <c r="L27" s="47"/>
      <c r="M27" s="324"/>
      <c r="N27" s="39"/>
      <c r="O27" s="39"/>
      <c r="P27" s="261"/>
      <c r="Q27" s="259"/>
      <c r="R27" s="252"/>
      <c r="S27" s="315"/>
      <c r="T27" s="293"/>
      <c r="U27" s="46"/>
      <c r="V27" s="9"/>
      <c r="Y27" s="4"/>
    </row>
    <row r="28" spans="2:26" ht="17.399999999999999" x14ac:dyDescent="0.3">
      <c r="B28" s="284"/>
      <c r="C28" s="284"/>
      <c r="D28" s="285"/>
      <c r="E28" s="285"/>
      <c r="F28" s="285"/>
      <c r="G28" s="284"/>
      <c r="H28" s="327"/>
      <c r="I28" s="333">
        <f>SUM(I21:I27)</f>
        <v>525967</v>
      </c>
      <c r="J28" s="317"/>
      <c r="K28" s="265"/>
      <c r="L28" s="47"/>
      <c r="M28" s="47"/>
      <c r="N28" s="39"/>
      <c r="O28" s="39"/>
      <c r="P28" s="261"/>
      <c r="Q28" s="259"/>
      <c r="R28" s="252"/>
      <c r="S28" s="258"/>
      <c r="T28" s="293"/>
      <c r="U28" s="46">
        <f>SUM(U21:U26)</f>
        <v>0</v>
      </c>
      <c r="V28" s="9"/>
      <c r="Y28" s="4"/>
    </row>
    <row r="29" spans="2:26" ht="17.399999999999999" x14ac:dyDescent="0.3">
      <c r="B29" s="279"/>
      <c r="C29" s="281"/>
      <c r="D29" s="282"/>
      <c r="E29" s="282"/>
      <c r="F29" s="282"/>
      <c r="G29" s="283"/>
      <c r="H29" s="328" t="s">
        <v>51</v>
      </c>
      <c r="I29" s="329">
        <f>I28*19%</f>
        <v>99933.73</v>
      </c>
      <c r="J29" s="317"/>
      <c r="K29" s="265"/>
      <c r="L29" s="47"/>
      <c r="M29" s="47"/>
      <c r="N29" s="39">
        <f>SUM(N21:N28)</f>
        <v>15.129999999999999</v>
      </c>
      <c r="O29" s="12"/>
      <c r="P29" s="12"/>
      <c r="Q29" s="253">
        <f>SUM(Q21:Q26)</f>
        <v>9.1776</v>
      </c>
      <c r="R29" s="14"/>
      <c r="S29" s="12"/>
      <c r="T29" s="239"/>
      <c r="U29" s="46"/>
      <c r="V29" s="9"/>
      <c r="Y29" s="4"/>
    </row>
    <row r="30" spans="2:26" ht="17.399999999999999" x14ac:dyDescent="0.3">
      <c r="B30" s="275"/>
      <c r="C30" s="280"/>
      <c r="D30" s="272"/>
      <c r="E30" s="272"/>
      <c r="F30" s="272"/>
      <c r="G30" s="273"/>
      <c r="H30" s="330" t="s">
        <v>6</v>
      </c>
      <c r="I30" s="331">
        <f>I28+I29</f>
        <v>625900.73</v>
      </c>
      <c r="J30" s="317"/>
      <c r="K30" s="265"/>
      <c r="L30" s="47"/>
      <c r="M30" s="47"/>
      <c r="N30" s="39"/>
      <c r="O30" s="12"/>
      <c r="P30" s="12"/>
      <c r="Q30" s="253">
        <f>Q29</f>
        <v>9.1776</v>
      </c>
      <c r="R30" s="14"/>
      <c r="S30" s="12"/>
      <c r="T30" s="239">
        <f>SUM(T21:T29)</f>
        <v>11.55</v>
      </c>
      <c r="U30" s="46"/>
      <c r="V30" s="9"/>
      <c r="Y30" s="4"/>
    </row>
    <row r="31" spans="2:26" ht="17.399999999999999" x14ac:dyDescent="0.3">
      <c r="B31" s="275"/>
      <c r="C31" s="271"/>
      <c r="D31" s="272"/>
      <c r="E31" s="272"/>
      <c r="F31" s="272"/>
      <c r="G31" s="273"/>
      <c r="K31" s="265"/>
      <c r="L31" s="47"/>
      <c r="M31" s="47"/>
      <c r="N31" s="14"/>
      <c r="O31" s="12"/>
      <c r="P31" s="12"/>
      <c r="Q31" s="39">
        <f>Q30*20%</f>
        <v>1.83552</v>
      </c>
      <c r="R31" s="39" t="s">
        <v>130</v>
      </c>
      <c r="S31" s="42"/>
      <c r="T31" s="240">
        <f>T30+U28</f>
        <v>11.55</v>
      </c>
      <c r="U31" s="14"/>
      <c r="V31" s="9"/>
      <c r="Y31" s="4"/>
    </row>
    <row r="32" spans="2:26" ht="17.399999999999999" x14ac:dyDescent="0.35">
      <c r="B32" s="269"/>
      <c r="C32" s="230"/>
      <c r="D32" s="230"/>
      <c r="E32" s="233"/>
      <c r="F32" s="233"/>
      <c r="G32" s="234"/>
      <c r="H32" s="230"/>
      <c r="I32" s="274"/>
      <c r="J32" s="274"/>
      <c r="K32" s="265"/>
      <c r="L32" s="47"/>
      <c r="M32" s="47"/>
      <c r="N32" s="14"/>
      <c r="O32" s="12"/>
      <c r="P32" s="12"/>
      <c r="Q32" s="46">
        <f>Q30+Q31</f>
        <v>11.013120000000001</v>
      </c>
      <c r="R32" s="14"/>
      <c r="S32" s="14"/>
      <c r="T32" s="238">
        <f>T31*20%</f>
        <v>2.31</v>
      </c>
      <c r="U32" s="14"/>
      <c r="V32" s="9"/>
      <c r="Y32" s="4"/>
    </row>
    <row r="33" spans="1:25" ht="17.399999999999999" x14ac:dyDescent="0.35">
      <c r="B33" s="235"/>
      <c r="C33" s="236"/>
      <c r="D33" s="237"/>
      <c r="E33" s="235"/>
      <c r="F33" s="235"/>
      <c r="G33" s="230"/>
      <c r="H33" s="230"/>
      <c r="J33" s="274"/>
      <c r="K33" s="265"/>
      <c r="L33" s="47"/>
      <c r="M33" s="47"/>
      <c r="N33" s="14"/>
      <c r="O33" s="14"/>
      <c r="P33" s="14"/>
      <c r="Q33" s="14"/>
      <c r="R33" s="14"/>
      <c r="S33" s="14"/>
      <c r="T33" s="240">
        <f>T31+T32</f>
        <v>13.860000000000001</v>
      </c>
      <c r="U33" s="14"/>
      <c r="V33" s="298" t="s">
        <v>21</v>
      </c>
      <c r="W33" s="295" t="s">
        <v>151</v>
      </c>
      <c r="X33" s="299">
        <v>44971</v>
      </c>
      <c r="Y33" s="300"/>
    </row>
    <row r="34" spans="1:25" ht="17.399999999999999" x14ac:dyDescent="0.35">
      <c r="B34" s="230"/>
      <c r="C34" s="230"/>
      <c r="D34" s="230"/>
      <c r="E34" s="230"/>
      <c r="F34" s="230"/>
      <c r="G34" s="230"/>
      <c r="H34" s="230"/>
      <c r="K34" s="265"/>
      <c r="L34" s="47"/>
      <c r="M34" s="47"/>
      <c r="N34" s="39">
        <f>Q32</f>
        <v>11.013120000000001</v>
      </c>
      <c r="O34" s="12">
        <v>2000</v>
      </c>
      <c r="P34" s="12">
        <f t="shared" ref="P34:P39" si="31">N34*O34</f>
        <v>22026.240000000002</v>
      </c>
      <c r="Q34" s="14" t="s">
        <v>21</v>
      </c>
      <c r="R34" s="14"/>
      <c r="S34" s="14"/>
      <c r="T34" s="241"/>
      <c r="U34" s="14"/>
      <c r="V34" s="298" t="s">
        <v>152</v>
      </c>
      <c r="W34" s="295">
        <v>3625</v>
      </c>
      <c r="X34" s="59" t="s">
        <v>153</v>
      </c>
      <c r="Y34" s="300"/>
    </row>
    <row r="35" spans="1:25" ht="17.399999999999999" x14ac:dyDescent="0.35">
      <c r="A35" s="230"/>
      <c r="B35" s="230"/>
      <c r="C35" s="230"/>
      <c r="D35" s="230"/>
      <c r="E35" s="230"/>
      <c r="F35" s="230"/>
      <c r="G35" s="230"/>
      <c r="H35" s="230"/>
      <c r="I35" s="230"/>
      <c r="K35" s="265"/>
      <c r="L35" s="47"/>
      <c r="M35" s="47"/>
      <c r="N35" s="249">
        <v>3</v>
      </c>
      <c r="O35" s="12">
        <v>23500</v>
      </c>
      <c r="P35" s="12">
        <f t="shared" si="31"/>
        <v>70500</v>
      </c>
      <c r="Q35" s="39" t="s">
        <v>31</v>
      </c>
      <c r="R35" s="42"/>
      <c r="S35" s="14"/>
      <c r="T35" s="240"/>
      <c r="U35" s="14"/>
      <c r="V35" s="298"/>
      <c r="W35" s="59">
        <v>906.25</v>
      </c>
      <c r="X35" s="59" t="s">
        <v>154</v>
      </c>
      <c r="Y35" s="300"/>
    </row>
    <row r="36" spans="1:25" s="230" customFormat="1" ht="17.399999999999999" x14ac:dyDescent="0.35">
      <c r="B36" s="24" t="s">
        <v>150</v>
      </c>
      <c r="K36" s="262"/>
      <c r="L36" s="232">
        <v>1220</v>
      </c>
      <c r="M36" s="250"/>
      <c r="N36" s="14"/>
      <c r="O36" s="250">
        <v>45146</v>
      </c>
      <c r="P36" s="12">
        <f t="shared" si="31"/>
        <v>0</v>
      </c>
      <c r="Q36" s="39" t="s">
        <v>30</v>
      </c>
      <c r="R36" s="42"/>
      <c r="T36" s="240"/>
      <c r="U36" s="256"/>
      <c r="V36" s="59"/>
      <c r="W36" s="59">
        <f>W35*20%</f>
        <v>181.25</v>
      </c>
      <c r="X36" s="300" t="s">
        <v>155</v>
      </c>
      <c r="Y36" s="59"/>
    </row>
    <row r="37" spans="1:25" s="230" customFormat="1" ht="17.399999999999999" x14ac:dyDescent="0.35">
      <c r="B37" s="24" t="s">
        <v>143</v>
      </c>
      <c r="C37"/>
      <c r="D37"/>
      <c r="E37"/>
      <c r="F37"/>
      <c r="G37"/>
      <c r="K37" s="262">
        <v>32859</v>
      </c>
      <c r="L37" s="232">
        <v>230</v>
      </c>
      <c r="M37" s="250"/>
      <c r="N37" s="14">
        <v>6</v>
      </c>
      <c r="O37" s="250">
        <v>22500</v>
      </c>
      <c r="P37" s="12">
        <f t="shared" si="31"/>
        <v>135000</v>
      </c>
      <c r="Q37" s="14" t="s">
        <v>170</v>
      </c>
      <c r="R37" s="17"/>
      <c r="T37" s="238"/>
      <c r="U37" s="256"/>
      <c r="V37" s="59"/>
      <c r="W37" s="59">
        <f>W35+W36</f>
        <v>1087.5</v>
      </c>
      <c r="X37" s="300" t="s">
        <v>156</v>
      </c>
      <c r="Y37" s="59"/>
    </row>
    <row r="38" spans="1:25" s="230" customFormat="1" ht="17.399999999999999" x14ac:dyDescent="0.35">
      <c r="B38" s="29" t="s">
        <v>125</v>
      </c>
      <c r="C38"/>
      <c r="D38"/>
      <c r="E38"/>
      <c r="F38"/>
      <c r="G38" s="229" t="s">
        <v>15</v>
      </c>
      <c r="K38" s="262"/>
      <c r="L38" s="260">
        <f>L36/L37</f>
        <v>5.3043478260869561</v>
      </c>
      <c r="M38" s="250"/>
      <c r="N38" s="249"/>
      <c r="O38" s="250">
        <v>15700</v>
      </c>
      <c r="P38" s="12">
        <f t="shared" si="31"/>
        <v>0</v>
      </c>
      <c r="Q38" s="14" t="s">
        <v>32</v>
      </c>
      <c r="R38" s="14"/>
      <c r="S38" s="230">
        <v>1.83</v>
      </c>
      <c r="T38" s="238"/>
      <c r="U38" s="238"/>
    </row>
    <row r="39" spans="1:25" s="230" customFormat="1" ht="17.399999999999999" x14ac:dyDescent="0.35">
      <c r="K39" s="292"/>
      <c r="L39" s="260" t="e">
        <f>#REF!/L38</f>
        <v>#REF!</v>
      </c>
      <c r="M39" s="250"/>
      <c r="N39" s="266">
        <v>11.55</v>
      </c>
      <c r="O39" s="12">
        <v>1000</v>
      </c>
      <c r="P39" s="12">
        <f t="shared" si="31"/>
        <v>11550</v>
      </c>
      <c r="Q39" s="14" t="s">
        <v>22</v>
      </c>
      <c r="R39" s="14"/>
      <c r="S39">
        <v>2.5</v>
      </c>
      <c r="T39"/>
      <c r="U39" s="238"/>
      <c r="Y39" s="231"/>
    </row>
    <row r="40" spans="1:25" s="230" customFormat="1" ht="17.399999999999999" x14ac:dyDescent="0.35">
      <c r="L40" s="260"/>
      <c r="M40" s="250"/>
      <c r="N40" s="14"/>
      <c r="O40" s="12"/>
      <c r="P40" s="12">
        <f>SUM(P34:P39)</f>
        <v>239076.24</v>
      </c>
      <c r="Q40" s="39" t="s">
        <v>23</v>
      </c>
      <c r="R40" s="14"/>
      <c r="S40">
        <f>S38*S39</f>
        <v>4.5750000000000002</v>
      </c>
      <c r="T40"/>
      <c r="U40" s="238"/>
      <c r="Y40" s="231"/>
    </row>
    <row r="41" spans="1:25" s="230" customFormat="1" ht="17.399999999999999" x14ac:dyDescent="0.35">
      <c r="M41" s="250"/>
      <c r="N41" s="254" t="s">
        <v>33</v>
      </c>
      <c r="O41" s="12"/>
      <c r="P41" s="255">
        <f>P40*2.2</f>
        <v>525967.728</v>
      </c>
      <c r="Q41" s="14" t="s">
        <v>140</v>
      </c>
      <c r="R41" s="14"/>
      <c r="S41" s="40">
        <f>Q32/S40</f>
        <v>2.4072393442622952</v>
      </c>
      <c r="T41"/>
      <c r="U41" s="257"/>
    </row>
    <row r="42" spans="1:25" s="230" customFormat="1" ht="17.399999999999999" x14ac:dyDescent="0.35">
      <c r="H42"/>
      <c r="I42" s="260"/>
      <c r="J42" s="260"/>
      <c r="K42" s="260">
        <v>22475</v>
      </c>
      <c r="L42" s="230">
        <v>40000</v>
      </c>
      <c r="M42" s="250"/>
      <c r="N42" s="14"/>
      <c r="O42" s="12"/>
      <c r="P42" s="12">
        <f>P41/Q30</f>
        <v>57309.942468619251</v>
      </c>
      <c r="Q42" s="45" t="s">
        <v>24</v>
      </c>
      <c r="R42" s="14"/>
      <c r="S42" s="14"/>
      <c r="T42"/>
      <c r="U42" s="238"/>
      <c r="V42" s="59" t="s">
        <v>157</v>
      </c>
      <c r="W42" s="295">
        <v>43650</v>
      </c>
    </row>
    <row r="43" spans="1:25" s="230" customFormat="1" ht="17.399999999999999" x14ac:dyDescent="0.35">
      <c r="H43"/>
      <c r="K43" s="230">
        <v>6</v>
      </c>
      <c r="L43" s="230">
        <f>L42/1.19</f>
        <v>33613.445378151264</v>
      </c>
      <c r="M43" s="250"/>
      <c r="N43" s="13"/>
      <c r="O43" s="14"/>
      <c r="P43" s="17">
        <f>P41/P40</f>
        <v>2.2000000000000002</v>
      </c>
      <c r="Q43" s="15"/>
      <c r="R43"/>
      <c r="S43"/>
      <c r="T43"/>
      <c r="U43" s="238"/>
      <c r="V43" s="59" t="s">
        <v>159</v>
      </c>
      <c r="W43" s="296" t="s">
        <v>158</v>
      </c>
      <c r="X43" s="59">
        <v>2.4</v>
      </c>
    </row>
    <row r="44" spans="1:25" s="230" customFormat="1" ht="17.399999999999999" x14ac:dyDescent="0.35">
      <c r="H44" s="23"/>
      <c r="K44" s="260">
        <f>K42*K43</f>
        <v>134850</v>
      </c>
      <c r="M44" s="12"/>
      <c r="U44" s="238"/>
      <c r="V44" s="59" t="s">
        <v>160</v>
      </c>
      <c r="W44" s="297">
        <v>395.37</v>
      </c>
    </row>
    <row r="45" spans="1:25" s="230" customFormat="1" ht="17.399999999999999" x14ac:dyDescent="0.35">
      <c r="B45"/>
      <c r="C45" s="228"/>
      <c r="D45" s="22"/>
      <c r="E45" s="22"/>
      <c r="F45" s="22"/>
      <c r="G45" s="21"/>
      <c r="H45" s="23"/>
      <c r="M45" s="12"/>
      <c r="U45" s="238"/>
      <c r="V45" s="59" t="s">
        <v>155</v>
      </c>
      <c r="W45" s="59">
        <v>474.45</v>
      </c>
    </row>
    <row r="46" spans="1:25" ht="14.4" customHeight="1" x14ac:dyDescent="0.3">
      <c r="M46" s="12"/>
      <c r="V46" s="59"/>
      <c r="W46" s="59"/>
    </row>
    <row r="47" spans="1:25" x14ac:dyDescent="0.3">
      <c r="M47" s="250"/>
    </row>
    <row r="48" spans="1:25" x14ac:dyDescent="0.3">
      <c r="M48" s="250"/>
      <c r="U48" s="270"/>
    </row>
    <row r="49" spans="13:21" x14ac:dyDescent="0.3">
      <c r="M49" s="250"/>
    </row>
    <row r="50" spans="13:21" ht="15" customHeight="1" x14ac:dyDescent="0.3"/>
    <row r="52" spans="13:21" x14ac:dyDescent="0.3">
      <c r="P52">
        <v>40935</v>
      </c>
      <c r="Q52" t="s">
        <v>16</v>
      </c>
      <c r="R52" t="s">
        <v>26</v>
      </c>
    </row>
    <row r="54" spans="13:21" x14ac:dyDescent="0.3">
      <c r="P54" s="54"/>
      <c r="Q54" s="54"/>
    </row>
    <row r="55" spans="13:21" x14ac:dyDescent="0.3">
      <c r="T55" s="18"/>
      <c r="U55" s="18"/>
    </row>
    <row r="56" spans="13:21" x14ac:dyDescent="0.3">
      <c r="T56" s="18"/>
      <c r="U56" s="18"/>
    </row>
    <row r="57" spans="13:21" x14ac:dyDescent="0.3">
      <c r="T57" s="18"/>
      <c r="U57" s="18"/>
    </row>
    <row r="58" spans="13:21" x14ac:dyDescent="0.3">
      <c r="T58" s="18"/>
      <c r="U58" s="18"/>
    </row>
    <row r="59" spans="13:21" x14ac:dyDescent="0.3">
      <c r="T59" s="18"/>
      <c r="U59" s="18"/>
    </row>
    <row r="60" spans="13:21" x14ac:dyDescent="0.3">
      <c r="T60" s="18"/>
      <c r="U60" s="18"/>
    </row>
    <row r="61" spans="13:21" x14ac:dyDescent="0.3">
      <c r="T61" s="18"/>
      <c r="U61" s="18"/>
    </row>
    <row r="62" spans="13:21" x14ac:dyDescent="0.3">
      <c r="T62" s="18"/>
      <c r="U62" s="18"/>
    </row>
    <row r="63" spans="13:21" x14ac:dyDescent="0.3">
      <c r="T63" s="18"/>
      <c r="U63" s="18"/>
    </row>
    <row r="66" spans="3:16" x14ac:dyDescent="0.3">
      <c r="P66" s="43"/>
    </row>
    <row r="67" spans="3:16" x14ac:dyDescent="0.3">
      <c r="P67" s="43"/>
    </row>
    <row r="68" spans="3:16" x14ac:dyDescent="0.3">
      <c r="P68" s="6"/>
    </row>
    <row r="69" spans="3:16" x14ac:dyDescent="0.3">
      <c r="P69" s="6"/>
    </row>
    <row r="77" spans="3:16" x14ac:dyDescent="0.3">
      <c r="C77" t="s">
        <v>147</v>
      </c>
    </row>
    <row r="78" spans="3:16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G17:I17"/>
    <mergeCell ref="B19:I19"/>
  </mergeCells>
  <phoneticPr fontId="34" type="noConversion"/>
  <hyperlinks>
    <hyperlink ref="G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29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46105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 t="e">
        <f>(E15-D11)/X8</f>
        <v>#REF!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 t="e">
        <f>'2229'!#REF!</f>
        <v>#REF!</v>
      </c>
      <c r="E11" s="132" t="e">
        <f>D11*0.19</f>
        <v>#REF!</v>
      </c>
      <c r="F11" s="131" t="e">
        <f>E11+D11</f>
        <v>#REF!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#REF!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257360.3307874396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 t="e">
        <f t="shared" si="2"/>
        <v>#REF!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 t="e">
        <f>D11-D12</f>
        <v>#REF!</v>
      </c>
      <c r="E13" s="221" t="e">
        <f>(D11/D12)-1</f>
        <v>#REF!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 t="e">
        <f t="shared" si="2"/>
        <v>#REF!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 t="e">
        <f t="shared" si="2"/>
        <v>#REF!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424644.54579927534</v>
      </c>
      <c r="F15" s="216">
        <f>E15-D12</f>
        <v>167284.21501183574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 t="e">
        <f t="shared" si="2"/>
        <v>#REF!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 t="e">
        <f t="shared" si="2"/>
        <v>#REF!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171</v>
      </c>
      <c r="D19" s="122">
        <f>'2229'!P37</f>
        <v>135000</v>
      </c>
      <c r="E19" s="123">
        <f>D19*0.19</f>
        <v>25650</v>
      </c>
      <c r="F19" s="120">
        <f>SUM(D19:E19)</f>
        <v>160650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326"/>
      <c r="W19" s="326"/>
      <c r="X19" s="106"/>
    </row>
    <row r="20" spans="1:31" x14ac:dyDescent="0.3">
      <c r="C20" s="79" t="s">
        <v>31</v>
      </c>
      <c r="D20" s="122">
        <f>'2229'!P35</f>
        <v>70500</v>
      </c>
      <c r="E20" s="123">
        <f>D20*0.19</f>
        <v>13395</v>
      </c>
      <c r="F20" s="120">
        <f>SUM(D20:E20)</f>
        <v>83895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'2229'!P34</f>
        <v>22026.240000000002</v>
      </c>
      <c r="E21" s="121">
        <f>D21*0.19</f>
        <v>4184.9856</v>
      </c>
      <c r="F21" s="120">
        <f>SUM(D21:E21)</f>
        <v>26211.225600000002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227526.24</v>
      </c>
      <c r="E22" s="116">
        <f>SUM(E18:E21)</f>
        <v>43229.9856</v>
      </c>
      <c r="F22" s="115">
        <f>SUM(F18:F21)</f>
        <v>270756.22560000001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 t="e">
        <f>E11-E22</f>
        <v>#REF!</v>
      </c>
    </row>
    <row r="42" spans="1:16" ht="15" thickBot="1" x14ac:dyDescent="0.35">
      <c r="H42" s="344" t="s">
        <v>60</v>
      </c>
      <c r="I42" s="345"/>
      <c r="J42" s="345"/>
      <c r="K42" s="345"/>
      <c r="L42" s="345"/>
      <c r="M42" s="346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 t="e">
        <f>D11</f>
        <v>#REF!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227526.24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 t="e">
        <f>M43-(SUM(M44:M46))</f>
        <v>#REF!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 t="e">
        <f>M47-SUM(M48:M49)</f>
        <v>#REF!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2026-01-23T11:43:18Z</cp:lastPrinted>
  <dcterms:created xsi:type="dcterms:W3CDTF">2013-03-18T13:35:42Z</dcterms:created>
  <dcterms:modified xsi:type="dcterms:W3CDTF">2026-03-24T14:15:32Z</dcterms:modified>
</cp:coreProperties>
</file>