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CC11D895-4AC6-4C37-854F-E734F1384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A REUNIONES" sheetId="5" r:id="rId1"/>
    <sheet name="ESCRITORIOS" sheetId="1" r:id="rId2"/>
    <sheet name="COSTOS" sheetId="3" r:id="rId3"/>
  </sheets>
  <definedNames>
    <definedName name="_xlnm.Print_Area" localSheetId="1">ESCRITORIOS!$B$1:$H$36</definedName>
    <definedName name="_xlnm.Print_Area" localSheetId="0">'MESA REUNIONES'!$B$1:$H$34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5" l="1"/>
  <c r="R35" i="5"/>
  <c r="O35" i="5"/>
  <c r="J35" i="5"/>
  <c r="O34" i="5"/>
  <c r="O33" i="5"/>
  <c r="V32" i="5"/>
  <c r="O32" i="5"/>
  <c r="V31" i="5"/>
  <c r="O31" i="5"/>
  <c r="O30" i="5"/>
  <c r="K23" i="5"/>
  <c r="N21" i="5"/>
  <c r="M21" i="5"/>
  <c r="L21" i="5"/>
  <c r="K21" i="5" s="1"/>
  <c r="N20" i="5"/>
  <c r="L20" i="5"/>
  <c r="G22" i="1"/>
  <c r="G23" i="1"/>
  <c r="G21" i="1"/>
  <c r="O37" i="1"/>
  <c r="W24" i="1"/>
  <c r="U23" i="1"/>
  <c r="V23" i="1" s="1"/>
  <c r="W23" i="1" s="1"/>
  <c r="W22" i="1"/>
  <c r="V22" i="1"/>
  <c r="U22" i="1"/>
  <c r="W21" i="1"/>
  <c r="V21" i="1"/>
  <c r="U21" i="1"/>
  <c r="J40" i="1"/>
  <c r="H23" i="1"/>
  <c r="J37" i="1"/>
  <c r="L23" i="1"/>
  <c r="M23" i="1"/>
  <c r="O23" i="1" s="1"/>
  <c r="P23" i="1" s="1"/>
  <c r="N23" i="1"/>
  <c r="K22" i="1"/>
  <c r="S21" i="5" l="1"/>
  <c r="T21" i="5"/>
  <c r="T23" i="5" s="1"/>
  <c r="S24" i="5"/>
  <c r="S25" i="5" s="1"/>
  <c r="W22" i="5"/>
  <c r="M24" i="5"/>
  <c r="O21" i="5"/>
  <c r="P21" i="5" s="1"/>
  <c r="P24" i="5" s="1"/>
  <c r="P25" i="5" s="1"/>
  <c r="S23" i="1"/>
  <c r="U21" i="5" l="1"/>
  <c r="V21" i="5"/>
  <c r="W21" i="5" s="1"/>
  <c r="S26" i="5"/>
  <c r="S27" i="5"/>
  <c r="P26" i="5"/>
  <c r="P27" i="5" s="1"/>
  <c r="R36" i="5" l="1"/>
  <c r="M29" i="5"/>
  <c r="O29" i="5" s="1"/>
  <c r="O36" i="5" s="1"/>
  <c r="O37" i="5" s="1"/>
  <c r="L22" i="1"/>
  <c r="M22" i="1"/>
  <c r="N22" i="1"/>
  <c r="K25" i="1"/>
  <c r="H22" i="1"/>
  <c r="O39" i="5" l="1"/>
  <c r="O38" i="5"/>
  <c r="Q20" i="5" s="1"/>
  <c r="S22" i="1"/>
  <c r="O22" i="1"/>
  <c r="P22" i="1" s="1"/>
  <c r="B28" i="3"/>
  <c r="D29" i="3" s="1"/>
  <c r="N16" i="3"/>
  <c r="K18" i="3"/>
  <c r="Q21" i="5" l="1"/>
  <c r="R21" i="5" s="1"/>
  <c r="G21" i="5" s="1"/>
  <c r="H21" i="5" s="1"/>
  <c r="H23" i="5" s="1"/>
  <c r="I27" i="3"/>
  <c r="I39" i="3"/>
  <c r="A23" i="3"/>
  <c r="A22" i="3"/>
  <c r="A21" i="3"/>
  <c r="B23" i="3"/>
  <c r="D24" i="3" s="1"/>
  <c r="O20" i="3"/>
  <c r="O21" i="3" s="1"/>
  <c r="M21" i="1"/>
  <c r="H24" i="5" l="1"/>
  <c r="H25" i="5" s="1"/>
  <c r="I23" i="5"/>
  <c r="M26" i="1"/>
  <c r="L21" i="1"/>
  <c r="K21" i="1" s="1"/>
  <c r="N21" i="1"/>
  <c r="T21" i="1" s="1"/>
  <c r="S21" i="1" l="1"/>
  <c r="S26" i="1"/>
  <c r="T25" i="1"/>
  <c r="O21" i="1"/>
  <c r="P21" i="1" s="1"/>
  <c r="P26" i="1" s="1"/>
  <c r="S27" i="1" l="1"/>
  <c r="S28" i="1"/>
  <c r="S29" i="1" s="1"/>
  <c r="V33" i="1"/>
  <c r="V34" i="1" s="1"/>
  <c r="O32" i="1" l="1"/>
  <c r="P27" i="1" l="1"/>
  <c r="N20" i="1"/>
  <c r="L20" i="1"/>
  <c r="P28" i="1" l="1"/>
  <c r="P29" i="1" s="1"/>
  <c r="M31" i="1" s="1"/>
  <c r="O33" i="1"/>
  <c r="O38" i="1" s="1"/>
  <c r="R37" i="1"/>
  <c r="R38" i="1" l="1"/>
  <c r="O34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6" i="1"/>
  <c r="O35" i="1"/>
  <c r="F18" i="3" l="1"/>
  <c r="O31" i="1" l="1"/>
  <c r="O39" i="1" s="1"/>
  <c r="O40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2" i="1" l="1"/>
  <c r="R22" i="1" s="1"/>
  <c r="Q23" i="1"/>
  <c r="R23" i="1" s="1"/>
  <c r="O41" i="1"/>
  <c r="Q21" i="1" l="1"/>
  <c r="F15" i="3"/>
  <c r="R21" i="1" l="1"/>
  <c r="H21" i="1" l="1"/>
  <c r="H25" i="1" l="1"/>
  <c r="D11" i="3"/>
  <c r="X9" i="3" s="1"/>
  <c r="X15" i="3" s="1"/>
  <c r="H26" i="1" l="1"/>
  <c r="H27" i="1" s="1"/>
  <c r="I25" i="1"/>
  <c r="X14" i="3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<sst xmlns="http://schemas.openxmlformats.org/spreadsheetml/2006/main" count="334" uniqueCount="187">
  <si>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</si>
  <si>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</si>
  <si>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</si>
  <si>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</si>
  <si>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</si>
  <si>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</si>
  <si>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</si>
  <si>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</si>
  <si>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</si>
  <si>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</si>
  <si>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</si>
  <si>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</si>
  <si>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</si>
  <si>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</si>
  <si>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</si>
  <si>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</si>
  <si>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</si>
  <si>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</si>
  <si>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</si>
  <si>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</si>
  <si>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</si>
  <si>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</si>
  <si>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</si>
  <si>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</si>
  <si>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</si>
  <si>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</si>
  <si>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</si>
  <si>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</si>
  <si>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</si>
  <si>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</si>
  <si>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</si>
  <si>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</si>
  <si>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</si>
  <si>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</si>
  <si>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</si>
  <si>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</si>
  <si>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</si>
  <si>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</si>
  <si>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</si>
  <si>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</si>
  <si>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</si>
  <si>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</si>
  <si>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</si>
  <si>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</si>
  <si>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</si>
  <si>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</si>
  <si>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</si>
  <si>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</si>
  <si>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</si>
  <si>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</si>
  <si>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</si>
  <si>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</si>
  <si>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</si>
  <si>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</si>
  <si>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</si>
  <si>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</si>
  <si>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</si>
  <si>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</si>
  <si>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</si>
  <si>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</si>
  <si>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</si>
  <si>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</si>
  <si>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</si>
  <si>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</si>
  <si>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</si>
  <si>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</si>
  <si>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</si>
  <si>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</si>
  <si>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</si>
  <si>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</si>
  <si>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</si>
  <si>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</si>
  <si>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</si>
  <si>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</si>
  <si>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</si>
  <si>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</si>
  <si>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</si>
  <si>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</si>
  <si>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</si>
  <si>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</si>
  <si>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</si>
  <si>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</si>
  <si>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</si>
  <si>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</si>
  <si>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</si>
  <si>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</si>
  <si>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</si>
  <si>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</si>
  <si>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</si>
  <si>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</si>
  <si>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</si>
  <si>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</si>
  <si>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</si>
  <si>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</si>
  <si>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</si>
  <si>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</si>
  <si>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</si>
  <si>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</si>
  <si>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</si>
  <si>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</si>
  <si>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</si>
  <si>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</si>
  <si>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</si>
  <si>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</si>
  <si>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</si>
  <si>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</si>
  <si>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</si>
  <si>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</si>
  <si>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</si>
  <si>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</si>
  <si>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</si>
  <si>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</si>
  <si>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</si>
  <si>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</si>
  <si>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</si>
  <si>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</si>
  <si>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</si>
  <si>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</si>
  <si>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</si>
  <si>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</si>
  <si>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</si>
  <si>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</si>
  <si>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</si>
  <si>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</si>
  <si>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</si>
  <si>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</si>
  <si>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</si>
  <si>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</si>
  <si>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</si>
  <si>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</si>
  <si>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</si>
  <si>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</si>
  <si>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</si>
  <si>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</si>
  <si>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</si>
  <si>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</si>
  <si>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</si>
  <si>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</si>
  <si>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</si>
  <si>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</si>
  <si>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</si>
  <si>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</si>
  <si>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</si>
  <si>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</si>
  <si>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</si>
  <si>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</si>
  <si>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</si>
  <si>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</si>
  <si>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</si>
  <si>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</si>
  <si>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</si>
  <si>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</si>
  <si>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</si>
  <si>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</si>
  <si>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</si>
  <si>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</si>
  <si>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</si>
  <si>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</si>
  <si>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</si>
  <si>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</si>
  <si>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</si>
  <si>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</si>
  <si>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</si>
  <si>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</si>
  <si>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</si>
  <si>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</si>
  <si>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</si>
  <si>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</si>
  <si>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</si>
  <si>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</si>
  <si>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8 DIAS HABILES </t>
  </si>
  <si>
    <t>ORDEN DE COMPRA:</t>
  </si>
  <si>
    <t>GRIS NUBE TRASCARA BALANCE</t>
  </si>
  <si>
    <t>COSTADOS RECTOS 2 CARAS MDF 18MM</t>
  </si>
  <si>
    <t>GRIS NUBE 2189 MT</t>
  </si>
  <si>
    <t>BALANCE</t>
  </si>
  <si>
    <t>APOYO</t>
  </si>
  <si>
    <t>25 MTS PVC 22X1,5MM HUMO</t>
  </si>
  <si>
    <t>CONSTRUCTORA DEL ROSAL SPA</t>
  </si>
  <si>
    <t>SEBASTIAN DEL FIERRO</t>
  </si>
  <si>
    <t>N° 12032</t>
  </si>
  <si>
    <t>ENCHAPE RECTO 2 CARAS MDF 25MM</t>
  </si>
  <si>
    <t>TAPACANTO PVC 22X1,5</t>
  </si>
  <si>
    <t>TAPACANTO PVC 29X2</t>
  </si>
  <si>
    <t>25 MTS PVC 22X2MM HUMO</t>
  </si>
  <si>
    <t>ENCHAPE RECTO 2 CARAS MDF 30MM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</si>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</sst>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165" fontId="0" fillId="0" borderId="0" xfId="0" applyNumberFormat="1"/>
    <xf numFmtId="1" fontId="3" fillId="0" borderId="0" xfId="0" applyNumberFormat="1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88A3E2A-3703-4641-82E6-CEB3C1775D7C}"/>
            </a:ext>
          </a:extLst>
        </xdr:cNvPr>
        <xdr:cNvSpPr/>
      </xdr:nvSpPr>
      <xdr:spPr>
        <a:xfrm>
          <a:off x="7696200" y="5707954"/>
          <a:ext cx="194367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EC2E9CD-63C8-4A29-8505-CAB7F372E833}"/>
            </a:ext>
          </a:extLst>
        </xdr:cNvPr>
        <xdr:cNvCxnSpPr/>
      </xdr:nvCxnSpPr>
      <xdr:spPr>
        <a:xfrm>
          <a:off x="7919085" y="629602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38A4B66-0306-4D01-85CC-98DE1DE2C918}"/>
            </a:ext>
          </a:extLst>
        </xdr:cNvPr>
        <xdr:cNvSpPr/>
      </xdr:nvSpPr>
      <xdr:spPr>
        <a:xfrm>
          <a:off x="390525" y="5709285"/>
          <a:ext cx="687158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DED1826F-DA45-41BC-B7AA-2099446B0095}"/>
            </a:ext>
          </a:extLst>
        </xdr:cNvPr>
        <xdr:cNvSpPr/>
      </xdr:nvSpPr>
      <xdr:spPr>
        <a:xfrm>
          <a:off x="411480" y="4817745"/>
          <a:ext cx="683423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3F7037F-7976-469B-9E03-436DDBDA6B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5655"/>
          <a:ext cx="1037055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AF97F5-53B2-4A17-A36E-B39148755F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22155" y="357332"/>
          <a:ext cx="1682016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83C6-3E93-4505-9E22-8D2AAA9EC239}">
  <sheetPr>
    <pageSetUpPr fitToPage="1"/>
  </sheetPr>
  <dimension ref="A2:Y580"/>
  <sheetViews>
    <sheetView tabSelected="1" topLeftCell="F19" zoomScale="93" zoomScaleNormal="93" workbookViewId="0">
      <selection activeCell="G21" sqref="G21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136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132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137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157</v>
      </c>
      <c r="O6" s="30"/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119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121</v>
      </c>
      <c r="C8" s="337"/>
      <c r="D8" s="338" t="s">
        <v>180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155</v>
      </c>
      <c r="C10" s="236" t="s">
        <v>178</v>
      </c>
      <c r="D10" s="236"/>
      <c r="E10" s="236"/>
      <c r="F10" s="237" t="s">
        <v>161</v>
      </c>
      <c r="G10" s="268">
        <v>46091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160</v>
      </c>
      <c r="G11" s="297" t="s">
        <v>170</v>
      </c>
      <c r="H11" s="277"/>
      <c r="Q11" s="19"/>
      <c r="R11" s="22" t="s">
        <v>18</v>
      </c>
      <c r="S11" s="19"/>
    </row>
    <row r="12" spans="2:24" x14ac:dyDescent="0.3">
      <c r="B12" s="239" t="s">
        <v>138</v>
      </c>
      <c r="C12" s="298"/>
      <c r="D12" s="299"/>
      <c r="E12" s="299"/>
      <c r="F12" s="299" t="s">
        <v>122</v>
      </c>
      <c r="G12" s="300" t="s">
        <v>129</v>
      </c>
      <c r="H12" s="240"/>
      <c r="Q12" s="19"/>
      <c r="R12" s="22"/>
      <c r="S12" s="19"/>
    </row>
    <row r="13" spans="2:24" x14ac:dyDescent="0.3">
      <c r="B13" s="276" t="s">
        <v>139</v>
      </c>
      <c r="C13" t="s">
        <v>179</v>
      </c>
      <c r="F13" t="s">
        <v>171</v>
      </c>
      <c r="G13" s="301"/>
      <c r="H13" s="277"/>
      <c r="Q13" s="19"/>
      <c r="R13" s="22"/>
      <c r="S13" s="19"/>
    </row>
    <row r="14" spans="2:24" x14ac:dyDescent="0.3">
      <c r="B14" s="239" t="s">
        <v>133</v>
      </c>
      <c r="C14" s="339"/>
      <c r="D14" s="299"/>
      <c r="E14" s="299"/>
      <c r="F14" s="299" t="s">
        <v>130</v>
      </c>
      <c r="G14" s="302" t="s">
        <v>129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/>
      <c r="D15" s="304"/>
      <c r="F15" t="s">
        <v>162</v>
      </c>
      <c r="G15" s="305" t="s">
        <v>129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124</v>
      </c>
      <c r="G16" s="308" t="s">
        <v>156</v>
      </c>
      <c r="H16" s="240"/>
    </row>
    <row r="17" spans="1:25" ht="15" thickBot="1" x14ac:dyDescent="0.35">
      <c r="B17" s="287" t="s">
        <v>13</v>
      </c>
      <c r="C17" s="288" t="s">
        <v>169</v>
      </c>
      <c r="D17" s="289"/>
      <c r="E17" s="113"/>
      <c r="F17" s="343" t="s">
        <v>158</v>
      </c>
      <c r="G17" s="343"/>
      <c r="H17" s="344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5" t="s">
        <v>91</v>
      </c>
      <c r="C19" s="346"/>
      <c r="D19" s="346"/>
      <c r="E19" s="346"/>
      <c r="F19" s="346"/>
      <c r="G19" s="346"/>
      <c r="H19" s="347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19</v>
      </c>
      <c r="R19" s="34" t="s">
        <v>128</v>
      </c>
      <c r="S19" s="10" t="s">
        <v>131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126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126</v>
      </c>
      <c r="N20" s="36" t="str">
        <f t="shared" ref="N20" si="0">E20</f>
        <v>ANCHO</v>
      </c>
      <c r="O20" s="253" t="s">
        <v>127</v>
      </c>
      <c r="P20" s="251" t="s">
        <v>16</v>
      </c>
      <c r="Q20" s="244">
        <f>O38</f>
        <v>138820</v>
      </c>
      <c r="R20" s="250">
        <v>2000</v>
      </c>
      <c r="S20" s="35"/>
      <c r="T20" s="14" t="s">
        <v>123</v>
      </c>
      <c r="U20" s="9"/>
      <c r="X20" s="4"/>
    </row>
    <row r="21" spans="1:25" ht="17.399999999999999" x14ac:dyDescent="0.3">
      <c r="B21" s="342">
        <v>1</v>
      </c>
      <c r="C21" s="342" t="s">
        <v>185</v>
      </c>
      <c r="D21" s="340">
        <v>2</v>
      </c>
      <c r="E21" s="340">
        <v>1</v>
      </c>
      <c r="F21" s="342" t="s">
        <v>172</v>
      </c>
      <c r="G21" s="341">
        <f>R21</f>
        <v>290745.60000000003</v>
      </c>
      <c r="H21" s="341">
        <f>G21*B21</f>
        <v>290745.60000000003</v>
      </c>
      <c r="I21" s="292"/>
      <c r="J21" s="257"/>
      <c r="K21" s="356">
        <f>L21/4</f>
        <v>0.25</v>
      </c>
      <c r="L21" s="44">
        <f>B21</f>
        <v>1</v>
      </c>
      <c r="M21" s="36">
        <f>D21+M$19</f>
        <v>2.08</v>
      </c>
      <c r="N21" s="36">
        <f>E21+$N$19</f>
        <v>1</v>
      </c>
      <c r="O21" s="253">
        <f t="shared" ref="O21" si="1">M21*N21</f>
        <v>2.08</v>
      </c>
      <c r="P21" s="251">
        <f t="shared" ref="P21" si="2">O21*L21</f>
        <v>2.08</v>
      </c>
      <c r="Q21" s="244">
        <f t="shared" ref="Q21" si="3">Q$20*O21</f>
        <v>288745.60000000003</v>
      </c>
      <c r="R21" s="291">
        <f t="shared" ref="R21" si="4">Q21+R$20</f>
        <v>290745.60000000003</v>
      </c>
      <c r="S21" s="279">
        <f>M21*L21*2</f>
        <v>4.16</v>
      </c>
      <c r="T21" s="43">
        <f>N21*L21*2</f>
        <v>2</v>
      </c>
      <c r="U21" s="357">
        <f>S21+T21</f>
        <v>6.16</v>
      </c>
      <c r="V21" s="14">
        <f>U21*20%</f>
        <v>1.2320000000000002</v>
      </c>
      <c r="W21" s="39">
        <f>U21+V21</f>
        <v>7.3920000000000003</v>
      </c>
      <c r="X21" s="4"/>
    </row>
    <row r="22" spans="1:25" ht="18" thickBot="1" x14ac:dyDescent="0.35">
      <c r="B22" s="274"/>
      <c r="C22" s="274"/>
      <c r="D22" s="275"/>
      <c r="E22" s="275"/>
      <c r="F22" s="274"/>
      <c r="G22" s="257"/>
      <c r="H22" s="293"/>
      <c r="I22" s="295"/>
      <c r="J22" s="226"/>
      <c r="K22" s="44">
        <v>50390</v>
      </c>
      <c r="L22" s="44"/>
      <c r="M22" s="36"/>
      <c r="N22" s="36"/>
      <c r="O22" s="253"/>
      <c r="P22" s="251"/>
      <c r="Q22" s="244"/>
      <c r="R22" s="250"/>
      <c r="S22" s="279"/>
      <c r="T22" s="14"/>
      <c r="U22" s="9"/>
      <c r="W22" s="4" t="e">
        <f>#REF!+#REF!</f>
        <v>#REF!</v>
      </c>
      <c r="X22" s="4"/>
    </row>
    <row r="23" spans="1:25" ht="17.399999999999999" x14ac:dyDescent="0.3">
      <c r="B23" s="274"/>
      <c r="C23" s="274"/>
      <c r="D23" s="275"/>
      <c r="E23" s="275"/>
      <c r="F23" s="274"/>
      <c r="G23" s="334" t="s">
        <v>27</v>
      </c>
      <c r="H23" s="335">
        <f>SUM(H21:H22)</f>
        <v>290745.60000000003</v>
      </c>
      <c r="I23" s="294">
        <f>H23/15</f>
        <v>19383.04</v>
      </c>
      <c r="J23" s="327"/>
      <c r="K23" s="309">
        <f>K22/1.19</f>
        <v>42344.537815126052</v>
      </c>
      <c r="L23" s="44"/>
      <c r="M23" s="36"/>
      <c r="N23" s="36"/>
      <c r="O23" s="253"/>
      <c r="P23" s="251"/>
      <c r="Q23" s="244"/>
      <c r="R23" s="250"/>
      <c r="S23" s="279"/>
      <c r="T23" s="43">
        <f>SUM(T21:T22)</f>
        <v>2</v>
      </c>
      <c r="U23" s="9"/>
      <c r="X23" s="4"/>
    </row>
    <row r="24" spans="1:25" ht="17.399999999999999" x14ac:dyDescent="0.3">
      <c r="B24" s="269"/>
      <c r="C24" s="271"/>
      <c r="D24" s="272"/>
      <c r="E24" s="272"/>
      <c r="F24" s="273"/>
      <c r="G24" s="328" t="s">
        <v>50</v>
      </c>
      <c r="H24" s="330">
        <f>H23*0.19</f>
        <v>55241.664000000004</v>
      </c>
      <c r="I24" s="294"/>
      <c r="J24" s="257"/>
      <c r="K24" s="309"/>
      <c r="L24" s="44"/>
      <c r="M24" s="36">
        <f>SUM(M21:M21)</f>
        <v>2.08</v>
      </c>
      <c r="N24" s="12"/>
      <c r="O24" s="12"/>
      <c r="P24" s="245">
        <f>SUM(P21:P22)</f>
        <v>2.08</v>
      </c>
      <c r="Q24" s="14"/>
      <c r="R24" s="12"/>
      <c r="S24" s="232">
        <f>SUM(S21:S23)</f>
        <v>4.16</v>
      </c>
      <c r="T24" s="43"/>
      <c r="U24" s="9"/>
      <c r="X24" s="4"/>
    </row>
    <row r="25" spans="1:25" ht="18" thickBot="1" x14ac:dyDescent="0.35">
      <c r="B25" s="267"/>
      <c r="C25" s="270"/>
      <c r="D25" s="264"/>
      <c r="E25" s="264"/>
      <c r="F25" s="265"/>
      <c r="G25" s="329" t="s">
        <v>6</v>
      </c>
      <c r="H25" s="331">
        <f>H24+H23</f>
        <v>345987.26400000002</v>
      </c>
      <c r="I25" s="294"/>
      <c r="J25" s="257"/>
      <c r="K25" s="309"/>
      <c r="L25" s="44"/>
      <c r="M25" s="36"/>
      <c r="N25" s="12"/>
      <c r="O25" s="12"/>
      <c r="P25" s="245">
        <f>P24</f>
        <v>2.08</v>
      </c>
      <c r="Q25" s="14"/>
      <c r="R25" s="12"/>
      <c r="S25" s="232">
        <f>S24+T23</f>
        <v>6.16</v>
      </c>
      <c r="T25" s="43"/>
      <c r="U25" s="9"/>
      <c r="X25" s="4"/>
    </row>
    <row r="26" spans="1:25" ht="17.399999999999999" x14ac:dyDescent="0.3">
      <c r="B26" s="267"/>
      <c r="C26" s="263"/>
      <c r="D26" s="264"/>
      <c r="E26" s="264"/>
      <c r="F26" s="265"/>
      <c r="J26" s="257"/>
      <c r="K26" s="309"/>
      <c r="L26" s="44"/>
      <c r="M26" s="14"/>
      <c r="N26" s="12"/>
      <c r="O26" s="12"/>
      <c r="P26" s="36">
        <f>P25*20%</f>
        <v>0.41600000000000004</v>
      </c>
      <c r="Q26" s="36" t="s">
        <v>125</v>
      </c>
      <c r="R26" s="39"/>
      <c r="S26" s="233">
        <f>S25*20%</f>
        <v>1.2320000000000002</v>
      </c>
      <c r="T26" s="14"/>
      <c r="U26" s="9"/>
      <c r="X26" s="4"/>
    </row>
    <row r="27" spans="1:25" ht="17.399999999999999" x14ac:dyDescent="0.35">
      <c r="B27" s="261"/>
      <c r="C27" s="223"/>
      <c r="D27" s="223"/>
      <c r="E27" s="226"/>
      <c r="F27" s="227"/>
      <c r="G27" s="223"/>
      <c r="H27" s="266"/>
      <c r="I27" s="266"/>
      <c r="J27" s="257"/>
      <c r="K27" s="44"/>
      <c r="L27" s="44"/>
      <c r="M27" s="14"/>
      <c r="N27" s="12"/>
      <c r="O27" s="12"/>
      <c r="P27" s="43">
        <f>P25+P26</f>
        <v>2.496</v>
      </c>
      <c r="Q27" s="14"/>
      <c r="R27" s="14"/>
      <c r="S27" s="232">
        <f>S25+S26</f>
        <v>7.3920000000000003</v>
      </c>
      <c r="T27" s="14"/>
      <c r="U27" s="9"/>
      <c r="X27" s="4"/>
    </row>
    <row r="28" spans="1:25" ht="17.399999999999999" x14ac:dyDescent="0.35">
      <c r="B28" s="228"/>
      <c r="C28" s="229"/>
      <c r="D28" s="230"/>
      <c r="E28" s="228"/>
      <c r="F28" s="223"/>
      <c r="G28" s="223"/>
      <c r="I28" s="266" t="s">
        <v>186</v>
      </c>
      <c r="J28" s="257"/>
      <c r="K28" s="44"/>
      <c r="L28" s="44"/>
      <c r="M28" s="14"/>
      <c r="N28" s="14"/>
      <c r="O28" s="14"/>
      <c r="P28" s="14"/>
      <c r="Q28" s="14"/>
      <c r="R28" s="14"/>
      <c r="S28" s="233"/>
      <c r="T28" s="14"/>
      <c r="U28" s="283" t="s">
        <v>20</v>
      </c>
      <c r="V28" s="280" t="s">
        <v>145</v>
      </c>
      <c r="W28" s="284">
        <v>44971</v>
      </c>
      <c r="X28" s="285"/>
    </row>
    <row r="29" spans="1:25" ht="17.399999999999999" x14ac:dyDescent="0.35">
      <c r="B29" s="223"/>
      <c r="C29" s="223"/>
      <c r="D29" s="223"/>
      <c r="E29" s="223"/>
      <c r="F29" s="223"/>
      <c r="G29" s="223"/>
      <c r="J29" s="257"/>
      <c r="K29" s="44"/>
      <c r="L29" s="44"/>
      <c r="M29" s="36">
        <f>P27*2</f>
        <v>4.992</v>
      </c>
      <c r="N29" s="12">
        <v>3500</v>
      </c>
      <c r="O29" s="12">
        <f t="shared" ref="O29:O35" si="5">M29*N29</f>
        <v>17472</v>
      </c>
      <c r="P29" s="14" t="s">
        <v>20</v>
      </c>
      <c r="Q29" s="14"/>
      <c r="R29" s="14"/>
      <c r="S29" s="234"/>
      <c r="T29" s="14"/>
      <c r="U29" s="283" t="s">
        <v>146</v>
      </c>
      <c r="V29" s="280">
        <v>3625</v>
      </c>
      <c r="W29" s="56" t="s">
        <v>147</v>
      </c>
      <c r="X29" s="285"/>
    </row>
    <row r="30" spans="1:25" ht="17.399999999999999" x14ac:dyDescent="0.35">
      <c r="A30" s="223"/>
      <c r="B30" s="223"/>
      <c r="C30" s="223"/>
      <c r="D30" s="223"/>
      <c r="E30" s="223"/>
      <c r="F30" s="223">
        <v>0</v>
      </c>
      <c r="G30" s="223"/>
      <c r="H30" s="223"/>
      <c r="J30" s="257"/>
      <c r="K30" s="44"/>
      <c r="L30" s="44"/>
      <c r="M30" s="241"/>
      <c r="N30" s="12">
        <v>23500</v>
      </c>
      <c r="O30" s="12">
        <f t="shared" si="5"/>
        <v>0</v>
      </c>
      <c r="P30" s="36" t="s">
        <v>30</v>
      </c>
      <c r="Q30" s="39"/>
      <c r="R30" s="14"/>
      <c r="S30" s="233"/>
      <c r="T30" s="14"/>
      <c r="U30" s="283"/>
      <c r="V30" s="56">
        <v>906.25</v>
      </c>
      <c r="W30" s="56" t="s">
        <v>148</v>
      </c>
      <c r="X30" s="285"/>
    </row>
    <row r="31" spans="1:25" s="223" customFormat="1" ht="17.399999999999999" x14ac:dyDescent="0.35">
      <c r="B31" s="21" t="s">
        <v>144</v>
      </c>
      <c r="J31" s="254"/>
      <c r="K31" s="225"/>
      <c r="L31" s="242"/>
      <c r="M31" s="14">
        <v>1</v>
      </c>
      <c r="N31" s="242">
        <v>43500</v>
      </c>
      <c r="O31" s="12">
        <f t="shared" si="5"/>
        <v>43500</v>
      </c>
      <c r="P31" s="36" t="s">
        <v>29</v>
      </c>
      <c r="Q31" s="39"/>
      <c r="S31" s="233"/>
      <c r="T31" s="248"/>
      <c r="U31" s="56"/>
      <c r="V31" s="56">
        <f>V30*20%</f>
        <v>181.25</v>
      </c>
      <c r="W31" s="285" t="s">
        <v>149</v>
      </c>
      <c r="X31" s="56"/>
    </row>
    <row r="32" spans="1:25" s="223" customFormat="1" ht="17.399999999999999" x14ac:dyDescent="0.35">
      <c r="B32" s="21" t="s">
        <v>159</v>
      </c>
      <c r="C32"/>
      <c r="D32"/>
      <c r="E32"/>
      <c r="F32"/>
      <c r="J32" s="254"/>
      <c r="K32" s="225"/>
      <c r="L32" s="242"/>
      <c r="M32" s="14">
        <v>1</v>
      </c>
      <c r="N32" s="242">
        <v>21630</v>
      </c>
      <c r="O32" s="12">
        <f t="shared" si="5"/>
        <v>21630</v>
      </c>
      <c r="P32" s="14" t="s">
        <v>135</v>
      </c>
      <c r="Q32" s="17"/>
      <c r="S32" s="231"/>
      <c r="T32" s="248"/>
      <c r="U32" s="56"/>
      <c r="V32" s="56">
        <f>V30+V31</f>
        <v>1087.5</v>
      </c>
      <c r="W32" s="285" t="s">
        <v>150</v>
      </c>
      <c r="X32" s="56"/>
    </row>
    <row r="33" spans="2:24" s="223" customFormat="1" ht="17.399999999999999" x14ac:dyDescent="0.35">
      <c r="B33" s="26" t="s">
        <v>120</v>
      </c>
      <c r="C33"/>
      <c r="D33"/>
      <c r="E33"/>
      <c r="F33" s="222" t="s">
        <v>15</v>
      </c>
      <c r="J33" s="254" t="s">
        <v>177</v>
      </c>
      <c r="K33" s="252"/>
      <c r="L33" s="242"/>
      <c r="M33" s="241">
        <v>1</v>
      </c>
      <c r="N33" s="242">
        <v>15041</v>
      </c>
      <c r="O33" s="12">
        <f t="shared" si="5"/>
        <v>15041</v>
      </c>
      <c r="P33" s="14" t="s">
        <v>175</v>
      </c>
      <c r="Q33" s="14"/>
      <c r="R33" s="223">
        <v>1.52</v>
      </c>
      <c r="S33" s="231"/>
      <c r="T33" s="231"/>
    </row>
    <row r="34" spans="2:24" s="223" customFormat="1" ht="17.399999999999999" x14ac:dyDescent="0.35">
      <c r="J34" s="278">
        <v>29750</v>
      </c>
      <c r="K34" s="252"/>
      <c r="L34" s="242"/>
      <c r="M34" s="258"/>
      <c r="N34" s="12">
        <v>25000</v>
      </c>
      <c r="O34" s="12">
        <f t="shared" si="5"/>
        <v>0</v>
      </c>
      <c r="P34" s="14" t="s">
        <v>182</v>
      </c>
      <c r="Q34" s="14"/>
      <c r="R34">
        <v>2.44</v>
      </c>
      <c r="S34"/>
      <c r="T34" s="231"/>
      <c r="X34" s="224"/>
    </row>
    <row r="35" spans="2:24" s="223" customFormat="1" ht="17.399999999999999" x14ac:dyDescent="0.35">
      <c r="J35" s="278">
        <f>J34/1.19</f>
        <v>25000</v>
      </c>
      <c r="K35" s="252"/>
      <c r="L35" s="242"/>
      <c r="M35" s="14">
        <v>1</v>
      </c>
      <c r="N35" s="14">
        <v>33605</v>
      </c>
      <c r="O35" s="12">
        <f t="shared" si="5"/>
        <v>33605</v>
      </c>
      <c r="P35" s="14" t="s">
        <v>183</v>
      </c>
      <c r="R35">
        <f>R33*R34</f>
        <v>3.7088000000000001</v>
      </c>
      <c r="S35"/>
      <c r="T35" s="231"/>
      <c r="X35" s="224"/>
    </row>
    <row r="36" spans="2:24" s="223" customFormat="1" ht="17.399999999999999" x14ac:dyDescent="0.35">
      <c r="J36" s="254" t="s">
        <v>184</v>
      </c>
      <c r="L36" s="242"/>
      <c r="M36" s="14"/>
      <c r="N36" s="12"/>
      <c r="O36" s="12">
        <f>SUM(O29:O35)</f>
        <v>131248</v>
      </c>
      <c r="P36" s="36" t="s">
        <v>22</v>
      </c>
      <c r="Q36" s="14"/>
      <c r="R36" s="37">
        <f>P27/R35</f>
        <v>0.67299396031061254</v>
      </c>
      <c r="S36"/>
      <c r="T36" s="249"/>
    </row>
    <row r="37" spans="2:24" s="223" customFormat="1" ht="17.399999999999999" x14ac:dyDescent="0.35">
      <c r="G37"/>
      <c r="H37" s="252"/>
      <c r="I37" s="252"/>
      <c r="J37" s="332">
        <v>39990</v>
      </c>
      <c r="L37" s="242"/>
      <c r="M37" s="246" t="s">
        <v>32</v>
      </c>
      <c r="N37" s="12"/>
      <c r="O37" s="247">
        <f>O36*2.2</f>
        <v>288745.60000000003</v>
      </c>
      <c r="P37" s="14" t="s">
        <v>134</v>
      </c>
      <c r="Q37" s="14"/>
      <c r="R37" s="14"/>
      <c r="S37"/>
      <c r="T37" s="231"/>
      <c r="U37" s="56" t="s">
        <v>151</v>
      </c>
      <c r="V37" s="280">
        <v>43650</v>
      </c>
    </row>
    <row r="38" spans="2:24" s="223" customFormat="1" ht="17.399999999999999" x14ac:dyDescent="0.35">
      <c r="G38"/>
      <c r="J38" s="333">
        <f>J37/1.19</f>
        <v>33605.042016806721</v>
      </c>
      <c r="L38" s="242"/>
      <c r="M38" s="14"/>
      <c r="N38" s="12"/>
      <c r="O38" s="12">
        <f>O37/P25</f>
        <v>138820</v>
      </c>
      <c r="P38" s="42" t="s">
        <v>23</v>
      </c>
      <c r="Q38" s="14"/>
      <c r="R38"/>
      <c r="S38"/>
      <c r="T38" s="231"/>
      <c r="U38" s="56" t="s">
        <v>153</v>
      </c>
      <c r="V38" s="281" t="s">
        <v>152</v>
      </c>
      <c r="W38" s="56">
        <v>2.4</v>
      </c>
    </row>
    <row r="39" spans="2:24" s="223" customFormat="1" ht="17.399999999999999" x14ac:dyDescent="0.35">
      <c r="D39" s="275"/>
      <c r="E39" s="275"/>
      <c r="F39" s="274"/>
      <c r="G39" s="310"/>
      <c r="H39" s="314"/>
      <c r="J39" s="333"/>
      <c r="L39" s="12"/>
      <c r="M39" s="13"/>
      <c r="N39" s="14"/>
      <c r="O39" s="17">
        <f>O37/O36</f>
        <v>2.2000000000000002</v>
      </c>
      <c r="P39" s="15"/>
      <c r="Q39"/>
      <c r="T39" s="231"/>
      <c r="U39" s="56" t="s">
        <v>154</v>
      </c>
      <c r="V39" s="282">
        <v>395.37</v>
      </c>
    </row>
    <row r="40" spans="2:24" s="223" customFormat="1" ht="17.399999999999999" x14ac:dyDescent="0.35">
      <c r="B40"/>
      <c r="C40" s="315"/>
      <c r="D40" s="275"/>
      <c r="E40" s="275"/>
      <c r="F40" s="274"/>
      <c r="G40" s="310"/>
      <c r="H40" s="314"/>
      <c r="L40" s="12"/>
      <c r="T40" s="231"/>
      <c r="U40" s="56" t="s">
        <v>149</v>
      </c>
      <c r="V40" s="56">
        <v>474.45</v>
      </c>
    </row>
    <row r="41" spans="2:24" ht="14.4" customHeight="1" x14ac:dyDescent="0.35">
      <c r="D41" s="275"/>
      <c r="E41" s="275"/>
      <c r="F41" s="274"/>
      <c r="G41" s="310"/>
      <c r="H41" s="314"/>
      <c r="L41" s="12"/>
      <c r="U41" s="56"/>
      <c r="V41" s="56"/>
    </row>
    <row r="42" spans="2:24" ht="17.399999999999999" x14ac:dyDescent="0.35">
      <c r="D42" s="275"/>
      <c r="E42" s="275"/>
      <c r="F42" s="274"/>
      <c r="G42" s="310"/>
      <c r="H42" s="314"/>
      <c r="L42" s="242"/>
    </row>
    <row r="43" spans="2:24" ht="17.399999999999999" x14ac:dyDescent="0.35">
      <c r="D43" s="275"/>
      <c r="E43" s="275"/>
      <c r="F43" s="274"/>
      <c r="G43" s="310"/>
      <c r="H43" s="314"/>
      <c r="L43" s="242"/>
      <c r="T43" s="262"/>
    </row>
    <row r="44" spans="2:24" ht="17.399999999999999" x14ac:dyDescent="0.35">
      <c r="D44" s="275"/>
      <c r="E44" s="275"/>
      <c r="F44" s="274"/>
      <c r="G44" s="310"/>
      <c r="H44" s="314"/>
      <c r="L44" s="242"/>
    </row>
    <row r="45" spans="2:24" ht="15" customHeight="1" x14ac:dyDescent="0.35">
      <c r="D45" s="275"/>
      <c r="E45" s="275"/>
      <c r="F45" s="274"/>
      <c r="G45" s="310"/>
      <c r="H45" s="314"/>
    </row>
    <row r="46" spans="2:24" ht="17.399999999999999" x14ac:dyDescent="0.35">
      <c r="D46" s="275"/>
      <c r="E46" s="275"/>
      <c r="F46" s="274"/>
      <c r="G46" s="310"/>
      <c r="H46" s="314"/>
    </row>
    <row r="47" spans="2:24" ht="17.399999999999999" x14ac:dyDescent="0.35">
      <c r="D47" s="275"/>
      <c r="E47" s="275"/>
      <c r="F47" s="274"/>
      <c r="G47" s="310"/>
      <c r="H47" s="314"/>
      <c r="O47">
        <v>40935</v>
      </c>
      <c r="P47" t="s">
        <v>16</v>
      </c>
      <c r="Q47" t="s">
        <v>25</v>
      </c>
    </row>
    <row r="48" spans="2:24" ht="17.399999999999999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  <c r="O49" s="51"/>
      <c r="P49" s="51"/>
    </row>
    <row r="50" spans="4:20" ht="17.399999999999999" x14ac:dyDescent="0.35">
      <c r="D50" s="275"/>
      <c r="E50" s="275"/>
      <c r="F50" s="274"/>
      <c r="G50" s="310"/>
      <c r="H50" s="314"/>
      <c r="S50" s="18"/>
      <c r="T50" s="18"/>
    </row>
    <row r="51" spans="4:20" ht="17.399999999999999" x14ac:dyDescent="0.35">
      <c r="D51" s="275"/>
      <c r="E51" s="275"/>
      <c r="F51" s="274"/>
      <c r="G51" s="310"/>
      <c r="H51" s="314"/>
      <c r="S51" s="18"/>
      <c r="T51" s="18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141</v>
      </c>
    </row>
    <row r="73" spans="3:3" x14ac:dyDescent="0.3">
      <c r="C73" t="s">
        <v>140</v>
      </c>
    </row>
    <row r="76" spans="3:3" x14ac:dyDescent="0.3">
      <c r="C76" t="s">
        <v>140</v>
      </c>
    </row>
    <row r="153" spans="3:3" x14ac:dyDescent="0.3">
      <c r="C153" t="s">
        <v>140</v>
      </c>
    </row>
    <row r="154" spans="3:3" x14ac:dyDescent="0.3">
      <c r="C154" t="s">
        <v>142</v>
      </c>
    </row>
    <row r="155" spans="3:3" x14ac:dyDescent="0.3">
      <c r="C155" t="s">
        <v>143</v>
      </c>
    </row>
    <row r="580" spans="3:3" x14ac:dyDescent="0.3">
      <c r="C580" t="s">
        <v>140</v>
      </c>
    </row>
  </sheetData>
  <mergeCells count="2">
    <mergeCell ref="F17:H17"/>
    <mergeCell ref="B19:H19"/>
  </mergeCells>
  <hyperlinks>
    <hyperlink ref="F33" r:id="rId1" xr:uid="{6947308E-1676-42BC-9FE1-AD5AF0E0BDEB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opLeftCell="F16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136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132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137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157</v>
      </c>
      <c r="O6" s="30"/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119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121</v>
      </c>
      <c r="C8" s="337"/>
      <c r="D8" s="338" t="s">
        <v>180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155</v>
      </c>
      <c r="C10" s="236" t="s">
        <v>178</v>
      </c>
      <c r="D10" s="236"/>
      <c r="E10" s="236"/>
      <c r="F10" s="237" t="s">
        <v>161</v>
      </c>
      <c r="G10" s="268">
        <v>46091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160</v>
      </c>
      <c r="G11" s="297" t="s">
        <v>170</v>
      </c>
      <c r="H11" s="277"/>
      <c r="Q11" s="19"/>
      <c r="R11" s="22" t="s">
        <v>18</v>
      </c>
      <c r="S11" s="19"/>
    </row>
    <row r="12" spans="2:24" x14ac:dyDescent="0.3">
      <c r="B12" s="239" t="s">
        <v>138</v>
      </c>
      <c r="C12" s="298"/>
      <c r="D12" s="299"/>
      <c r="E12" s="299"/>
      <c r="F12" s="299" t="s">
        <v>122</v>
      </c>
      <c r="G12" s="300" t="s">
        <v>129</v>
      </c>
      <c r="H12" s="240"/>
      <c r="Q12" s="19"/>
      <c r="R12" s="22"/>
      <c r="S12" s="19"/>
    </row>
    <row r="13" spans="2:24" x14ac:dyDescent="0.3">
      <c r="B13" s="276" t="s">
        <v>139</v>
      </c>
      <c r="C13" t="s">
        <v>179</v>
      </c>
      <c r="F13" t="s">
        <v>171</v>
      </c>
      <c r="G13" s="301"/>
      <c r="H13" s="277"/>
      <c r="Q13" s="19"/>
      <c r="R13" s="22"/>
      <c r="S13" s="19"/>
    </row>
    <row r="14" spans="2:24" x14ac:dyDescent="0.3">
      <c r="B14" s="239" t="s">
        <v>133</v>
      </c>
      <c r="C14" s="339"/>
      <c r="D14" s="299"/>
      <c r="E14" s="299"/>
      <c r="F14" s="299" t="s">
        <v>130</v>
      </c>
      <c r="G14" s="302" t="s">
        <v>129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/>
      <c r="D15" s="304"/>
      <c r="F15" t="s">
        <v>162</v>
      </c>
      <c r="G15" s="305" t="s">
        <v>129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124</v>
      </c>
      <c r="G16" s="308" t="s">
        <v>156</v>
      </c>
      <c r="H16" s="240"/>
    </row>
    <row r="17" spans="1:25" ht="15" thickBot="1" x14ac:dyDescent="0.35">
      <c r="B17" s="287" t="s">
        <v>13</v>
      </c>
      <c r="C17" s="288" t="s">
        <v>169</v>
      </c>
      <c r="D17" s="289"/>
      <c r="E17" s="113"/>
      <c r="F17" s="343" t="s">
        <v>158</v>
      </c>
      <c r="G17" s="343"/>
      <c r="H17" s="344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5" t="s">
        <v>91</v>
      </c>
      <c r="C19" s="346"/>
      <c r="D19" s="346"/>
      <c r="E19" s="346"/>
      <c r="F19" s="346"/>
      <c r="G19" s="346"/>
      <c r="H19" s="347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19</v>
      </c>
      <c r="R19" s="34" t="s">
        <v>128</v>
      </c>
      <c r="S19" s="10" t="s">
        <v>131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126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126</v>
      </c>
      <c r="N20" s="36" t="str">
        <f t="shared" ref="N20" si="0">E20</f>
        <v>ANCHO</v>
      </c>
      <c r="O20" s="253" t="s">
        <v>127</v>
      </c>
      <c r="P20" s="251" t="s">
        <v>16</v>
      </c>
      <c r="Q20" s="244">
        <f>O40</f>
        <v>86114.220846233264</v>
      </c>
      <c r="R20" s="250">
        <v>2000</v>
      </c>
      <c r="S20" s="35"/>
      <c r="T20" s="14" t="s">
        <v>123</v>
      </c>
      <c r="U20" s="9"/>
      <c r="X20" s="4"/>
    </row>
    <row r="21" spans="1:25" ht="17.399999999999999" x14ac:dyDescent="0.3">
      <c r="B21" s="342">
        <v>15</v>
      </c>
      <c r="C21" s="342" t="s">
        <v>181</v>
      </c>
      <c r="D21" s="340">
        <v>1.2</v>
      </c>
      <c r="E21" s="340">
        <v>0.6</v>
      </c>
      <c r="F21" s="342" t="s">
        <v>172</v>
      </c>
      <c r="G21" s="341">
        <f>R21</f>
        <v>68135.721609907152</v>
      </c>
      <c r="H21" s="341">
        <f>G21*B21</f>
        <v>1022035.8241486073</v>
      </c>
      <c r="I21" s="292"/>
      <c r="J21" s="257"/>
      <c r="K21" s="356">
        <f>L21/4</f>
        <v>3.75</v>
      </c>
      <c r="L21" s="44">
        <f>B21</f>
        <v>15</v>
      </c>
      <c r="M21" s="36">
        <f>D21+M$19</f>
        <v>1.28</v>
      </c>
      <c r="N21" s="36">
        <f>E21+$N$19</f>
        <v>0.6</v>
      </c>
      <c r="O21" s="253">
        <f t="shared" ref="O21" si="1">M21*N21</f>
        <v>0.76800000000000002</v>
      </c>
      <c r="P21" s="251">
        <f t="shared" ref="P21" si="2">O21*L21</f>
        <v>11.52</v>
      </c>
      <c r="Q21" s="244">
        <f t="shared" ref="Q21" si="3">Q$20*O21</f>
        <v>66135.721609907152</v>
      </c>
      <c r="R21" s="291">
        <f t="shared" ref="R21" si="4">Q21+R$20</f>
        <v>68135.721609907152</v>
      </c>
      <c r="S21" s="279">
        <f>M21*L21*2</f>
        <v>38.4</v>
      </c>
      <c r="T21" s="43">
        <f>N21*L21*2</f>
        <v>18</v>
      </c>
      <c r="U21" s="357">
        <f>S21+T21</f>
        <v>56.4</v>
      </c>
      <c r="V21" s="14">
        <f>U21*20%</f>
        <v>11.280000000000001</v>
      </c>
      <c r="W21" s="39">
        <f>U21+V21</f>
        <v>67.680000000000007</v>
      </c>
      <c r="X21" s="4"/>
    </row>
    <row r="22" spans="1:25" ht="17.399999999999999" x14ac:dyDescent="0.3">
      <c r="B22" s="342">
        <v>30</v>
      </c>
      <c r="C22" s="342" t="s">
        <v>173</v>
      </c>
      <c r="D22" s="340">
        <v>0.7</v>
      </c>
      <c r="E22" s="340">
        <v>0.6</v>
      </c>
      <c r="F22" s="342" t="s">
        <v>174</v>
      </c>
      <c r="G22" s="341">
        <f t="shared" ref="G22:G23" si="5">R22</f>
        <v>42301.455356037157</v>
      </c>
      <c r="H22" s="341">
        <f>G22*B22</f>
        <v>1269043.6606811148</v>
      </c>
      <c r="I22" s="292"/>
      <c r="J22" s="257">
        <v>60</v>
      </c>
      <c r="K22" s="356">
        <f>J22/8</f>
        <v>7.5</v>
      </c>
      <c r="L22" s="44">
        <f>B22</f>
        <v>30</v>
      </c>
      <c r="M22" s="36">
        <f>D22+M$19</f>
        <v>0.77999999999999992</v>
      </c>
      <c r="N22" s="36">
        <f>E22+$N$19</f>
        <v>0.6</v>
      </c>
      <c r="O22" s="253">
        <f t="shared" ref="O22" si="6">M22*N22</f>
        <v>0.46799999999999992</v>
      </c>
      <c r="P22" s="251">
        <f t="shared" ref="P22" si="7">O22*L22</f>
        <v>14.039999999999997</v>
      </c>
      <c r="Q22" s="244">
        <f t="shared" ref="Q22" si="8">Q$20*O22</f>
        <v>40301.455356037157</v>
      </c>
      <c r="R22" s="291">
        <f t="shared" ref="R22" si="9">Q22+R$20</f>
        <v>42301.455356037157</v>
      </c>
      <c r="S22" s="279">
        <f>L22*M22*2</f>
        <v>46.8</v>
      </c>
      <c r="T22" s="43"/>
      <c r="U22" s="9">
        <f>S22</f>
        <v>46.8</v>
      </c>
      <c r="V22">
        <f>U22*20%</f>
        <v>9.36</v>
      </c>
      <c r="W22" s="4">
        <f>U22+V22</f>
        <v>56.16</v>
      </c>
      <c r="X22" s="4"/>
    </row>
    <row r="23" spans="1:25" ht="17.399999999999999" x14ac:dyDescent="0.3">
      <c r="B23" s="342">
        <v>30</v>
      </c>
      <c r="C23" s="342" t="s">
        <v>176</v>
      </c>
      <c r="D23" s="340">
        <v>0.7</v>
      </c>
      <c r="E23" s="340">
        <v>0.15</v>
      </c>
      <c r="F23" s="342" t="s">
        <v>174</v>
      </c>
      <c r="G23" s="341">
        <f t="shared" si="5"/>
        <v>12075.363839009289</v>
      </c>
      <c r="H23" s="341">
        <f>G23*B23</f>
        <v>362260.91517027869</v>
      </c>
      <c r="I23" s="292"/>
      <c r="J23" s="257"/>
      <c r="K23" s="44"/>
      <c r="L23" s="44">
        <f>B23</f>
        <v>30</v>
      </c>
      <c r="M23" s="36">
        <f>D23+M$19</f>
        <v>0.77999999999999992</v>
      </c>
      <c r="N23" s="36">
        <f>E23+$N$19</f>
        <v>0.15</v>
      </c>
      <c r="O23" s="253">
        <f t="shared" ref="O23" si="10">M23*N23</f>
        <v>0.11699999999999998</v>
      </c>
      <c r="P23" s="251">
        <f t="shared" ref="P23" si="11">O23*L23</f>
        <v>3.5099999999999993</v>
      </c>
      <c r="Q23" s="244">
        <f t="shared" ref="Q23" si="12">Q$20*O23</f>
        <v>10075.363839009289</v>
      </c>
      <c r="R23" s="291">
        <f t="shared" ref="R23" si="13">Q23+R$20</f>
        <v>12075.363839009289</v>
      </c>
      <c r="S23" s="279">
        <f>L23*M23*2</f>
        <v>46.8</v>
      </c>
      <c r="T23" s="43"/>
      <c r="U23" s="9">
        <f>S23</f>
        <v>46.8</v>
      </c>
      <c r="V23">
        <f>U23*20%</f>
        <v>9.36</v>
      </c>
      <c r="W23" s="4">
        <f>U23+V23</f>
        <v>56.16</v>
      </c>
      <c r="X23" s="4"/>
    </row>
    <row r="24" spans="1:25" ht="18" thickBot="1" x14ac:dyDescent="0.35">
      <c r="B24" s="274"/>
      <c r="C24" s="274"/>
      <c r="D24" s="275"/>
      <c r="E24" s="275"/>
      <c r="F24" s="274"/>
      <c r="G24" s="257"/>
      <c r="H24" s="293"/>
      <c r="I24" s="295"/>
      <c r="J24" s="226"/>
      <c r="K24" s="44">
        <v>50390</v>
      </c>
      <c r="L24" s="44"/>
      <c r="M24" s="36"/>
      <c r="N24" s="36"/>
      <c r="O24" s="253"/>
      <c r="P24" s="251"/>
      <c r="Q24" s="244"/>
      <c r="R24" s="250"/>
      <c r="S24" s="279"/>
      <c r="T24" s="14"/>
      <c r="U24" s="9"/>
      <c r="W24" s="4">
        <f>W22+W23</f>
        <v>112.32</v>
      </c>
      <c r="X24" s="4"/>
    </row>
    <row r="25" spans="1:25" ht="17.399999999999999" x14ac:dyDescent="0.3">
      <c r="B25" s="274"/>
      <c r="C25" s="274"/>
      <c r="D25" s="275"/>
      <c r="E25" s="275"/>
      <c r="F25" s="274"/>
      <c r="G25" s="334" t="s">
        <v>27</v>
      </c>
      <c r="H25" s="335">
        <f>SUM(H21:H24)</f>
        <v>2653340.4000000008</v>
      </c>
      <c r="I25" s="294">
        <f>H25/15</f>
        <v>176889.36000000004</v>
      </c>
      <c r="J25" s="327"/>
      <c r="K25" s="309">
        <f>K24/1.19</f>
        <v>42344.537815126052</v>
      </c>
      <c r="L25" s="44"/>
      <c r="M25" s="36"/>
      <c r="N25" s="36"/>
      <c r="O25" s="253"/>
      <c r="P25" s="251"/>
      <c r="Q25" s="244"/>
      <c r="R25" s="250"/>
      <c r="S25" s="279"/>
      <c r="T25" s="43">
        <f>SUM(T21:T24)</f>
        <v>18</v>
      </c>
      <c r="U25" s="9"/>
      <c r="X25" s="4"/>
    </row>
    <row r="26" spans="1:25" ht="17.399999999999999" x14ac:dyDescent="0.3">
      <c r="B26" s="269"/>
      <c r="C26" s="271"/>
      <c r="D26" s="272"/>
      <c r="E26" s="272"/>
      <c r="F26" s="273"/>
      <c r="G26" s="328" t="s">
        <v>50</v>
      </c>
      <c r="H26" s="330">
        <f>H25*0.19</f>
        <v>504134.67600000015</v>
      </c>
      <c r="I26" s="294"/>
      <c r="J26" s="257"/>
      <c r="K26" s="309"/>
      <c r="L26" s="44"/>
      <c r="M26" s="36">
        <f>SUM(M21:M22)</f>
        <v>2.06</v>
      </c>
      <c r="N26" s="12"/>
      <c r="O26" s="12"/>
      <c r="P26" s="245">
        <f>SUM(P21:P24)</f>
        <v>29.069999999999993</v>
      </c>
      <c r="Q26" s="14"/>
      <c r="R26" s="12"/>
      <c r="S26" s="232">
        <f>SUM(S21:S25)</f>
        <v>132</v>
      </c>
      <c r="T26" s="43"/>
      <c r="U26" s="9"/>
      <c r="X26" s="4"/>
    </row>
    <row r="27" spans="1:25" ht="18" thickBot="1" x14ac:dyDescent="0.35">
      <c r="B27" s="267"/>
      <c r="C27" s="270"/>
      <c r="D27" s="264"/>
      <c r="E27" s="264"/>
      <c r="F27" s="265"/>
      <c r="G27" s="329" t="s">
        <v>6</v>
      </c>
      <c r="H27" s="331">
        <f>H26+H25</f>
        <v>3157475.0760000008</v>
      </c>
      <c r="I27" s="294"/>
      <c r="J27" s="257"/>
      <c r="K27" s="309"/>
      <c r="L27" s="44"/>
      <c r="M27" s="36"/>
      <c r="N27" s="12"/>
      <c r="O27" s="12"/>
      <c r="P27" s="245">
        <f>P26</f>
        <v>29.069999999999993</v>
      </c>
      <c r="Q27" s="14"/>
      <c r="R27" s="12"/>
      <c r="S27" s="232">
        <f>S26+T25</f>
        <v>150</v>
      </c>
      <c r="T27" s="43"/>
      <c r="U27" s="9"/>
      <c r="X27" s="4"/>
    </row>
    <row r="28" spans="1:25" ht="17.399999999999999" x14ac:dyDescent="0.3">
      <c r="B28" s="267"/>
      <c r="C28" s="263"/>
      <c r="D28" s="264"/>
      <c r="E28" s="264"/>
      <c r="F28" s="265"/>
      <c r="J28" s="257"/>
      <c r="K28" s="309"/>
      <c r="L28" s="44"/>
      <c r="M28" s="14"/>
      <c r="N28" s="12"/>
      <c r="O28" s="12"/>
      <c r="P28" s="36">
        <f>P27*20%</f>
        <v>5.8139999999999992</v>
      </c>
      <c r="Q28" s="36" t="s">
        <v>125</v>
      </c>
      <c r="R28" s="39"/>
      <c r="S28" s="233">
        <f>S27*20%</f>
        <v>30</v>
      </c>
      <c r="T28" s="14"/>
      <c r="U28" s="9"/>
      <c r="X28" s="4"/>
    </row>
    <row r="29" spans="1:25" ht="17.399999999999999" x14ac:dyDescent="0.35">
      <c r="B29" s="261"/>
      <c r="C29" s="223"/>
      <c r="D29" s="223"/>
      <c r="E29" s="226"/>
      <c r="F29" s="227"/>
      <c r="G29" s="223"/>
      <c r="H29" s="266"/>
      <c r="I29" s="266"/>
      <c r="J29" s="257"/>
      <c r="K29" s="44"/>
      <c r="L29" s="44"/>
      <c r="M29" s="14"/>
      <c r="N29" s="12"/>
      <c r="O29" s="12"/>
      <c r="P29" s="43">
        <f>P27+P28</f>
        <v>34.883999999999993</v>
      </c>
      <c r="Q29" s="14"/>
      <c r="R29" s="14"/>
      <c r="S29" s="232">
        <f>S27+S28</f>
        <v>180</v>
      </c>
      <c r="T29" s="14"/>
      <c r="U29" s="9"/>
      <c r="X29" s="4"/>
    </row>
    <row r="30" spans="1:25" ht="17.399999999999999" x14ac:dyDescent="0.35">
      <c r="B30" s="228"/>
      <c r="C30" s="229"/>
      <c r="D30" s="230"/>
      <c r="E30" s="228"/>
      <c r="F30" s="223"/>
      <c r="G30" s="223"/>
      <c r="I30" s="266"/>
      <c r="J30" s="257"/>
      <c r="K30" s="44"/>
      <c r="L30" s="44"/>
      <c r="M30" s="14"/>
      <c r="N30" s="14"/>
      <c r="O30" s="14"/>
      <c r="P30" s="14"/>
      <c r="Q30" s="14"/>
      <c r="R30" s="14"/>
      <c r="S30" s="233"/>
      <c r="T30" s="14"/>
      <c r="U30" s="283" t="s">
        <v>20</v>
      </c>
      <c r="V30" s="280" t="s">
        <v>145</v>
      </c>
      <c r="W30" s="284">
        <v>44971</v>
      </c>
      <c r="X30" s="285"/>
    </row>
    <row r="31" spans="1:25" ht="17.399999999999999" x14ac:dyDescent="0.35">
      <c r="B31" s="223"/>
      <c r="C31" s="223"/>
      <c r="D31" s="223"/>
      <c r="E31" s="223"/>
      <c r="F31" s="223"/>
      <c r="G31" s="223"/>
      <c r="J31" s="257"/>
      <c r="K31" s="44"/>
      <c r="L31" s="44"/>
      <c r="M31" s="36">
        <f>P29*2</f>
        <v>69.767999999999986</v>
      </c>
      <c r="N31" s="12">
        <v>3500</v>
      </c>
      <c r="O31" s="12">
        <f t="shared" ref="O31:O37" si="14">M31*N31</f>
        <v>244187.99999999994</v>
      </c>
      <c r="P31" s="14" t="s">
        <v>20</v>
      </c>
      <c r="Q31" s="14"/>
      <c r="R31" s="14"/>
      <c r="S31" s="234"/>
      <c r="T31" s="14"/>
      <c r="U31" s="283" t="s">
        <v>146</v>
      </c>
      <c r="V31" s="280">
        <v>3625</v>
      </c>
      <c r="W31" s="56" t="s">
        <v>147</v>
      </c>
      <c r="X31" s="285"/>
    </row>
    <row r="32" spans="1:25" ht="17.399999999999999" x14ac:dyDescent="0.35">
      <c r="A32" s="223"/>
      <c r="B32" s="223"/>
      <c r="C32" s="223"/>
      <c r="D32" s="223"/>
      <c r="E32" s="223"/>
      <c r="F32" s="223">
        <v>0</v>
      </c>
      <c r="G32" s="223"/>
      <c r="H32" s="223"/>
      <c r="J32" s="257"/>
      <c r="K32" s="44"/>
      <c r="L32" s="44"/>
      <c r="M32" s="241">
        <v>7</v>
      </c>
      <c r="N32" s="12">
        <v>23500</v>
      </c>
      <c r="O32" s="12">
        <f t="shared" si="14"/>
        <v>164500</v>
      </c>
      <c r="P32" s="36" t="s">
        <v>30</v>
      </c>
      <c r="Q32" s="39"/>
      <c r="R32" s="14"/>
      <c r="S32" s="233"/>
      <c r="T32" s="14"/>
      <c r="U32" s="283"/>
      <c r="V32" s="56">
        <v>906.25</v>
      </c>
      <c r="W32" s="56" t="s">
        <v>148</v>
      </c>
      <c r="X32" s="285"/>
    </row>
    <row r="33" spans="2:24" s="223" customFormat="1" ht="17.399999999999999" x14ac:dyDescent="0.35">
      <c r="B33" s="21" t="s">
        <v>144</v>
      </c>
      <c r="J33" s="254"/>
      <c r="K33" s="225"/>
      <c r="L33" s="242"/>
      <c r="M33" s="14">
        <v>4</v>
      </c>
      <c r="N33" s="242">
        <v>43500</v>
      </c>
      <c r="O33" s="12">
        <f t="shared" si="14"/>
        <v>174000</v>
      </c>
      <c r="P33" s="36" t="s">
        <v>29</v>
      </c>
      <c r="Q33" s="39"/>
      <c r="S33" s="233"/>
      <c r="T33" s="248"/>
      <c r="U33" s="56"/>
      <c r="V33" s="56">
        <f>V32*20%</f>
        <v>181.25</v>
      </c>
      <c r="W33" s="285" t="s">
        <v>149</v>
      </c>
      <c r="X33" s="56"/>
    </row>
    <row r="34" spans="2:24" s="223" customFormat="1" ht="17.399999999999999" x14ac:dyDescent="0.35">
      <c r="B34" s="21" t="s">
        <v>159</v>
      </c>
      <c r="C34"/>
      <c r="D34"/>
      <c r="E34"/>
      <c r="F34"/>
      <c r="J34" s="254"/>
      <c r="K34" s="225"/>
      <c r="L34" s="242"/>
      <c r="M34" s="14">
        <v>14</v>
      </c>
      <c r="N34" s="242">
        <v>21630</v>
      </c>
      <c r="O34" s="12">
        <f t="shared" si="14"/>
        <v>302820</v>
      </c>
      <c r="P34" s="14" t="s">
        <v>135</v>
      </c>
      <c r="Q34" s="17"/>
      <c r="S34" s="231"/>
      <c r="T34" s="248"/>
      <c r="U34" s="56"/>
      <c r="V34" s="56">
        <f>V32+V33</f>
        <v>1087.5</v>
      </c>
      <c r="W34" s="285" t="s">
        <v>150</v>
      </c>
      <c r="X34" s="56"/>
    </row>
    <row r="35" spans="2:24" s="223" customFormat="1" ht="17.399999999999999" x14ac:dyDescent="0.35">
      <c r="B35" s="26" t="s">
        <v>120</v>
      </c>
      <c r="C35"/>
      <c r="D35"/>
      <c r="E35"/>
      <c r="F35" s="222" t="s">
        <v>15</v>
      </c>
      <c r="J35" s="254" t="s">
        <v>177</v>
      </c>
      <c r="K35" s="252"/>
      <c r="L35" s="242"/>
      <c r="M35" s="241">
        <v>4</v>
      </c>
      <c r="N35" s="242">
        <v>15041</v>
      </c>
      <c r="O35" s="12">
        <f t="shared" si="14"/>
        <v>60164</v>
      </c>
      <c r="P35" s="14" t="s">
        <v>175</v>
      </c>
      <c r="Q35" s="14"/>
      <c r="R35" s="223">
        <v>1.52</v>
      </c>
      <c r="S35" s="231"/>
      <c r="T35" s="231"/>
    </row>
    <row r="36" spans="2:24" s="223" customFormat="1" ht="17.399999999999999" x14ac:dyDescent="0.35">
      <c r="J36" s="278">
        <v>29750</v>
      </c>
      <c r="K36" s="252"/>
      <c r="L36" s="242"/>
      <c r="M36" s="258">
        <v>5</v>
      </c>
      <c r="N36" s="12">
        <v>25000</v>
      </c>
      <c r="O36" s="12">
        <f t="shared" si="14"/>
        <v>125000</v>
      </c>
      <c r="P36" s="14" t="s">
        <v>182</v>
      </c>
      <c r="Q36" s="14"/>
      <c r="R36">
        <v>2.44</v>
      </c>
      <c r="S36"/>
      <c r="T36" s="231"/>
      <c r="X36" s="224"/>
    </row>
    <row r="37" spans="2:24" s="223" customFormat="1" ht="17.399999999999999" x14ac:dyDescent="0.35">
      <c r="J37" s="278">
        <f>J36/1.19</f>
        <v>25000</v>
      </c>
      <c r="K37" s="252"/>
      <c r="L37" s="242"/>
      <c r="M37" s="14">
        <v>2</v>
      </c>
      <c r="N37" s="14">
        <v>33605</v>
      </c>
      <c r="O37" s="12">
        <f t="shared" si="14"/>
        <v>67210</v>
      </c>
      <c r="P37" s="14" t="s">
        <v>183</v>
      </c>
      <c r="R37">
        <f>R35*R36</f>
        <v>3.7088000000000001</v>
      </c>
      <c r="S37"/>
      <c r="T37" s="231"/>
      <c r="X37" s="224"/>
    </row>
    <row r="38" spans="2:24" s="223" customFormat="1" ht="17.399999999999999" x14ac:dyDescent="0.35">
      <c r="J38" s="254" t="s">
        <v>184</v>
      </c>
      <c r="L38" s="242"/>
      <c r="M38" s="14"/>
      <c r="N38" s="12"/>
      <c r="O38" s="12">
        <f>SUM(O31:O37)</f>
        <v>1137882</v>
      </c>
      <c r="P38" s="36" t="s">
        <v>22</v>
      </c>
      <c r="Q38" s="14"/>
      <c r="R38" s="37">
        <f>P29/R37</f>
        <v>9.40573770491803</v>
      </c>
      <c r="S38"/>
      <c r="T38" s="249"/>
    </row>
    <row r="39" spans="2:24" s="223" customFormat="1" ht="17.399999999999999" x14ac:dyDescent="0.35">
      <c r="G39"/>
      <c r="H39" s="252"/>
      <c r="I39" s="252"/>
      <c r="J39" s="332">
        <v>39990</v>
      </c>
      <c r="L39" s="242"/>
      <c r="M39" s="246" t="s">
        <v>32</v>
      </c>
      <c r="N39" s="12"/>
      <c r="O39" s="247">
        <f>O38*2.2</f>
        <v>2503340.4000000004</v>
      </c>
      <c r="P39" s="14" t="s">
        <v>134</v>
      </c>
      <c r="Q39" s="14"/>
      <c r="R39" s="14"/>
      <c r="S39"/>
      <c r="T39" s="231"/>
      <c r="U39" s="56" t="s">
        <v>151</v>
      </c>
      <c r="V39" s="280">
        <v>43650</v>
      </c>
    </row>
    <row r="40" spans="2:24" s="223" customFormat="1" ht="17.399999999999999" x14ac:dyDescent="0.35">
      <c r="G40"/>
      <c r="J40" s="333">
        <f>J39/1.19</f>
        <v>33605.042016806721</v>
      </c>
      <c r="L40" s="242"/>
      <c r="M40" s="14"/>
      <c r="N40" s="12"/>
      <c r="O40" s="12">
        <f>O39/P27</f>
        <v>86114.220846233264</v>
      </c>
      <c r="P40" s="42" t="s">
        <v>23</v>
      </c>
      <c r="Q40" s="14"/>
      <c r="R40"/>
      <c r="S40"/>
      <c r="T40" s="231"/>
      <c r="U40" s="56" t="s">
        <v>153</v>
      </c>
      <c r="V40" s="281" t="s">
        <v>152</v>
      </c>
      <c r="W40" s="56">
        <v>2.4</v>
      </c>
    </row>
    <row r="41" spans="2:24" s="223" customFormat="1" ht="17.399999999999999" x14ac:dyDescent="0.35">
      <c r="D41" s="275"/>
      <c r="E41" s="275"/>
      <c r="F41" s="274"/>
      <c r="G41" s="310"/>
      <c r="H41" s="314"/>
      <c r="J41" s="333"/>
      <c r="L41" s="12"/>
      <c r="M41" s="13"/>
      <c r="N41" s="14"/>
      <c r="O41" s="17">
        <f>O39/O38</f>
        <v>2.2000000000000002</v>
      </c>
      <c r="P41" s="15"/>
      <c r="Q41"/>
      <c r="T41" s="231"/>
      <c r="U41" s="56" t="s">
        <v>154</v>
      </c>
      <c r="V41" s="282">
        <v>395.37</v>
      </c>
    </row>
    <row r="42" spans="2:24" s="223" customFormat="1" ht="17.399999999999999" x14ac:dyDescent="0.35">
      <c r="B42"/>
      <c r="C42" s="315"/>
      <c r="D42" s="275"/>
      <c r="E42" s="275"/>
      <c r="F42" s="274"/>
      <c r="G42" s="310"/>
      <c r="H42" s="314"/>
      <c r="L42" s="12"/>
      <c r="T42" s="231"/>
      <c r="U42" s="56" t="s">
        <v>149</v>
      </c>
      <c r="V42" s="56">
        <v>474.45</v>
      </c>
    </row>
    <row r="43" spans="2:24" ht="14.4" customHeight="1" x14ac:dyDescent="0.35">
      <c r="D43" s="275"/>
      <c r="E43" s="275"/>
      <c r="F43" s="274"/>
      <c r="G43" s="310"/>
      <c r="H43" s="314"/>
      <c r="L43" s="12"/>
      <c r="U43" s="56"/>
      <c r="V43" s="56"/>
    </row>
    <row r="44" spans="2:24" ht="17.399999999999999" x14ac:dyDescent="0.35">
      <c r="D44" s="275"/>
      <c r="E44" s="275"/>
      <c r="F44" s="274"/>
      <c r="G44" s="310"/>
      <c r="H44" s="314"/>
      <c r="L44" s="242"/>
    </row>
    <row r="45" spans="2:24" ht="17.399999999999999" x14ac:dyDescent="0.35">
      <c r="D45" s="275"/>
      <c r="E45" s="275"/>
      <c r="F45" s="274"/>
      <c r="G45" s="310"/>
      <c r="H45" s="314"/>
      <c r="L45" s="242"/>
      <c r="T45" s="262"/>
    </row>
    <row r="46" spans="2:24" ht="17.399999999999999" x14ac:dyDescent="0.35">
      <c r="D46" s="275"/>
      <c r="E46" s="275"/>
      <c r="F46" s="274"/>
      <c r="G46" s="310"/>
      <c r="H46" s="314"/>
      <c r="L46" s="242"/>
    </row>
    <row r="47" spans="2:24" ht="15" customHeight="1" x14ac:dyDescent="0.35">
      <c r="D47" s="275"/>
      <c r="E47" s="275"/>
      <c r="F47" s="274"/>
      <c r="G47" s="310"/>
      <c r="H47" s="314"/>
    </row>
    <row r="48" spans="2:24" ht="17.399999999999999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  <c r="O49">
        <v>40935</v>
      </c>
      <c r="P49" t="s">
        <v>16</v>
      </c>
      <c r="Q49" t="s">
        <v>25</v>
      </c>
    </row>
    <row r="50" spans="4:20" ht="17.399999999999999" x14ac:dyDescent="0.35">
      <c r="D50" s="275"/>
      <c r="E50" s="275"/>
      <c r="F50" s="274"/>
      <c r="G50" s="310"/>
      <c r="H50" s="314"/>
    </row>
    <row r="51" spans="4:20" ht="17.399999999999999" x14ac:dyDescent="0.35">
      <c r="D51" s="275"/>
      <c r="E51" s="275"/>
      <c r="F51" s="274"/>
      <c r="G51" s="310"/>
      <c r="H51" s="314"/>
      <c r="O51" s="51"/>
      <c r="P51" s="51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ht="17.399999999999999" x14ac:dyDescent="0.35">
      <c r="D54" s="275"/>
      <c r="E54" s="275"/>
      <c r="F54" s="274"/>
      <c r="G54" s="310"/>
      <c r="H54" s="314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141</v>
      </c>
    </row>
    <row r="75" spans="3:15" x14ac:dyDescent="0.3">
      <c r="C75" t="s">
        <v>140</v>
      </c>
    </row>
    <row r="78" spans="3:15" x14ac:dyDescent="0.3">
      <c r="C78" t="s">
        <v>140</v>
      </c>
    </row>
    <row r="155" spans="3:3" x14ac:dyDescent="0.3">
      <c r="C155" t="s">
        <v>140</v>
      </c>
    </row>
    <row r="156" spans="3:3" x14ac:dyDescent="0.3">
      <c r="C156" t="s">
        <v>142</v>
      </c>
    </row>
    <row r="157" spans="3:3" x14ac:dyDescent="0.3">
      <c r="C157" t="s">
        <v>143</v>
      </c>
    </row>
    <row r="582" spans="3:3" x14ac:dyDescent="0.3">
      <c r="C582" t="s">
        <v>140</v>
      </c>
    </row>
  </sheetData>
  <mergeCells count="2">
    <mergeCell ref="F17:H17"/>
    <mergeCell ref="B19:H19"/>
  </mergeCells>
  <phoneticPr fontId="31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101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ESCRITORIOS!G10</f>
        <v>46091</v>
      </c>
    </row>
    <row r="6" spans="1:31" ht="16.2" thickBot="1" x14ac:dyDescent="0.35">
      <c r="B6" s="134" t="s">
        <v>2</v>
      </c>
      <c r="C6" s="133" t="str">
        <f>ESCRITORIOS!C10</f>
        <v>CONSTRUCTORA DEL ROSAL SPA</v>
      </c>
      <c r="D6" s="132"/>
      <c r="E6" s="132"/>
      <c r="F6" s="132"/>
      <c r="N6" s="72" t="s">
        <v>100</v>
      </c>
      <c r="O6" s="72"/>
      <c r="P6" s="136" t="s">
        <v>99</v>
      </c>
      <c r="Q6" s="136"/>
    </row>
    <row r="7" spans="1:31" ht="16.2" thickBot="1" x14ac:dyDescent="0.35">
      <c r="B7" s="134" t="s">
        <v>3</v>
      </c>
      <c r="C7" s="133" t="e">
        <f>ESCRITORIOS!#REF!</f>
        <v>#REF!</v>
      </c>
      <c r="D7" s="132"/>
      <c r="E7" s="132"/>
      <c r="F7" s="132"/>
      <c r="H7" s="353" t="s">
        <v>94</v>
      </c>
      <c r="I7" s="354"/>
      <c r="J7" s="354"/>
      <c r="K7" s="355"/>
      <c r="N7" s="72"/>
      <c r="O7" s="352" t="s">
        <v>98</v>
      </c>
      <c r="P7" s="135" t="s">
        <v>97</v>
      </c>
      <c r="Q7" s="135"/>
    </row>
    <row r="8" spans="1:31" ht="16.2" thickBot="1" x14ac:dyDescent="0.35">
      <c r="B8" s="134" t="s">
        <v>96</v>
      </c>
      <c r="C8" s="133" t="str">
        <f>ESCRITORIOS!D8</f>
        <v>N° 12032</v>
      </c>
      <c r="D8" s="132"/>
      <c r="E8" s="132"/>
      <c r="F8" s="132"/>
      <c r="H8" s="176" t="s">
        <v>113</v>
      </c>
      <c r="I8" s="148" t="s">
        <v>112</v>
      </c>
      <c r="J8" s="221" t="s">
        <v>91</v>
      </c>
      <c r="K8" s="129" t="s">
        <v>6</v>
      </c>
      <c r="L8" s="128" t="s">
        <v>6</v>
      </c>
      <c r="N8" s="72"/>
      <c r="O8" s="352"/>
      <c r="P8" s="72" t="s">
        <v>95</v>
      </c>
      <c r="Q8" s="72"/>
      <c r="X8">
        <f>SUM(Q11:Q16)</f>
        <v>6</v>
      </c>
    </row>
    <row r="9" spans="1:31" ht="15" thickBot="1" x14ac:dyDescent="0.35">
      <c r="H9" s="191" t="s">
        <v>92</v>
      </c>
      <c r="I9" s="192" t="s">
        <v>111</v>
      </c>
      <c r="J9" s="177" t="s">
        <v>88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27</v>
      </c>
      <c r="E10" s="213" t="s">
        <v>50</v>
      </c>
      <c r="F10" s="214" t="s">
        <v>6</v>
      </c>
      <c r="H10" s="184">
        <v>0</v>
      </c>
      <c r="I10" s="198">
        <v>350</v>
      </c>
      <c r="J10" s="195" t="s">
        <v>31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89</v>
      </c>
      <c r="D11" s="127" t="e">
        <f>ESCRITORIOS!#REF!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21</v>
      </c>
      <c r="K11" s="152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93</v>
      </c>
      <c r="D12" s="130">
        <f>SUM(M45:M47)</f>
        <v>3143849.5060489131</v>
      </c>
      <c r="F12" s="58"/>
      <c r="H12" s="185">
        <v>0</v>
      </c>
      <c r="I12" s="168">
        <v>7500</v>
      </c>
      <c r="J12" s="144" t="s">
        <v>107</v>
      </c>
      <c r="K12" s="152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87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108</v>
      </c>
      <c r="K13" s="152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118</v>
      </c>
      <c r="E14" s="173" t="s">
        <v>27</v>
      </c>
      <c r="F14" s="172" t="s">
        <v>106</v>
      </c>
      <c r="H14" s="185">
        <v>0</v>
      </c>
      <c r="I14" s="168">
        <v>50</v>
      </c>
      <c r="J14" s="144" t="s">
        <v>109</v>
      </c>
      <c r="K14" s="152">
        <f t="shared" si="0"/>
        <v>0</v>
      </c>
      <c r="L14" s="58"/>
      <c r="P14" s="120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6472242.9781028973</v>
      </c>
      <c r="C15" s="207" t="s">
        <v>117</v>
      </c>
      <c r="D15" s="208">
        <v>0.73</v>
      </c>
      <c r="E15" s="209">
        <f>(100%+D15)*D12</f>
        <v>5438859.6454646196</v>
      </c>
      <c r="F15" s="210">
        <f>E15-D12</f>
        <v>2295010.1394157065</v>
      </c>
      <c r="H15" s="185">
        <v>0</v>
      </c>
      <c r="I15" s="168">
        <v>10</v>
      </c>
      <c r="J15" s="144" t="s">
        <v>110</v>
      </c>
      <c r="K15" s="152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86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85</v>
      </c>
      <c r="C17" s="123" t="s">
        <v>84</v>
      </c>
      <c r="D17" s="123" t="s">
        <v>27</v>
      </c>
      <c r="E17" s="122" t="s">
        <v>50</v>
      </c>
      <c r="F17" s="121" t="s">
        <v>6</v>
      </c>
      <c r="H17" s="187">
        <v>6</v>
      </c>
      <c r="I17" s="196">
        <v>1103</v>
      </c>
      <c r="J17" s="182" t="s">
        <v>166</v>
      </c>
      <c r="K17" s="152">
        <f t="shared" si="0"/>
        <v>6618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163</v>
      </c>
      <c r="D18" s="116">
        <f>ESCRITORIOS!O33</f>
        <v>174000</v>
      </c>
      <c r="E18" s="117">
        <f>D18*0.19</f>
        <v>33060</v>
      </c>
      <c r="F18" s="114">
        <f>SUM(D18:E18)</f>
        <v>207060</v>
      </c>
      <c r="H18" s="321">
        <v>6</v>
      </c>
      <c r="I18" s="320">
        <v>543</v>
      </c>
      <c r="J18" s="6" t="s">
        <v>167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164</v>
      </c>
      <c r="D19" s="116">
        <f>ESCRITORIOS!O34</f>
        <v>302820</v>
      </c>
      <c r="E19" s="117">
        <f>D19*0.19</f>
        <v>57535.8</v>
      </c>
      <c r="F19" s="114">
        <f>SUM(D19:E19)</f>
        <v>360355.8</v>
      </c>
      <c r="H19" s="324"/>
      <c r="I19" s="323"/>
      <c r="J19" s="144" t="s">
        <v>168</v>
      </c>
      <c r="K19" s="325"/>
      <c r="Q19" s="16"/>
      <c r="T19" s="5"/>
      <c r="U19" s="6"/>
      <c r="V19" s="27" t="s">
        <v>27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30</v>
      </c>
      <c r="D20" s="116">
        <f>ESCRITORIOS!O32</f>
        <v>164500</v>
      </c>
      <c r="E20" s="117">
        <f>D20*0.19</f>
        <v>31255</v>
      </c>
      <c r="F20" s="114">
        <f>SUM(D20:E20)</f>
        <v>195755</v>
      </c>
      <c r="H20" s="186">
        <v>4</v>
      </c>
      <c r="I20" s="168">
        <v>1572</v>
      </c>
      <c r="J20" s="178" t="s">
        <v>83</v>
      </c>
      <c r="K20" s="152">
        <f t="shared" ref="K20:K25" si="3">I20*H20</f>
        <v>6288</v>
      </c>
      <c r="L20" s="58"/>
      <c r="O20">
        <f>O18*N18</f>
        <v>1415</v>
      </c>
      <c r="V20" s="28" t="s">
        <v>28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20</v>
      </c>
      <c r="D21" s="116">
        <f>ESCRITORIOS!O31</f>
        <v>244187.99999999994</v>
      </c>
      <c r="E21" s="115">
        <f>D21*0.19</f>
        <v>46395.719999999987</v>
      </c>
      <c r="F21" s="114">
        <f>SUM(D21:E21)</f>
        <v>290583.71999999991</v>
      </c>
      <c r="H21" s="186">
        <v>1</v>
      </c>
      <c r="I21" s="196"/>
      <c r="J21" s="178" t="s">
        <v>82</v>
      </c>
      <c r="K21" s="152">
        <f t="shared" si="3"/>
        <v>0</v>
      </c>
      <c r="L21" s="58"/>
      <c r="O21">
        <f>O20/60</f>
        <v>23.583333333333332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79</v>
      </c>
      <c r="C22" s="112" t="s">
        <v>6</v>
      </c>
      <c r="D22" s="111">
        <f>SUM(D18:D21)</f>
        <v>885508</v>
      </c>
      <c r="E22" s="110">
        <f>SUM(E18:E21)</f>
        <v>168246.52</v>
      </c>
      <c r="F22" s="109">
        <f>SUM(F18:F21)</f>
        <v>1053754.52</v>
      </c>
      <c r="H22" s="186">
        <v>1</v>
      </c>
      <c r="I22" s="196"/>
      <c r="J22" s="178" t="s">
        <v>81</v>
      </c>
      <c r="K22" s="152">
        <f t="shared" si="3"/>
        <v>0</v>
      </c>
      <c r="N22" s="55"/>
      <c r="Q22" s="47" t="s">
        <v>33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78</v>
      </c>
      <c r="D23" s="106" t="s">
        <v>77</v>
      </c>
      <c r="E23" s="105" t="s">
        <v>76</v>
      </c>
      <c r="F23" s="104" t="s">
        <v>6</v>
      </c>
      <c r="H23" s="186">
        <v>3</v>
      </c>
      <c r="I23" s="168">
        <v>3535</v>
      </c>
      <c r="J23" s="178" t="s">
        <v>165</v>
      </c>
      <c r="K23" s="152">
        <f t="shared" si="3"/>
        <v>10605</v>
      </c>
      <c r="M23" s="147">
        <f>B32/9</f>
        <v>2318.840579710145</v>
      </c>
      <c r="N23" s="55"/>
      <c r="Q23" s="47" t="s">
        <v>26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24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80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73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75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72</v>
      </c>
      <c r="D26" s="95">
        <f t="shared" si="4"/>
        <v>6195.652173913043</v>
      </c>
      <c r="E26" s="94"/>
      <c r="F26" s="93">
        <f t="shared" si="5"/>
        <v>0</v>
      </c>
      <c r="H26" s="145" t="s">
        <v>113</v>
      </c>
      <c r="I26" s="149" t="s">
        <v>111</v>
      </c>
      <c r="J26" s="175" t="s">
        <v>74</v>
      </c>
      <c r="K26" s="146" t="s">
        <v>90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70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104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69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71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67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68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66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102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21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114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64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115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63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116</v>
      </c>
      <c r="K33" s="92">
        <f t="shared" si="6"/>
        <v>0</v>
      </c>
    </row>
    <row r="34" spans="1:16" ht="15" thickBot="1" x14ac:dyDescent="0.35">
      <c r="B34" s="79" t="s">
        <v>62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40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61</v>
      </c>
      <c r="D35" s="77">
        <f>L9</f>
        <v>41495</v>
      </c>
      <c r="H35" s="189">
        <v>0</v>
      </c>
      <c r="I35" s="168"/>
      <c r="J35" s="180" t="s">
        <v>39</v>
      </c>
      <c r="K35" s="92">
        <f t="shared" si="6"/>
        <v>0</v>
      </c>
      <c r="N35" s="62"/>
    </row>
    <row r="36" spans="1:16" x14ac:dyDescent="0.3">
      <c r="B36" s="72"/>
      <c r="C36" s="76" t="s">
        <v>60</v>
      </c>
      <c r="D36" s="75">
        <f>L26</f>
        <v>39086.956521739128</v>
      </c>
      <c r="H36" s="186">
        <v>1</v>
      </c>
      <c r="I36" s="168"/>
      <c r="J36" s="142" t="s">
        <v>103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58</v>
      </c>
      <c r="D37" s="75">
        <f>L38</f>
        <v>1401525.853875</v>
      </c>
      <c r="E37" s="55"/>
      <c r="H37" s="188">
        <v>6</v>
      </c>
      <c r="I37" s="200"/>
      <c r="J37" s="174" t="s">
        <v>105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41</v>
      </c>
      <c r="D38" s="70"/>
      <c r="H38" s="145" t="s">
        <v>92</v>
      </c>
      <c r="I38" s="149" t="s">
        <v>111</v>
      </c>
      <c r="J38" s="183" t="s">
        <v>65</v>
      </c>
      <c r="K38" s="146" t="s">
        <v>90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44</v>
      </c>
      <c r="K39" s="143">
        <f>I39*H39</f>
        <v>928864.75387500005</v>
      </c>
    </row>
    <row r="40" spans="1:16" ht="15" thickBot="1" x14ac:dyDescent="0.35">
      <c r="B40" s="65" t="s">
        <v>51</v>
      </c>
      <c r="C40" s="64" t="s">
        <v>50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42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43</v>
      </c>
      <c r="K41" s="80">
        <f>I41*H41</f>
        <v>289027.8</v>
      </c>
    </row>
    <row r="42" spans="1:16" ht="15" thickBot="1" x14ac:dyDescent="0.35">
      <c r="B42" s="72" t="s">
        <v>45</v>
      </c>
      <c r="C42" s="72"/>
      <c r="D42" s="201">
        <f>E34</f>
        <v>189.9</v>
      </c>
    </row>
    <row r="43" spans="1:16" ht="15" thickBot="1" x14ac:dyDescent="0.35">
      <c r="D43" s="54"/>
      <c r="H43" s="349" t="s">
        <v>59</v>
      </c>
      <c r="I43" s="350"/>
      <c r="J43" s="350"/>
      <c r="K43" s="350"/>
      <c r="L43" s="350"/>
      <c r="M43" s="351"/>
    </row>
    <row r="44" spans="1:16" ht="15" thickBot="1" x14ac:dyDescent="0.35">
      <c r="D44" s="54"/>
      <c r="H44" s="74" t="s">
        <v>57</v>
      </c>
      <c r="I44" s="153" t="s">
        <v>56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55</v>
      </c>
      <c r="I45" s="156" t="s">
        <v>54</v>
      </c>
      <c r="J45" s="157"/>
      <c r="K45" s="157"/>
      <c r="L45" s="158"/>
      <c r="M45" s="61">
        <f>D22</f>
        <v>885508</v>
      </c>
    </row>
    <row r="46" spans="1:16" x14ac:dyDescent="0.3">
      <c r="D46" s="57"/>
      <c r="I46" s="159" t="s">
        <v>53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52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49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48</v>
      </c>
      <c r="J49" s="157"/>
      <c r="K49" s="157"/>
      <c r="L49" s="158"/>
      <c r="M49" s="61"/>
    </row>
    <row r="50" spans="3:13" ht="15" thickBot="1" x14ac:dyDescent="0.35">
      <c r="I50" s="162" t="s">
        <v>47</v>
      </c>
      <c r="J50" s="163"/>
      <c r="K50" s="163"/>
      <c r="L50" s="164"/>
      <c r="M50" s="60"/>
    </row>
    <row r="51" spans="3:13" ht="15" thickBot="1" x14ac:dyDescent="0.35">
      <c r="I51" s="165" t="s">
        <v>46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8"/>
      <c r="J52" s="348"/>
      <c r="K52" s="348"/>
      <c r="L52" s="348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MESA REUNIONES</vt:lpstr>
      <vt:lpstr>ESCRITORIOS</vt:lpstr>
      <vt:lpstr>COSTOS</vt:lpstr>
      <vt:lpstr>ESCRITORIOS!Área_de_impresión</vt:lpstr>
      <vt:lpstr>'MESA REUNIONES'!Área_de_impresión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2026-03-11T01:52:07Z</dcterms:modified>
</cp:coreProperties>
</file>