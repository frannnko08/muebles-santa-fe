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342F44DF-93A4-4154-A4A7-2FB84434D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L23" i="1"/>
  <c r="M23" i="1"/>
  <c r="N23" i="1"/>
  <c r="O23" i="1" s="1"/>
  <c r="P23" i="1" s="1"/>
  <c r="S23" i="1"/>
  <c r="L21" i="1" l="1"/>
  <c r="K33" i="1"/>
  <c r="K29" i="1"/>
  <c r="K35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Q22" i="1"/>
  <c r="O41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<sst xmlns="http://schemas.openxmlformats.org/spreadsheetml/2006/main" count="490" uniqueCount="294">
  <si>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</si>
  <si>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</si>
  <si>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</si>
  <si>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</si>
  <si>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</si>
  <si>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</si>
  <si>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</si>
  <si>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</si>
  <si>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</si>
  <si>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</si>
  <si>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</si>
  <si>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</si>
  <si>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</si>
  <si>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</si>
  <si>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</si>
  <si>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</si>
  <si>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</si>
  <si>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</si>
  <si>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</si>
  <si>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</si>
  <si>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</si>
  <si>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</si>
  <si>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</si>
  <si>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</si>
  <si>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</si>
  <si>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</si>
  <si>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</si>
  <si>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</si>
  <si>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</si>
  <si>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</si>
  <si>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</si>
  <si>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</si>
  <si>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</si>
  <si>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</si>
  <si>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</si>
  <si>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</si>
  <si>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</si>
  <si>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</si>
  <si>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</si>
  <si>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</si>
  <si>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</si>
  <si>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</si>
  <si>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</si>
  <si>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</si>
  <si>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</si>
  <si>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</si>
  <si>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</si>
  <si>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</si>
  <si>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</si>
  <si>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</si>
  <si>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</si>
  <si>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</si>
  <si>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</si>
  <si>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</si>
  <si>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</si>
  <si>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</si>
  <si>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</si>
  <si>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</si>
  <si>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</si>
  <si>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</si>
  <si>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</si>
  <si>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</si>
  <si>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</si>
  <si>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</si>
  <si>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</si>
  <si>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</si>
  <si>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</si>
  <si>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</si>
  <si>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</si>
  <si>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</si>
  <si>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</si>
  <si>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</si>
  <si>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</si>
  <si>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</si>
  <si>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</si>
  <si>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</si>
  <si>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</si>
  <si>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</si>
  <si>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</si>
  <si>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</si>
  <si>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</si>
  <si>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</si>
  <si>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</si>
  <si>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</si>
  <si>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</si>
  <si>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</si>
  <si>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</si>
  <si>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</si>
  <si>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</si>
  <si>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</si>
  <si>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</si>
  <si>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</si>
  <si>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</si>
  <si>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</si>
  <si>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</si>
  <si>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</si>
  <si>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</si>
  <si>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</si>
  <si>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</si>
  <si>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</si>
  <si>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</si>
  <si>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</si>
  <si>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</si>
  <si>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</si>
  <si>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</si>
  <si>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</si>
  <si>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</si>
  <si>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</si>
  <si>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</si>
  <si>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</si>
  <si>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</si>
  <si>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</si>
  <si>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</si>
  <si>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</si>
  <si>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</si>
  <si>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</si>
  <si>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</si>
  <si>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</si>
  <si>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</si>
  <si>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</si>
  <si>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</si>
  <si>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</si>
  <si>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</si>
  <si>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</si>
  <si>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</si>
  <si>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</si>
  <si>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</si>
  <si>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</si>
  <si>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</si>
  <si>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</si>
  <si>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</si>
  <si>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</si>
  <si>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</si>
  <si>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</si>
  <si>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</si>
  <si>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</si>
  <si>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</si>
  <si>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</si>
  <si>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</si>
  <si>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</si>
  <si>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</si>
  <si>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</si>
  <si>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</si>
  <si>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</si>
  <si>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</si>
  <si>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</si>
  <si>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</si>
  <si>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</si>
  <si>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</si>
  <si>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</si>
  <si>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</si>
  <si>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</si>
  <si>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</si>
  <si>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</si>
  <si>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</si>
  <si>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</si>
  <si>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</si>
  <si>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</si>
  <si>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</si>
  <si>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</si>
  <si>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</si>
  <si>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</si>
  <si>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</si>
  <si>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</si>
  <si>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</si>
  <si>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</si>
  <si>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</si>
  <si>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</si>
  <si>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</si>
  <si>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</si>
  <si>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</si>
  <si>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</si>
  <si>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</si>
  <si>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</si>
  <si>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</si>
  <si>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</si>
  <si>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</si>
  <si>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</si>
  <si>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</si>
  <si>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</si>
  <si>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</si>
  <si>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</si>
  <si>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</si>
  <si>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</si>
  <si>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</si>
  <si>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</si>
  <si>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</si>
  <si>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</si>
  <si>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</si>
  <si>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</si>
  <si>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</si>
  <si>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</si>
  <si>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</si>
  <si>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</si>
  <si>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</si>
  <si>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</si>
  <si>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</si>
  <si>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</si>
  <si>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</si>
  <si>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</si>
  <si>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</si>
  <si>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</si>
  <si>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</si>
  <si>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</si>
  <si>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</si>
  <si>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</si>
  <si>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</si>
  <si>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</si>
  <si>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</si>
  <si>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</si>
  <si>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</si>
  <si>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</si>
  <si>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</si>
  <si>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</si>
  <si>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</si>
  <si>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</si>
  <si>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</si>
  <si>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</si>
  <si>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</si>
  <si>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</si>
  <si>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</si>
  <si>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</si>
  <si>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</si>
  <si>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</si>
  <si>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</si>
  <si>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</si>
  <si>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</si>
  <si>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</si>
  <si>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</si>
  <si>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</si>
  <si>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</si>
  <si>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</si>
  <si>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</si>
  <si>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</si>
  <si>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</si>
  <si>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</si>
  <si>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</si>
  <si>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</si>
  <si>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</si>
  <si>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</si>
  <si>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</si>
  <si>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</si>
  <si>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</si>
  <si>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</si>
  <si>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</si>
  <si>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</si>
  <si>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</si>
  <si>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</si>
  <si>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</si>
  <si>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</si>
  <si>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</si>
  <si>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</si>
  <si>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</si>
  <si>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</si>
  <si>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</si>
  <si>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</si>
  <si>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</si>
  <si>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</si>
  <si>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</si>
  <si>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</si>
  <si>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</si>
  <si>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</si>
  <si>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</si>
  <si>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</si>
  <si>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</si>
  <si>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</si>
  <si>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</si>
  <si>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</si>
  <si>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</si>
  <si>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</si>
  <si>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</si>
  <si>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</si>
  <si>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</si>
  <si>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</si>
  <si>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</si>
  <si>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</si>
  <si>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</si>
  <si>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</si>
  <si>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</si>
  <si>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</si>
  <si>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</si>
  <si>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</si>
  <si>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</si>
  <si>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</si>
  <si>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</si>
  <si>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</si>
  <si>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</si>
  <si>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</si>
  <si>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</si>
  <si>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ENRIQUE GUTIERREZ</t>
  </si>
  <si>
    <t>+569 7865 8972</t>
  </si>
  <si>
    <t>CUB S/R 90°</t>
  </si>
  <si>
    <t>BLANCO 2114 MT</t>
  </si>
  <si>
    <t>N° 12049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</si>
</sst>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215079</xdr:rowOff>
    </xdr:from>
    <xdr:to>
      <xdr:col>5</xdr:col>
      <xdr:colOff>1732649</xdr:colOff>
      <xdr:row>27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289</v>
      </c>
      <c r="D10" s="243"/>
      <c r="E10" s="243"/>
      <c r="F10" s="418" t="s">
        <v>277</v>
      </c>
      <c r="G10" s="275">
        <v>46098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55984.294987619622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5" t="s">
        <v>291</v>
      </c>
      <c r="D21" s="436">
        <v>1.38</v>
      </c>
      <c r="E21" s="436">
        <v>0.51</v>
      </c>
      <c r="F21" s="313" t="s">
        <v>292</v>
      </c>
      <c r="G21" s="314">
        <f>Q21</f>
        <v>41685.906047781573</v>
      </c>
      <c r="H21" s="437">
        <f>G21*B21</f>
        <v>41685.906047781573</v>
      </c>
      <c r="I21" s="306"/>
      <c r="J21" s="264"/>
      <c r="K21" s="47"/>
      <c r="L21" s="47">
        <f>B21</f>
        <v>1</v>
      </c>
      <c r="M21" s="39">
        <f>D21+M$19</f>
        <v>1.46</v>
      </c>
      <c r="N21" s="39">
        <f>E21+$N$19</f>
        <v>0.51</v>
      </c>
      <c r="O21" s="260">
        <f t="shared" ref="O21" si="0">M21*N21</f>
        <v>0.74460000000000004</v>
      </c>
      <c r="P21" s="258">
        <f t="shared" ref="P21" si="1">O21*L21</f>
        <v>0.74460000000000004</v>
      </c>
      <c r="Q21" s="251">
        <f t="shared" ref="Q21" si="2">Q$20*O21</f>
        <v>41685.906047781573</v>
      </c>
      <c r="R21" s="305">
        <f t="shared" ref="R21" si="3">Q21+R$20</f>
        <v>44685.906047781573</v>
      </c>
      <c r="S21" s="290">
        <f>M21*L21</f>
        <v>1.46</v>
      </c>
      <c r="T21" s="46">
        <f>N21*2*L21*2</f>
        <v>2.04</v>
      </c>
      <c r="U21" s="9"/>
      <c r="X21" s="4"/>
    </row>
    <row r="22" spans="2:25" ht="17.399999999999999" x14ac:dyDescent="0.3">
      <c r="B22" s="438">
        <v>1</v>
      </c>
      <c r="C22" s="433" t="s">
        <v>291</v>
      </c>
      <c r="D22" s="430">
        <v>0.91</v>
      </c>
      <c r="E22" s="430">
        <v>0.51</v>
      </c>
      <c r="F22" s="429" t="s">
        <v>292</v>
      </c>
      <c r="G22" s="431">
        <f>Q22</f>
        <v>28266.470539249149</v>
      </c>
      <c r="H22" s="439">
        <f>G22*B22</f>
        <v>28266.470539249149</v>
      </c>
      <c r="I22" s="306"/>
      <c r="J22" s="264"/>
      <c r="K22" s="47"/>
      <c r="L22" s="47">
        <f>B22</f>
        <v>1</v>
      </c>
      <c r="M22" s="39">
        <f>D22+M$19</f>
        <v>0.99</v>
      </c>
      <c r="N22" s="39">
        <f>E22+$N$19</f>
        <v>0.51</v>
      </c>
      <c r="O22" s="260">
        <f t="shared" ref="O22" si="4">M22*N22</f>
        <v>0.50490000000000002</v>
      </c>
      <c r="P22" s="258">
        <f t="shared" ref="P22" si="5">O22*L22</f>
        <v>0.50490000000000002</v>
      </c>
      <c r="Q22" s="251">
        <f t="shared" ref="Q22" si="6">Q$20*O22</f>
        <v>28266.470539249149</v>
      </c>
      <c r="R22" s="305">
        <f t="shared" ref="R22" si="7">Q22+R$20</f>
        <v>31266.470539249149</v>
      </c>
      <c r="S22" s="290"/>
      <c r="T22" s="46"/>
      <c r="U22" s="9"/>
      <c r="X22" s="4"/>
    </row>
    <row r="23" spans="2:25" ht="18" thickBot="1" x14ac:dyDescent="0.35">
      <c r="B23" s="440">
        <v>1</v>
      </c>
      <c r="C23" s="441" t="s">
        <v>291</v>
      </c>
      <c r="D23" s="442">
        <v>0.4</v>
      </c>
      <c r="E23" s="442">
        <v>0.51</v>
      </c>
      <c r="F23" s="443" t="s">
        <v>292</v>
      </c>
      <c r="G23" s="444">
        <f>Q23</f>
        <v>13704.955412969284</v>
      </c>
      <c r="H23" s="445">
        <f>G23*B23</f>
        <v>13704.955412969284</v>
      </c>
      <c r="I23" s="306"/>
      <c r="J23" s="264"/>
      <c r="K23" s="47"/>
      <c r="L23" s="47">
        <f>B23</f>
        <v>1</v>
      </c>
      <c r="M23" s="39">
        <f>D23+M$19</f>
        <v>0.48000000000000004</v>
      </c>
      <c r="N23" s="39">
        <f>E23+$N$19</f>
        <v>0.51</v>
      </c>
      <c r="O23" s="260">
        <f t="shared" ref="O23" si="8">M23*N23</f>
        <v>0.24480000000000002</v>
      </c>
      <c r="P23" s="258">
        <f t="shared" ref="P23" si="9">O23*L23</f>
        <v>0.24480000000000002</v>
      </c>
      <c r="Q23" s="251">
        <f t="shared" ref="Q23" si="10">Q$20*O23</f>
        <v>13704.955412969284</v>
      </c>
      <c r="R23" s="305">
        <f t="shared" ref="R23" si="11">Q23+R$20</f>
        <v>16704.955412969284</v>
      </c>
      <c r="S23" s="290">
        <f>M23*L23</f>
        <v>0.48000000000000004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83657.332000000009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SUM(T21:T24)</f>
        <v>2.04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15894.893080000002</v>
      </c>
      <c r="I27" s="308"/>
      <c r="J27" s="264"/>
      <c r="K27" s="47">
        <v>450</v>
      </c>
      <c r="L27" s="47"/>
      <c r="M27" s="39">
        <f>SUM(M21:M26)</f>
        <v>2.93</v>
      </c>
      <c r="N27" s="12"/>
      <c r="O27" s="12"/>
      <c r="P27" s="252">
        <f>SUM(P21:P23)</f>
        <v>1.4943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99552.225080000004</v>
      </c>
      <c r="I28" s="308"/>
      <c r="J28" s="264"/>
      <c r="K28" s="47">
        <v>60</v>
      </c>
      <c r="L28" s="47"/>
      <c r="M28" s="39"/>
      <c r="N28" s="12"/>
      <c r="O28" s="12"/>
      <c r="P28" s="252">
        <f>P27</f>
        <v>1.4943</v>
      </c>
      <c r="Q28" s="14"/>
      <c r="R28" s="12"/>
      <c r="S28" s="239">
        <f>SUM(S21:S27)</f>
        <v>1.94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>
        <f>SUM(K27:K28)</f>
        <v>510</v>
      </c>
      <c r="L29" s="47"/>
      <c r="M29" s="14"/>
      <c r="N29" s="12"/>
      <c r="O29" s="12"/>
      <c r="P29" s="39">
        <f>P28*20%</f>
        <v>0.29886000000000001</v>
      </c>
      <c r="Q29" s="39" t="s">
        <v>129</v>
      </c>
      <c r="R29" s="42"/>
      <c r="S29" s="240">
        <f>S28+T26</f>
        <v>3.98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1.7931599999999999</v>
      </c>
      <c r="Q30" s="14"/>
      <c r="R30" s="14"/>
      <c r="S30" s="238">
        <f>S29*20%</f>
        <v>0.79600000000000004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>
        <v>600</v>
      </c>
      <c r="L31" s="47"/>
      <c r="M31" s="14"/>
      <c r="N31" s="14"/>
      <c r="O31" s="14"/>
      <c r="P31" s="14"/>
      <c r="Q31" s="14"/>
      <c r="R31" s="14"/>
      <c r="S31" s="240">
        <f>S29+S30</f>
        <v>4.7759999999999998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>
        <v>60</v>
      </c>
      <c r="L32" s="47"/>
      <c r="M32" s="39">
        <f>P30</f>
        <v>1.7931599999999999</v>
      </c>
      <c r="N32" s="12">
        <v>3500</v>
      </c>
      <c r="O32" s="12">
        <f t="shared" ref="O32:O37" si="12">M32*N32</f>
        <v>6276.0599999999995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>
        <f>SUM(K31:K32)</f>
        <v>660</v>
      </c>
      <c r="L33" s="47"/>
      <c r="M33" s="248">
        <v>0.5</v>
      </c>
      <c r="N33" s="12">
        <v>23500</v>
      </c>
      <c r="O33" s="12">
        <f t="shared" si="12"/>
        <v>11750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2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>
        <f>K29+K33</f>
        <v>1170</v>
      </c>
      <c r="L35" s="249"/>
      <c r="M35" s="14">
        <v>1</v>
      </c>
      <c r="N35" s="249">
        <v>20000</v>
      </c>
      <c r="O35" s="12">
        <f t="shared" si="12"/>
        <v>20000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2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12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38026.06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83657.331999999995</v>
      </c>
      <c r="P39" s="14" t="s">
        <v>138</v>
      </c>
      <c r="Q39" s="14"/>
      <c r="R39" s="40">
        <f>P30/R38</f>
        <v>0.48348792062122514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51290</v>
      </c>
      <c r="L40" s="249"/>
      <c r="M40" s="14"/>
      <c r="N40" s="12"/>
      <c r="O40" s="12">
        <f>O39/P28</f>
        <v>55984.294987619622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43100.840336134454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46098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-781.34720012077503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83657.332000000009</v>
      </c>
      <c r="E11" s="132">
        <f>D11*0.19</f>
        <v>15894.893080000002</v>
      </c>
      <c r="F11" s="131">
        <f>E11+D11</f>
        <v>99552.225080000004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105208.65279987923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47860.150787439612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87208.65279987923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35797.181212560397</v>
      </c>
      <c r="E13" s="221">
        <f>(D11/D12)-1</f>
        <v>0.74795379085924196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78208.65279987923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39208.652799879223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78969.248799275359</v>
      </c>
      <c r="F15" s="216">
        <f>E15-D12</f>
        <v>31109.098011835747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39208.652799879223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79208.65279987923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6276.0599999999995</v>
      </c>
      <c r="E20" s="121">
        <f>D20*0.19</f>
        <v>1192.4513999999999</v>
      </c>
      <c r="F20" s="120">
        <f>SUM(D20:E20)</f>
        <v>7468.5113999999994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18026.059999999998</v>
      </c>
      <c r="E21" s="116">
        <f>SUM(E18:E20)</f>
        <v>3424.9513999999999</v>
      </c>
      <c r="F21" s="115">
        <f>SUM(F18:F20)</f>
        <v>21451.011399999999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12469.941680000002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83657.332000000009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18026.059999999998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35797.181212560397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35797.181212560397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46098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6" t="s">
        <v>175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176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90°</v>
      </c>
      <c r="D22" s="321">
        <f>'2229'!D21*1000</f>
        <v>1380</v>
      </c>
      <c r="E22" s="321">
        <f>'2229'!E21*1000</f>
        <v>510</v>
      </c>
      <c r="F22" s="322" t="str">
        <f>'2229'!F21</f>
        <v>BLANCO 2114 MT</v>
      </c>
      <c r="G22" s="314">
        <f>'2229'!G21</f>
        <v>41685.906047781573</v>
      </c>
      <c r="H22" s="323">
        <f>G22*B22</f>
        <v>41685.906047781573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41685.906047781573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7920.322149078499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49606.228196860073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182</v>
      </c>
      <c r="C2" s="461"/>
      <c r="D2" s="461"/>
      <c r="E2" s="361"/>
      <c r="G2" s="461" t="s">
        <v>183</v>
      </c>
      <c r="H2" s="461"/>
      <c r="I2" s="461"/>
      <c r="P2" s="462" t="s">
        <v>184</v>
      </c>
      <c r="Q2" s="462"/>
      <c r="R2" s="462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2" t="s">
        <v>184</v>
      </c>
      <c r="M8" s="462"/>
      <c r="N8" s="462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265</v>
      </c>
      <c r="L3" s="467"/>
      <c r="M3" s="467" t="s">
        <v>266</v>
      </c>
      <c r="N3" s="467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46105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265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8" t="s">
        <v>266</v>
      </c>
      <c r="B17" s="468"/>
      <c r="C17" s="468"/>
      <c r="D17" s="468"/>
      <c r="E17" s="468"/>
      <c r="F17" s="46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8" t="s">
        <v>272</v>
      </c>
      <c r="B45" s="468"/>
      <c r="C45" s="468"/>
      <c r="D45" s="468"/>
      <c r="E45" s="468"/>
      <c r="F45" s="46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3" t="s">
        <v>95</v>
      </c>
      <c r="C47" s="464"/>
      <c r="D47" s="465"/>
      <c r="E47" s="465"/>
      <c r="F47" s="466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12049</v>
      </c>
      <c r="C2" s="1">
        <f>'NOTA DE VENTA'!$G$10</f>
        <v>46098</v>
      </c>
      <c r="D2" s="1">
        <f>'NOTA DE VENTA'!$G$11</f>
        <v>46105</v>
      </c>
      <c r="E2" t="str">
        <f>'NOTA DE VENTA'!$C$10</f>
        <v>ENRIQUE GUTIERREZ</v>
      </c>
      <c r="F2" t="str">
        <f>'NOTA DE VENTA'!$C$22</f>
        <v>CUB S/R 90°</v>
      </c>
      <c r="G2" t="str">
        <f>'NOTA DE VENTA'!$F$22</f>
        <v>BLANCO 2114 MT</v>
      </c>
      <c r="H2" s="416">
        <f>'NOTA DE VENTA'!$H$25</f>
        <v>41685.906047781573</v>
      </c>
      <c r="I2" s="416">
        <f>H2*0.19</f>
        <v>7920.322149078499</v>
      </c>
      <c r="J2" s="416">
        <f>I2+H2</f>
        <v>49606.228196860073</v>
      </c>
      <c r="L2" s="61">
        <f>J2-K2</f>
        <v>49606.228196860073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2026-03-17T18:23:16Z</cp:lastPrinted>
  <dcterms:created xsi:type="dcterms:W3CDTF">2013-03-18T13:35:42Z</dcterms:created>
  <dcterms:modified xsi:type="dcterms:W3CDTF">2026-04-22T20:02:12Z</dcterms:modified>
</cp:coreProperties>
</file>