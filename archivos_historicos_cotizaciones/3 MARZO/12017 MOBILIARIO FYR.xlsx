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\"/>
    </mc:Choice>
  </mc:AlternateContent>
  <xr:revisionPtr revIDLastSave="0" documentId="13_ncr:1_{F89ECC59-2E0C-45DB-9AED-43BA577C7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H22" i="1"/>
  <c r="D27" i="6"/>
  <c r="C27" i="6"/>
  <c r="C49" i="6"/>
  <c r="L21" i="1" l="1"/>
  <c r="N5" i="6" l="1"/>
  <c r="A2" i="7"/>
  <c r="C7" i="6" l="1"/>
  <c r="D4" i="6"/>
  <c r="B49" i="6"/>
  <c r="D42" i="6"/>
  <c r="C42" i="6"/>
  <c r="D40" i="6"/>
  <c r="D39" i="6"/>
  <c r="F21" i="6"/>
  <c r="B27" i="6"/>
  <c r="I21" i="6" s="1"/>
  <c r="J21" i="6"/>
  <c r="J14" i="6"/>
  <c r="F22" i="4"/>
  <c r="E22" i="4"/>
  <c r="E49" i="6" s="1"/>
  <c r="E27" i="6" s="1"/>
  <c r="D22" i="4"/>
  <c r="F2" i="7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G2" i="7" l="1"/>
  <c r="F49" i="6"/>
  <c r="F27" i="6" s="1"/>
  <c r="K14" i="6"/>
  <c r="K21" i="6"/>
  <c r="F14" i="6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5" i="1" l="1"/>
  <c r="S21" i="1"/>
  <c r="S26" i="1" s="1"/>
  <c r="T21" i="1"/>
  <c r="T24" i="1" s="1"/>
  <c r="O21" i="1"/>
  <c r="P21" i="1" s="1"/>
  <c r="P25" i="1" s="1"/>
  <c r="K39" i="1"/>
  <c r="S27" i="1" l="1"/>
  <c r="S28" i="1" s="1"/>
  <c r="S29" i="1" s="1"/>
  <c r="V32" i="1"/>
  <c r="V33" i="1" s="1"/>
  <c r="P26" i="1" l="1"/>
  <c r="N20" i="1"/>
  <c r="L20" i="1"/>
  <c r="P27" i="1" l="1"/>
  <c r="P28" i="1" s="1"/>
  <c r="M30" i="1" s="1"/>
  <c r="O32" i="1"/>
  <c r="R36" i="1"/>
  <c r="R37" i="1" l="1"/>
  <c r="O31" i="1" s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l="1"/>
  <c r="H26" i="1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<sst xmlns="http://schemas.openxmlformats.org/spreadsheetml/2006/main" count="494" uniqueCount="299">
  <si>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</si>
  <si>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</si>
  <si>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</si>
  <si>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</si>
  <si>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</si>
  <si>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</si>
  <si>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</si>
  <si>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</si>
  <si>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</si>
  <si>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</si>
  <si>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</si>
  <si>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</si>
  <si>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</si>
  <si>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</si>
  <si>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</si>
  <si>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</si>
  <si>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</si>
  <si>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</si>
  <si>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</si>
  <si>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</si>
  <si>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</si>
  <si>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</si>
  <si>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</si>
  <si>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</si>
  <si>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</si>
  <si>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</si>
  <si>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</si>
  <si>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</si>
  <si>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</si>
  <si>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</si>
  <si>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</si>
  <si>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</si>
  <si>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</si>
  <si>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</si>
  <si>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</si>
  <si>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</si>
  <si>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</si>
  <si>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</si>
  <si>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</si>
  <si>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</si>
  <si>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</si>
  <si>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</si>
  <si>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</si>
  <si>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</si>
  <si>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</si>
  <si>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</si>
  <si>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</si>
  <si>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</si>
  <si>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</si>
  <si>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</si>
  <si>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</si>
  <si>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</si>
  <si>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</si>
  <si>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</si>
  <si>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</si>
  <si>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</si>
  <si>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</si>
  <si>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</si>
  <si>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</si>
  <si>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</si>
  <si>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</si>
  <si>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</si>
  <si>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</si>
  <si>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</si>
  <si>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</si>
  <si>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</si>
  <si>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</si>
  <si>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</si>
  <si>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</si>
  <si>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</si>
  <si>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</si>
  <si>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</si>
  <si>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</si>
  <si>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</si>
  <si>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</si>
  <si>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</si>
  <si>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</si>
  <si>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</si>
  <si>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</si>
  <si>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</si>
  <si>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</si>
  <si>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</si>
  <si>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</si>
  <si>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</si>
  <si>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</si>
  <si>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</si>
  <si>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</si>
  <si>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</si>
  <si>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</si>
  <si>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</si>
  <si>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</si>
  <si>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</si>
  <si>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</si>
  <si>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</si>
  <si>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</si>
  <si>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</si>
  <si>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</si>
  <si>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</si>
  <si>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</si>
  <si>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</si>
  <si>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</si>
  <si>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</si>
  <si>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</si>
  <si>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</si>
  <si>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</si>
  <si>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</si>
  <si>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</si>
  <si>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</si>
  <si>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</si>
  <si>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</si>
  <si>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</si>
  <si>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</si>
  <si>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</si>
  <si>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</si>
  <si>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</si>
  <si>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</si>
  <si>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</si>
  <si>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</si>
  <si>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</si>
  <si>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</si>
  <si>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</si>
  <si>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</si>
  <si>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</si>
  <si>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</si>
  <si>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</si>
  <si>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</si>
  <si>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</si>
  <si>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</si>
  <si>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</si>
  <si>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</si>
  <si>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</si>
  <si>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</si>
  <si>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</si>
  <si>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</si>
  <si>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</si>
  <si>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</si>
  <si>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</si>
  <si>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</si>
  <si>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</si>
  <si>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</si>
  <si>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</si>
  <si>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</si>
  <si>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</si>
  <si>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</si>
  <si>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</si>
  <si>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</si>
  <si>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</si>
  <si>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</si>
  <si>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</si>
  <si>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</si>
  <si>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</si>
  <si>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</si>
  <si>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</si>
  <si>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</si>
  <si>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</si>
  <si>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</si>
  <si>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</si>
  <si>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</si>
  <si>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</si>
  <si>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</si>
  <si>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</si>
  <si>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</si>
  <si>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</si>
  <si>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</si>
  <si>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</si>
  <si>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</si>
  <si>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</si>
  <si>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</si>
  <si>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</si>
  <si>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</si>
  <si>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</si>
  <si>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</si>
  <si>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</si>
  <si>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</si>
  <si>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</si>
  <si>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</si>
  <si>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</si>
  <si>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</si>
  <si>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</si>
  <si>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</si>
  <si>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</si>
  <si>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</si>
  <si>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</si>
  <si>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</si>
  <si>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</si>
  <si>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</si>
  <si>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</si>
  <si>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</si>
  <si>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</si>
  <si>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</si>
  <si>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</si>
  <si>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</si>
  <si>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</si>
  <si>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</si>
  <si>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</si>
  <si>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</si>
  <si>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</si>
  <si>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</si>
  <si>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</si>
  <si>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</si>
  <si>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</si>
  <si>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</si>
  <si>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</si>
  <si>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</si>
  <si>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</si>
  <si>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</si>
  <si>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</si>
  <si>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</si>
  <si>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</si>
  <si>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</si>
  <si>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</si>
  <si>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</si>
  <si>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</si>
  <si>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</si>
  <si>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</si>
  <si>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</si>
  <si>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</si>
  <si>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</si>
  <si>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</si>
  <si>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</si>
  <si>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</si>
  <si>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</si>
  <si>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</si>
  <si>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</si>
  <si>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</si>
  <si>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</si>
  <si>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</si>
  <si>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</si>
  <si>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</si>
  <si>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</si>
  <si>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</si>
  <si>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</si>
  <si>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</si>
  <si>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</si>
  <si>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</si>
  <si>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</si>
  <si>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</si>
  <si>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</si>
  <si>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</si>
  <si>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</si>
  <si>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</si>
  <si>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</si>
  <si>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</si>
  <si>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</si>
  <si>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</si>
  <si>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</si>
  <si>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</si>
  <si>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</si>
  <si>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</si>
  <si>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</si>
  <si>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</si>
  <si>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</si>
  <si>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</si>
  <si>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</si>
  <si>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</si>
  <si>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</si>
  <si>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</si>
  <si>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</si>
  <si>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</si>
  <si>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</si>
  <si>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</si>
  <si>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</si>
  <si>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</si>
  <si>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</si>
  <si>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</si>
  <si>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</si>
  <si>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</si>
  <si>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</si>
  <si>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</si>
  <si>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</si>
  <si>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</si>
  <si>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</si>
  <si>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</si>
  <si>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</si>
  <si>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</si>
  <si>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</si>
  <si>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</si>
  <si>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</si>
  <si>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</si>
  <si>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</si>
  <si>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</si>
  <si>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</si>
  <si>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</si>
  <si>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</si>
  <si>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</si>
  <si>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</si>
  <si>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</si>
  <si>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</si>
  <si>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CUB CON RESPALDO FTE 180°</t>
  </si>
  <si>
    <t>MOBILIARIO FYR  LTDA.</t>
  </si>
  <si>
    <t>76.060.360-0</t>
  </si>
  <si>
    <t>MOBILIARIO</t>
  </si>
  <si>
    <t>ANGEL MORA</t>
  </si>
  <si>
    <t>LIENEAOFFICE2@FYRMOB.CL</t>
  </si>
  <si>
    <t>+569 6769 1970</t>
  </si>
  <si>
    <t>SANTA ALEJANDRA 0348 SAN BERNARDO</t>
  </si>
  <si>
    <t>GLACIAL WHITE 22191 SF</t>
  </si>
  <si>
    <t>3 DIAS HABILES</t>
  </si>
  <si>
    <t>N° 12017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</si>
</sst>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2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3" fillId="8" borderId="0" xfId="0" applyFont="1" applyFill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34" fillId="0" borderId="0" xfId="0" quotePrefix="1" applyFont="1" applyAlignment="1">
      <alignment horizontal="left"/>
    </xf>
    <xf numFmtId="1" fontId="6" fillId="0" borderId="64" xfId="0" applyNumberFormat="1" applyFont="1" applyBorder="1" applyAlignment="1">
      <alignment horizontal="center"/>
    </xf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16388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6065" y="5458235"/>
          <a:ext cx="631722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24581</xdr:colOff>
      <xdr:row>23</xdr:row>
      <xdr:rowOff>0</xdr:rowOff>
    </xdr:from>
    <xdr:to>
      <xdr:col>5</xdr:col>
      <xdr:colOff>1728839</xdr:colOff>
      <xdr:row>25</xdr:row>
      <xdr:rowOff>221225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8" y="4555613"/>
          <a:ext cx="6292646" cy="66367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SOBRE MEDIDAS EN EL LARGO.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 18MM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</a:t>
          </a:r>
          <a:r>
            <a:rPr lang="es-CL" sz="900" b="1" i="1" baseline="0"/>
            <a:t> EL TOTAL EN EFECTIVO</a:t>
          </a:r>
          <a:r>
            <a:rPr lang="es-CL" sz="900" b="1" i="1"/>
            <a:t>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franc/Dropbox/PC/Desktop/POSTFORMADO%202020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</row>
      </sheetData>
      <sheetData sheetId="1">
        <row r="4">
          <cell r="B4">
            <v>40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IENEAOFFICE2@FYRMOB.CL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3" zoomScale="93" zoomScaleNormal="93" workbookViewId="0">
      <selection activeCell="A36" sqref="A36"/>
    </sheetView>
  </sheetViews>
  <sheetFormatPr baseColWidth="10" defaultRowHeight="14.4" x14ac:dyDescent="0.3"/>
  <cols>
    <col min="1" max="1" width="6" customWidth="1"/>
    <col min="2" max="2" width="10.5546875" customWidth="1"/>
    <col min="3" max="3" width="34.77734375" customWidth="1"/>
    <col min="4" max="4" width="11.109375" customWidth="1"/>
    <col min="5" max="5" width="10.5546875" customWidth="1"/>
    <col min="6" max="6" width="32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8" t="s">
        <v>289</v>
      </c>
      <c r="D10" s="243"/>
      <c r="E10" s="243"/>
      <c r="F10" s="417" t="s">
        <v>277</v>
      </c>
      <c r="G10" s="275">
        <v>46083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 t="s">
        <v>290</v>
      </c>
      <c r="F11" s="29" t="s">
        <v>286</v>
      </c>
      <c r="G11" s="420" t="s">
        <v>297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 t="s">
        <v>291</v>
      </c>
      <c r="D12" s="246"/>
      <c r="E12" s="246"/>
      <c r="F12" s="301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C13" t="s">
        <v>292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7" t="s">
        <v>293</v>
      </c>
      <c r="D14" s="246"/>
      <c r="E14" s="246"/>
      <c r="F14" s="301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9" t="s">
        <v>294</v>
      </c>
      <c r="D15" s="423"/>
      <c r="F15" s="29" t="s">
        <v>284</v>
      </c>
      <c r="G15" s="75" t="s">
        <v>133</v>
      </c>
      <c r="H15" s="421"/>
    </row>
    <row r="16" spans="2:24" ht="16.8" x14ac:dyDescent="0.4">
      <c r="B16" s="302" t="s">
        <v>3</v>
      </c>
      <c r="C16" s="298" t="s">
        <v>295</v>
      </c>
      <c r="D16" s="246"/>
      <c r="E16" s="246"/>
      <c r="F16" s="303" t="s">
        <v>128</v>
      </c>
      <c r="G16" s="304" t="s">
        <v>160</v>
      </c>
      <c r="H16" s="247"/>
    </row>
    <row r="17" spans="1:25" ht="15" thickBot="1" x14ac:dyDescent="0.35">
      <c r="B17" s="424" t="s">
        <v>13</v>
      </c>
      <c r="C17" s="299" t="s">
        <v>287</v>
      </c>
      <c r="D17" s="300"/>
      <c r="E17" s="119"/>
      <c r="F17" s="425" t="s">
        <v>179</v>
      </c>
      <c r="G17" s="425" t="s">
        <v>180</v>
      </c>
      <c r="H17" s="426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39" t="s">
        <v>95</v>
      </c>
      <c r="C19" s="440"/>
      <c r="D19" s="440"/>
      <c r="E19" s="440"/>
      <c r="F19" s="440"/>
      <c r="G19" s="440"/>
      <c r="H19" s="441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O38</f>
        <v>65231.363124295909</v>
      </c>
      <c r="R20" s="257">
        <v>3000</v>
      </c>
      <c r="S20" s="38"/>
      <c r="T20" s="14" t="s">
        <v>127</v>
      </c>
      <c r="U20" s="9"/>
      <c r="X20" s="4"/>
    </row>
    <row r="21" spans="1:25" ht="18" thickBot="1" x14ac:dyDescent="0.35">
      <c r="B21" s="312">
        <v>2</v>
      </c>
      <c r="C21" s="431" t="s">
        <v>288</v>
      </c>
      <c r="D21" s="432">
        <v>0.9</v>
      </c>
      <c r="E21" s="432">
        <v>0.6</v>
      </c>
      <c r="F21" s="313" t="s">
        <v>296</v>
      </c>
      <c r="G21" s="314">
        <v>44203</v>
      </c>
      <c r="H21" s="433">
        <f>G21*B21</f>
        <v>88406</v>
      </c>
      <c r="I21" s="306"/>
      <c r="J21" s="264"/>
      <c r="K21" s="47"/>
      <c r="L21" s="47">
        <f>B21</f>
        <v>2</v>
      </c>
      <c r="M21" s="39">
        <f>D21+M$19</f>
        <v>0.98</v>
      </c>
      <c r="N21" s="39">
        <f>E21+$N$19</f>
        <v>0.6</v>
      </c>
      <c r="O21" s="260">
        <f t="shared" ref="O21" si="0">M21*N21</f>
        <v>0.58799999999999997</v>
      </c>
      <c r="P21" s="258">
        <f t="shared" ref="P21" si="1">O21*L21</f>
        <v>1.1759999999999999</v>
      </c>
      <c r="Q21" s="251">
        <f t="shared" ref="Q21" si="2">Q$20*O21</f>
        <v>38356.041517085992</v>
      </c>
      <c r="R21" s="305">
        <f t="shared" ref="R21" si="3">Q21+R$20</f>
        <v>41356.041517085992</v>
      </c>
      <c r="S21" s="290">
        <f>M21*L21</f>
        <v>1.96</v>
      </c>
      <c r="T21" s="46">
        <f>N21*2*L21*2</f>
        <v>4.8</v>
      </c>
      <c r="U21" s="9"/>
      <c r="X21" s="4"/>
    </row>
    <row r="22" spans="1:25" ht="18" thickBot="1" x14ac:dyDescent="0.35">
      <c r="B22" s="434">
        <v>5</v>
      </c>
      <c r="C22" s="435" t="s">
        <v>288</v>
      </c>
      <c r="D22" s="436">
        <v>1.58</v>
      </c>
      <c r="E22" s="436">
        <v>0.5</v>
      </c>
      <c r="F22" s="313" t="s">
        <v>296</v>
      </c>
      <c r="G22" s="437">
        <v>61161</v>
      </c>
      <c r="H22" s="438">
        <f>G22*B22</f>
        <v>305805</v>
      </c>
      <c r="I22" s="306"/>
      <c r="J22" s="264"/>
      <c r="K22" s="47"/>
      <c r="L22" s="47">
        <f>B22</f>
        <v>5</v>
      </c>
      <c r="M22" s="39">
        <f>D22+M$19</f>
        <v>1.6600000000000001</v>
      </c>
      <c r="N22" s="39">
        <f>E22+$N$19</f>
        <v>0.5</v>
      </c>
      <c r="O22" s="260">
        <f t="shared" ref="O22" si="4">M22*N22</f>
        <v>0.83000000000000007</v>
      </c>
      <c r="P22" s="258">
        <f t="shared" ref="P22" si="5">O22*L22</f>
        <v>4.1500000000000004</v>
      </c>
      <c r="Q22" s="251">
        <f t="shared" ref="Q22" si="6">Q$20*O22</f>
        <v>54142.031393165606</v>
      </c>
      <c r="R22" s="305">
        <f t="shared" ref="R22" si="7">Q22+R$20</f>
        <v>57142.031393165606</v>
      </c>
      <c r="S22" s="290">
        <f>M22*L22</f>
        <v>8.3000000000000007</v>
      </c>
      <c r="T22" s="46"/>
      <c r="U22" s="9"/>
      <c r="X22" s="4"/>
    </row>
    <row r="23" spans="1:25" ht="18" thickBot="1" x14ac:dyDescent="0.35">
      <c r="B23" s="283"/>
      <c r="C23" s="325"/>
      <c r="D23" s="284"/>
      <c r="E23" s="284"/>
      <c r="F23" s="283"/>
      <c r="G23" s="264"/>
      <c r="H23" s="307"/>
      <c r="I23" s="309"/>
      <c r="J23" s="233"/>
      <c r="K23" s="47"/>
      <c r="L23" s="47"/>
      <c r="M23" s="39"/>
      <c r="N23" s="39"/>
      <c r="O23" s="260"/>
      <c r="P23" s="258"/>
      <c r="Q23" s="251"/>
      <c r="R23" s="257"/>
      <c r="S23" s="290"/>
      <c r="T23" s="14"/>
      <c r="U23" s="9"/>
      <c r="X23" s="4"/>
    </row>
    <row r="24" spans="1:25" ht="17.399999999999999" x14ac:dyDescent="0.3">
      <c r="B24" s="283"/>
      <c r="C24" s="283"/>
      <c r="D24" s="284"/>
      <c r="E24" s="284"/>
      <c r="F24" s="283"/>
      <c r="G24" s="310" t="s">
        <v>28</v>
      </c>
      <c r="H24" s="311">
        <f>SUM(H21:H22)</f>
        <v>394211</v>
      </c>
      <c r="I24" s="308"/>
      <c r="J24" s="264"/>
      <c r="K24" s="47"/>
      <c r="L24" s="47"/>
      <c r="M24" s="39"/>
      <c r="N24" s="39"/>
      <c r="O24" s="260"/>
      <c r="P24" s="258"/>
      <c r="Q24" s="251"/>
      <c r="R24" s="257"/>
      <c r="S24" s="290"/>
      <c r="T24" s="46">
        <f>SUM(T21:T21)</f>
        <v>4.8</v>
      </c>
      <c r="U24" s="9"/>
      <c r="X24" s="4"/>
    </row>
    <row r="25" spans="1:25" ht="17.399999999999999" x14ac:dyDescent="0.3">
      <c r="B25" s="277"/>
      <c r="C25" s="280"/>
      <c r="D25" s="281"/>
      <c r="E25" s="281"/>
      <c r="F25" s="282"/>
      <c r="G25" s="289" t="s">
        <v>51</v>
      </c>
      <c r="H25" s="287">
        <f>H24*19%</f>
        <v>74900.09</v>
      </c>
      <c r="I25" s="308"/>
      <c r="J25" s="264"/>
      <c r="K25" s="47"/>
      <c r="L25" s="47"/>
      <c r="M25" s="39">
        <f>SUM(M21:M24)</f>
        <v>2.64</v>
      </c>
      <c r="N25" s="12"/>
      <c r="O25" s="12"/>
      <c r="P25" s="252">
        <f>SUM(P21:P22)</f>
        <v>5.3260000000000005</v>
      </c>
      <c r="Q25" s="14"/>
      <c r="R25" s="12"/>
      <c r="S25" s="239"/>
      <c r="T25" s="46"/>
      <c r="U25" s="9"/>
      <c r="X25" s="4"/>
    </row>
    <row r="26" spans="1:25" ht="18" thickBot="1" x14ac:dyDescent="0.35">
      <c r="B26" s="274"/>
      <c r="C26" s="279"/>
      <c r="D26" s="271"/>
      <c r="E26" s="271"/>
      <c r="F26" s="272"/>
      <c r="G26" s="278" t="s">
        <v>6</v>
      </c>
      <c r="H26" s="288">
        <f>H24+H25</f>
        <v>469111.08999999997</v>
      </c>
      <c r="I26" s="308"/>
      <c r="J26" s="264"/>
      <c r="K26" s="47"/>
      <c r="L26" s="47"/>
      <c r="M26" s="39"/>
      <c r="N26" s="12"/>
      <c r="O26" s="12"/>
      <c r="P26" s="252">
        <f>P25</f>
        <v>5.3260000000000005</v>
      </c>
      <c r="Q26" s="14"/>
      <c r="R26" s="12"/>
      <c r="S26" s="239">
        <f>SUM(S21:S25)</f>
        <v>10.260000000000002</v>
      </c>
      <c r="T26" s="46"/>
      <c r="U26" s="9"/>
      <c r="X26" s="4"/>
    </row>
    <row r="27" spans="1:25" ht="17.399999999999999" x14ac:dyDescent="0.3">
      <c r="B27" s="274"/>
      <c r="C27" s="270"/>
      <c r="D27" s="271"/>
      <c r="E27" s="271"/>
      <c r="F27" s="272"/>
      <c r="J27" s="264"/>
      <c r="K27" s="47"/>
      <c r="L27" s="47"/>
      <c r="M27" s="14"/>
      <c r="N27" s="12"/>
      <c r="O27" s="12"/>
      <c r="P27" s="39">
        <f>P26*20%</f>
        <v>1.0652000000000001</v>
      </c>
      <c r="Q27" s="39" t="s">
        <v>129</v>
      </c>
      <c r="R27" s="42"/>
      <c r="S27" s="240">
        <f>S26+T24</f>
        <v>15.060000000000002</v>
      </c>
      <c r="T27" s="14"/>
      <c r="U27" s="9"/>
      <c r="X27" s="4"/>
    </row>
    <row r="28" spans="1:25" ht="17.399999999999999" x14ac:dyDescent="0.35">
      <c r="B28" s="268"/>
      <c r="C28" s="230"/>
      <c r="D28" s="230"/>
      <c r="E28" s="233"/>
      <c r="F28" s="234"/>
      <c r="G28" s="230"/>
      <c r="H28" s="273"/>
      <c r="I28" s="273"/>
      <c r="J28" s="264"/>
      <c r="K28" s="47"/>
      <c r="L28" s="47"/>
      <c r="M28" s="14"/>
      <c r="N28" s="12"/>
      <c r="O28" s="12"/>
      <c r="P28" s="46">
        <f>P26+P27</f>
        <v>6.3912000000000004</v>
      </c>
      <c r="Q28" s="14"/>
      <c r="R28" s="14"/>
      <c r="S28" s="238">
        <f>S27*20%</f>
        <v>3.0120000000000005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3"/>
      <c r="J29" s="264"/>
      <c r="K29" s="47"/>
      <c r="L29" s="47"/>
      <c r="M29" s="14"/>
      <c r="N29" s="14"/>
      <c r="O29" s="14"/>
      <c r="P29" s="14"/>
      <c r="Q29" s="14"/>
      <c r="R29" s="14"/>
      <c r="S29" s="240">
        <f>S27+S28</f>
        <v>18.072000000000003</v>
      </c>
      <c r="T29" s="14"/>
      <c r="U29" s="294" t="s">
        <v>21</v>
      </c>
      <c r="V29" s="291" t="s">
        <v>149</v>
      </c>
      <c r="W29" s="295">
        <v>44971</v>
      </c>
      <c r="X29" s="296"/>
    </row>
    <row r="30" spans="1:25" ht="17.399999999999999" x14ac:dyDescent="0.35">
      <c r="B30" s="230"/>
      <c r="C30" s="230"/>
      <c r="D30" s="230"/>
      <c r="E30" s="230"/>
      <c r="F30" s="230"/>
      <c r="G30" s="230"/>
      <c r="J30" s="264"/>
      <c r="K30" s="47"/>
      <c r="L30" s="47"/>
      <c r="M30" s="39">
        <f>P28</f>
        <v>6.3912000000000004</v>
      </c>
      <c r="N30" s="12">
        <v>3500</v>
      </c>
      <c r="O30" s="12">
        <f t="shared" ref="O30:O35" si="8">M30*N30</f>
        <v>22369.200000000001</v>
      </c>
      <c r="P30" s="14" t="s">
        <v>21</v>
      </c>
      <c r="Q30" s="14"/>
      <c r="R30" s="14"/>
      <c r="S30" s="241"/>
      <c r="T30" s="14"/>
      <c r="U30" s="294" t="s">
        <v>150</v>
      </c>
      <c r="V30" s="291">
        <v>3625</v>
      </c>
      <c r="W30" s="59" t="s">
        <v>151</v>
      </c>
      <c r="X30" s="296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4"/>
      <c r="K31" s="47"/>
      <c r="L31" s="47"/>
      <c r="M31" s="248">
        <v>2</v>
      </c>
      <c r="N31" s="12">
        <v>23500</v>
      </c>
      <c r="O31" s="12">
        <f t="shared" si="8"/>
        <v>47000</v>
      </c>
      <c r="P31" s="39" t="s">
        <v>31</v>
      </c>
      <c r="Q31" s="42"/>
      <c r="R31" s="14"/>
      <c r="S31" s="240"/>
      <c r="T31" s="14"/>
      <c r="U31" s="294"/>
      <c r="V31" s="59">
        <v>906.25</v>
      </c>
      <c r="W31" s="59" t="s">
        <v>152</v>
      </c>
      <c r="X31" s="296"/>
    </row>
    <row r="32" spans="1:25" s="230" customFormat="1" ht="17.399999999999999" x14ac:dyDescent="0.35">
      <c r="B32" s="24" t="s">
        <v>148</v>
      </c>
      <c r="J32" s="261"/>
      <c r="K32" s="232"/>
      <c r="L32" s="249"/>
      <c r="M32" s="14">
        <v>2</v>
      </c>
      <c r="N32" s="249">
        <v>36580</v>
      </c>
      <c r="O32" s="12">
        <f t="shared" si="8"/>
        <v>73160</v>
      </c>
      <c r="P32" s="39" t="s">
        <v>30</v>
      </c>
      <c r="Q32" s="42"/>
      <c r="S32" s="240"/>
      <c r="T32" s="255"/>
      <c r="U32" s="59"/>
      <c r="V32" s="59">
        <f>V31*20%</f>
        <v>181.25</v>
      </c>
      <c r="W32" s="296" t="s">
        <v>153</v>
      </c>
      <c r="X32" s="59"/>
    </row>
    <row r="33" spans="1:24" s="230" customFormat="1" ht="17.399999999999999" x14ac:dyDescent="0.35">
      <c r="B33" s="24" t="s">
        <v>162</v>
      </c>
      <c r="C33"/>
      <c r="D33"/>
      <c r="E33"/>
      <c r="F33"/>
      <c r="J33" s="261"/>
      <c r="K33" s="232"/>
      <c r="L33" s="249"/>
      <c r="M33" s="14"/>
      <c r="N33" s="249">
        <v>23500</v>
      </c>
      <c r="O33" s="12">
        <f t="shared" si="8"/>
        <v>0</v>
      </c>
      <c r="P33" s="14" t="s">
        <v>139</v>
      </c>
      <c r="Q33" s="17"/>
      <c r="S33" s="238"/>
      <c r="T33" s="255"/>
      <c r="U33" s="59"/>
      <c r="V33" s="59">
        <f>V31+V32</f>
        <v>1087.5</v>
      </c>
      <c r="W33" s="296" t="s">
        <v>154</v>
      </c>
      <c r="X33" s="59"/>
    </row>
    <row r="34" spans="1:24" s="230" customFormat="1" ht="17.399999999999999" x14ac:dyDescent="0.35">
      <c r="A34" s="230" t="s">
        <v>283</v>
      </c>
      <c r="B34" s="29" t="s">
        <v>124</v>
      </c>
      <c r="C34"/>
      <c r="D34"/>
      <c r="E34"/>
      <c r="F34" s="229" t="s">
        <v>15</v>
      </c>
      <c r="J34" s="261"/>
      <c r="K34" s="259"/>
      <c r="L34" s="249"/>
      <c r="M34" s="248"/>
      <c r="N34" s="249">
        <v>900</v>
      </c>
      <c r="O34" s="12">
        <f t="shared" si="8"/>
        <v>0</v>
      </c>
      <c r="P34" s="14" t="s">
        <v>32</v>
      </c>
      <c r="Q34" s="14"/>
      <c r="R34" s="230">
        <v>1.52</v>
      </c>
      <c r="S34" s="238"/>
      <c r="T34" s="238"/>
    </row>
    <row r="35" spans="1:24" s="230" customFormat="1" ht="17.399999999999999" x14ac:dyDescent="0.35">
      <c r="J35" s="286"/>
      <c r="K35" s="259"/>
      <c r="L35" s="249"/>
      <c r="M35" s="265">
        <v>10.26</v>
      </c>
      <c r="N35" s="12">
        <v>1500</v>
      </c>
      <c r="O35" s="12">
        <f t="shared" si="8"/>
        <v>15390</v>
      </c>
      <c r="P35" s="14" t="s">
        <v>22</v>
      </c>
      <c r="Q35" s="14"/>
      <c r="R35">
        <v>2.44</v>
      </c>
      <c r="S35"/>
      <c r="T35" s="238"/>
      <c r="X35" s="231"/>
    </row>
    <row r="36" spans="1:24" s="230" customFormat="1" ht="17.399999999999999" x14ac:dyDescent="0.35">
      <c r="K36" s="259"/>
      <c r="L36" s="249"/>
      <c r="M36" s="14"/>
      <c r="N36" s="12"/>
      <c r="O36" s="12">
        <f>SUM(O30:O35)</f>
        <v>157919.20000000001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1:24" s="230" customFormat="1" ht="17.399999999999999" x14ac:dyDescent="0.35">
      <c r="L37" s="249"/>
      <c r="M37" s="253" t="s">
        <v>33</v>
      </c>
      <c r="N37" s="12"/>
      <c r="O37" s="254">
        <f>O36*2.2</f>
        <v>347422.24000000005</v>
      </c>
      <c r="P37" s="14" t="s">
        <v>138</v>
      </c>
      <c r="Q37" s="14"/>
      <c r="R37" s="40">
        <f>P28/R36</f>
        <v>1.7232528041415014</v>
      </c>
      <c r="S37"/>
      <c r="T37" s="256"/>
    </row>
    <row r="38" spans="1:24" s="230" customFormat="1" ht="17.399999999999999" x14ac:dyDescent="0.35">
      <c r="G38"/>
      <c r="H38" s="259"/>
      <c r="I38" s="259"/>
      <c r="J38" s="259"/>
      <c r="K38" s="230">
        <v>42800</v>
      </c>
      <c r="L38" s="249"/>
      <c r="M38" s="14"/>
      <c r="N38" s="12"/>
      <c r="O38" s="12">
        <f>O37/P26</f>
        <v>65231.363124295909</v>
      </c>
      <c r="P38" s="45" t="s">
        <v>24</v>
      </c>
      <c r="Q38" s="14"/>
      <c r="R38" s="14"/>
      <c r="S38"/>
      <c r="T38" s="238"/>
      <c r="U38" s="59" t="s">
        <v>155</v>
      </c>
      <c r="V38" s="291">
        <v>43650</v>
      </c>
    </row>
    <row r="39" spans="1:24" s="230" customFormat="1" ht="17.399999999999999" x14ac:dyDescent="0.35">
      <c r="G39"/>
      <c r="K39" s="230">
        <f>K38/1.19</f>
        <v>35966.386554621851</v>
      </c>
      <c r="L39" s="249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157</v>
      </c>
      <c r="V39" s="292" t="s">
        <v>156</v>
      </c>
      <c r="W39" s="59">
        <v>2.4</v>
      </c>
    </row>
    <row r="40" spans="1:24" s="230" customFormat="1" ht="17.399999999999999" x14ac:dyDescent="0.35">
      <c r="G40" s="23"/>
      <c r="L40" s="12"/>
      <c r="T40" s="238"/>
      <c r="U40" s="59" t="s">
        <v>158</v>
      </c>
      <c r="V40" s="293">
        <v>395.37</v>
      </c>
    </row>
    <row r="41" spans="1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153</v>
      </c>
      <c r="V41" s="59">
        <v>474.45</v>
      </c>
    </row>
    <row r="42" spans="1:24" ht="14.4" customHeight="1" x14ac:dyDescent="0.3">
      <c r="L42" s="12"/>
      <c r="U42" s="59"/>
      <c r="V42" s="59"/>
    </row>
    <row r="43" spans="1:24" x14ac:dyDescent="0.3">
      <c r="L43" s="249"/>
    </row>
    <row r="44" spans="1:24" x14ac:dyDescent="0.3">
      <c r="L44" s="249"/>
      <c r="T44" s="269"/>
    </row>
    <row r="45" spans="1:24" x14ac:dyDescent="0.3">
      <c r="L45" s="249"/>
    </row>
    <row r="46" spans="1:24" ht="15" customHeight="1" x14ac:dyDescent="0.3"/>
    <row r="48" spans="1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145</v>
      </c>
    </row>
    <row r="74" spans="3:15" x14ac:dyDescent="0.3">
      <c r="C74" t="s">
        <v>144</v>
      </c>
    </row>
    <row r="77" spans="3:15" x14ac:dyDescent="0.3">
      <c r="C77" t="s">
        <v>144</v>
      </c>
    </row>
    <row r="154" spans="3:3" x14ac:dyDescent="0.3">
      <c r="C154" t="s">
        <v>144</v>
      </c>
    </row>
    <row r="155" spans="3:3" x14ac:dyDescent="0.3">
      <c r="C155" t="s">
        <v>146</v>
      </c>
    </row>
    <row r="156" spans="3:3" x14ac:dyDescent="0.3">
      <c r="C156" t="s">
        <v>147</v>
      </c>
    </row>
    <row r="581" spans="3:3" x14ac:dyDescent="0.3">
      <c r="C581" t="s">
        <v>144</v>
      </c>
    </row>
  </sheetData>
  <mergeCells count="1">
    <mergeCell ref="B19:H19"/>
  </mergeCells>
  <phoneticPr fontId="32" type="noConversion"/>
  <hyperlinks>
    <hyperlink ref="F34" r:id="rId1" xr:uid="{00000000-0004-0000-0000-000000000000}"/>
    <hyperlink ref="C14" r:id="rId2" xr:uid="{9A2F96BA-C9CF-4885-B47E-0324A740268B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46083</v>
      </c>
    </row>
    <row r="6" spans="2:31" ht="16.2" thickBot="1" x14ac:dyDescent="0.35">
      <c r="B6" s="140" t="s">
        <v>2</v>
      </c>
      <c r="C6" s="139" t="str">
        <f>'2229'!C10</f>
        <v>MOBILIARIO FYR  LTDA.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3" t="s">
        <v>98</v>
      </c>
      <c r="I7" s="444"/>
      <c r="J7" s="444"/>
      <c r="K7" s="445"/>
      <c r="N7" s="75"/>
      <c r="O7" s="442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12017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2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-18301.928366787441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394211</v>
      </c>
      <c r="E11" s="132">
        <f>D11*0.19</f>
        <v>74900.09</v>
      </c>
      <c r="F11" s="131">
        <f>E11+D11</f>
        <v>469111.08999999997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87688.071633212559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172363.29078743962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69688.071633212559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221847.70921256038</v>
      </c>
      <c r="E13" s="221">
        <f>(D11/D12)-1</f>
        <v>1.2870937204729138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60688.071633212559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21688.071633212559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284399.42979927536</v>
      </c>
      <c r="F15" s="216">
        <f>E15-D12</f>
        <v>112036.13901183574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21688.071633212559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61688.071633212559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73160</v>
      </c>
      <c r="E18" s="123">
        <f>D18*0.19</f>
        <v>13900.4</v>
      </c>
      <c r="F18" s="120">
        <f>SUM(D18:E18)</f>
        <v>87060.4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22369.200000000001</v>
      </c>
      <c r="E20" s="121">
        <f>D20*0.19</f>
        <v>4250.1480000000001</v>
      </c>
      <c r="F20" s="120">
        <f>SUM(D20:E20)</f>
        <v>26619.348000000002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142529.20000000001</v>
      </c>
      <c r="E21" s="116">
        <f>SUM(E18:E20)</f>
        <v>27080.548000000003</v>
      </c>
      <c r="F21" s="115">
        <f>SUM(F18:F20)</f>
        <v>169609.74799999999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47819.541999999994</v>
      </c>
    </row>
    <row r="41" spans="2:16" ht="15" thickBot="1" x14ac:dyDescent="0.35">
      <c r="H41" s="446" t="s">
        <v>60</v>
      </c>
      <c r="I41" s="447"/>
      <c r="J41" s="447"/>
      <c r="K41" s="447"/>
      <c r="L41" s="447"/>
      <c r="M41" s="448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394211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142529.20000000001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221847.70921256038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221847.70921256038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C23" sqref="C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5" t="s">
        <v>125</v>
      </c>
      <c r="C8" s="316"/>
      <c r="D8" s="317" t="str">
        <f>'2229'!D8</f>
        <v>N° 12017</v>
      </c>
      <c r="E8" s="138"/>
      <c r="F8" s="318" t="s">
        <v>165</v>
      </c>
      <c r="G8" s="319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9" t="s">
        <v>166</v>
      </c>
      <c r="C10" s="350" t="str">
        <f>IF('2229'!C10="","",'2229'!C10)</f>
        <v>MOBILIARIO FYR  LTDA.</v>
      </c>
      <c r="D10" s="350"/>
      <c r="E10" s="350"/>
      <c r="F10" s="351" t="s">
        <v>167</v>
      </c>
      <c r="G10" s="352">
        <f>'2229'!G10</f>
        <v>46083</v>
      </c>
      <c r="H10" s="353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9" t="s">
        <v>12</v>
      </c>
      <c r="C11" s="246" t="str">
        <f>IF('2229'!C11="","",'2229'!C11)</f>
        <v>76.060.360-0</v>
      </c>
      <c r="D11" s="345"/>
      <c r="E11" s="345"/>
      <c r="F11" s="345" t="s">
        <v>168</v>
      </c>
      <c r="G11" s="340">
        <f>WORKDAY(G10,5)</f>
        <v>46090</v>
      </c>
      <c r="H11" s="341"/>
      <c r="I11" s="138"/>
    </row>
    <row r="12" spans="1:17" ht="15.6" x14ac:dyDescent="0.3">
      <c r="A12" s="138"/>
      <c r="B12" s="354" t="s">
        <v>169</v>
      </c>
      <c r="C12" s="355" t="str">
        <f>IF('2229'!C12="","",'2229'!C12)</f>
        <v>MOBILIARIO</v>
      </c>
      <c r="D12" s="355"/>
      <c r="E12" s="355"/>
      <c r="F12" s="355" t="s">
        <v>181</v>
      </c>
      <c r="G12" s="355" t="str">
        <f>'2229'!G14</f>
        <v>NO</v>
      </c>
      <c r="H12" s="356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>ANGEL MORA</v>
      </c>
      <c r="D13" s="246"/>
      <c r="E13" s="246"/>
      <c r="F13" s="246" t="s">
        <v>170</v>
      </c>
      <c r="G13" s="346"/>
      <c r="H13" s="247"/>
      <c r="I13" s="138"/>
    </row>
    <row r="14" spans="1:17" ht="15.6" x14ac:dyDescent="0.3">
      <c r="A14" s="138"/>
      <c r="B14" s="354" t="s">
        <v>137</v>
      </c>
      <c r="C14" s="355" t="str">
        <f>IF('2229'!C14="","",'2229'!C14)</f>
        <v>LIENEAOFFICE2@FYRMOB.CL</v>
      </c>
      <c r="D14" s="355"/>
      <c r="E14" s="355"/>
      <c r="F14" s="355" t="s">
        <v>171</v>
      </c>
      <c r="G14" s="357" t="s">
        <v>172</v>
      </c>
      <c r="H14" s="356"/>
      <c r="I14" s="138"/>
    </row>
    <row r="15" spans="1:17" ht="15.6" x14ac:dyDescent="0.3">
      <c r="A15" s="138"/>
      <c r="B15" s="339" t="s">
        <v>4</v>
      </c>
      <c r="C15" s="246" t="str">
        <f>IF('2229'!C15="","",'2229'!C15)</f>
        <v>+569 6769 1970</v>
      </c>
      <c r="D15" s="347"/>
      <c r="E15" s="345"/>
      <c r="F15" s="345" t="s">
        <v>173</v>
      </c>
      <c r="G15" s="345" t="str">
        <f>'2229'!G12</f>
        <v>NO</v>
      </c>
      <c r="H15" s="341"/>
      <c r="I15" s="138"/>
    </row>
    <row r="16" spans="1:17" ht="15.6" x14ac:dyDescent="0.3">
      <c r="A16" s="138"/>
      <c r="B16" s="354" t="s">
        <v>3</v>
      </c>
      <c r="C16" s="355" t="str">
        <f>IF('2229'!C16="","",'2229'!C16)</f>
        <v>SANTA ALEJANDRA 0348 SAN BERNARDO</v>
      </c>
      <c r="D16" s="355"/>
      <c r="E16" s="355"/>
      <c r="F16" s="355" t="s">
        <v>174</v>
      </c>
      <c r="G16" s="355" t="str">
        <f>'2229'!G16</f>
        <v>ABONO 50% SALDO C/ENTREGA</v>
      </c>
      <c r="H16" s="356"/>
      <c r="I16" s="138"/>
    </row>
    <row r="17" spans="1:16" ht="16.2" thickBot="1" x14ac:dyDescent="0.35">
      <c r="A17" s="138"/>
      <c r="B17" s="342" t="s">
        <v>13</v>
      </c>
      <c r="C17" s="348" t="str">
        <f>IF('2229'!C17="","",'2229'!C17)</f>
        <v>SANTIAGO</v>
      </c>
      <c r="D17" s="343"/>
      <c r="E17" s="344"/>
      <c r="F17" s="449" t="s">
        <v>175</v>
      </c>
      <c r="G17" s="449"/>
      <c r="H17" s="450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1" t="s">
        <v>176</v>
      </c>
      <c r="C20" s="452"/>
      <c r="D20" s="452"/>
      <c r="E20" s="452"/>
      <c r="F20" s="452"/>
      <c r="G20" s="452"/>
      <c r="H20" s="453"/>
      <c r="I20" s="138"/>
    </row>
    <row r="21" spans="1:16" ht="16.2" thickBot="1" x14ac:dyDescent="0.35">
      <c r="A21" s="138"/>
      <c r="B21" s="358" t="s">
        <v>7</v>
      </c>
      <c r="C21" s="359" t="s">
        <v>1</v>
      </c>
      <c r="D21" s="359" t="s">
        <v>10</v>
      </c>
      <c r="E21" s="359" t="s">
        <v>11</v>
      </c>
      <c r="F21" s="360" t="s">
        <v>8</v>
      </c>
      <c r="G21" s="358" t="s">
        <v>5</v>
      </c>
      <c r="H21" s="360" t="s">
        <v>6</v>
      </c>
      <c r="I21" s="138"/>
    </row>
    <row r="22" spans="1:16" ht="15.6" x14ac:dyDescent="0.3">
      <c r="A22" s="138"/>
      <c r="B22" s="312">
        <f>'2229'!B21</f>
        <v>2</v>
      </c>
      <c r="C22" s="313" t="s">
        <v>35</v>
      </c>
      <c r="D22" s="321">
        <f>'2229'!D21*1000</f>
        <v>900</v>
      </c>
      <c r="E22" s="321">
        <f>'2229'!E21*1000</f>
        <v>600</v>
      </c>
      <c r="F22" s="322" t="str">
        <f>'2229'!F21</f>
        <v>GLACIAL WHITE 22191 SF</v>
      </c>
      <c r="G22" s="314">
        <f>'2229'!G21</f>
        <v>44203</v>
      </c>
      <c r="H22" s="323">
        <f>G22*B22</f>
        <v>88406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4"/>
      <c r="H23" s="324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5"/>
      <c r="G24" s="324"/>
      <c r="H24" s="324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7" t="s">
        <v>28</v>
      </c>
      <c r="H25" s="328">
        <f>SUM(H22:H24)</f>
        <v>88406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9" t="s">
        <v>29</v>
      </c>
      <c r="H26" s="330">
        <f>H25*19%</f>
        <v>16797.14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1" t="s">
        <v>6</v>
      </c>
      <c r="H27" s="332">
        <f>H25+H26</f>
        <v>105203.14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3"/>
      <c r="H28" s="334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5" t="s">
        <v>177</v>
      </c>
      <c r="C30" s="336"/>
      <c r="D30" s="337"/>
      <c r="E30" s="337"/>
      <c r="F30" s="326"/>
      <c r="G30" s="138"/>
      <c r="H30" s="138"/>
      <c r="I30" s="138"/>
    </row>
    <row r="31" spans="1:16" ht="15.6" x14ac:dyDescent="0.3">
      <c r="A31" s="138"/>
      <c r="B31" s="335" t="s">
        <v>178</v>
      </c>
      <c r="C31" s="336"/>
      <c r="D31" s="337"/>
      <c r="E31" s="337"/>
      <c r="F31" s="326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8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9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4" t="s">
        <v>182</v>
      </c>
      <c r="C2" s="454"/>
      <c r="D2" s="454"/>
      <c r="E2" s="361"/>
      <c r="G2" s="454" t="s">
        <v>183</v>
      </c>
      <c r="H2" s="454"/>
      <c r="I2" s="454"/>
      <c r="P2" s="455" t="s">
        <v>184</v>
      </c>
      <c r="Q2" s="455"/>
      <c r="R2" s="455"/>
    </row>
    <row r="3" spans="2:18" x14ac:dyDescent="0.3">
      <c r="B3" s="363" t="s">
        <v>130</v>
      </c>
      <c r="C3" s="363" t="s">
        <v>11</v>
      </c>
      <c r="D3" s="363" t="s">
        <v>1</v>
      </c>
      <c r="E3" s="364"/>
      <c r="G3" s="363" t="s">
        <v>130</v>
      </c>
      <c r="H3" s="363" t="s">
        <v>11</v>
      </c>
      <c r="I3" s="363" t="s">
        <v>1</v>
      </c>
      <c r="P3" s="363" t="s">
        <v>130</v>
      </c>
      <c r="Q3" s="363" t="s">
        <v>11</v>
      </c>
      <c r="R3" s="363" t="s">
        <v>1</v>
      </c>
    </row>
    <row r="4" spans="2:18" x14ac:dyDescent="0.3">
      <c r="B4" s="365">
        <v>40</v>
      </c>
      <c r="C4" s="365">
        <v>60</v>
      </c>
      <c r="D4" s="366" t="s">
        <v>185</v>
      </c>
      <c r="E4" s="246" t="s">
        <v>186</v>
      </c>
      <c r="G4" s="362">
        <v>50</v>
      </c>
      <c r="H4" s="362">
        <v>100</v>
      </c>
      <c r="I4" s="367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5">
        <v>40</v>
      </c>
      <c r="C5" s="365">
        <v>90</v>
      </c>
      <c r="D5" s="366" t="s">
        <v>189</v>
      </c>
      <c r="E5" s="246" t="s">
        <v>190</v>
      </c>
      <c r="G5" s="362">
        <v>50</v>
      </c>
      <c r="H5" s="362"/>
      <c r="I5" s="367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5">
        <v>40</v>
      </c>
      <c r="C6" s="365">
        <v>100</v>
      </c>
      <c r="D6" s="366" t="s">
        <v>193</v>
      </c>
      <c r="E6" s="246" t="s">
        <v>194</v>
      </c>
      <c r="G6" s="365">
        <v>50</v>
      </c>
      <c r="H6" s="365">
        <v>100</v>
      </c>
      <c r="I6" s="366" t="s">
        <v>193</v>
      </c>
      <c r="P6">
        <v>50</v>
      </c>
      <c r="Q6">
        <v>-30</v>
      </c>
      <c r="R6" t="s">
        <v>195</v>
      </c>
    </row>
    <row r="7" spans="2:18" x14ac:dyDescent="0.3">
      <c r="B7" s="365">
        <v>40</v>
      </c>
      <c r="C7" s="365">
        <v>150</v>
      </c>
      <c r="D7" s="366" t="s">
        <v>196</v>
      </c>
      <c r="E7" s="246" t="s">
        <v>197</v>
      </c>
      <c r="G7" s="365">
        <v>50</v>
      </c>
      <c r="H7" s="365"/>
      <c r="I7" s="366" t="s">
        <v>196</v>
      </c>
      <c r="P7">
        <v>50</v>
      </c>
      <c r="Q7">
        <v>-30</v>
      </c>
      <c r="R7" t="s">
        <v>198</v>
      </c>
    </row>
    <row r="8" spans="2:18" x14ac:dyDescent="0.3">
      <c r="B8" s="365">
        <v>40</v>
      </c>
      <c r="C8" s="365">
        <v>100</v>
      </c>
      <c r="D8" s="366" t="s">
        <v>199</v>
      </c>
      <c r="E8" s="246" t="s">
        <v>200</v>
      </c>
      <c r="G8" s="365">
        <v>50</v>
      </c>
      <c r="H8" s="365">
        <v>100</v>
      </c>
      <c r="I8" s="366" t="s">
        <v>199</v>
      </c>
      <c r="L8" s="455" t="s">
        <v>184</v>
      </c>
      <c r="M8" s="455"/>
      <c r="N8" s="455"/>
      <c r="P8">
        <v>50</v>
      </c>
      <c r="Q8">
        <v>-30</v>
      </c>
      <c r="R8" t="s">
        <v>201</v>
      </c>
    </row>
    <row r="9" spans="2:18" x14ac:dyDescent="0.3">
      <c r="B9" s="365">
        <v>40</v>
      </c>
      <c r="C9" s="365">
        <v>50</v>
      </c>
      <c r="D9" s="366" t="s">
        <v>202</v>
      </c>
      <c r="E9" s="246" t="s">
        <v>203</v>
      </c>
      <c r="G9" s="365">
        <v>50</v>
      </c>
      <c r="H9" s="365">
        <v>100</v>
      </c>
      <c r="I9" s="366" t="s">
        <v>204</v>
      </c>
      <c r="L9" s="363" t="s">
        <v>130</v>
      </c>
      <c r="M9" s="363" t="s">
        <v>11</v>
      </c>
      <c r="N9" s="363" t="s">
        <v>1</v>
      </c>
      <c r="P9">
        <v>50</v>
      </c>
      <c r="Q9">
        <v>0</v>
      </c>
      <c r="R9" t="s">
        <v>205</v>
      </c>
    </row>
    <row r="10" spans="2:18" x14ac:dyDescent="0.3">
      <c r="B10" s="365">
        <v>40</v>
      </c>
      <c r="C10" s="365">
        <v>80</v>
      </c>
      <c r="D10" s="366" t="s">
        <v>206</v>
      </c>
      <c r="E10" s="246" t="s">
        <v>207</v>
      </c>
      <c r="G10" s="365">
        <v>50</v>
      </c>
      <c r="H10" s="365"/>
      <c r="I10" s="366" t="s">
        <v>208</v>
      </c>
      <c r="L10" s="365">
        <v>50</v>
      </c>
      <c r="M10" s="365">
        <v>-30</v>
      </c>
      <c r="N10" s="366" t="s">
        <v>188</v>
      </c>
      <c r="P10">
        <v>50</v>
      </c>
      <c r="Q10">
        <v>0</v>
      </c>
      <c r="R10" t="s">
        <v>209</v>
      </c>
    </row>
    <row r="11" spans="2:18" x14ac:dyDescent="0.3">
      <c r="B11" s="365">
        <v>40</v>
      </c>
      <c r="C11" s="365">
        <v>60</v>
      </c>
      <c r="D11" s="366" t="s">
        <v>210</v>
      </c>
      <c r="E11" s="246" t="s">
        <v>211</v>
      </c>
      <c r="G11" s="365">
        <v>50</v>
      </c>
      <c r="H11" s="365">
        <v>100</v>
      </c>
      <c r="I11" s="366" t="s">
        <v>202</v>
      </c>
      <c r="L11" s="365">
        <v>50</v>
      </c>
      <c r="M11" s="365">
        <v>0</v>
      </c>
      <c r="N11" s="366" t="s">
        <v>212</v>
      </c>
      <c r="P11">
        <v>50</v>
      </c>
      <c r="Q11">
        <v>0</v>
      </c>
      <c r="R11" t="s">
        <v>213</v>
      </c>
    </row>
    <row r="12" spans="2:18" x14ac:dyDescent="0.3">
      <c r="B12" s="365">
        <v>40</v>
      </c>
      <c r="C12" s="365">
        <v>100</v>
      </c>
      <c r="D12" s="366" t="s">
        <v>214</v>
      </c>
      <c r="E12" s="246" t="s">
        <v>215</v>
      </c>
      <c r="G12" s="365">
        <v>50</v>
      </c>
      <c r="H12" s="365"/>
      <c r="I12" s="366" t="s">
        <v>206</v>
      </c>
      <c r="L12" s="365">
        <v>50</v>
      </c>
      <c r="M12" s="365">
        <v>-2</v>
      </c>
      <c r="N12" s="366" t="s">
        <v>216</v>
      </c>
      <c r="P12">
        <v>50</v>
      </c>
      <c r="Q12">
        <v>0</v>
      </c>
      <c r="R12" t="s">
        <v>217</v>
      </c>
    </row>
    <row r="13" spans="2:18" x14ac:dyDescent="0.3">
      <c r="B13" s="365">
        <v>40</v>
      </c>
      <c r="C13" s="365">
        <v>130</v>
      </c>
      <c r="D13" s="366" t="s">
        <v>218</v>
      </c>
      <c r="E13" s="246" t="s">
        <v>219</v>
      </c>
      <c r="G13" s="365">
        <v>50</v>
      </c>
      <c r="H13" s="365">
        <v>-30</v>
      </c>
      <c r="I13" s="366" t="s">
        <v>188</v>
      </c>
      <c r="P13">
        <v>50</v>
      </c>
      <c r="Q13">
        <v>0</v>
      </c>
      <c r="R13" t="s">
        <v>220</v>
      </c>
    </row>
    <row r="14" spans="2:18" x14ac:dyDescent="0.3">
      <c r="B14" s="365">
        <v>40</v>
      </c>
      <c r="C14" s="365">
        <v>150</v>
      </c>
      <c r="D14" s="366" t="s">
        <v>195</v>
      </c>
      <c r="E14" s="246"/>
      <c r="G14" s="365">
        <v>50</v>
      </c>
      <c r="H14" s="365">
        <v>-30</v>
      </c>
      <c r="I14" s="366" t="s">
        <v>195</v>
      </c>
    </row>
    <row r="15" spans="2:18" x14ac:dyDescent="0.3">
      <c r="B15" s="365">
        <v>40</v>
      </c>
      <c r="C15" s="365">
        <v>150</v>
      </c>
      <c r="D15" s="366" t="s">
        <v>221</v>
      </c>
      <c r="E15" s="246" t="s">
        <v>222</v>
      </c>
      <c r="G15" s="365">
        <v>50</v>
      </c>
      <c r="H15" s="365">
        <v>-30</v>
      </c>
      <c r="I15" s="366" t="s">
        <v>198</v>
      </c>
      <c r="P15">
        <v>50</v>
      </c>
      <c r="Q15">
        <v>0</v>
      </c>
      <c r="R15" t="s">
        <v>223</v>
      </c>
    </row>
    <row r="16" spans="2:18" x14ac:dyDescent="0.3">
      <c r="B16" s="365">
        <v>40</v>
      </c>
      <c r="C16" s="365">
        <v>130</v>
      </c>
      <c r="D16" s="366" t="s">
        <v>224</v>
      </c>
      <c r="E16" s="246" t="s">
        <v>225</v>
      </c>
      <c r="G16" s="365">
        <v>50</v>
      </c>
      <c r="H16" s="365">
        <v>-30</v>
      </c>
      <c r="I16" s="366" t="s">
        <v>226</v>
      </c>
      <c r="P16">
        <v>50</v>
      </c>
      <c r="Q16">
        <v>0</v>
      </c>
      <c r="R16" t="s">
        <v>227</v>
      </c>
    </row>
    <row r="17" spans="2:18" x14ac:dyDescent="0.3">
      <c r="B17" s="365">
        <v>40</v>
      </c>
      <c r="C17" s="365">
        <v>150</v>
      </c>
      <c r="D17" s="366" t="s">
        <v>213</v>
      </c>
      <c r="E17" s="246" t="s">
        <v>228</v>
      </c>
      <c r="G17" s="365">
        <v>50</v>
      </c>
      <c r="H17" s="365"/>
      <c r="I17" s="366" t="s">
        <v>213</v>
      </c>
      <c r="P17">
        <v>50</v>
      </c>
      <c r="Q17">
        <v>0</v>
      </c>
      <c r="R17" t="s">
        <v>229</v>
      </c>
    </row>
    <row r="18" spans="2:18" x14ac:dyDescent="0.3">
      <c r="B18" s="365">
        <v>140</v>
      </c>
      <c r="C18" s="365">
        <v>150</v>
      </c>
      <c r="D18" s="366" t="s">
        <v>217</v>
      </c>
      <c r="E18" s="246" t="s">
        <v>230</v>
      </c>
      <c r="G18" s="365">
        <v>50</v>
      </c>
      <c r="H18" s="365"/>
      <c r="I18" s="366" t="s">
        <v>217</v>
      </c>
      <c r="P18">
        <v>50</v>
      </c>
      <c r="Q18">
        <v>0</v>
      </c>
      <c r="R18" t="s">
        <v>231</v>
      </c>
    </row>
    <row r="19" spans="2:18" x14ac:dyDescent="0.3">
      <c r="B19" s="365">
        <v>150</v>
      </c>
      <c r="C19" s="365">
        <v>150</v>
      </c>
      <c r="D19" s="366" t="s">
        <v>220</v>
      </c>
      <c r="E19" s="246" t="s">
        <v>232</v>
      </c>
      <c r="G19" s="365">
        <v>50</v>
      </c>
      <c r="H19" s="365"/>
      <c r="I19" s="366" t="s">
        <v>220</v>
      </c>
      <c r="P19">
        <v>50</v>
      </c>
      <c r="Q19">
        <v>0</v>
      </c>
      <c r="R19" t="s">
        <v>233</v>
      </c>
    </row>
    <row r="20" spans="2:18" x14ac:dyDescent="0.3">
      <c r="B20" s="365">
        <v>40</v>
      </c>
      <c r="C20" s="365">
        <v>100</v>
      </c>
      <c r="D20" s="366" t="s">
        <v>234</v>
      </c>
      <c r="E20" s="246" t="s">
        <v>235</v>
      </c>
      <c r="G20" s="365">
        <v>50</v>
      </c>
      <c r="H20" s="365">
        <v>0</v>
      </c>
      <c r="I20" s="366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5">
        <v>100</v>
      </c>
      <c r="C21" s="365">
        <v>100</v>
      </c>
      <c r="D21" s="366" t="s">
        <v>238</v>
      </c>
      <c r="E21" s="246" t="s">
        <v>239</v>
      </c>
      <c r="G21" s="365">
        <v>50</v>
      </c>
      <c r="H21" s="365">
        <v>0</v>
      </c>
      <c r="I21" s="366" t="s">
        <v>238</v>
      </c>
      <c r="P21">
        <v>50</v>
      </c>
      <c r="Q21">
        <v>0</v>
      </c>
      <c r="R21" t="s">
        <v>240</v>
      </c>
    </row>
    <row r="22" spans="2:18" x14ac:dyDescent="0.3">
      <c r="B22" s="365">
        <v>100</v>
      </c>
      <c r="C22" s="365">
        <v>100</v>
      </c>
      <c r="D22" s="366" t="s">
        <v>223</v>
      </c>
      <c r="E22" s="246" t="s">
        <v>241</v>
      </c>
      <c r="G22" s="362"/>
      <c r="H22" s="362"/>
      <c r="I22" s="367" t="s">
        <v>223</v>
      </c>
      <c r="P22">
        <v>50</v>
      </c>
      <c r="Q22">
        <v>0</v>
      </c>
      <c r="R22" t="s">
        <v>242</v>
      </c>
    </row>
    <row r="23" spans="2:18" x14ac:dyDescent="0.3">
      <c r="B23" s="365">
        <v>40</v>
      </c>
      <c r="C23" s="365">
        <v>150</v>
      </c>
      <c r="D23" s="366" t="s">
        <v>227</v>
      </c>
      <c r="E23" s="246" t="s">
        <v>243</v>
      </c>
      <c r="G23" s="365">
        <v>50</v>
      </c>
      <c r="H23" s="365"/>
      <c r="I23" s="366" t="s">
        <v>227</v>
      </c>
      <c r="R23" t="s">
        <v>244</v>
      </c>
    </row>
    <row r="24" spans="2:18" x14ac:dyDescent="0.3">
      <c r="B24" s="365">
        <v>140</v>
      </c>
      <c r="C24" s="365">
        <v>150</v>
      </c>
      <c r="D24" s="366" t="s">
        <v>229</v>
      </c>
      <c r="E24" s="246" t="s">
        <v>245</v>
      </c>
      <c r="G24" s="365">
        <v>50</v>
      </c>
      <c r="H24" s="365"/>
      <c r="I24" s="366" t="s">
        <v>229</v>
      </c>
      <c r="R24" t="s">
        <v>246</v>
      </c>
    </row>
    <row r="25" spans="2:18" x14ac:dyDescent="0.3">
      <c r="B25" s="365">
        <v>150</v>
      </c>
      <c r="C25" s="365">
        <v>150</v>
      </c>
      <c r="D25" s="366" t="s">
        <v>231</v>
      </c>
      <c r="E25" s="246" t="s">
        <v>247</v>
      </c>
      <c r="G25" s="365">
        <v>50</v>
      </c>
      <c r="H25" s="365"/>
      <c r="I25" s="366" t="s">
        <v>231</v>
      </c>
      <c r="R25" t="s">
        <v>193</v>
      </c>
    </row>
    <row r="26" spans="2:18" x14ac:dyDescent="0.3">
      <c r="B26" s="365">
        <v>40</v>
      </c>
      <c r="C26" s="365">
        <v>77</v>
      </c>
      <c r="D26" s="366" t="s">
        <v>233</v>
      </c>
      <c r="E26" s="246" t="s">
        <v>248</v>
      </c>
      <c r="G26" s="365">
        <v>50</v>
      </c>
      <c r="H26" s="365"/>
      <c r="I26" s="366" t="s">
        <v>233</v>
      </c>
      <c r="R26" t="s">
        <v>196</v>
      </c>
    </row>
    <row r="27" spans="2:18" x14ac:dyDescent="0.3">
      <c r="B27" s="365">
        <v>110</v>
      </c>
      <c r="C27" s="365">
        <v>77</v>
      </c>
      <c r="D27" s="366" t="s">
        <v>237</v>
      </c>
      <c r="E27" s="246" t="s">
        <v>249</v>
      </c>
      <c r="G27" s="365">
        <v>50</v>
      </c>
      <c r="H27" s="365"/>
      <c r="I27" s="366" t="s">
        <v>237</v>
      </c>
      <c r="R27" t="s">
        <v>199</v>
      </c>
    </row>
    <row r="28" spans="2:18" x14ac:dyDescent="0.3">
      <c r="B28" s="365">
        <v>120</v>
      </c>
      <c r="C28" s="365">
        <v>77</v>
      </c>
      <c r="D28" s="366" t="s">
        <v>240</v>
      </c>
      <c r="E28" s="246" t="s">
        <v>250</v>
      </c>
      <c r="G28" s="365">
        <v>50</v>
      </c>
      <c r="H28" s="365"/>
      <c r="I28" s="366" t="s">
        <v>240</v>
      </c>
      <c r="R28" t="s">
        <v>204</v>
      </c>
    </row>
    <row r="29" spans="2:18" x14ac:dyDescent="0.3">
      <c r="B29" s="365">
        <v>40</v>
      </c>
      <c r="C29" s="365">
        <v>50</v>
      </c>
      <c r="D29" s="366" t="s">
        <v>242</v>
      </c>
      <c r="E29" s="246" t="s">
        <v>251</v>
      </c>
      <c r="G29" s="365">
        <v>50</v>
      </c>
      <c r="H29" s="365"/>
      <c r="I29" s="366" t="s">
        <v>242</v>
      </c>
      <c r="R29" t="s">
        <v>208</v>
      </c>
    </row>
    <row r="30" spans="2:18" x14ac:dyDescent="0.3">
      <c r="B30" s="365">
        <v>40</v>
      </c>
      <c r="C30" s="365">
        <v>60</v>
      </c>
      <c r="D30" s="366" t="s">
        <v>252</v>
      </c>
      <c r="E30" s="246" t="s">
        <v>253</v>
      </c>
      <c r="G30" s="365">
        <v>50</v>
      </c>
      <c r="H30" s="365"/>
      <c r="I30" s="366" t="s">
        <v>209</v>
      </c>
      <c r="R30" t="s">
        <v>202</v>
      </c>
    </row>
    <row r="31" spans="2:18" x14ac:dyDescent="0.3">
      <c r="B31" s="365">
        <v>40</v>
      </c>
      <c r="C31" s="365">
        <v>100</v>
      </c>
      <c r="D31" s="366" t="s">
        <v>205</v>
      </c>
      <c r="E31" s="246" t="s">
        <v>254</v>
      </c>
      <c r="G31" s="365">
        <v>50</v>
      </c>
      <c r="H31" s="365"/>
      <c r="I31" s="366" t="s">
        <v>205</v>
      </c>
      <c r="R31" t="s">
        <v>206</v>
      </c>
    </row>
    <row r="32" spans="2:18" x14ac:dyDescent="0.3">
      <c r="B32" s="365">
        <v>40</v>
      </c>
      <c r="C32" s="365">
        <v>60</v>
      </c>
      <c r="D32" s="366" t="s">
        <v>255</v>
      </c>
      <c r="E32" s="246" t="s">
        <v>256</v>
      </c>
      <c r="G32" s="365">
        <v>50</v>
      </c>
      <c r="H32" s="365"/>
      <c r="I32" s="366" t="s">
        <v>255</v>
      </c>
      <c r="R32" t="s">
        <v>257</v>
      </c>
    </row>
    <row r="33" spans="2:18" x14ac:dyDescent="0.3">
      <c r="B33" s="365">
        <v>40</v>
      </c>
      <c r="C33" s="365">
        <v>90</v>
      </c>
      <c r="D33" s="366" t="s">
        <v>258</v>
      </c>
      <c r="E33" s="246" t="s">
        <v>259</v>
      </c>
      <c r="G33" s="365">
        <v>50</v>
      </c>
      <c r="H33" s="365">
        <v>-2</v>
      </c>
      <c r="I33" s="366" t="s">
        <v>258</v>
      </c>
      <c r="R33" t="s">
        <v>260</v>
      </c>
    </row>
    <row r="34" spans="2:18" x14ac:dyDescent="0.3">
      <c r="B34" s="365">
        <v>40</v>
      </c>
      <c r="C34" s="365">
        <v>90</v>
      </c>
      <c r="D34" s="366" t="s">
        <v>261</v>
      </c>
      <c r="E34" s="246"/>
      <c r="G34" s="365">
        <v>50</v>
      </c>
      <c r="H34" s="365">
        <v>-2</v>
      </c>
      <c r="I34" s="366" t="s">
        <v>261</v>
      </c>
    </row>
    <row r="35" spans="2:18" x14ac:dyDescent="0.3">
      <c r="B35" s="365">
        <v>40</v>
      </c>
      <c r="C35" s="365">
        <v>90</v>
      </c>
      <c r="D35" s="366" t="s">
        <v>257</v>
      </c>
      <c r="E35" s="246" t="s">
        <v>262</v>
      </c>
      <c r="G35" s="365">
        <v>50</v>
      </c>
      <c r="H35" s="365">
        <v>-2</v>
      </c>
      <c r="I35" s="366" t="s">
        <v>257</v>
      </c>
      <c r="R35" t="s">
        <v>263</v>
      </c>
    </row>
    <row r="36" spans="2:18" x14ac:dyDescent="0.3">
      <c r="B36" s="368">
        <v>40</v>
      </c>
      <c r="C36" s="368">
        <v>90</v>
      </c>
      <c r="D36" s="369" t="s">
        <v>260</v>
      </c>
      <c r="G36" s="365">
        <v>50</v>
      </c>
      <c r="H36" s="365">
        <v>-2</v>
      </c>
      <c r="I36" s="366" t="s">
        <v>260</v>
      </c>
      <c r="R36" t="s">
        <v>258</v>
      </c>
    </row>
    <row r="37" spans="2:18" x14ac:dyDescent="0.3">
      <c r="B37" s="368">
        <v>40</v>
      </c>
      <c r="C37" s="368">
        <v>90</v>
      </c>
      <c r="D37" s="369" t="s">
        <v>263</v>
      </c>
      <c r="G37" s="365">
        <v>50</v>
      </c>
      <c r="H37" s="365">
        <v>-2</v>
      </c>
      <c r="I37" s="366" t="s">
        <v>263</v>
      </c>
      <c r="R37" t="s">
        <v>261</v>
      </c>
    </row>
    <row r="48" spans="2:18" x14ac:dyDescent="0.3">
      <c r="B48" s="365">
        <v>40</v>
      </c>
      <c r="C48" s="365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sqref="A1:XFD1048576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0" t="s">
        <v>265</v>
      </c>
      <c r="L3" s="460"/>
      <c r="M3" s="460" t="s">
        <v>266</v>
      </c>
      <c r="N3" s="460"/>
    </row>
    <row r="4" spans="1:14" ht="15.75" customHeight="1" x14ac:dyDescent="0.3">
      <c r="A4" s="138"/>
      <c r="B4" s="138"/>
      <c r="C4" s="370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1" t="s">
        <v>267</v>
      </c>
      <c r="D5" s="372" t="str">
        <f>'NOTA DE VENTA'!$C$10</f>
        <v>MOBILIARIO FYR  LTDA.</v>
      </c>
      <c r="E5" s="320"/>
      <c r="F5" s="320"/>
      <c r="G5" s="138"/>
      <c r="K5">
        <f>LOOKUP(F14,REGLAS!$I$4:$I$37,REGLAS!$G$4:$G$37)+J14</f>
        <v>2070</v>
      </c>
      <c r="L5">
        <f>LOOKUP(F14,REGLAS!$I$4:$I$37,REGLAS!$H$4:$H$37)+K14</f>
        <v>570</v>
      </c>
      <c r="M5">
        <f>LOOKUP(F14,REGLAS!$D$4:$D$37,REGLAS!$B$4:$B$37)+J21</f>
        <v>2060</v>
      </c>
      <c r="N5">
        <f>H10</f>
        <v>0</v>
      </c>
    </row>
    <row r="6" spans="1:14" ht="4.5" customHeight="1" x14ac:dyDescent="0.3">
      <c r="A6" s="138"/>
      <c r="B6" s="138"/>
      <c r="C6" s="373"/>
      <c r="D6" s="374"/>
      <c r="E6" s="138"/>
      <c r="F6" s="138"/>
      <c r="G6" s="138"/>
    </row>
    <row r="7" spans="1:14" ht="15.6" x14ac:dyDescent="0.3">
      <c r="A7" s="138"/>
      <c r="B7" s="138"/>
      <c r="C7" s="396" t="str">
        <f>'NOTA DE VENTA'!$F$10</f>
        <v>FECHA :</v>
      </c>
      <c r="D7" s="405">
        <f>'NOTA DE VENTA'!$G$10</f>
        <v>46083</v>
      </c>
      <c r="E7" s="138"/>
      <c r="F7" s="138"/>
      <c r="G7" s="138"/>
    </row>
    <row r="8" spans="1:14" ht="15.6" x14ac:dyDescent="0.3">
      <c r="A8" s="138"/>
      <c r="B8" s="138"/>
      <c r="C8" s="370" t="s">
        <v>268</v>
      </c>
      <c r="D8" s="404">
        <f>'NOTA DE VENTA'!$G$11</f>
        <v>46090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1" t="s">
        <v>265</v>
      </c>
      <c r="B10" s="461"/>
      <c r="C10" s="461"/>
      <c r="D10" s="461"/>
      <c r="E10" s="461"/>
      <c r="F10" s="461"/>
      <c r="G10" s="138"/>
    </row>
    <row r="11" spans="1:14" ht="15.6" x14ac:dyDescent="0.3">
      <c r="A11" s="138"/>
      <c r="B11" s="138"/>
      <c r="C11" s="376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3" t="s">
        <v>130</v>
      </c>
      <c r="E12" s="333" t="s">
        <v>11</v>
      </c>
      <c r="F12" s="138"/>
      <c r="G12" s="138"/>
    </row>
    <row r="13" spans="1:14" ht="15.6" x14ac:dyDescent="0.3">
      <c r="A13" s="333" t="s">
        <v>87</v>
      </c>
      <c r="B13" s="377" t="s">
        <v>96</v>
      </c>
      <c r="C13" s="377" t="s">
        <v>25</v>
      </c>
      <c r="D13" s="378">
        <v>80</v>
      </c>
      <c r="E13" s="378">
        <v>-30</v>
      </c>
      <c r="F13" s="377" t="s">
        <v>269</v>
      </c>
      <c r="G13" s="138"/>
      <c r="J13" s="379" t="s">
        <v>130</v>
      </c>
      <c r="K13" s="379" t="s">
        <v>11</v>
      </c>
    </row>
    <row r="14" spans="1:14" ht="15.6" x14ac:dyDescent="0.3">
      <c r="A14" s="380" t="s">
        <v>31</v>
      </c>
      <c r="B14" s="381">
        <f t="shared" ref="B14" si="0">I14</f>
        <v>1</v>
      </c>
      <c r="C14" s="381"/>
      <c r="D14" s="381">
        <f>LOOKUP(F14,REGLAS!$I$4:$I$37,REGLAS!$G$4:$G$37)+J14</f>
        <v>2070</v>
      </c>
      <c r="E14" s="382">
        <f>LOOKUP(F14,REGLAS!$I$4:$I$37,REGLAS!$H$4:$H$37)+K14</f>
        <v>570</v>
      </c>
      <c r="F14" s="383" t="str">
        <f>C27</f>
        <v>CUB C/R R8</v>
      </c>
      <c r="G14" s="138"/>
      <c r="I14" s="384">
        <f>I21</f>
        <v>1</v>
      </c>
      <c r="J14" s="150">
        <f t="shared" ref="J14:K14" si="1">D27</f>
        <v>2020</v>
      </c>
      <c r="K14" s="150">
        <f t="shared" si="1"/>
        <v>600</v>
      </c>
    </row>
    <row r="15" spans="1:14" ht="15.6" x14ac:dyDescent="0.3">
      <c r="A15" s="333"/>
      <c r="B15" s="52"/>
      <c r="C15" s="52"/>
      <c r="D15" s="52"/>
      <c r="E15" s="385"/>
      <c r="F15" s="52"/>
      <c r="G15" s="138"/>
      <c r="I15" s="386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1" t="s">
        <v>266</v>
      </c>
      <c r="B17" s="461"/>
      <c r="C17" s="461"/>
      <c r="D17" s="461"/>
      <c r="E17" s="461"/>
      <c r="F17" s="461"/>
      <c r="G17" s="138"/>
    </row>
    <row r="18" spans="1:11" ht="10.5" customHeight="1" x14ac:dyDescent="0.3">
      <c r="A18" s="138"/>
      <c r="B18" s="138"/>
      <c r="C18" s="376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3" t="s">
        <v>130</v>
      </c>
      <c r="E19" s="333" t="s">
        <v>11</v>
      </c>
      <c r="F19" s="138"/>
      <c r="G19" s="138"/>
    </row>
    <row r="20" spans="1:11" ht="15.6" x14ac:dyDescent="0.3">
      <c r="A20" s="333" t="s">
        <v>87</v>
      </c>
      <c r="B20" s="387" t="s">
        <v>96</v>
      </c>
      <c r="C20" s="387" t="s">
        <v>25</v>
      </c>
      <c r="D20" s="388">
        <v>40</v>
      </c>
      <c r="E20" s="388">
        <v>130</v>
      </c>
      <c r="F20" s="387" t="s">
        <v>269</v>
      </c>
      <c r="G20" s="138"/>
      <c r="J20" s="379" t="s">
        <v>130</v>
      </c>
      <c r="K20" s="379" t="s">
        <v>11</v>
      </c>
    </row>
    <row r="21" spans="1:11" ht="15.6" x14ac:dyDescent="0.3">
      <c r="A21" s="380" t="s">
        <v>270</v>
      </c>
      <c r="B21" s="389">
        <f t="shared" ref="B21" si="2">I21</f>
        <v>1</v>
      </c>
      <c r="C21" s="389"/>
      <c r="D21" s="389">
        <f>LOOKUP(F14,REGLAS!$D$4:$D$37,REGLAS!$B$4:$B$37)+J21</f>
        <v>2060</v>
      </c>
      <c r="E21" s="389">
        <f>LOOKUP(F14,REGLAS!$D$4:$D$37,REGLAS!$C$4:$C$37)+K21</f>
        <v>730</v>
      </c>
      <c r="F21" s="390" t="str">
        <f>C27</f>
        <v>CUB C/R R8</v>
      </c>
      <c r="G21" s="138"/>
      <c r="I21" s="384">
        <f>B27</f>
        <v>1</v>
      </c>
      <c r="J21" s="150">
        <f>D27</f>
        <v>2020</v>
      </c>
      <c r="K21" s="150">
        <f>E27</f>
        <v>600</v>
      </c>
    </row>
    <row r="22" spans="1:11" ht="15.6" x14ac:dyDescent="0.3">
      <c r="A22" s="391"/>
      <c r="B22" s="52"/>
      <c r="C22" s="52"/>
      <c r="D22" s="52"/>
      <c r="E22" s="52"/>
      <c r="F22" s="52"/>
      <c r="G22" s="138"/>
      <c r="I22" s="386"/>
      <c r="J22" s="6"/>
      <c r="K22" s="6"/>
    </row>
    <row r="23" spans="1:11" ht="16.2" thickBot="1" x14ac:dyDescent="0.35">
      <c r="A23" s="333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3"/>
      <c r="B24" s="392" t="s">
        <v>271</v>
      </c>
      <c r="C24" s="393"/>
      <c r="D24" s="393"/>
      <c r="E24" s="393"/>
      <c r="F24" s="394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3" t="s">
        <v>87</v>
      </c>
      <c r="B26" s="395" t="s">
        <v>96</v>
      </c>
      <c r="C26" s="395" t="s">
        <v>269</v>
      </c>
      <c r="D26" s="395" t="s">
        <v>130</v>
      </c>
      <c r="E26" s="395" t="s">
        <v>11</v>
      </c>
      <c r="F26" s="395" t="s">
        <v>8</v>
      </c>
      <c r="G26" s="138"/>
    </row>
    <row r="27" spans="1:11" ht="15.6" x14ac:dyDescent="0.3">
      <c r="A27" s="380" t="s">
        <v>31</v>
      </c>
      <c r="B27" s="381">
        <f>'[1]4637'!B21</f>
        <v>1</v>
      </c>
      <c r="C27" s="383" t="str">
        <f>C49</f>
        <v>CUB C/R R8</v>
      </c>
      <c r="D27" s="383">
        <f t="shared" ref="D27:F27" si="3">D49</f>
        <v>2020</v>
      </c>
      <c r="E27" s="383">
        <f t="shared" si="3"/>
        <v>600</v>
      </c>
      <c r="F27" s="383" t="str">
        <f t="shared" si="3"/>
        <v>GLACIAL WHITE 22191 SF</v>
      </c>
      <c r="G27" s="138"/>
    </row>
    <row r="28" spans="1:11" ht="15.6" x14ac:dyDescent="0.3">
      <c r="A28" s="391"/>
      <c r="B28" s="52"/>
      <c r="C28" s="52"/>
      <c r="D28" s="52"/>
      <c r="E28" s="52"/>
      <c r="F28" s="52"/>
      <c r="G28" s="138"/>
    </row>
    <row r="29" spans="1:11" ht="15.6" x14ac:dyDescent="0.3">
      <c r="A29" s="333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70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1" t="s">
        <v>267</v>
      </c>
      <c r="D40" s="372" t="str">
        <f>'[1]4637'!C10</f>
        <v>FMR MAKING SPA</v>
      </c>
      <c r="E40" s="320"/>
      <c r="F40" s="320"/>
      <c r="G40" s="138"/>
    </row>
    <row r="41" spans="1:7" ht="4.5" customHeight="1" x14ac:dyDescent="0.3">
      <c r="A41" s="138"/>
      <c r="B41" s="138"/>
      <c r="C41" s="373"/>
      <c r="D41" s="374"/>
      <c r="E41" s="138"/>
      <c r="F41" s="138"/>
      <c r="G41" s="138"/>
    </row>
    <row r="42" spans="1:7" ht="15.6" x14ac:dyDescent="0.3">
      <c r="A42" s="138"/>
      <c r="B42" s="138"/>
      <c r="C42" s="396" t="str">
        <f>'[1]4637'!F11</f>
        <v>FECHA LIMITE :</v>
      </c>
      <c r="D42" s="375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1" t="s">
        <v>272</v>
      </c>
      <c r="B45" s="461"/>
      <c r="C45" s="461"/>
      <c r="D45" s="461"/>
      <c r="E45" s="461"/>
      <c r="F45" s="461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6" t="s">
        <v>95</v>
      </c>
      <c r="C47" s="457"/>
      <c r="D47" s="458"/>
      <c r="E47" s="458"/>
      <c r="F47" s="459"/>
      <c r="G47" s="138"/>
    </row>
    <row r="48" spans="1:7" s="59" customFormat="1" ht="12.75" customHeight="1" x14ac:dyDescent="0.3">
      <c r="A48" s="138"/>
      <c r="B48" s="387" t="s">
        <v>96</v>
      </c>
      <c r="C48" s="397" t="s">
        <v>25</v>
      </c>
      <c r="D48" s="398" t="s">
        <v>130</v>
      </c>
      <c r="E48" s="398" t="s">
        <v>11</v>
      </c>
      <c r="F48" s="399" t="s">
        <v>273</v>
      </c>
      <c r="G48" s="138"/>
    </row>
    <row r="49" spans="1:7" s="59" customFormat="1" ht="15" customHeight="1" x14ac:dyDescent="0.3">
      <c r="A49" s="380" t="s">
        <v>274</v>
      </c>
      <c r="B49" s="400">
        <f>'[1]4637'!B21</f>
        <v>1</v>
      </c>
      <c r="C49" s="401" t="str">
        <f>'NOTA DE VENTA'!$C22</f>
        <v>CUB C/R R8</v>
      </c>
      <c r="D49" s="430">
        <v>2020</v>
      </c>
      <c r="E49" s="430">
        <f>'NOTA DE VENTA'!E22</f>
        <v>600</v>
      </c>
      <c r="F49" s="430" t="str">
        <f>'NOTA DE VENTA'!F22</f>
        <v>GLACIAL WHITE 22191 SF</v>
      </c>
      <c r="G49" s="138"/>
    </row>
    <row r="50" spans="1:7" s="59" customFormat="1" ht="15" customHeight="1" x14ac:dyDescent="0.3">
      <c r="A50" s="391"/>
      <c r="B50" s="333"/>
      <c r="C50" s="402"/>
      <c r="D50" s="333"/>
      <c r="E50" s="333"/>
      <c r="F50" s="333"/>
      <c r="G50" s="138"/>
    </row>
    <row r="51" spans="1:7" s="59" customFormat="1" ht="15" customHeight="1" x14ac:dyDescent="0.3">
      <c r="A51" s="139"/>
      <c r="B51" s="333"/>
      <c r="C51" s="333"/>
      <c r="D51" s="333"/>
      <c r="E51" s="333"/>
      <c r="F51" s="333"/>
      <c r="G51" s="138"/>
    </row>
    <row r="52" spans="1:7" ht="15.6" x14ac:dyDescent="0.3">
      <c r="A52" s="52"/>
      <c r="B52" s="52"/>
      <c r="C52" s="138"/>
      <c r="D52" s="52"/>
      <c r="E52" s="52"/>
      <c r="F52" s="373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12017</v>
      </c>
      <c r="C2" s="1">
        <f>'NOTA DE VENTA'!$G$10</f>
        <v>46083</v>
      </c>
      <c r="D2" s="1">
        <f>'NOTA DE VENTA'!$G$11</f>
        <v>46090</v>
      </c>
      <c r="E2" t="str">
        <f>'NOTA DE VENTA'!$C$10</f>
        <v>MOBILIARIO FYR  LTDA.</v>
      </c>
      <c r="F2" t="str">
        <f>'NOTA DE VENTA'!$C$22</f>
        <v>CUB C/R R8</v>
      </c>
      <c r="G2" t="str">
        <f>'NOTA DE VENTA'!$F$22</f>
        <v>GLACIAL WHITE 22191 SF</v>
      </c>
      <c r="H2" s="415">
        <f>'NOTA DE VENTA'!$H$25</f>
        <v>88406</v>
      </c>
      <c r="I2" s="415">
        <f>H2*0.19</f>
        <v>16797.14</v>
      </c>
      <c r="J2" s="415">
        <f>I2+H2</f>
        <v>105203.14</v>
      </c>
      <c r="L2" s="61">
        <f>J2-K2</f>
        <v>105203.14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2026-03-04T19:32:03Z</cp:lastPrinted>
  <dcterms:created xsi:type="dcterms:W3CDTF">2013-03-18T13:35:42Z</dcterms:created>
  <dcterms:modified xsi:type="dcterms:W3CDTF">2026-03-04T19:45:24Z</dcterms:modified>
</cp:coreProperties>
</file>