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\"/>
    </mc:Choice>
  </mc:AlternateContent>
  <xr:revisionPtr revIDLastSave="0" documentId="13_ncr:1_{9B0BF709-12AD-4CE1-AB55-31DE1744EC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B24" i="1"/>
  <c r="N23" i="1" l="1"/>
  <c r="M23" i="1"/>
  <c r="S23" i="1" s="1"/>
  <c r="H23" i="1"/>
  <c r="D27" i="6"/>
  <c r="C27" i="6"/>
  <c r="C49" i="6"/>
  <c r="O23" i="1" l="1"/>
  <c r="P23" i="1" s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6" i="1" l="1"/>
  <c r="S21" i="1"/>
  <c r="S27" i="1" s="1"/>
  <c r="T21" i="1"/>
  <c r="T25" i="1" s="1"/>
  <c r="O21" i="1"/>
  <c r="P21" i="1" s="1"/>
  <c r="P26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1" i="1" l="1"/>
  <c r="O39" i="1" s="1"/>
  <c r="O40" i="1" s="1"/>
  <c r="O41" i="1" l="1"/>
  <c r="D20" i="3"/>
  <c r="E20" i="3" s="1"/>
  <c r="E21" i="3" s="1"/>
  <c r="Q20" i="1" l="1"/>
  <c r="Q23" i="1" s="1"/>
  <c r="R23" i="1" s="1"/>
  <c r="D21" i="3"/>
  <c r="M43" i="3" s="1"/>
  <c r="D12" i="3" s="1"/>
  <c r="F20" i="3"/>
  <c r="F21" i="3" s="1"/>
  <c r="O42" i="1" l="1"/>
  <c r="E15" i="3"/>
  <c r="Q21" i="1" l="1"/>
  <c r="F15" i="3"/>
  <c r="R21" i="1" l="1"/>
  <c r="H21" i="1" l="1"/>
  <c r="H25" i="1" s="1"/>
  <c r="H26" i="1" l="1"/>
  <c r="H27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<sst xmlns="http://schemas.openxmlformats.org/spreadsheetml/2006/main" count="495" uniqueCount="300">
  <si>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</si>
  <si>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</si>
  <si>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</si>
  <si>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</si>
  <si>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</si>
  <si>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</si>
  <si>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</si>
  <si>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</si>
  <si>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</si>
  <si>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</si>
  <si>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</si>
  <si>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</si>
  <si>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</si>
  <si>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</si>
  <si>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</si>
  <si>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</si>
  <si>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</si>
  <si>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</si>
  <si>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</si>
  <si>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</si>
  <si>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</si>
  <si>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</si>
  <si>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</si>
  <si>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</si>
  <si>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</si>
  <si>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</si>
  <si>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</si>
  <si>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</si>
  <si>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</si>
  <si>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</si>
  <si>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</si>
  <si>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</si>
  <si>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</si>
  <si>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</si>
  <si>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</si>
  <si>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</si>
  <si>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</si>
  <si>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</si>
  <si>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</si>
  <si>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</si>
  <si>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</si>
  <si>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</si>
  <si>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</si>
  <si>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</si>
  <si>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</si>
  <si>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</si>
  <si>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</si>
  <si>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</si>
  <si>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</si>
  <si>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</si>
  <si>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</si>
  <si>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</si>
  <si>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</si>
  <si>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</si>
  <si>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</si>
  <si>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</si>
  <si>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</si>
  <si>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</si>
  <si>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</si>
  <si>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</si>
  <si>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</si>
  <si>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</si>
  <si>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</si>
  <si>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</si>
  <si>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</si>
  <si>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</si>
  <si>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</si>
  <si>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</si>
  <si>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</si>
  <si>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</si>
  <si>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</si>
  <si>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</si>
  <si>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</si>
  <si>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</si>
  <si>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</si>
  <si>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</si>
  <si>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</si>
  <si>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</si>
  <si>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</si>
  <si>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</si>
  <si>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</si>
  <si>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</si>
  <si>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</si>
  <si>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</si>
  <si>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</si>
  <si>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</si>
  <si>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</si>
  <si>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</si>
  <si>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</si>
  <si>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</si>
  <si>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</si>
  <si>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</si>
  <si>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</si>
  <si>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</si>
  <si>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</si>
  <si>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</si>
  <si>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</si>
  <si>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</si>
  <si>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</si>
  <si>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</si>
  <si>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</si>
  <si>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</si>
  <si>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</si>
  <si>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</si>
  <si>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</si>
  <si>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</si>
  <si>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</si>
  <si>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</si>
  <si>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</si>
  <si>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</si>
  <si>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</si>
  <si>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</si>
  <si>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</si>
  <si>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</si>
  <si>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</si>
  <si>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</si>
  <si>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</si>
  <si>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</si>
  <si>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</si>
  <si>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</si>
  <si>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</si>
  <si>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</si>
  <si>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</si>
  <si>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</si>
  <si>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</si>
  <si>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</si>
  <si>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</si>
  <si>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</si>
  <si>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</si>
  <si>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</si>
  <si>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</si>
  <si>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</si>
  <si>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</si>
  <si>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</si>
  <si>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</si>
  <si>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</si>
  <si>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</si>
  <si>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</si>
  <si>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</si>
  <si>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</si>
  <si>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</si>
  <si>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</si>
  <si>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</si>
  <si>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</si>
  <si>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</si>
  <si>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</si>
  <si>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</si>
  <si>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</si>
  <si>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</si>
  <si>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</si>
  <si>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</si>
  <si>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</si>
  <si>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</si>
  <si>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</si>
  <si>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</si>
  <si>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</si>
  <si>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</si>
  <si>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</si>
  <si>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</si>
  <si>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</si>
  <si>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</si>
  <si>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</si>
  <si>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</si>
  <si>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</si>
  <si>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</si>
  <si>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</si>
  <si>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</si>
  <si>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</si>
  <si>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</si>
  <si>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</si>
  <si>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</si>
  <si>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</si>
  <si>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</si>
  <si>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</si>
  <si>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</si>
  <si>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</si>
  <si>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</si>
  <si>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</si>
  <si>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</si>
  <si>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</si>
  <si>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</si>
  <si>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</si>
  <si>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</si>
  <si>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</si>
  <si>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</si>
  <si>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</si>
  <si>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</si>
  <si>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</si>
  <si>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</si>
  <si>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</si>
  <si>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</si>
  <si>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</si>
  <si>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</si>
  <si>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</si>
  <si>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</si>
  <si>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</si>
  <si>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</si>
  <si>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</si>
  <si>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</si>
  <si>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</si>
  <si>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</si>
  <si>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</si>
  <si>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</si>
  <si>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</si>
  <si>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</si>
  <si>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</si>
  <si>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</si>
  <si>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</si>
  <si>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</si>
  <si>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</si>
  <si>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</si>
  <si>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</si>
  <si>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</si>
  <si>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</si>
  <si>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</si>
  <si>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</si>
  <si>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</si>
  <si>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</si>
  <si>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</si>
  <si>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</si>
  <si>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</si>
  <si>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</si>
  <si>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</si>
  <si>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</si>
  <si>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</si>
  <si>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</si>
  <si>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</si>
  <si>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</si>
  <si>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</si>
  <si>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</si>
  <si>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</si>
  <si>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</si>
  <si>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</si>
  <si>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</si>
  <si>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</si>
  <si>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</si>
  <si>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</si>
  <si>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</si>
  <si>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</si>
  <si>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</si>
  <si>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</si>
  <si>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</si>
  <si>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</si>
  <si>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</si>
  <si>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</si>
  <si>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</si>
  <si>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</si>
  <si>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</si>
  <si>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</si>
  <si>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</si>
  <si>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</si>
  <si>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</si>
  <si>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</si>
  <si>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</si>
  <si>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</si>
  <si>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</si>
  <si>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</si>
  <si>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</si>
  <si>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</si>
  <si>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</si>
  <si>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</si>
  <si>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</si>
  <si>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</si>
  <si>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</si>
  <si>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</si>
  <si>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</si>
  <si>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</si>
  <si>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</si>
  <si>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</si>
  <si>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</si>
  <si>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</si>
  <si>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</si>
  <si>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</si>
  <si>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</si>
  <si>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</si>
  <si>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</si>
  <si>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</si>
  <si>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</si>
  <si>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</si>
  <si>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</si>
  <si>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</si>
  <si>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</si>
  <si>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</si>
  <si>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</si>
  <si>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</si>
  <si>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</si>
  <si>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+569 9360 1503</t>
  </si>
  <si>
    <t>N° 12014</t>
  </si>
  <si>
    <t>CUB CON RESPALDO FTE 90°</t>
  </si>
  <si>
    <t>GALAXIA GRAFITO 0491 MT</t>
  </si>
  <si>
    <t>NATURAL NEBULA WILSONART</t>
  </si>
  <si>
    <t>ANTOFAGASTA</t>
  </si>
  <si>
    <t>CHAMPAGNE METALIZADO 0220 MT</t>
  </si>
  <si>
    <t>MANUEL LOAIZA</t>
  </si>
  <si>
    <t>86.856.700-7</t>
  </si>
  <si>
    <t>CONTRUCTOTA NOVATEC S.A.</t>
  </si>
  <si>
    <t>CONSTRUCCION</t>
  </si>
  <si>
    <t>MLOIZA@NOVATEC.CL</t>
  </si>
  <si>
    <t>ABONO 35% CONTADO, SALDO C/E</t>
  </si>
  <si>
    <t>DESPACHOS PARCIALES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</si>
</sst>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65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167" fontId="11" fillId="0" borderId="4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16388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6065" y="5458235"/>
          <a:ext cx="631722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24581</xdr:colOff>
      <xdr:row>24</xdr:row>
      <xdr:rowOff>0</xdr:rowOff>
    </xdr:from>
    <xdr:to>
      <xdr:col>5</xdr:col>
      <xdr:colOff>1728839</xdr:colOff>
      <xdr:row>26</xdr:row>
      <xdr:rowOff>221225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4258" y="4555613"/>
          <a:ext cx="6292646" cy="66367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SOBRE MEDIDAS EN EL LARGO.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LOIZA@NOVATEC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B4" zoomScale="93" zoomScaleNormal="93" workbookViewId="0">
      <selection activeCell="G12" sqref="G1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5.109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160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5" t="s">
        <v>125</v>
      </c>
      <c r="C8" s="406"/>
      <c r="D8" s="407" t="s">
        <v>287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7" t="s">
        <v>295</v>
      </c>
      <c r="D10" s="243"/>
      <c r="E10" s="243"/>
      <c r="F10" s="416" t="s">
        <v>276</v>
      </c>
      <c r="G10" s="275">
        <v>46086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7" t="s">
        <v>12</v>
      </c>
      <c r="C11" s="418" t="s">
        <v>294</v>
      </c>
      <c r="F11" s="29" t="s">
        <v>285</v>
      </c>
      <c r="G11" s="419" t="s">
        <v>299</v>
      </c>
      <c r="H11" s="420"/>
      <c r="Q11" s="19"/>
      <c r="R11" s="25" t="s">
        <v>18</v>
      </c>
      <c r="S11" s="19"/>
    </row>
    <row r="12" spans="2:24" x14ac:dyDescent="0.3">
      <c r="B12" s="245" t="s">
        <v>142</v>
      </c>
      <c r="C12" s="415" t="s">
        <v>296</v>
      </c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7" t="s">
        <v>143</v>
      </c>
      <c r="C13" t="s">
        <v>293</v>
      </c>
      <c r="F13" s="29" t="s">
        <v>134</v>
      </c>
      <c r="G13" s="421" t="s">
        <v>133</v>
      </c>
      <c r="H13" s="420"/>
      <c r="Q13" s="19"/>
      <c r="R13" s="25"/>
      <c r="S13" s="19"/>
    </row>
    <row r="14" spans="2:24" x14ac:dyDescent="0.3">
      <c r="B14" s="245" t="s">
        <v>137</v>
      </c>
      <c r="C14" s="426" t="s">
        <v>297</v>
      </c>
      <c r="D14" s="246"/>
      <c r="E14" s="246"/>
      <c r="F14" s="301" t="s">
        <v>284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7" t="s">
        <v>4</v>
      </c>
      <c r="C15" s="428" t="s">
        <v>286</v>
      </c>
      <c r="D15" s="422"/>
      <c r="F15" s="29" t="s">
        <v>283</v>
      </c>
      <c r="G15" s="75" t="s">
        <v>133</v>
      </c>
      <c r="H15" s="420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298</v>
      </c>
      <c r="H16" s="247"/>
    </row>
    <row r="17" spans="1:25" ht="15" thickBot="1" x14ac:dyDescent="0.35">
      <c r="B17" s="423" t="s">
        <v>13</v>
      </c>
      <c r="C17" s="299" t="s">
        <v>291</v>
      </c>
      <c r="D17" s="300"/>
      <c r="E17" s="119"/>
      <c r="F17" s="424" t="s">
        <v>178</v>
      </c>
      <c r="G17" s="424" t="s">
        <v>179</v>
      </c>
      <c r="H17" s="425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8" t="s">
        <v>95</v>
      </c>
      <c r="C19" s="439"/>
      <c r="D19" s="439"/>
      <c r="E19" s="439"/>
      <c r="F19" s="439"/>
      <c r="G19" s="439"/>
      <c r="H19" s="440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8" t="s">
        <v>7</v>
      </c>
      <c r="C20" s="409" t="s">
        <v>1</v>
      </c>
      <c r="D20" s="409" t="s">
        <v>10</v>
      </c>
      <c r="E20" s="409" t="s">
        <v>11</v>
      </c>
      <c r="F20" s="409" t="s">
        <v>8</v>
      </c>
      <c r="G20" s="409" t="s">
        <v>5</v>
      </c>
      <c r="H20" s="410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O41</f>
        <v>60802.978584836994</v>
      </c>
      <c r="R20" s="257">
        <v>3500</v>
      </c>
      <c r="S20" s="38"/>
      <c r="T20" s="14" t="s">
        <v>127</v>
      </c>
      <c r="U20" s="9"/>
      <c r="X20" s="4"/>
    </row>
    <row r="21" spans="1:25" ht="18" thickBot="1" x14ac:dyDescent="0.35">
      <c r="B21" s="311">
        <v>60</v>
      </c>
      <c r="C21" s="433" t="s">
        <v>288</v>
      </c>
      <c r="D21" s="430">
        <v>3</v>
      </c>
      <c r="E21" s="430">
        <v>0.6</v>
      </c>
      <c r="F21" s="312" t="s">
        <v>290</v>
      </c>
      <c r="G21" s="313">
        <v>105000</v>
      </c>
      <c r="H21" s="431">
        <f>G21*B21</f>
        <v>6300000</v>
      </c>
      <c r="I21" s="305"/>
      <c r="J21" s="264"/>
      <c r="K21" s="47"/>
      <c r="L21" s="47">
        <v>264</v>
      </c>
      <c r="M21" s="39">
        <f>D21+M$19</f>
        <v>3.08</v>
      </c>
      <c r="N21" s="39">
        <f>E21+$N$19</f>
        <v>0.6</v>
      </c>
      <c r="O21" s="260">
        <f t="shared" ref="O21" si="0">M21*N21</f>
        <v>1.8479999999999999</v>
      </c>
      <c r="P21" s="258">
        <f t="shared" ref="P21" si="1">O21*L21</f>
        <v>487.87199999999996</v>
      </c>
      <c r="Q21" s="251">
        <f t="shared" ref="Q21" si="2">Q$20*O21</f>
        <v>112363.90442477875</v>
      </c>
      <c r="R21" s="257">
        <f t="shared" ref="R21" si="3">Q21+R$20</f>
        <v>115863.90442477875</v>
      </c>
      <c r="S21" s="290">
        <f>M21*L21</f>
        <v>813.12</v>
      </c>
      <c r="T21" s="46">
        <f>N21*2*L21*2</f>
        <v>633.6</v>
      </c>
      <c r="U21" s="9"/>
      <c r="X21" s="4"/>
    </row>
    <row r="22" spans="1:25" ht="18" thickBot="1" x14ac:dyDescent="0.35">
      <c r="B22" s="461">
        <v>204</v>
      </c>
      <c r="C22" s="433" t="s">
        <v>288</v>
      </c>
      <c r="D22" s="430">
        <v>3</v>
      </c>
      <c r="E22" s="430">
        <v>0.6</v>
      </c>
      <c r="F22" s="462" t="s">
        <v>292</v>
      </c>
      <c r="G22" s="463">
        <v>94000</v>
      </c>
      <c r="H22" s="431">
        <f>G22*B22</f>
        <v>19176000</v>
      </c>
      <c r="I22" s="305"/>
      <c r="J22" s="264"/>
      <c r="K22" s="47"/>
      <c r="L22" s="47"/>
      <c r="M22" s="39"/>
      <c r="N22" s="39"/>
      <c r="O22" s="260"/>
      <c r="P22" s="258"/>
      <c r="Q22" s="251"/>
      <c r="R22" s="257"/>
      <c r="S22" s="290"/>
      <c r="T22" s="46"/>
      <c r="U22" s="9"/>
      <c r="X22" s="4"/>
    </row>
    <row r="23" spans="1:25" ht="18" thickBot="1" x14ac:dyDescent="0.35">
      <c r="B23" s="432">
        <v>188</v>
      </c>
      <c r="C23" s="433" t="s">
        <v>288</v>
      </c>
      <c r="D23" s="434">
        <v>3</v>
      </c>
      <c r="E23" s="434">
        <v>0.6</v>
      </c>
      <c r="F23" s="435" t="s">
        <v>289</v>
      </c>
      <c r="G23" s="436">
        <v>94000</v>
      </c>
      <c r="H23" s="437">
        <f>G23*B23</f>
        <v>17672000</v>
      </c>
      <c r="I23" s="305"/>
      <c r="J23" s="264"/>
      <c r="K23" s="47"/>
      <c r="L23" s="47">
        <v>188</v>
      </c>
      <c r="M23" s="39">
        <f t="shared" ref="M23" si="4">D23+M$19</f>
        <v>3.08</v>
      </c>
      <c r="N23" s="39">
        <f t="shared" ref="N23" si="5">E23+$N$19</f>
        <v>0.6</v>
      </c>
      <c r="O23" s="260">
        <f t="shared" ref="O23" si="6">M23*N23</f>
        <v>1.8479999999999999</v>
      </c>
      <c r="P23" s="258">
        <f t="shared" ref="P23" si="7">O23*L23</f>
        <v>347.42399999999998</v>
      </c>
      <c r="Q23" s="251">
        <f t="shared" ref="Q23" si="8">Q$20*O23</f>
        <v>112363.90442477875</v>
      </c>
      <c r="R23" s="257">
        <f t="shared" ref="R23" si="9">Q23+R$20</f>
        <v>115863.90442477875</v>
      </c>
      <c r="S23" s="290">
        <f>M23*L23</f>
        <v>579.04</v>
      </c>
      <c r="T23" s="46"/>
      <c r="U23" s="9"/>
      <c r="X23" s="4"/>
    </row>
    <row r="24" spans="1:25" ht="18" thickBot="1" x14ac:dyDescent="0.35">
      <c r="B24" s="283">
        <f>SUM(B21:B23)</f>
        <v>452</v>
      </c>
      <c r="C24" s="324"/>
      <c r="D24" s="284"/>
      <c r="E24" s="284"/>
      <c r="F24" s="283"/>
      <c r="G24" s="264"/>
      <c r="H24" s="306"/>
      <c r="I24" s="308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09" t="s">
        <v>28</v>
      </c>
      <c r="H25" s="310">
        <f>SUM(H21:H23)</f>
        <v>43148000</v>
      </c>
      <c r="I25" s="307"/>
      <c r="J25" s="264"/>
      <c r="K25" s="47"/>
      <c r="L25" s="47"/>
      <c r="M25" s="39"/>
      <c r="N25" s="39"/>
      <c r="O25" s="260"/>
      <c r="P25" s="258"/>
      <c r="Q25" s="251"/>
      <c r="R25" s="257"/>
      <c r="S25" s="290"/>
      <c r="T25" s="46">
        <f>SUM(T21:T21)</f>
        <v>633.6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>
        <f>H25*19%</f>
        <v>8198120</v>
      </c>
      <c r="I26" s="307"/>
      <c r="J26" s="264"/>
      <c r="K26" s="47"/>
      <c r="L26" s="47"/>
      <c r="M26" s="39">
        <f>SUM(M21:M25)</f>
        <v>6.16</v>
      </c>
      <c r="N26" s="12"/>
      <c r="O26" s="12"/>
      <c r="P26" s="252">
        <f>SUM(P21:P23)</f>
        <v>835.29599999999994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51346120</v>
      </c>
      <c r="I27" s="307"/>
      <c r="J27" s="264"/>
      <c r="K27" s="47"/>
      <c r="L27" s="47"/>
      <c r="M27" s="39"/>
      <c r="N27" s="12"/>
      <c r="O27" s="12"/>
      <c r="P27" s="252">
        <f>P26</f>
        <v>835.29599999999994</v>
      </c>
      <c r="Q27" s="14"/>
      <c r="R27" s="12"/>
      <c r="S27" s="41">
        <f>SUM(S21:S26)</f>
        <v>1392.1599999999999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167.0592</v>
      </c>
      <c r="Q28" s="39" t="s">
        <v>129</v>
      </c>
      <c r="R28" s="42"/>
      <c r="S28" s="240">
        <f>S27+T25</f>
        <v>2025.7599999999998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1002.3552</v>
      </c>
      <c r="Q29" s="14"/>
      <c r="R29" s="14"/>
      <c r="S29" s="238">
        <f>S28*20%</f>
        <v>405.15199999999999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2430.9119999999998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1002.3552</v>
      </c>
      <c r="N31" s="12">
        <v>2000</v>
      </c>
      <c r="O31" s="12">
        <f t="shared" ref="O31:O36" si="10">M31*N31</f>
        <v>2004710.3999999999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226</v>
      </c>
      <c r="N32" s="12">
        <v>23500</v>
      </c>
      <c r="O32" s="12">
        <f t="shared" si="10"/>
        <v>5311000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>
        <v>60</v>
      </c>
      <c r="N33" s="249">
        <v>43908</v>
      </c>
      <c r="O33" s="12">
        <f t="shared" si="10"/>
        <v>2634480</v>
      </c>
      <c r="P33" s="39" t="s">
        <v>30</v>
      </c>
      <c r="Q33" s="42"/>
      <c r="S33" s="240"/>
      <c r="T33" s="255">
        <v>81</v>
      </c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161</v>
      </c>
      <c r="C34"/>
      <c r="D34"/>
      <c r="E34"/>
      <c r="F34"/>
      <c r="J34" s="261"/>
      <c r="K34" s="232"/>
      <c r="L34" s="249"/>
      <c r="M34" s="14">
        <v>188</v>
      </c>
      <c r="N34" s="249">
        <v>36990</v>
      </c>
      <c r="O34" s="12">
        <f t="shared" si="10"/>
        <v>6954120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282</v>
      </c>
      <c r="B35" s="29" t="s">
        <v>124</v>
      </c>
      <c r="C35"/>
      <c r="D35"/>
      <c r="E35"/>
      <c r="F35" s="229" t="s">
        <v>15</v>
      </c>
      <c r="J35" s="261"/>
      <c r="K35" s="259">
        <v>36990</v>
      </c>
      <c r="L35" s="249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248">
        <v>204</v>
      </c>
      <c r="N37" s="249">
        <v>34793</v>
      </c>
      <c r="O37" s="12">
        <f>M37*N37</f>
        <v>7097772</v>
      </c>
      <c r="P37" s="14" t="s">
        <v>32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65">
        <v>1392.16</v>
      </c>
      <c r="N38" s="12">
        <v>1000</v>
      </c>
      <c r="O38" s="12">
        <f>M38*N38</f>
        <v>1392160</v>
      </c>
      <c r="P38" s="14" t="s">
        <v>22</v>
      </c>
      <c r="Q38" s="14"/>
      <c r="R38" s="40">
        <f>P29/R37</f>
        <v>270.26402070750646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55000</v>
      </c>
      <c r="L39" s="249"/>
      <c r="M39" s="14"/>
      <c r="N39" s="12"/>
      <c r="O39" s="12">
        <f>SUM(O31:O38)</f>
        <v>25394242.399999999</v>
      </c>
      <c r="P39" s="39" t="s">
        <v>23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46218.487394957985</v>
      </c>
      <c r="L40" s="249"/>
      <c r="M40" s="253" t="s">
        <v>33</v>
      </c>
      <c r="N40" s="12"/>
      <c r="O40" s="254">
        <f>O39*2</f>
        <v>50788484.799999997</v>
      </c>
      <c r="P40" s="14" t="s">
        <v>138</v>
      </c>
      <c r="Q40" s="14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M41" s="14"/>
      <c r="N41" s="12"/>
      <c r="O41" s="12">
        <f>O40/P27</f>
        <v>60802.978584836994</v>
      </c>
      <c r="P41" s="45" t="s">
        <v>24</v>
      </c>
      <c r="Q41" s="14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M42" s="13"/>
      <c r="N42" s="14"/>
      <c r="O42" s="17">
        <f>O40/O39</f>
        <v>2</v>
      </c>
      <c r="P42" s="15"/>
      <c r="Q42"/>
      <c r="T42" s="238"/>
      <c r="U42" s="59" t="s">
        <v>153</v>
      </c>
      <c r="V42" s="59">
        <v>474.45</v>
      </c>
    </row>
    <row r="43" spans="1:24" ht="14.4" customHeight="1" x14ac:dyDescent="0.3">
      <c r="J43">
        <v>220</v>
      </c>
      <c r="K43">
        <v>34793</v>
      </c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  <hyperlink ref="C14" r:id="rId2" xr:uid="{2C76F982-5B46-4E39-B03B-42B8D90F6FA6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46086</v>
      </c>
    </row>
    <row r="6" spans="2:31" ht="16.2" thickBot="1" x14ac:dyDescent="0.35">
      <c r="B6" s="140" t="s">
        <v>2</v>
      </c>
      <c r="C6" s="139" t="str">
        <f>'2229'!C10</f>
        <v>CONTRUCTOTA NOVATEC S.A.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2" t="s">
        <v>98</v>
      </c>
      <c r="I7" s="443"/>
      <c r="J7" s="443"/>
      <c r="K7" s="444"/>
      <c r="N7" s="75"/>
      <c r="O7" s="441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12014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1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-4446826.5983667877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43148000</v>
      </c>
      <c r="E11" s="132">
        <f>D11*0.19</f>
        <v>8198120</v>
      </c>
      <c r="F11" s="131">
        <f>E11+D11</f>
        <v>51346120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-4340836.5983667877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9980024.490787439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-4358836.5983667877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33167975.509212561</v>
      </c>
      <c r="E13" s="221">
        <f>(D11/D12)-1</f>
        <v>3.3234362841323604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-4367836.5983667877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-4406836.5983667877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16467040.409799274</v>
      </c>
      <c r="F15" s="216">
        <f>E15-D12</f>
        <v>6487015.919011835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-4406836.5983667877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-4366836.5983667877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2634480</v>
      </c>
      <c r="E18" s="123">
        <f>D18*0.19</f>
        <v>500551.2</v>
      </c>
      <c r="F18" s="120">
        <f>SUM(D18:E18)</f>
        <v>3135031.2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5311000</v>
      </c>
      <c r="E19" s="123">
        <f>D19*0.19</f>
        <v>1009090</v>
      </c>
      <c r="F19" s="120">
        <f>SUM(D19:E19)</f>
        <v>6320090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2004710.3999999999</v>
      </c>
      <c r="E20" s="121">
        <f>D20*0.19</f>
        <v>380894.97599999997</v>
      </c>
      <c r="F20" s="120">
        <f>SUM(D20:E20)</f>
        <v>2385605.3759999997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9950190.4000000004</v>
      </c>
      <c r="E21" s="116">
        <f>SUM(E18:E20)</f>
        <v>1890536.176</v>
      </c>
      <c r="F21" s="115">
        <f>SUM(F18:F20)</f>
        <v>11840726.575999999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6307583.824</v>
      </c>
    </row>
    <row r="41" spans="2:16" ht="15" thickBot="1" x14ac:dyDescent="0.35">
      <c r="H41" s="445" t="s">
        <v>60</v>
      </c>
      <c r="I41" s="446"/>
      <c r="J41" s="446"/>
      <c r="K41" s="446"/>
      <c r="L41" s="446"/>
      <c r="M41" s="447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43148000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9950190.4000000004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33167975.509212561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33167975.509212561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162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163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12014</v>
      </c>
      <c r="E8" s="138"/>
      <c r="F8" s="317" t="s">
        <v>164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165</v>
      </c>
      <c r="C10" s="349" t="str">
        <f>IF('2229'!C10="","",'2229'!C10)</f>
        <v>CONTRUCTOTA NOVATEC S.A.</v>
      </c>
      <c r="D10" s="349"/>
      <c r="E10" s="349"/>
      <c r="F10" s="350" t="s">
        <v>166</v>
      </c>
      <c r="G10" s="351">
        <f>'2229'!G10</f>
        <v>46086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>86.856.700-7</v>
      </c>
      <c r="D11" s="344"/>
      <c r="E11" s="344"/>
      <c r="F11" s="344" t="s">
        <v>167</v>
      </c>
      <c r="G11" s="339">
        <f>WORKDAY(G10,5)</f>
        <v>46093</v>
      </c>
      <c r="H11" s="340"/>
      <c r="I11" s="138"/>
    </row>
    <row r="12" spans="1:17" ht="15.6" x14ac:dyDescent="0.3">
      <c r="A12" s="138"/>
      <c r="B12" s="353" t="s">
        <v>168</v>
      </c>
      <c r="C12" s="354" t="str">
        <f>IF('2229'!C12="","",'2229'!C12)</f>
        <v>CONSTRUCCION</v>
      </c>
      <c r="D12" s="354"/>
      <c r="E12" s="354"/>
      <c r="F12" s="354" t="s">
        <v>180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MANUEL LOAIZA</v>
      </c>
      <c r="D13" s="246"/>
      <c r="E13" s="246"/>
      <c r="F13" s="246" t="s">
        <v>169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>MLOIZA@NOVATEC.CL</v>
      </c>
      <c r="D14" s="354"/>
      <c r="E14" s="354"/>
      <c r="F14" s="354" t="s">
        <v>170</v>
      </c>
      <c r="G14" s="356" t="s">
        <v>171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+569 9360 1503</v>
      </c>
      <c r="D15" s="346"/>
      <c r="E15" s="344"/>
      <c r="F15" s="344" t="s">
        <v>172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173</v>
      </c>
      <c r="G16" s="354" t="str">
        <f>'2229'!G16</f>
        <v>ABONO 35% CONTADO, SALDO C/E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ANTOFAGASTA</v>
      </c>
      <c r="D17" s="342"/>
      <c r="E17" s="343"/>
      <c r="F17" s="448" t="s">
        <v>174</v>
      </c>
      <c r="G17" s="448"/>
      <c r="H17" s="449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0" t="s">
        <v>175</v>
      </c>
      <c r="C20" s="451"/>
      <c r="D20" s="451"/>
      <c r="E20" s="451"/>
      <c r="F20" s="451"/>
      <c r="G20" s="451"/>
      <c r="H20" s="452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60</v>
      </c>
      <c r="C22" s="312" t="s">
        <v>35</v>
      </c>
      <c r="D22" s="320">
        <f>'2229'!D21*1000</f>
        <v>3000</v>
      </c>
      <c r="E22" s="320">
        <f>'2229'!E21*1000</f>
        <v>600</v>
      </c>
      <c r="F22" s="321" t="str">
        <f>'2229'!F21</f>
        <v>NATURAL NEBULA WILSONART</v>
      </c>
      <c r="G22" s="313">
        <f>'2229'!G21</f>
        <v>105000</v>
      </c>
      <c r="H22" s="322">
        <f>G22*B22</f>
        <v>6300000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6300000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1197000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7497000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176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177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3" t="s">
        <v>181</v>
      </c>
      <c r="C2" s="453"/>
      <c r="D2" s="453"/>
      <c r="E2" s="360"/>
      <c r="G2" s="453" t="s">
        <v>182</v>
      </c>
      <c r="H2" s="453"/>
      <c r="I2" s="453"/>
      <c r="P2" s="454" t="s">
        <v>183</v>
      </c>
      <c r="Q2" s="454"/>
      <c r="R2" s="454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184</v>
      </c>
      <c r="E4" s="246" t="s">
        <v>185</v>
      </c>
      <c r="G4" s="361">
        <v>50</v>
      </c>
      <c r="H4" s="361">
        <v>100</v>
      </c>
      <c r="I4" s="366" t="s">
        <v>184</v>
      </c>
      <c r="J4" s="54" t="s">
        <v>186</v>
      </c>
      <c r="K4" s="54"/>
      <c r="L4" s="54"/>
      <c r="M4" s="54"/>
      <c r="P4">
        <v>50</v>
      </c>
      <c r="Q4">
        <v>-30</v>
      </c>
      <c r="R4" t="s">
        <v>187</v>
      </c>
    </row>
    <row r="5" spans="2:18" x14ac:dyDescent="0.3">
      <c r="B5" s="364">
        <v>40</v>
      </c>
      <c r="C5" s="364">
        <v>90</v>
      </c>
      <c r="D5" s="365" t="s">
        <v>188</v>
      </c>
      <c r="E5" s="246" t="s">
        <v>189</v>
      </c>
      <c r="G5" s="361">
        <v>50</v>
      </c>
      <c r="H5" s="361"/>
      <c r="I5" s="366" t="s">
        <v>190</v>
      </c>
      <c r="J5" s="54" t="s">
        <v>191</v>
      </c>
      <c r="K5" s="54"/>
      <c r="L5" s="54"/>
      <c r="M5" s="54"/>
      <c r="P5">
        <v>50</v>
      </c>
      <c r="Q5">
        <v>-30</v>
      </c>
      <c r="R5" t="s">
        <v>187</v>
      </c>
    </row>
    <row r="6" spans="2:18" x14ac:dyDescent="0.3">
      <c r="B6" s="364">
        <v>40</v>
      </c>
      <c r="C6" s="364">
        <v>100</v>
      </c>
      <c r="D6" s="365" t="s">
        <v>192</v>
      </c>
      <c r="E6" s="246" t="s">
        <v>193</v>
      </c>
      <c r="G6" s="364">
        <v>50</v>
      </c>
      <c r="H6" s="364">
        <v>100</v>
      </c>
      <c r="I6" s="365" t="s">
        <v>192</v>
      </c>
      <c r="P6">
        <v>50</v>
      </c>
      <c r="Q6">
        <v>-30</v>
      </c>
      <c r="R6" t="s">
        <v>194</v>
      </c>
    </row>
    <row r="7" spans="2:18" x14ac:dyDescent="0.3">
      <c r="B7" s="364">
        <v>40</v>
      </c>
      <c r="C7" s="364">
        <v>150</v>
      </c>
      <c r="D7" s="365" t="s">
        <v>195</v>
      </c>
      <c r="E7" s="246" t="s">
        <v>196</v>
      </c>
      <c r="G7" s="364">
        <v>50</v>
      </c>
      <c r="H7" s="364"/>
      <c r="I7" s="365" t="s">
        <v>195</v>
      </c>
      <c r="P7">
        <v>50</v>
      </c>
      <c r="Q7">
        <v>-30</v>
      </c>
      <c r="R7" t="s">
        <v>197</v>
      </c>
    </row>
    <row r="8" spans="2:18" x14ac:dyDescent="0.3">
      <c r="B8" s="364">
        <v>40</v>
      </c>
      <c r="C8" s="364">
        <v>100</v>
      </c>
      <c r="D8" s="365" t="s">
        <v>198</v>
      </c>
      <c r="E8" s="246" t="s">
        <v>199</v>
      </c>
      <c r="G8" s="364">
        <v>50</v>
      </c>
      <c r="H8" s="364">
        <v>100</v>
      </c>
      <c r="I8" s="365" t="s">
        <v>198</v>
      </c>
      <c r="L8" s="454" t="s">
        <v>183</v>
      </c>
      <c r="M8" s="454"/>
      <c r="N8" s="454"/>
      <c r="P8">
        <v>50</v>
      </c>
      <c r="Q8">
        <v>-30</v>
      </c>
      <c r="R8" t="s">
        <v>200</v>
      </c>
    </row>
    <row r="9" spans="2:18" x14ac:dyDescent="0.3">
      <c r="B9" s="364">
        <v>40</v>
      </c>
      <c r="C9" s="364">
        <v>50</v>
      </c>
      <c r="D9" s="365" t="s">
        <v>201</v>
      </c>
      <c r="E9" s="246" t="s">
        <v>202</v>
      </c>
      <c r="G9" s="364">
        <v>50</v>
      </c>
      <c r="H9" s="364">
        <v>100</v>
      </c>
      <c r="I9" s="365" t="s">
        <v>203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204</v>
      </c>
    </row>
    <row r="10" spans="2:18" x14ac:dyDescent="0.3">
      <c r="B10" s="364">
        <v>40</v>
      </c>
      <c r="C10" s="364">
        <v>80</v>
      </c>
      <c r="D10" s="365" t="s">
        <v>205</v>
      </c>
      <c r="E10" s="246" t="s">
        <v>206</v>
      </c>
      <c r="G10" s="364">
        <v>50</v>
      </c>
      <c r="H10" s="364"/>
      <c r="I10" s="365" t="s">
        <v>207</v>
      </c>
      <c r="L10" s="364">
        <v>50</v>
      </c>
      <c r="M10" s="364">
        <v>-30</v>
      </c>
      <c r="N10" s="365" t="s">
        <v>187</v>
      </c>
      <c r="P10">
        <v>50</v>
      </c>
      <c r="Q10">
        <v>0</v>
      </c>
      <c r="R10" t="s">
        <v>208</v>
      </c>
    </row>
    <row r="11" spans="2:18" x14ac:dyDescent="0.3">
      <c r="B11" s="364">
        <v>40</v>
      </c>
      <c r="C11" s="364">
        <v>60</v>
      </c>
      <c r="D11" s="365" t="s">
        <v>209</v>
      </c>
      <c r="E11" s="246" t="s">
        <v>210</v>
      </c>
      <c r="G11" s="364">
        <v>50</v>
      </c>
      <c r="H11" s="364">
        <v>100</v>
      </c>
      <c r="I11" s="365" t="s">
        <v>201</v>
      </c>
      <c r="L11" s="364">
        <v>50</v>
      </c>
      <c r="M11" s="364">
        <v>0</v>
      </c>
      <c r="N11" s="365" t="s">
        <v>211</v>
      </c>
      <c r="P11">
        <v>50</v>
      </c>
      <c r="Q11">
        <v>0</v>
      </c>
      <c r="R11" t="s">
        <v>212</v>
      </c>
    </row>
    <row r="12" spans="2:18" x14ac:dyDescent="0.3">
      <c r="B12" s="364">
        <v>40</v>
      </c>
      <c r="C12" s="364">
        <v>100</v>
      </c>
      <c r="D12" s="365" t="s">
        <v>213</v>
      </c>
      <c r="E12" s="246" t="s">
        <v>214</v>
      </c>
      <c r="G12" s="364">
        <v>50</v>
      </c>
      <c r="H12" s="364"/>
      <c r="I12" s="365" t="s">
        <v>205</v>
      </c>
      <c r="L12" s="364">
        <v>50</v>
      </c>
      <c r="M12" s="364">
        <v>-2</v>
      </c>
      <c r="N12" s="365" t="s">
        <v>215</v>
      </c>
      <c r="P12">
        <v>50</v>
      </c>
      <c r="Q12">
        <v>0</v>
      </c>
      <c r="R12" t="s">
        <v>216</v>
      </c>
    </row>
    <row r="13" spans="2:18" x14ac:dyDescent="0.3">
      <c r="B13" s="364">
        <v>40</v>
      </c>
      <c r="C13" s="364">
        <v>130</v>
      </c>
      <c r="D13" s="365" t="s">
        <v>217</v>
      </c>
      <c r="E13" s="246" t="s">
        <v>218</v>
      </c>
      <c r="G13" s="364">
        <v>50</v>
      </c>
      <c r="H13" s="364">
        <v>-30</v>
      </c>
      <c r="I13" s="365" t="s">
        <v>187</v>
      </c>
      <c r="P13">
        <v>50</v>
      </c>
      <c r="Q13">
        <v>0</v>
      </c>
      <c r="R13" t="s">
        <v>219</v>
      </c>
    </row>
    <row r="14" spans="2:18" x14ac:dyDescent="0.3">
      <c r="B14" s="364">
        <v>40</v>
      </c>
      <c r="C14" s="364">
        <v>150</v>
      </c>
      <c r="D14" s="365" t="s">
        <v>194</v>
      </c>
      <c r="E14" s="246"/>
      <c r="G14" s="364">
        <v>50</v>
      </c>
      <c r="H14" s="364">
        <v>-30</v>
      </c>
      <c r="I14" s="365" t="s">
        <v>194</v>
      </c>
    </row>
    <row r="15" spans="2:18" x14ac:dyDescent="0.3">
      <c r="B15" s="364">
        <v>40</v>
      </c>
      <c r="C15" s="364">
        <v>150</v>
      </c>
      <c r="D15" s="365" t="s">
        <v>220</v>
      </c>
      <c r="E15" s="246" t="s">
        <v>221</v>
      </c>
      <c r="G15" s="364">
        <v>50</v>
      </c>
      <c r="H15" s="364">
        <v>-30</v>
      </c>
      <c r="I15" s="365" t="s">
        <v>197</v>
      </c>
      <c r="P15">
        <v>50</v>
      </c>
      <c r="Q15">
        <v>0</v>
      </c>
      <c r="R15" t="s">
        <v>222</v>
      </c>
    </row>
    <row r="16" spans="2:18" x14ac:dyDescent="0.3">
      <c r="B16" s="364">
        <v>40</v>
      </c>
      <c r="C16" s="364">
        <v>130</v>
      </c>
      <c r="D16" s="365" t="s">
        <v>223</v>
      </c>
      <c r="E16" s="246" t="s">
        <v>224</v>
      </c>
      <c r="G16" s="364">
        <v>50</v>
      </c>
      <c r="H16" s="364">
        <v>-30</v>
      </c>
      <c r="I16" s="365" t="s">
        <v>225</v>
      </c>
      <c r="P16">
        <v>50</v>
      </c>
      <c r="Q16">
        <v>0</v>
      </c>
      <c r="R16" t="s">
        <v>226</v>
      </c>
    </row>
    <row r="17" spans="2:18" x14ac:dyDescent="0.3">
      <c r="B17" s="364">
        <v>40</v>
      </c>
      <c r="C17" s="364">
        <v>150</v>
      </c>
      <c r="D17" s="365" t="s">
        <v>212</v>
      </c>
      <c r="E17" s="246" t="s">
        <v>227</v>
      </c>
      <c r="G17" s="364">
        <v>50</v>
      </c>
      <c r="H17" s="364"/>
      <c r="I17" s="365" t="s">
        <v>212</v>
      </c>
      <c r="P17">
        <v>50</v>
      </c>
      <c r="Q17">
        <v>0</v>
      </c>
      <c r="R17" t="s">
        <v>228</v>
      </c>
    </row>
    <row r="18" spans="2:18" x14ac:dyDescent="0.3">
      <c r="B18" s="364">
        <v>140</v>
      </c>
      <c r="C18" s="364">
        <v>150</v>
      </c>
      <c r="D18" s="365" t="s">
        <v>216</v>
      </c>
      <c r="E18" s="246" t="s">
        <v>229</v>
      </c>
      <c r="G18" s="364">
        <v>50</v>
      </c>
      <c r="H18" s="364"/>
      <c r="I18" s="365" t="s">
        <v>216</v>
      </c>
      <c r="P18">
        <v>50</v>
      </c>
      <c r="Q18">
        <v>0</v>
      </c>
      <c r="R18" t="s">
        <v>230</v>
      </c>
    </row>
    <row r="19" spans="2:18" x14ac:dyDescent="0.3">
      <c r="B19" s="364">
        <v>150</v>
      </c>
      <c r="C19" s="364">
        <v>150</v>
      </c>
      <c r="D19" s="365" t="s">
        <v>219</v>
      </c>
      <c r="E19" s="246" t="s">
        <v>231</v>
      </c>
      <c r="G19" s="364">
        <v>50</v>
      </c>
      <c r="H19" s="364"/>
      <c r="I19" s="365" t="s">
        <v>219</v>
      </c>
      <c r="P19">
        <v>50</v>
      </c>
      <c r="Q19">
        <v>0</v>
      </c>
      <c r="R19" t="s">
        <v>232</v>
      </c>
    </row>
    <row r="20" spans="2:18" x14ac:dyDescent="0.3">
      <c r="B20" s="364">
        <v>40</v>
      </c>
      <c r="C20" s="364">
        <v>100</v>
      </c>
      <c r="D20" s="365" t="s">
        <v>233</v>
      </c>
      <c r="E20" s="246" t="s">
        <v>234</v>
      </c>
      <c r="G20" s="364">
        <v>50</v>
      </c>
      <c r="H20" s="364">
        <v>0</v>
      </c>
      <c r="I20" s="365" t="s">
        <v>233</v>
      </c>
      <c r="J20" s="54" t="s">
        <v>235</v>
      </c>
      <c r="K20" s="54"/>
      <c r="L20" s="54"/>
      <c r="M20" s="54"/>
      <c r="P20">
        <v>50</v>
      </c>
      <c r="Q20">
        <v>0</v>
      </c>
      <c r="R20" t="s">
        <v>236</v>
      </c>
    </row>
    <row r="21" spans="2:18" x14ac:dyDescent="0.3">
      <c r="B21" s="364">
        <v>100</v>
      </c>
      <c r="C21" s="364">
        <v>100</v>
      </c>
      <c r="D21" s="365" t="s">
        <v>237</v>
      </c>
      <c r="E21" s="246" t="s">
        <v>238</v>
      </c>
      <c r="G21" s="364">
        <v>50</v>
      </c>
      <c r="H21" s="364">
        <v>0</v>
      </c>
      <c r="I21" s="365" t="s">
        <v>237</v>
      </c>
      <c r="P21">
        <v>50</v>
      </c>
      <c r="Q21">
        <v>0</v>
      </c>
      <c r="R21" t="s">
        <v>239</v>
      </c>
    </row>
    <row r="22" spans="2:18" x14ac:dyDescent="0.3">
      <c r="B22" s="364">
        <v>100</v>
      </c>
      <c r="C22" s="364">
        <v>100</v>
      </c>
      <c r="D22" s="365" t="s">
        <v>222</v>
      </c>
      <c r="E22" s="246" t="s">
        <v>240</v>
      </c>
      <c r="G22" s="361"/>
      <c r="H22" s="361"/>
      <c r="I22" s="366" t="s">
        <v>222</v>
      </c>
      <c r="P22">
        <v>50</v>
      </c>
      <c r="Q22">
        <v>0</v>
      </c>
      <c r="R22" t="s">
        <v>241</v>
      </c>
    </row>
    <row r="23" spans="2:18" x14ac:dyDescent="0.3">
      <c r="B23" s="364">
        <v>40</v>
      </c>
      <c r="C23" s="364">
        <v>150</v>
      </c>
      <c r="D23" s="365" t="s">
        <v>226</v>
      </c>
      <c r="E23" s="246" t="s">
        <v>242</v>
      </c>
      <c r="G23" s="364">
        <v>50</v>
      </c>
      <c r="H23" s="364"/>
      <c r="I23" s="365" t="s">
        <v>226</v>
      </c>
      <c r="R23" t="s">
        <v>243</v>
      </c>
    </row>
    <row r="24" spans="2:18" x14ac:dyDescent="0.3">
      <c r="B24" s="364">
        <v>140</v>
      </c>
      <c r="C24" s="364">
        <v>150</v>
      </c>
      <c r="D24" s="365" t="s">
        <v>228</v>
      </c>
      <c r="E24" s="246" t="s">
        <v>244</v>
      </c>
      <c r="G24" s="364">
        <v>50</v>
      </c>
      <c r="H24" s="364"/>
      <c r="I24" s="365" t="s">
        <v>228</v>
      </c>
      <c r="R24" t="s">
        <v>245</v>
      </c>
    </row>
    <row r="25" spans="2:18" x14ac:dyDescent="0.3">
      <c r="B25" s="364">
        <v>150</v>
      </c>
      <c r="C25" s="364">
        <v>150</v>
      </c>
      <c r="D25" s="365" t="s">
        <v>230</v>
      </c>
      <c r="E25" s="246" t="s">
        <v>246</v>
      </c>
      <c r="G25" s="364">
        <v>50</v>
      </c>
      <c r="H25" s="364"/>
      <c r="I25" s="365" t="s">
        <v>230</v>
      </c>
      <c r="R25" t="s">
        <v>192</v>
      </c>
    </row>
    <row r="26" spans="2:18" x14ac:dyDescent="0.3">
      <c r="B26" s="364">
        <v>40</v>
      </c>
      <c r="C26" s="364">
        <v>77</v>
      </c>
      <c r="D26" s="365" t="s">
        <v>232</v>
      </c>
      <c r="E26" s="246" t="s">
        <v>247</v>
      </c>
      <c r="G26" s="364">
        <v>50</v>
      </c>
      <c r="H26" s="364"/>
      <c r="I26" s="365" t="s">
        <v>232</v>
      </c>
      <c r="R26" t="s">
        <v>195</v>
      </c>
    </row>
    <row r="27" spans="2:18" x14ac:dyDescent="0.3">
      <c r="B27" s="364">
        <v>110</v>
      </c>
      <c r="C27" s="364">
        <v>77</v>
      </c>
      <c r="D27" s="365" t="s">
        <v>236</v>
      </c>
      <c r="E27" s="246" t="s">
        <v>248</v>
      </c>
      <c r="G27" s="364">
        <v>50</v>
      </c>
      <c r="H27" s="364"/>
      <c r="I27" s="365" t="s">
        <v>236</v>
      </c>
      <c r="R27" t="s">
        <v>198</v>
      </c>
    </row>
    <row r="28" spans="2:18" x14ac:dyDescent="0.3">
      <c r="B28" s="364">
        <v>120</v>
      </c>
      <c r="C28" s="364">
        <v>77</v>
      </c>
      <c r="D28" s="365" t="s">
        <v>239</v>
      </c>
      <c r="E28" s="246" t="s">
        <v>249</v>
      </c>
      <c r="G28" s="364">
        <v>50</v>
      </c>
      <c r="H28" s="364"/>
      <c r="I28" s="365" t="s">
        <v>239</v>
      </c>
      <c r="R28" t="s">
        <v>203</v>
      </c>
    </row>
    <row r="29" spans="2:18" x14ac:dyDescent="0.3">
      <c r="B29" s="364">
        <v>40</v>
      </c>
      <c r="C29" s="364">
        <v>50</v>
      </c>
      <c r="D29" s="365" t="s">
        <v>241</v>
      </c>
      <c r="E29" s="246" t="s">
        <v>250</v>
      </c>
      <c r="G29" s="364">
        <v>50</v>
      </c>
      <c r="H29" s="364"/>
      <c r="I29" s="365" t="s">
        <v>241</v>
      </c>
      <c r="R29" t="s">
        <v>207</v>
      </c>
    </row>
    <row r="30" spans="2:18" x14ac:dyDescent="0.3">
      <c r="B30" s="364">
        <v>40</v>
      </c>
      <c r="C30" s="364">
        <v>60</v>
      </c>
      <c r="D30" s="365" t="s">
        <v>251</v>
      </c>
      <c r="E30" s="246" t="s">
        <v>252</v>
      </c>
      <c r="G30" s="364">
        <v>50</v>
      </c>
      <c r="H30" s="364"/>
      <c r="I30" s="365" t="s">
        <v>208</v>
      </c>
      <c r="R30" t="s">
        <v>201</v>
      </c>
    </row>
    <row r="31" spans="2:18" x14ac:dyDescent="0.3">
      <c r="B31" s="364">
        <v>40</v>
      </c>
      <c r="C31" s="364">
        <v>100</v>
      </c>
      <c r="D31" s="365" t="s">
        <v>204</v>
      </c>
      <c r="E31" s="246" t="s">
        <v>253</v>
      </c>
      <c r="G31" s="364">
        <v>50</v>
      </c>
      <c r="H31" s="364"/>
      <c r="I31" s="365" t="s">
        <v>204</v>
      </c>
      <c r="R31" t="s">
        <v>205</v>
      </c>
    </row>
    <row r="32" spans="2:18" x14ac:dyDescent="0.3">
      <c r="B32" s="364">
        <v>40</v>
      </c>
      <c r="C32" s="364">
        <v>60</v>
      </c>
      <c r="D32" s="365" t="s">
        <v>254</v>
      </c>
      <c r="E32" s="246" t="s">
        <v>255</v>
      </c>
      <c r="G32" s="364">
        <v>50</v>
      </c>
      <c r="H32" s="364"/>
      <c r="I32" s="365" t="s">
        <v>254</v>
      </c>
      <c r="R32" t="s">
        <v>256</v>
      </c>
    </row>
    <row r="33" spans="2:18" x14ac:dyDescent="0.3">
      <c r="B33" s="364">
        <v>40</v>
      </c>
      <c r="C33" s="364">
        <v>90</v>
      </c>
      <c r="D33" s="365" t="s">
        <v>257</v>
      </c>
      <c r="E33" s="246" t="s">
        <v>258</v>
      </c>
      <c r="G33" s="364">
        <v>50</v>
      </c>
      <c r="H33" s="364">
        <v>-2</v>
      </c>
      <c r="I33" s="365" t="s">
        <v>257</v>
      </c>
      <c r="R33" t="s">
        <v>259</v>
      </c>
    </row>
    <row r="34" spans="2:18" x14ac:dyDescent="0.3">
      <c r="B34" s="364">
        <v>40</v>
      </c>
      <c r="C34" s="364">
        <v>90</v>
      </c>
      <c r="D34" s="365" t="s">
        <v>260</v>
      </c>
      <c r="E34" s="246"/>
      <c r="G34" s="364">
        <v>50</v>
      </c>
      <c r="H34" s="364">
        <v>-2</v>
      </c>
      <c r="I34" s="365" t="s">
        <v>260</v>
      </c>
    </row>
    <row r="35" spans="2:18" x14ac:dyDescent="0.3">
      <c r="B35" s="364">
        <v>40</v>
      </c>
      <c r="C35" s="364">
        <v>90</v>
      </c>
      <c r="D35" s="365" t="s">
        <v>256</v>
      </c>
      <c r="E35" s="246" t="s">
        <v>261</v>
      </c>
      <c r="G35" s="364">
        <v>50</v>
      </c>
      <c r="H35" s="364">
        <v>-2</v>
      </c>
      <c r="I35" s="365" t="s">
        <v>256</v>
      </c>
      <c r="R35" t="s">
        <v>262</v>
      </c>
    </row>
    <row r="36" spans="2:18" x14ac:dyDescent="0.3">
      <c r="B36" s="367">
        <v>40</v>
      </c>
      <c r="C36" s="367">
        <v>90</v>
      </c>
      <c r="D36" s="368" t="s">
        <v>259</v>
      </c>
      <c r="G36" s="364">
        <v>50</v>
      </c>
      <c r="H36" s="364">
        <v>-2</v>
      </c>
      <c r="I36" s="365" t="s">
        <v>259</v>
      </c>
      <c r="R36" t="s">
        <v>257</v>
      </c>
    </row>
    <row r="37" spans="2:18" x14ac:dyDescent="0.3">
      <c r="B37" s="367">
        <v>40</v>
      </c>
      <c r="C37" s="367">
        <v>90</v>
      </c>
      <c r="D37" s="368" t="s">
        <v>262</v>
      </c>
      <c r="G37" s="364">
        <v>50</v>
      </c>
      <c r="H37" s="364">
        <v>-2</v>
      </c>
      <c r="I37" s="365" t="s">
        <v>262</v>
      </c>
      <c r="R37" t="s">
        <v>260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263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9" t="s">
        <v>264</v>
      </c>
      <c r="L3" s="459"/>
      <c r="M3" s="459" t="s">
        <v>265</v>
      </c>
      <c r="N3" s="459"/>
    </row>
    <row r="4" spans="1:14" ht="15.75" customHeight="1" x14ac:dyDescent="0.3">
      <c r="A4" s="138"/>
      <c r="B4" s="138"/>
      <c r="C4" s="369" t="s">
        <v>164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266</v>
      </c>
      <c r="D5" s="371" t="str">
        <f>'NOTA DE VENTA'!$C$10</f>
        <v>CONTRUCTOTA NOVATEC S.A.</v>
      </c>
      <c r="E5" s="319"/>
      <c r="F5" s="319"/>
      <c r="G5" s="138"/>
      <c r="K5">
        <f>LOOKUP(F14,REGLAS!$I$4:$I$37,REGLAS!$G$4:$G$37)+J14</f>
        <v>2070</v>
      </c>
      <c r="L5">
        <f>LOOKUP(F14,REGLAS!$I$4:$I$37,REGLAS!$H$4:$H$37)+K14</f>
        <v>570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4">
        <f>'NOTA DE VENTA'!$G$10</f>
        <v>46086</v>
      </c>
      <c r="E7" s="138"/>
      <c r="F7" s="138"/>
      <c r="G7" s="138"/>
    </row>
    <row r="8" spans="1:14" ht="15.6" x14ac:dyDescent="0.3">
      <c r="A8" s="138"/>
      <c r="B8" s="138"/>
      <c r="C8" s="369" t="s">
        <v>267</v>
      </c>
      <c r="D8" s="403">
        <f>'NOTA DE VENTA'!$G$11</f>
        <v>46093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0" t="s">
        <v>264</v>
      </c>
      <c r="B10" s="460"/>
      <c r="C10" s="460"/>
      <c r="D10" s="460"/>
      <c r="E10" s="460"/>
      <c r="F10" s="460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268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2070</v>
      </c>
      <c r="E14" s="381">
        <f>LOOKUP(F14,REGLAS!$I$4:$I$37,REGLAS!$H$4:$H$37)+K14</f>
        <v>570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2020</v>
      </c>
      <c r="K14" s="150">
        <f t="shared" si="1"/>
        <v>600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0" t="s">
        <v>265</v>
      </c>
      <c r="B17" s="460"/>
      <c r="C17" s="460"/>
      <c r="D17" s="460"/>
      <c r="E17" s="460"/>
      <c r="F17" s="460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268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269</v>
      </c>
      <c r="B21" s="388">
        <f t="shared" ref="B21" si="2">I21</f>
        <v>1</v>
      </c>
      <c r="C21" s="388"/>
      <c r="D21" s="388">
        <f>LOOKUP(F14,REGLAS!$D$4:$D$37,REGLAS!$B$4:$B$37)+J21</f>
        <v>2060</v>
      </c>
      <c r="E21" s="388">
        <f>LOOKUP(F14,REGLAS!$D$4:$D$37,REGLAS!$C$4:$C$37)+K21</f>
        <v>730</v>
      </c>
      <c r="F21" s="389" t="str">
        <f>C27</f>
        <v>CUB C/R R8</v>
      </c>
      <c r="G21" s="138"/>
      <c r="I21" s="383">
        <f>B27</f>
        <v>1</v>
      </c>
      <c r="J21" s="150">
        <f>D27</f>
        <v>2020</v>
      </c>
      <c r="K21" s="150">
        <f>E27</f>
        <v>600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270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268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C49</f>
        <v>CUB C/R R8</v>
      </c>
      <c r="D27" s="382">
        <f t="shared" ref="D27:F27" si="3">D49</f>
        <v>2020</v>
      </c>
      <c r="E27" s="382">
        <f t="shared" si="3"/>
        <v>600</v>
      </c>
      <c r="F27" s="382" t="str">
        <f t="shared" si="3"/>
        <v>NATURAL NEBULA WILSONART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164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266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0" t="s">
        <v>271</v>
      </c>
      <c r="B45" s="460"/>
      <c r="C45" s="460"/>
      <c r="D45" s="460"/>
      <c r="E45" s="460"/>
      <c r="F45" s="460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5" t="s">
        <v>95</v>
      </c>
      <c r="C47" s="456"/>
      <c r="D47" s="457"/>
      <c r="E47" s="457"/>
      <c r="F47" s="458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272</v>
      </c>
      <c r="G48" s="138"/>
    </row>
    <row r="49" spans="1:7" s="59" customFormat="1" ht="15" customHeight="1" x14ac:dyDescent="0.3">
      <c r="A49" s="379" t="s">
        <v>273</v>
      </c>
      <c r="B49" s="399">
        <f>'[1]4637'!B21</f>
        <v>1</v>
      </c>
      <c r="C49" s="400" t="str">
        <f>'NOTA DE VENTA'!$C22</f>
        <v>CUB C/R R8</v>
      </c>
      <c r="D49" s="429">
        <v>2020</v>
      </c>
      <c r="E49" s="429">
        <f>'NOTA DE VENTA'!E22</f>
        <v>600</v>
      </c>
      <c r="F49" s="429" t="str">
        <f>'NOTA DE VENTA'!F22</f>
        <v>NATURAL NEBULA WILSONART</v>
      </c>
      <c r="G49" s="138"/>
    </row>
    <row r="50" spans="1:7" s="59" customFormat="1" ht="15" customHeight="1" x14ac:dyDescent="0.3">
      <c r="A50" s="390"/>
      <c r="B50" s="332"/>
      <c r="C50" s="401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2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4"/>
  </cols>
  <sheetData>
    <row r="1" spans="1:13" x14ac:dyDescent="0.3">
      <c r="A1" s="411" t="s">
        <v>274</v>
      </c>
      <c r="B1" s="412" t="s">
        <v>275</v>
      </c>
      <c r="C1" s="411" t="s">
        <v>276</v>
      </c>
      <c r="D1" s="411" t="s">
        <v>277</v>
      </c>
      <c r="E1" s="411" t="s">
        <v>278</v>
      </c>
      <c r="F1" s="411" t="s">
        <v>95</v>
      </c>
      <c r="G1" s="411" t="s">
        <v>8</v>
      </c>
      <c r="H1" s="413" t="s">
        <v>28</v>
      </c>
      <c r="I1" s="413" t="s">
        <v>51</v>
      </c>
      <c r="J1" s="413" t="s">
        <v>6</v>
      </c>
      <c r="K1" s="413" t="s">
        <v>279</v>
      </c>
      <c r="L1" s="413" t="s">
        <v>280</v>
      </c>
      <c r="M1" s="411" t="s">
        <v>281</v>
      </c>
    </row>
    <row r="2" spans="1:13" x14ac:dyDescent="0.3">
      <c r="A2">
        <f>'NOTA DE VENTA'!$G$8</f>
        <v>0</v>
      </c>
      <c r="B2" t="str">
        <f>'NOTA DE VENTA'!$D$8</f>
        <v>N° 12014</v>
      </c>
      <c r="C2" s="1">
        <f>'NOTA DE VENTA'!$G$10</f>
        <v>46086</v>
      </c>
      <c r="D2" s="1">
        <f>'NOTA DE VENTA'!$G$11</f>
        <v>46093</v>
      </c>
      <c r="E2" t="str">
        <f>'NOTA DE VENTA'!$C$10</f>
        <v>CONTRUCTOTA NOVATEC S.A.</v>
      </c>
      <c r="F2" t="str">
        <f>'NOTA DE VENTA'!$C$22</f>
        <v>CUB C/R R8</v>
      </c>
      <c r="G2" t="str">
        <f>'NOTA DE VENTA'!$F$22</f>
        <v>NATURAL NEBULA WILSONART</v>
      </c>
      <c r="H2" s="414">
        <f>'NOTA DE VENTA'!$H$25</f>
        <v>6300000</v>
      </c>
      <c r="I2" s="414">
        <f>H2*0.19</f>
        <v>1197000</v>
      </c>
      <c r="J2" s="414">
        <f>I2+H2</f>
        <v>7497000</v>
      </c>
      <c r="L2" s="61">
        <f>J2-K2</f>
        <v>7497000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2026-03-06T14:40:03Z</cp:lastPrinted>
  <dcterms:created xsi:type="dcterms:W3CDTF">2013-03-18T13:35:42Z</dcterms:created>
  <dcterms:modified xsi:type="dcterms:W3CDTF">2026-03-06T14:44:49Z</dcterms:modified>
</cp:coreProperties>
</file>