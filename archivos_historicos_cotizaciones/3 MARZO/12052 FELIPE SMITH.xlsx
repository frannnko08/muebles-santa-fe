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8D4671AE-A3F4-401C-BA12-C2FDD7F348B7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 l="1"/>
  <c r="P22" i="1" s="1"/>
  <c r="L21" i="1"/>
  <c r="K32" i="1"/>
  <c r="K28" i="1"/>
  <c r="K34" i="1" s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s="1"/>
  <c r="L26" i="1" s="1"/>
  <c r="S21" i="1" l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O40" i="1"/>
  <c r="E15" i="3"/>
  <c r="R22" i="1" l="1"/>
  <c r="G22" i="1"/>
  <c r="H22" i="1" s="1"/>
  <c r="Q21" i="1"/>
  <c r="G21" i="1" s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<sst xmlns="http://schemas.openxmlformats.org/spreadsheetml/2006/main" count="488" uniqueCount="294">
  <si>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</si>
  <si>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</si>
  <si>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</si>
  <si>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</si>
  <si>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</si>
  <si>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</si>
  <si>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</si>
  <si>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</si>
  <si>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</si>
  <si>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</si>
  <si>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</si>
  <si>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</si>
  <si>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</si>
  <si>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</si>
  <si>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</si>
  <si>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</si>
  <si>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</si>
  <si>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</si>
  <si>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</si>
  <si>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</si>
  <si>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</si>
  <si>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</si>
  <si>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</si>
  <si>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</si>
  <si>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</si>
  <si>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</si>
  <si>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</si>
  <si>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</si>
  <si>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</si>
  <si>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</si>
  <si>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</si>
  <si>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</si>
  <si>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</si>
  <si>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</si>
  <si>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</si>
  <si>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</si>
  <si>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</si>
  <si>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</si>
  <si>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</si>
  <si>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</si>
  <si>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</si>
  <si>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</si>
  <si>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</si>
  <si>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</si>
  <si>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</si>
  <si>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</si>
  <si>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</si>
  <si>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</si>
  <si>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</si>
  <si>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</si>
  <si>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</si>
  <si>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</si>
  <si>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</si>
  <si>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</si>
  <si>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</si>
  <si>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</si>
  <si>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</si>
  <si>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</si>
  <si>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</si>
  <si>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</si>
  <si>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</si>
  <si>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</si>
  <si>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</si>
  <si>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</si>
  <si>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</si>
  <si>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</si>
  <si>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</si>
  <si>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</si>
  <si>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</si>
  <si>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</si>
  <si>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</si>
  <si>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</si>
  <si>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</si>
  <si>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</si>
  <si>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</si>
  <si>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</si>
  <si>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</si>
  <si>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</si>
  <si>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</si>
  <si>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</si>
  <si>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</si>
  <si>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</si>
  <si>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</si>
  <si>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</si>
  <si>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</si>
  <si>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</si>
  <si>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</si>
  <si>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</si>
  <si>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</si>
  <si>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</si>
  <si>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</si>
  <si>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</si>
  <si>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</si>
  <si>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</si>
  <si>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</si>
  <si>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</si>
  <si>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</si>
  <si>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</si>
  <si>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</si>
  <si>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</si>
  <si>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</si>
  <si>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</si>
  <si>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</si>
  <si>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</si>
  <si>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</si>
  <si>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</si>
  <si>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</si>
  <si>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</si>
  <si>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</si>
  <si>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</si>
  <si>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</si>
  <si>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</si>
  <si>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</si>
  <si>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</si>
  <si>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</si>
  <si>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</si>
  <si>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</si>
  <si>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</si>
  <si>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</si>
  <si>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</si>
  <si>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</si>
  <si>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</si>
  <si>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</si>
  <si>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</si>
  <si>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</si>
  <si>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</si>
  <si>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</si>
  <si>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</si>
  <si>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</si>
  <si>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</si>
  <si>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</si>
  <si>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</si>
  <si>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</si>
  <si>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</si>
  <si>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</si>
  <si>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</si>
  <si>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</si>
  <si>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</si>
  <si>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</si>
  <si>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</si>
  <si>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</si>
  <si>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</si>
  <si>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</si>
  <si>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</si>
  <si>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</si>
  <si>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</si>
  <si>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</si>
  <si>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</si>
  <si>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</si>
  <si>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</si>
  <si>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</si>
  <si>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</si>
  <si>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</si>
  <si>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</si>
  <si>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</si>
  <si>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</si>
  <si>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</si>
  <si>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</si>
  <si>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</si>
  <si>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</si>
  <si>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</si>
  <si>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</si>
  <si>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</si>
  <si>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</si>
  <si>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</si>
  <si>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</si>
  <si>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</si>
  <si>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</si>
  <si>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</si>
  <si>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</si>
  <si>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</si>
  <si>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</si>
  <si>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</si>
  <si>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</si>
  <si>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</si>
  <si>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</si>
  <si>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</si>
  <si>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</si>
  <si>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</si>
  <si>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</si>
  <si>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</si>
  <si>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</si>
  <si>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</si>
  <si>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</si>
  <si>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</si>
  <si>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</si>
  <si>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</si>
  <si>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</si>
  <si>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</si>
  <si>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</si>
  <si>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</si>
  <si>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</si>
  <si>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</si>
  <si>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</si>
  <si>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</si>
  <si>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</si>
  <si>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</si>
  <si>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</si>
  <si>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</si>
  <si>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</si>
  <si>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</si>
  <si>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</si>
  <si>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</si>
  <si>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</si>
  <si>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</si>
  <si>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</si>
  <si>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</si>
  <si>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</si>
  <si>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</si>
  <si>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</si>
  <si>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</si>
  <si>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</si>
  <si>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</si>
  <si>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</si>
  <si>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</si>
  <si>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</si>
  <si>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</si>
  <si>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</si>
  <si>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</si>
  <si>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</si>
  <si>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</si>
  <si>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</si>
  <si>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</si>
  <si>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</si>
  <si>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</si>
  <si>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</si>
  <si>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</si>
  <si>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</si>
  <si>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</si>
  <si>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</si>
  <si>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</si>
  <si>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</si>
  <si>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</si>
  <si>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</si>
  <si>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</si>
  <si>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</si>
  <si>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</si>
  <si>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</si>
  <si>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</si>
  <si>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</si>
  <si>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</si>
  <si>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</si>
  <si>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</si>
  <si>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</si>
  <si>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</si>
  <si>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</si>
  <si>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</si>
  <si>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</si>
  <si>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</si>
  <si>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</si>
  <si>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</si>
  <si>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</si>
  <si>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</si>
  <si>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</si>
  <si>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</si>
  <si>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</si>
  <si>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</si>
  <si>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</si>
  <si>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</si>
  <si>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</si>
  <si>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</si>
  <si>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</si>
  <si>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</si>
  <si>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</si>
  <si>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</si>
  <si>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</si>
  <si>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</si>
  <si>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</si>
  <si>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</si>
  <si>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</si>
  <si>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</si>
  <si>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</si>
  <si>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</si>
  <si>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</si>
  <si>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</si>
  <si>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</si>
  <si>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</si>
  <si>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</si>
  <si>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</si>
  <si>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</si>
  <si>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</si>
  <si>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</si>
  <si>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</si>
  <si>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</si>
  <si>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</si>
  <si>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</si>
  <si>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</si>
  <si>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</si>
  <si>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</si>
  <si>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+569 7865 8972</t>
  </si>
  <si>
    <t>FELIPE SMITH</t>
  </si>
  <si>
    <t>CUB CON RESPALDO FTE 180°</t>
  </si>
  <si>
    <t>NEW BLACK GRANITE</t>
  </si>
  <si>
    <t>N° 12052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</si>
</sst>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165" fontId="0" fillId="0" borderId="0" xfId="0" applyNumberFormat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215079</xdr:rowOff>
    </xdr:from>
    <xdr:to>
      <xdr:col>5</xdr:col>
      <xdr:colOff>1732649</xdr:colOff>
      <xdr:row>26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290</v>
      </c>
      <c r="D10" s="243"/>
      <c r="E10" s="243"/>
      <c r="F10" s="418" t="s">
        <v>277</v>
      </c>
      <c r="G10" s="275">
        <v>46100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4" t="s">
        <v>289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1" t="s">
        <v>95</v>
      </c>
      <c r="C19" s="442"/>
      <c r="D19" s="442"/>
      <c r="E19" s="442"/>
      <c r="F19" s="442"/>
      <c r="G19" s="442"/>
      <c r="H19" s="443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64696.38945233266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5" t="s">
        <v>291</v>
      </c>
      <c r="D21" s="436">
        <v>2.77</v>
      </c>
      <c r="E21" s="436">
        <v>0.55000000000000004</v>
      </c>
      <c r="F21" s="313" t="s">
        <v>292</v>
      </c>
      <c r="G21" s="314">
        <f>Q21</f>
        <v>101411.59046653144</v>
      </c>
      <c r="H21" s="437">
        <f>G21*B21</f>
        <v>101411.59046653144</v>
      </c>
      <c r="I21" s="306"/>
      <c r="J21" s="264"/>
      <c r="K21" s="47"/>
      <c r="L21" s="47">
        <f>B21</f>
        <v>1</v>
      </c>
      <c r="M21" s="39">
        <f>D21+M$19</f>
        <v>2.85</v>
      </c>
      <c r="N21" s="39">
        <f>E21+$N$19</f>
        <v>0.55000000000000004</v>
      </c>
      <c r="O21" s="260">
        <f t="shared" ref="O21" si="0">M21*N21</f>
        <v>1.5675000000000001</v>
      </c>
      <c r="P21" s="258">
        <f t="shared" ref="P21" si="1">O21*L21</f>
        <v>1.5675000000000001</v>
      </c>
      <c r="Q21" s="251">
        <f t="shared" ref="Q21" si="2">Q$20*O21</f>
        <v>101411.59046653144</v>
      </c>
      <c r="R21" s="305">
        <f t="shared" ref="R21" si="3">Q21+R$20</f>
        <v>104411.59046653144</v>
      </c>
      <c r="S21" s="290">
        <f>M21*L21</f>
        <v>2.85</v>
      </c>
      <c r="T21" s="46">
        <f>N21*2*L21*2</f>
        <v>2.2000000000000002</v>
      </c>
      <c r="U21" s="9"/>
      <c r="X21" s="4"/>
    </row>
    <row r="22" spans="1:25" ht="17.399999999999999" x14ac:dyDescent="0.3">
      <c r="B22" s="438">
        <v>1</v>
      </c>
      <c r="C22" s="433" t="s">
        <v>291</v>
      </c>
      <c r="D22" s="430">
        <v>2</v>
      </c>
      <c r="E22" s="430">
        <v>0.55000000000000004</v>
      </c>
      <c r="F22" s="429" t="s">
        <v>292</v>
      </c>
      <c r="G22" s="431">
        <f>Q22</f>
        <v>74012.669533468565</v>
      </c>
      <c r="H22" s="439">
        <f>G22*B22</f>
        <v>74012.669533468565</v>
      </c>
      <c r="I22" s="306"/>
      <c r="J22" s="264"/>
      <c r="K22" s="47"/>
      <c r="L22" s="47">
        <f>B22</f>
        <v>1</v>
      </c>
      <c r="M22" s="39">
        <f>D22+M$19</f>
        <v>2.08</v>
      </c>
      <c r="N22" s="39">
        <f>E22+$N$19</f>
        <v>0.55000000000000004</v>
      </c>
      <c r="O22" s="260">
        <f t="shared" ref="O22" si="4">M22*N22</f>
        <v>1.1440000000000001</v>
      </c>
      <c r="P22" s="258">
        <f t="shared" ref="P22" si="5">O22*L22</f>
        <v>1.1440000000000001</v>
      </c>
      <c r="Q22" s="251">
        <f t="shared" ref="Q22" si="6">Q$20*O22</f>
        <v>74012.669533468565</v>
      </c>
      <c r="R22" s="305">
        <f t="shared" ref="R22" si="7">Q22+R$20</f>
        <v>77012.669533468565</v>
      </c>
      <c r="S22" s="290"/>
      <c r="T22" s="46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SUM(H21:H23)</f>
        <v>175424.26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SUM(T21:T23)</f>
        <v>2.2000000000000002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33330.609400000001</v>
      </c>
      <c r="I26" s="308"/>
      <c r="J26" s="264"/>
      <c r="K26" s="47">
        <v>450</v>
      </c>
      <c r="L26" s="440">
        <f>M26*10</f>
        <v>49.3</v>
      </c>
      <c r="M26" s="39">
        <f>SUM(M21:M25)</f>
        <v>4.93</v>
      </c>
      <c r="N26" s="12"/>
      <c r="O26" s="12"/>
      <c r="P26" s="252">
        <f>SUM(P21:P22)</f>
        <v>2.7115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208754.86940000003</v>
      </c>
      <c r="I27" s="308"/>
      <c r="J27" s="264"/>
      <c r="K27" s="47">
        <v>60</v>
      </c>
      <c r="L27" s="47"/>
      <c r="M27" s="39"/>
      <c r="N27" s="12"/>
      <c r="O27" s="12"/>
      <c r="P27" s="252">
        <f>P26</f>
        <v>2.7115</v>
      </c>
      <c r="Q27" s="14"/>
      <c r="R27" s="12"/>
      <c r="S27" s="239">
        <f>SUM(S21:S26)</f>
        <v>2.85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>
        <f>SUM(K26:K27)</f>
        <v>510</v>
      </c>
      <c r="L28" s="47"/>
      <c r="M28" s="14"/>
      <c r="N28" s="12"/>
      <c r="O28" s="12"/>
      <c r="P28" s="39">
        <f>P27*20%</f>
        <v>0.5423</v>
      </c>
      <c r="Q28" s="39" t="s">
        <v>129</v>
      </c>
      <c r="R28" s="42"/>
      <c r="S28" s="240">
        <f>S27+T25</f>
        <v>5.0500000000000007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3.2538</v>
      </c>
      <c r="Q29" s="14"/>
      <c r="R29" s="14"/>
      <c r="S29" s="238">
        <f>S28*20%</f>
        <v>1.0100000000000002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>
        <v>600</v>
      </c>
      <c r="L30" s="47"/>
      <c r="M30" s="14"/>
      <c r="N30" s="14"/>
      <c r="O30" s="14"/>
      <c r="P30" s="14"/>
      <c r="Q30" s="14"/>
      <c r="R30" s="14"/>
      <c r="S30" s="240">
        <f>S28+S29</f>
        <v>6.0600000000000005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>
        <v>60</v>
      </c>
      <c r="L31" s="47"/>
      <c r="M31" s="39">
        <f>P29</f>
        <v>3.2538</v>
      </c>
      <c r="N31" s="12">
        <v>3500</v>
      </c>
      <c r="O31" s="12">
        <f t="shared" ref="O31:O36" si="8">M31*N31</f>
        <v>11388.3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>
        <f>SUM(K30:K31)</f>
        <v>660</v>
      </c>
      <c r="L32" s="47"/>
      <c r="M32" s="248">
        <v>0.9</v>
      </c>
      <c r="N32" s="12">
        <v>23500</v>
      </c>
      <c r="O32" s="12">
        <f t="shared" si="8"/>
        <v>21150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8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>
        <f>K28+K32</f>
        <v>1170</v>
      </c>
      <c r="L34" s="249"/>
      <c r="M34" s="14">
        <v>2</v>
      </c>
      <c r="N34" s="249">
        <v>20000</v>
      </c>
      <c r="O34" s="12">
        <f t="shared" si="8"/>
        <v>40000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8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4.8</v>
      </c>
      <c r="N36" s="12">
        <v>1500</v>
      </c>
      <c r="O36" s="12">
        <f t="shared" si="8"/>
        <v>7200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79738.3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175424.26</v>
      </c>
      <c r="P38" s="14" t="s">
        <v>138</v>
      </c>
      <c r="Q38" s="14"/>
      <c r="R38" s="40">
        <f>P29/R37</f>
        <v>0.87731880931837791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51290</v>
      </c>
      <c r="L39" s="249"/>
      <c r="M39" s="14"/>
      <c r="N39" s="12"/>
      <c r="O39" s="12">
        <f>O38/P27</f>
        <v>64696.38945233266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43100.840336134454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46100</v>
      </c>
    </row>
    <row r="6" spans="2:31" ht="16.2" thickBot="1" x14ac:dyDescent="0.35">
      <c r="B6" s="140" t="s">
        <v>2</v>
      </c>
      <c r="C6" s="139" t="str">
        <f>'2229'!C10</f>
        <v>FELIPE SMITH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5" t="s">
        <v>98</v>
      </c>
      <c r="I7" s="446"/>
      <c r="J7" s="446"/>
      <c r="K7" s="447"/>
      <c r="N7" s="75"/>
      <c r="O7" s="44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12052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-12084.969200120775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175424.26</v>
      </c>
      <c r="E11" s="132">
        <f>D11*0.19</f>
        <v>33330.609400000001</v>
      </c>
      <c r="F11" s="131">
        <f>E11+D11</f>
        <v>208754.86940000003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93905.030799879227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62372.39078743961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75905.030799879227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113051.8692125604</v>
      </c>
      <c r="E13" s="221">
        <f>(D11/D12)-1</f>
        <v>1.8125306371184746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66905.030799879227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27905.030799879227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102914.44479927536</v>
      </c>
      <c r="F15" s="216">
        <f>E15-D12</f>
        <v>40542.054011835746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27905.030799879227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67905.030799879227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21150</v>
      </c>
      <c r="E19" s="123">
        <f>D19*0.19</f>
        <v>4018.5</v>
      </c>
      <c r="F19" s="120">
        <f>SUM(D19:E19)</f>
        <v>25168.5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11388.3</v>
      </c>
      <c r="E20" s="121">
        <f>D20*0.19</f>
        <v>2163.777</v>
      </c>
      <c r="F20" s="120">
        <f>SUM(D20:E20)</f>
        <v>13552.076999999999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32538.3</v>
      </c>
      <c r="E21" s="116">
        <f>SUM(E18:E20)</f>
        <v>6182.277</v>
      </c>
      <c r="F21" s="115">
        <f>SUM(F18:F20)</f>
        <v>38720.576999999997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27148.332399999999</v>
      </c>
    </row>
    <row r="41" spans="2:16" ht="15" thickBot="1" x14ac:dyDescent="0.35">
      <c r="H41" s="448" t="s">
        <v>60</v>
      </c>
      <c r="I41" s="449"/>
      <c r="J41" s="449"/>
      <c r="K41" s="449"/>
      <c r="L41" s="449"/>
      <c r="M41" s="45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175424.26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32538.3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113051.8692125604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113051.8692125604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12052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FELIPE SMITH</v>
      </c>
      <c r="D10" s="350"/>
      <c r="E10" s="350"/>
      <c r="F10" s="351" t="s">
        <v>167</v>
      </c>
      <c r="G10" s="352">
        <f>'2229'!G10</f>
        <v>46100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46107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+569 7865 8972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1" t="s">
        <v>175</v>
      </c>
      <c r="G17" s="451"/>
      <c r="H17" s="45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3" t="s">
        <v>176</v>
      </c>
      <c r="C20" s="454"/>
      <c r="D20" s="454"/>
      <c r="E20" s="454"/>
      <c r="F20" s="454"/>
      <c r="G20" s="454"/>
      <c r="H20" s="455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FTE 180°</v>
      </c>
      <c r="D22" s="321">
        <f>'2229'!D21*1000</f>
        <v>2770</v>
      </c>
      <c r="E22" s="321">
        <f>'2229'!E21*1000</f>
        <v>550</v>
      </c>
      <c r="F22" s="322" t="str">
        <f>'2229'!F21</f>
        <v>NEW BLACK GRANITE</v>
      </c>
      <c r="G22" s="314">
        <f>'2229'!G21</f>
        <v>101411.59046653144</v>
      </c>
      <c r="H22" s="323">
        <f>G22*B22</f>
        <v>101411.59046653144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101411.59046653144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19268.202188640975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120679.79265517242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6" t="s">
        <v>182</v>
      </c>
      <c r="C2" s="456"/>
      <c r="D2" s="456"/>
      <c r="E2" s="361"/>
      <c r="G2" s="456" t="s">
        <v>183</v>
      </c>
      <c r="H2" s="456"/>
      <c r="I2" s="456"/>
      <c r="P2" s="457" t="s">
        <v>184</v>
      </c>
      <c r="Q2" s="457"/>
      <c r="R2" s="457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7" t="s">
        <v>184</v>
      </c>
      <c r="M8" s="457"/>
      <c r="N8" s="457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2" t="s">
        <v>265</v>
      </c>
      <c r="L3" s="462"/>
      <c r="M3" s="462" t="s">
        <v>266</v>
      </c>
      <c r="N3" s="462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FELIPE SMITH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46100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46107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3" t="s">
        <v>265</v>
      </c>
      <c r="B10" s="463"/>
      <c r="C10" s="463"/>
      <c r="D10" s="463"/>
      <c r="E10" s="463"/>
      <c r="F10" s="463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3" t="s">
        <v>266</v>
      </c>
      <c r="B17" s="463"/>
      <c r="C17" s="463"/>
      <c r="D17" s="463"/>
      <c r="E17" s="463"/>
      <c r="F17" s="463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3" t="s">
        <v>272</v>
      </c>
      <c r="B45" s="463"/>
      <c r="C45" s="463"/>
      <c r="D45" s="463"/>
      <c r="E45" s="463"/>
      <c r="F45" s="46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8" t="s">
        <v>95</v>
      </c>
      <c r="C47" s="459"/>
      <c r="D47" s="460"/>
      <c r="E47" s="460"/>
      <c r="F47" s="461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12052</v>
      </c>
      <c r="C2" s="1">
        <f>'NOTA DE VENTA'!$G$10</f>
        <v>46100</v>
      </c>
      <c r="D2" s="1">
        <f>'NOTA DE VENTA'!$G$11</f>
        <v>46107</v>
      </c>
      <c r="E2" t="str">
        <f>'NOTA DE VENTA'!$C$10</f>
        <v>FELIPE SMITH</v>
      </c>
      <c r="F2" t="str">
        <f>'NOTA DE VENTA'!$C$22</f>
        <v>CUB CON RESPALDO FTE 180°</v>
      </c>
      <c r="G2" t="str">
        <f>'NOTA DE VENTA'!$F$22</f>
        <v>NEW BLACK GRANITE</v>
      </c>
      <c r="H2" s="416">
        <f>'NOTA DE VENTA'!$H$25</f>
        <v>101411.59046653144</v>
      </c>
      <c r="I2" s="416">
        <f>H2*0.19</f>
        <v>19268.202188640975</v>
      </c>
      <c r="J2" s="416">
        <f>I2+H2</f>
        <v>120679.79265517242</v>
      </c>
      <c r="L2" s="61">
        <f>J2-K2</f>
        <v>120679.79265517242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2026-03-19T17:39:27Z</cp:lastPrinted>
  <dcterms:created xsi:type="dcterms:W3CDTF">2013-03-18T13:35:42Z</dcterms:created>
  <dcterms:modified xsi:type="dcterms:W3CDTF">2026-03-23T20:02:54Z</dcterms:modified>
</cp:coreProperties>
</file>