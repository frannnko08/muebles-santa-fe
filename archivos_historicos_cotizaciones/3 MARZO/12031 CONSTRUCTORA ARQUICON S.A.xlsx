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BC3D3E5E-5D4A-4652-98BE-8CCFED7036B0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M23" i="1"/>
  <c r="N23" i="1"/>
  <c r="O23" i="1" s="1"/>
  <c r="P23" i="1" s="1"/>
  <c r="S23" i="1"/>
  <c r="L24" i="1"/>
  <c r="M24" i="1"/>
  <c r="N24" i="1"/>
  <c r="L22" i="1"/>
  <c r="M22" i="1"/>
  <c r="N22" i="1"/>
  <c r="S24" i="1" l="1"/>
  <c r="O24" i="1"/>
  <c r="P24" i="1" s="1"/>
  <c r="S22" i="1"/>
  <c r="O22" i="1"/>
  <c r="P22" i="1" s="1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T21" i="1" s="1"/>
  <c r="K5" i="6" l="1"/>
  <c r="D14" i="6"/>
  <c r="E14" i="6"/>
  <c r="E21" i="6"/>
  <c r="D21" i="6"/>
  <c r="L5" i="6"/>
  <c r="M5" i="6"/>
  <c r="D2" i="7"/>
  <c r="D8" i="6"/>
  <c r="M21" i="1"/>
  <c r="S21" i="1" s="1"/>
  <c r="M28" i="1" l="1"/>
  <c r="S29" i="1"/>
  <c r="T27" i="1"/>
  <c r="O21" i="1"/>
  <c r="P21" i="1" s="1"/>
  <c r="P28" i="1" s="1"/>
  <c r="K42" i="1"/>
  <c r="S30" i="1" l="1"/>
  <c r="S31" i="1" s="1"/>
  <c r="S32" i="1" s="1"/>
  <c r="V35" i="1"/>
  <c r="V36" i="1" s="1"/>
  <c r="P29" i="1" l="1"/>
  <c r="N20" i="1"/>
  <c r="L20" i="1"/>
  <c r="P30" i="1" l="1"/>
  <c r="P31" i="1" s="1"/>
  <c r="M33" i="1" s="1"/>
  <c r="O35" i="1"/>
  <c r="R39" i="1"/>
  <c r="R40" i="1" l="1"/>
  <c r="O34" i="1" s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4" i="1" l="1"/>
  <c r="Q23" i="1"/>
  <c r="Q22" i="1"/>
  <c r="O42" i="1"/>
  <c r="E15" i="3"/>
  <c r="R23" i="1" l="1"/>
  <c r="G23" i="1" s="1"/>
  <c r="H23" i="1" s="1"/>
  <c r="R24" i="1"/>
  <c r="G24" i="1" s="1"/>
  <c r="H24" i="1" s="1"/>
  <c r="R22" i="1"/>
  <c r="G22" i="1" s="1"/>
  <c r="H22" i="1" s="1"/>
  <c r="Q21" i="1"/>
  <c r="F15" i="3"/>
  <c r="R21" i="1" l="1"/>
  <c r="G21" i="1" s="1"/>
  <c r="H21" i="1" l="1"/>
  <c r="H27" i="1" s="1"/>
  <c r="H28" i="1" l="1"/>
  <c r="H29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<sst xmlns="http://schemas.openxmlformats.org/spreadsheetml/2006/main" count="493" uniqueCount="296">
  <si>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</si>
  <si>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</si>
  <si>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</si>
  <si>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</si>
  <si>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</si>
  <si>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</si>
  <si>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</si>
  <si>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</si>
  <si>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</si>
  <si>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</si>
  <si>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</si>
  <si>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</si>
  <si>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</si>
  <si>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</si>
  <si>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</si>
  <si>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</si>
  <si>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</si>
  <si>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</si>
  <si>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</si>
  <si>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</si>
  <si>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</si>
  <si>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</si>
  <si>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</si>
  <si>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</si>
  <si>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</si>
  <si>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</si>
  <si>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</si>
  <si>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</si>
  <si>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</si>
  <si>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</si>
  <si>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</si>
  <si>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</si>
  <si>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</si>
  <si>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</si>
  <si>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</si>
  <si>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</si>
  <si>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</si>
  <si>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</si>
  <si>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</si>
  <si>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</si>
  <si>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</si>
  <si>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</si>
  <si>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</si>
  <si>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</si>
  <si>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</si>
  <si>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</si>
  <si>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</si>
  <si>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</si>
  <si>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</si>
  <si>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</si>
  <si>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</si>
  <si>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</si>
  <si>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</si>
  <si>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</si>
  <si>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</si>
  <si>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</si>
  <si>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</si>
  <si>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</si>
  <si>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</si>
  <si>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</si>
  <si>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</si>
  <si>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</si>
  <si>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</si>
  <si>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</si>
  <si>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</si>
  <si>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</si>
  <si>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</si>
  <si>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</si>
  <si>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</si>
  <si>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</si>
  <si>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</si>
  <si>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</si>
  <si>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</si>
  <si>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</si>
  <si>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</si>
  <si>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</si>
  <si>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</si>
  <si>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</si>
  <si>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</si>
  <si>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</si>
  <si>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</si>
  <si>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</si>
  <si>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</si>
  <si>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</si>
  <si>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</si>
  <si>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</si>
  <si>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</si>
  <si>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</si>
  <si>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</si>
  <si>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</si>
  <si>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</si>
  <si>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</si>
  <si>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</si>
  <si>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</si>
  <si>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</si>
  <si>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</si>
  <si>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</si>
  <si>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</si>
  <si>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</si>
  <si>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</si>
  <si>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</si>
  <si>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</si>
  <si>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</si>
  <si>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</si>
  <si>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</si>
  <si>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</si>
  <si>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</si>
  <si>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</si>
  <si>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</si>
  <si>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</si>
  <si>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</si>
  <si>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</si>
  <si>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</si>
  <si>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</si>
  <si>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</si>
  <si>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</si>
  <si>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</si>
  <si>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</si>
  <si>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</si>
  <si>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</si>
  <si>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</si>
  <si>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</si>
  <si>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</si>
  <si>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</si>
  <si>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</si>
  <si>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</si>
  <si>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</si>
  <si>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</si>
  <si>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</si>
  <si>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</si>
  <si>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</si>
  <si>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</si>
  <si>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</si>
  <si>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</si>
  <si>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</si>
  <si>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</si>
  <si>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</si>
  <si>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</si>
  <si>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</si>
  <si>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</si>
  <si>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</si>
  <si>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</si>
  <si>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</si>
  <si>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</si>
  <si>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</si>
  <si>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</si>
  <si>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</si>
  <si>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</si>
  <si>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</si>
  <si>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</si>
  <si>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</si>
  <si>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</si>
  <si>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</si>
  <si>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</si>
  <si>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</si>
  <si>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</si>
  <si>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</si>
  <si>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</si>
  <si>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</si>
  <si>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</si>
  <si>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</si>
  <si>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</si>
  <si>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</si>
  <si>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</si>
  <si>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</si>
  <si>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</si>
  <si>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</si>
  <si>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</si>
  <si>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</si>
  <si>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</si>
  <si>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</si>
  <si>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</si>
  <si>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</si>
  <si>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</si>
  <si>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</si>
  <si>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</si>
  <si>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</si>
  <si>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</si>
  <si>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</si>
  <si>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</si>
  <si>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</si>
  <si>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</si>
  <si>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</si>
  <si>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</si>
  <si>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</si>
  <si>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</si>
  <si>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</si>
  <si>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</si>
  <si>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</si>
  <si>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</si>
  <si>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</si>
  <si>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</si>
  <si>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</si>
  <si>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</si>
  <si>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</si>
  <si>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</si>
  <si>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</si>
  <si>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</si>
  <si>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</si>
  <si>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</si>
  <si>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</si>
  <si>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</si>
  <si>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</si>
  <si>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</si>
  <si>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</si>
  <si>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</si>
  <si>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</si>
  <si>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</si>
  <si>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</si>
  <si>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</si>
  <si>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</si>
  <si>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</si>
  <si>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</si>
  <si>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</si>
  <si>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</si>
  <si>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</si>
  <si>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</si>
  <si>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</si>
  <si>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</si>
  <si>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</si>
  <si>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</si>
  <si>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</si>
  <si>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</si>
  <si>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</si>
  <si>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</si>
  <si>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</si>
  <si>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</si>
  <si>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</si>
  <si>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</si>
  <si>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</si>
  <si>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</si>
  <si>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</si>
  <si>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</si>
  <si>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</si>
  <si>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</si>
  <si>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</si>
  <si>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</si>
  <si>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</si>
  <si>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</si>
  <si>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</si>
  <si>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</si>
  <si>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</si>
  <si>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</si>
  <si>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</si>
  <si>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</si>
  <si>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</si>
  <si>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</si>
  <si>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</si>
  <si>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</si>
  <si>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</si>
  <si>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</si>
  <si>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</si>
  <si>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</si>
  <si>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</si>
  <si>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</si>
  <si>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</si>
  <si>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</si>
  <si>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</si>
  <si>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</si>
  <si>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</si>
  <si>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</si>
  <si>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</si>
  <si>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</si>
  <si>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</si>
  <si>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</si>
  <si>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</si>
  <si>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</si>
  <si>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</si>
  <si>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</si>
  <si>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</si>
  <si>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</si>
  <si>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</si>
  <si>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</si>
  <si>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</si>
  <si>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</si>
  <si>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</si>
  <si>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</si>
  <si>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</si>
  <si>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</si>
  <si>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</si>
  <si>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</si>
  <si>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</si>
  <si>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</si>
  <si>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</si>
  <si>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</si>
  <si>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</si>
  <si>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</si>
  <si>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</si>
  <si>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</si>
  <si>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CONSTRUCTORA AQUICON S.A</t>
  </si>
  <si>
    <t>CAMILA ROJAS</t>
  </si>
  <si>
    <t>+569 6304 1786</t>
  </si>
  <si>
    <t>CUB ENCHAPE RECTO 1 CARA</t>
  </si>
  <si>
    <t>HAYA 1750 MT</t>
  </si>
  <si>
    <t>TAPACANTO PVC 29*2</t>
  </si>
  <si>
    <t>N° 12031A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</si>
</sst>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7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39" fillId="0" borderId="42" xfId="0" applyFont="1" applyBorder="1" applyAlignment="1">
      <alignment horizontal="center" vertical="center"/>
    </xf>
    <xf numFmtId="166" fontId="30" fillId="0" borderId="42" xfId="0" applyNumberFormat="1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167" fontId="11" fillId="0" borderId="42" xfId="2" applyNumberFormat="1" applyFont="1" applyFill="1" applyBorder="1" applyAlignment="1">
      <alignment horizontal="center" vertical="center"/>
    </xf>
    <xf numFmtId="167" fontId="11" fillId="0" borderId="10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214364</xdr:rowOff>
    </xdr:from>
    <xdr:to>
      <xdr:col>5</xdr:col>
      <xdr:colOff>1728839</xdr:colOff>
      <xdr:row>28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CORTADAS A LA MEDIDA Y ENCHAPADAS.</a:t>
          </a:r>
        </a:p>
        <a:p>
          <a:pPr algn="l"/>
          <a:r>
            <a:rPr lang="es-CL" sz="1200" b="1" baseline="0"/>
            <a:t>ENCHAPADAS CON TAPACANTO PVC 2mm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30mm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E25" zoomScale="93" zoomScaleNormal="93" workbookViewId="0">
      <selection activeCell="D7" sqref="D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3.77734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289</v>
      </c>
      <c r="D10" s="243"/>
      <c r="E10" s="243"/>
      <c r="F10" s="418" t="s">
        <v>277</v>
      </c>
      <c r="G10" s="275">
        <v>46091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290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291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52" t="s">
        <v>95</v>
      </c>
      <c r="C19" s="453"/>
      <c r="D19" s="453"/>
      <c r="E19" s="453"/>
      <c r="F19" s="453"/>
      <c r="G19" s="453"/>
      <c r="H19" s="454"/>
      <c r="I19" s="263"/>
      <c r="J19" s="263"/>
      <c r="K19" s="5"/>
      <c r="L19" s="249"/>
      <c r="M19" s="14">
        <v>0.02</v>
      </c>
      <c r="N19" s="14">
        <v>0.02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O41</f>
        <v>94830.074060933955</v>
      </c>
      <c r="R20" s="257">
        <v>10000</v>
      </c>
      <c r="S20" s="38"/>
      <c r="T20" s="14" t="s">
        <v>127</v>
      </c>
      <c r="U20" s="9"/>
      <c r="X20" s="4"/>
    </row>
    <row r="21" spans="2:25" ht="17.399999999999999" x14ac:dyDescent="0.3">
      <c r="B21" s="312">
        <v>1</v>
      </c>
      <c r="C21" s="431" t="s">
        <v>292</v>
      </c>
      <c r="D21" s="432">
        <v>2.4</v>
      </c>
      <c r="E21" s="432">
        <v>0.75</v>
      </c>
      <c r="F21" s="313" t="s">
        <v>293</v>
      </c>
      <c r="G21" s="314">
        <f>R21</f>
        <v>186706.36000514432</v>
      </c>
      <c r="H21" s="433">
        <f>G21*B21</f>
        <v>186706.36000514432</v>
      </c>
      <c r="I21" s="306"/>
      <c r="J21" s="264"/>
      <c r="K21" s="47"/>
      <c r="L21" s="47">
        <f>B21</f>
        <v>1</v>
      </c>
      <c r="M21" s="39">
        <f>D21+M$19</f>
        <v>2.42</v>
      </c>
      <c r="N21" s="39">
        <f>E21+$N$19</f>
        <v>0.77</v>
      </c>
      <c r="O21" s="260">
        <f t="shared" ref="O21" si="0">M21*N21</f>
        <v>1.8633999999999999</v>
      </c>
      <c r="P21" s="258">
        <f t="shared" ref="P21" si="1">O21*L21</f>
        <v>1.8633999999999999</v>
      </c>
      <c r="Q21" s="251">
        <f t="shared" ref="Q21" si="2">Q$20*O21</f>
        <v>176706.36000514432</v>
      </c>
      <c r="R21" s="305">
        <f t="shared" ref="R21" si="3">Q21+R$20</f>
        <v>186706.36000514432</v>
      </c>
      <c r="S21" s="290">
        <f>M21*L21*2</f>
        <v>4.84</v>
      </c>
      <c r="T21" s="46">
        <f>N21*2*L21*2</f>
        <v>3.08</v>
      </c>
      <c r="U21" s="9"/>
      <c r="X21" s="4"/>
    </row>
    <row r="22" spans="2:25" ht="17.399999999999999" x14ac:dyDescent="0.3">
      <c r="B22" s="444">
        <v>1</v>
      </c>
      <c r="C22" s="441" t="s">
        <v>292</v>
      </c>
      <c r="D22" s="442">
        <v>2.42</v>
      </c>
      <c r="E22" s="442">
        <v>0.68</v>
      </c>
      <c r="F22" s="440" t="s">
        <v>293</v>
      </c>
      <c r="G22" s="443">
        <f>R22</f>
        <v>171969.7664960752</v>
      </c>
      <c r="H22" s="445">
        <f>G22*B22</f>
        <v>171969.7664960752</v>
      </c>
      <c r="I22" s="306"/>
      <c r="J22" s="264"/>
      <c r="K22" s="47"/>
      <c r="L22" s="47">
        <f t="shared" ref="L22:L24" si="4">B22</f>
        <v>1</v>
      </c>
      <c r="M22" s="39">
        <f t="shared" ref="M22:M24" si="5">D22+M$19</f>
        <v>2.44</v>
      </c>
      <c r="N22" s="39">
        <f t="shared" ref="N22:N24" si="6">E22+$N$19</f>
        <v>0.70000000000000007</v>
      </c>
      <c r="O22" s="260">
        <f t="shared" ref="O22:O24" si="7">M22*N22</f>
        <v>1.7080000000000002</v>
      </c>
      <c r="P22" s="258">
        <f t="shared" ref="P22:P24" si="8">O22*L22</f>
        <v>1.7080000000000002</v>
      </c>
      <c r="Q22" s="251">
        <f t="shared" ref="Q22:Q24" si="9">Q$20*O22</f>
        <v>161969.7664960752</v>
      </c>
      <c r="R22" s="305">
        <f t="shared" ref="R22:R24" si="10">Q22+R$20</f>
        <v>171969.7664960752</v>
      </c>
      <c r="S22" s="290">
        <f t="shared" ref="S22:S24" si="11">M22*L22*2</f>
        <v>4.88</v>
      </c>
      <c r="T22" s="46"/>
      <c r="U22" s="9"/>
      <c r="X22" s="4"/>
    </row>
    <row r="23" spans="2:25" ht="17.399999999999999" x14ac:dyDescent="0.3">
      <c r="B23" s="446">
        <v>2</v>
      </c>
      <c r="C23" s="447" t="s">
        <v>292</v>
      </c>
      <c r="D23" s="448">
        <v>0.9</v>
      </c>
      <c r="E23" s="448">
        <v>0.25</v>
      </c>
      <c r="F23" s="449" t="s">
        <v>293</v>
      </c>
      <c r="G23" s="450">
        <f>R23</f>
        <v>33555.790396736003</v>
      </c>
      <c r="H23" s="451">
        <f>G23*B23</f>
        <v>67111.580793472007</v>
      </c>
      <c r="I23" s="306"/>
      <c r="J23" s="264"/>
      <c r="K23" s="47"/>
      <c r="L23" s="47">
        <f t="shared" ref="L23" si="12">B23</f>
        <v>2</v>
      </c>
      <c r="M23" s="39">
        <f t="shared" ref="M23" si="13">D23+M$19</f>
        <v>0.92</v>
      </c>
      <c r="N23" s="39">
        <f t="shared" ref="N23" si="14">E23+$N$19</f>
        <v>0.27</v>
      </c>
      <c r="O23" s="260">
        <f t="shared" ref="O23" si="15">M23*N23</f>
        <v>0.24840000000000004</v>
      </c>
      <c r="P23" s="258">
        <f t="shared" ref="P23" si="16">O23*L23</f>
        <v>0.49680000000000007</v>
      </c>
      <c r="Q23" s="251">
        <f t="shared" ref="Q23" si="17">Q$20*O23</f>
        <v>23555.790396736</v>
      </c>
      <c r="R23" s="305">
        <f t="shared" ref="R23" si="18">Q23+R$20</f>
        <v>33555.790396736003</v>
      </c>
      <c r="S23" s="290">
        <f t="shared" ref="S23" si="19">M23*L23*2</f>
        <v>3.68</v>
      </c>
      <c r="T23" s="46"/>
      <c r="U23" s="9"/>
      <c r="X23" s="4"/>
    </row>
    <row r="24" spans="2:25" ht="18" thickBot="1" x14ac:dyDescent="0.35">
      <c r="B24" s="434">
        <v>2</v>
      </c>
      <c r="C24" s="435" t="s">
        <v>292</v>
      </c>
      <c r="D24" s="436">
        <v>0.67</v>
      </c>
      <c r="E24" s="436">
        <v>0.3</v>
      </c>
      <c r="F24" s="437" t="s">
        <v>293</v>
      </c>
      <c r="G24" s="438">
        <f>R24</f>
        <v>30938.48035265422</v>
      </c>
      <c r="H24" s="439">
        <f>G24*B24</f>
        <v>61876.96070530844</v>
      </c>
      <c r="I24" s="306"/>
      <c r="J24" s="264"/>
      <c r="K24" s="47"/>
      <c r="L24" s="47">
        <f t="shared" si="4"/>
        <v>2</v>
      </c>
      <c r="M24" s="39">
        <f t="shared" si="5"/>
        <v>0.69000000000000006</v>
      </c>
      <c r="N24" s="39">
        <f t="shared" si="6"/>
        <v>0.32</v>
      </c>
      <c r="O24" s="260">
        <f t="shared" si="7"/>
        <v>0.22080000000000002</v>
      </c>
      <c r="P24" s="258">
        <f t="shared" si="8"/>
        <v>0.44160000000000005</v>
      </c>
      <c r="Q24" s="251">
        <f t="shared" si="9"/>
        <v>20938.48035265422</v>
      </c>
      <c r="R24" s="305">
        <f t="shared" si="10"/>
        <v>30938.48035265422</v>
      </c>
      <c r="S24" s="290">
        <f t="shared" si="11"/>
        <v>2.7600000000000002</v>
      </c>
      <c r="T24" s="46"/>
      <c r="U24" s="9"/>
      <c r="X24" s="4"/>
    </row>
    <row r="25" spans="2:25" ht="17.399999999999999" x14ac:dyDescent="0.3">
      <c r="B25" s="283"/>
      <c r="C25" s="325"/>
      <c r="D25" s="284"/>
      <c r="E25" s="284"/>
      <c r="F25" s="283"/>
      <c r="G25" s="306"/>
      <c r="H25" s="306"/>
      <c r="I25" s="306"/>
      <c r="J25" s="264"/>
      <c r="K25" s="47"/>
      <c r="L25" s="47"/>
      <c r="M25" s="39"/>
      <c r="N25" s="39"/>
      <c r="O25" s="260"/>
      <c r="P25" s="258"/>
      <c r="Q25" s="251"/>
      <c r="R25" s="305"/>
      <c r="S25" s="290"/>
      <c r="T25" s="46"/>
      <c r="U25" s="9"/>
      <c r="X25" s="4"/>
    </row>
    <row r="26" spans="2:25" ht="18" thickBot="1" x14ac:dyDescent="0.35">
      <c r="B26" s="283"/>
      <c r="C26" s="283"/>
      <c r="D26" s="284"/>
      <c r="E26" s="284"/>
      <c r="F26" s="283"/>
      <c r="G26" s="264"/>
      <c r="H26" s="307"/>
      <c r="I26" s="309"/>
      <c r="J26" s="233"/>
      <c r="K26" s="47"/>
      <c r="L26" s="47"/>
      <c r="M26" s="39"/>
      <c r="N26" s="39"/>
      <c r="O26" s="260"/>
      <c r="P26" s="258"/>
      <c r="Q26" s="251"/>
      <c r="R26" s="257"/>
      <c r="S26" s="290"/>
      <c r="T26" s="14"/>
      <c r="U26" s="9"/>
      <c r="X26" s="4"/>
    </row>
    <row r="27" spans="2:25" ht="17.399999999999999" x14ac:dyDescent="0.3">
      <c r="B27" s="283"/>
      <c r="C27" s="283"/>
      <c r="D27" s="284"/>
      <c r="E27" s="284"/>
      <c r="F27" s="283"/>
      <c r="G27" s="310" t="s">
        <v>28</v>
      </c>
      <c r="H27" s="311">
        <f>SUM(H21:H26)</f>
        <v>487664.66799999995</v>
      </c>
      <c r="I27" s="308"/>
      <c r="J27" s="264"/>
      <c r="K27" s="47">
        <v>2600000</v>
      </c>
      <c r="L27" s="47"/>
      <c r="M27" s="39"/>
      <c r="N27" s="39"/>
      <c r="O27" s="260"/>
      <c r="P27" s="258"/>
      <c r="Q27" s="251"/>
      <c r="R27" s="257"/>
      <c r="S27" s="290"/>
      <c r="T27" s="46">
        <f>SUM(T21:T26)</f>
        <v>3.08</v>
      </c>
      <c r="U27" s="9"/>
      <c r="X27" s="4"/>
    </row>
    <row r="28" spans="2:25" ht="17.399999999999999" x14ac:dyDescent="0.3">
      <c r="B28" s="277"/>
      <c r="C28" s="280"/>
      <c r="D28" s="281"/>
      <c r="E28" s="281"/>
      <c r="F28" s="282"/>
      <c r="G28" s="289" t="s">
        <v>51</v>
      </c>
      <c r="H28" s="287">
        <f>H27*19%</f>
        <v>92656.286919999984</v>
      </c>
      <c r="I28" s="308"/>
      <c r="J28" s="264"/>
      <c r="K28" s="47"/>
      <c r="L28" s="47"/>
      <c r="M28" s="39">
        <f>SUM(M21:M27)</f>
        <v>6.47</v>
      </c>
      <c r="N28" s="12"/>
      <c r="O28" s="12"/>
      <c r="P28" s="252">
        <f>SUM(P21:P25)</f>
        <v>4.5098000000000003</v>
      </c>
      <c r="Q28" s="14"/>
      <c r="R28" s="12"/>
      <c r="S28" s="239"/>
      <c r="T28" s="46"/>
      <c r="U28" s="9"/>
      <c r="X28" s="4"/>
    </row>
    <row r="29" spans="2:25" ht="18" thickBot="1" x14ac:dyDescent="0.35">
      <c r="B29" s="274"/>
      <c r="C29" s="279"/>
      <c r="D29" s="271"/>
      <c r="E29" s="271"/>
      <c r="F29" s="272"/>
      <c r="G29" s="278" t="s">
        <v>6</v>
      </c>
      <c r="H29" s="288">
        <f>H27+H28</f>
        <v>580320.95491999993</v>
      </c>
      <c r="I29" s="308"/>
      <c r="J29" s="264"/>
      <c r="K29" s="47"/>
      <c r="L29" s="47"/>
      <c r="M29" s="39"/>
      <c r="N29" s="12"/>
      <c r="O29" s="12"/>
      <c r="P29" s="252">
        <f>P28</f>
        <v>4.5098000000000003</v>
      </c>
      <c r="Q29" s="14"/>
      <c r="R29" s="12"/>
      <c r="S29" s="239">
        <f>SUM(S21:S28)</f>
        <v>16.16</v>
      </c>
      <c r="T29" s="46"/>
      <c r="U29" s="9"/>
      <c r="X29" s="4"/>
    </row>
    <row r="30" spans="2:25" ht="17.399999999999999" x14ac:dyDescent="0.3">
      <c r="B30" s="274"/>
      <c r="C30" s="270"/>
      <c r="D30" s="271"/>
      <c r="E30" s="271"/>
      <c r="F30" s="272"/>
      <c r="J30" s="264"/>
      <c r="K30" s="47"/>
      <c r="L30" s="47"/>
      <c r="M30" s="14"/>
      <c r="N30" s="12"/>
      <c r="O30" s="12"/>
      <c r="P30" s="39">
        <f>P29*20%</f>
        <v>0.90196000000000009</v>
      </c>
      <c r="Q30" s="39" t="s">
        <v>129</v>
      </c>
      <c r="R30" s="42"/>
      <c r="S30" s="240">
        <f>S29+T27</f>
        <v>19.240000000000002</v>
      </c>
      <c r="T30" s="14"/>
      <c r="U30" s="9"/>
      <c r="X30" s="4"/>
    </row>
    <row r="31" spans="2:25" ht="17.399999999999999" x14ac:dyDescent="0.35">
      <c r="B31" s="268"/>
      <c r="C31" s="230"/>
      <c r="D31" s="230"/>
      <c r="E31" s="233"/>
      <c r="F31" s="234"/>
      <c r="G31" s="230"/>
      <c r="H31" s="273"/>
      <c r="I31" s="273"/>
      <c r="J31" s="264"/>
      <c r="K31" s="47"/>
      <c r="L31" s="47"/>
      <c r="M31" s="14"/>
      <c r="N31" s="12"/>
      <c r="O31" s="12"/>
      <c r="P31" s="46">
        <f>P29+P30</f>
        <v>5.4117600000000001</v>
      </c>
      <c r="Q31" s="14"/>
      <c r="R31" s="14"/>
      <c r="S31" s="238">
        <f>S30*20%</f>
        <v>3.8480000000000008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3"/>
      <c r="J32" s="264"/>
      <c r="K32" s="47"/>
      <c r="L32" s="47"/>
      <c r="M32" s="14"/>
      <c r="N32" s="14"/>
      <c r="O32" s="14"/>
      <c r="P32" s="14"/>
      <c r="Q32" s="14"/>
      <c r="R32" s="14"/>
      <c r="S32" s="240">
        <f>S30+S31</f>
        <v>23.088000000000001</v>
      </c>
      <c r="T32" s="14"/>
      <c r="U32" s="294" t="s">
        <v>21</v>
      </c>
      <c r="V32" s="291" t="s">
        <v>149</v>
      </c>
      <c r="W32" s="295">
        <v>44971</v>
      </c>
      <c r="X32" s="296"/>
    </row>
    <row r="33" spans="1:24" ht="17.399999999999999" x14ac:dyDescent="0.35">
      <c r="B33" s="230"/>
      <c r="C33" s="230"/>
      <c r="D33" s="230"/>
      <c r="E33" s="230"/>
      <c r="F33" s="230"/>
      <c r="G33" s="230"/>
      <c r="J33" s="264"/>
      <c r="K33" s="47"/>
      <c r="L33" s="47"/>
      <c r="M33" s="39">
        <f>P31</f>
        <v>5.4117600000000001</v>
      </c>
      <c r="N33" s="12">
        <v>3500</v>
      </c>
      <c r="O33" s="12">
        <f t="shared" ref="O33:O38" si="20">M33*N33</f>
        <v>18941.16</v>
      </c>
      <c r="P33" s="14" t="s">
        <v>21</v>
      </c>
      <c r="Q33" s="14"/>
      <c r="R33" s="14"/>
      <c r="S33" s="241"/>
      <c r="T33" s="14"/>
      <c r="U33" s="294" t="s">
        <v>150</v>
      </c>
      <c r="V33" s="291">
        <v>3625</v>
      </c>
      <c r="W33" s="59" t="s">
        <v>151</v>
      </c>
      <c r="X33" s="296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4"/>
      <c r="K34" s="47"/>
      <c r="L34" s="47"/>
      <c r="M34" s="248">
        <v>1.5</v>
      </c>
      <c r="N34" s="12">
        <v>42000</v>
      </c>
      <c r="O34" s="12">
        <f t="shared" si="20"/>
        <v>63000</v>
      </c>
      <c r="P34" s="39" t="s">
        <v>31</v>
      </c>
      <c r="Q34" s="42"/>
      <c r="R34" s="14"/>
      <c r="S34" s="240"/>
      <c r="T34" s="14"/>
      <c r="U34" s="294"/>
      <c r="V34" s="59">
        <v>906.25</v>
      </c>
      <c r="W34" s="59" t="s">
        <v>152</v>
      </c>
      <c r="X34" s="296"/>
    </row>
    <row r="35" spans="1:24" s="230" customFormat="1" ht="17.399999999999999" x14ac:dyDescent="0.35">
      <c r="B35" s="24" t="s">
        <v>148</v>
      </c>
      <c r="J35" s="261"/>
      <c r="K35" s="232"/>
      <c r="L35" s="249"/>
      <c r="M35" s="14"/>
      <c r="N35" s="249">
        <v>47000</v>
      </c>
      <c r="O35" s="12">
        <f t="shared" si="20"/>
        <v>0</v>
      </c>
      <c r="P35" s="39" t="s">
        <v>30</v>
      </c>
      <c r="Q35" s="42"/>
      <c r="S35" s="240"/>
      <c r="T35" s="255"/>
      <c r="U35" s="59"/>
      <c r="V35" s="59">
        <f>V34*20%</f>
        <v>181.25</v>
      </c>
      <c r="W35" s="296" t="s">
        <v>153</v>
      </c>
      <c r="X35" s="59"/>
    </row>
    <row r="36" spans="1:24" s="230" customFormat="1" ht="17.399999999999999" x14ac:dyDescent="0.35">
      <c r="B36" s="24" t="s">
        <v>162</v>
      </c>
      <c r="C36"/>
      <c r="D36"/>
      <c r="E36"/>
      <c r="F36"/>
      <c r="J36" s="261"/>
      <c r="K36" s="232"/>
      <c r="L36" s="249"/>
      <c r="M36" s="14">
        <v>2</v>
      </c>
      <c r="N36" s="249">
        <v>27000</v>
      </c>
      <c r="O36" s="12">
        <f t="shared" si="20"/>
        <v>54000</v>
      </c>
      <c r="P36" s="14" t="s">
        <v>139</v>
      </c>
      <c r="Q36" s="17"/>
      <c r="S36" s="238"/>
      <c r="T36" s="255"/>
      <c r="U36" s="59"/>
      <c r="V36" s="59">
        <f>V34+V35</f>
        <v>1087.5</v>
      </c>
      <c r="W36" s="296" t="s">
        <v>154</v>
      </c>
      <c r="X36" s="59"/>
    </row>
    <row r="37" spans="1:24" s="230" customFormat="1" ht="17.399999999999999" x14ac:dyDescent="0.35">
      <c r="A37" s="230" t="s">
        <v>283</v>
      </c>
      <c r="B37" s="29" t="s">
        <v>124</v>
      </c>
      <c r="C37"/>
      <c r="D37"/>
      <c r="E37"/>
      <c r="F37" s="229" t="s">
        <v>15</v>
      </c>
      <c r="J37" s="261"/>
      <c r="K37" s="259"/>
      <c r="L37" s="249"/>
      <c r="M37" s="248"/>
      <c r="N37" s="249">
        <v>900</v>
      </c>
      <c r="O37" s="12">
        <f t="shared" si="20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86"/>
      <c r="K38" s="259"/>
      <c r="L38" s="249"/>
      <c r="M38" s="265">
        <v>1</v>
      </c>
      <c r="N38" s="12">
        <v>50000</v>
      </c>
      <c r="O38" s="12">
        <f t="shared" si="20"/>
        <v>50000</v>
      </c>
      <c r="P38" s="14" t="s">
        <v>294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59"/>
      <c r="L39" s="249"/>
      <c r="M39" s="14"/>
      <c r="N39" s="12"/>
      <c r="O39" s="12">
        <f>SUM(O33:O38)</f>
        <v>185941.16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49"/>
      <c r="M40" s="253" t="s">
        <v>33</v>
      </c>
      <c r="N40" s="12"/>
      <c r="O40" s="254">
        <f>O39*2.3</f>
        <v>427664.66799999995</v>
      </c>
      <c r="P40" s="14" t="s">
        <v>138</v>
      </c>
      <c r="Q40" s="14"/>
      <c r="R40" s="40">
        <f>P31/R39</f>
        <v>1.459167385677308</v>
      </c>
      <c r="S40"/>
      <c r="T40" s="256"/>
    </row>
    <row r="41" spans="1:24" s="230" customFormat="1" ht="17.399999999999999" x14ac:dyDescent="0.35">
      <c r="G41"/>
      <c r="H41" s="259"/>
      <c r="I41" s="259"/>
      <c r="J41" s="259"/>
      <c r="K41" s="230">
        <v>42800</v>
      </c>
      <c r="L41" s="249"/>
      <c r="M41" s="14"/>
      <c r="N41" s="12"/>
      <c r="O41" s="12">
        <f>O40/P29</f>
        <v>94830.074060933955</v>
      </c>
      <c r="P41" s="45" t="s">
        <v>24</v>
      </c>
      <c r="Q41" s="14"/>
      <c r="R41" s="14"/>
      <c r="S41"/>
      <c r="T41" s="238"/>
      <c r="U41" s="59" t="s">
        <v>155</v>
      </c>
      <c r="V41" s="291">
        <v>43650</v>
      </c>
    </row>
    <row r="42" spans="1:24" s="230" customFormat="1" ht="17.399999999999999" x14ac:dyDescent="0.35">
      <c r="G42"/>
      <c r="K42" s="230">
        <f>K41/1.19</f>
        <v>35966.386554621851</v>
      </c>
      <c r="L42" s="249"/>
      <c r="M42" s="13"/>
      <c r="N42" s="14"/>
      <c r="O42" s="17">
        <f>O40/O39</f>
        <v>2.2999999999999998</v>
      </c>
      <c r="P42" s="15"/>
      <c r="Q42"/>
      <c r="R42"/>
      <c r="S42"/>
      <c r="T42" s="238"/>
      <c r="U42" s="59" t="s">
        <v>157</v>
      </c>
      <c r="V42" s="292" t="s">
        <v>156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158</v>
      </c>
      <c r="V43" s="293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153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49"/>
    </row>
    <row r="47" spans="1:24" x14ac:dyDescent="0.3">
      <c r="L47" s="249"/>
      <c r="T47" s="269"/>
    </row>
    <row r="48" spans="1:24" x14ac:dyDescent="0.3">
      <c r="L48" s="249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145</v>
      </c>
    </row>
    <row r="77" spans="3:15" x14ac:dyDescent="0.3">
      <c r="C77" t="s">
        <v>144</v>
      </c>
    </row>
    <row r="80" spans="3:15" x14ac:dyDescent="0.3">
      <c r="C80" t="s">
        <v>144</v>
      </c>
    </row>
    <row r="157" spans="3:3" x14ac:dyDescent="0.3">
      <c r="C157" t="s">
        <v>144</v>
      </c>
    </row>
    <row r="158" spans="3:3" x14ac:dyDescent="0.3">
      <c r="C158" t="s">
        <v>146</v>
      </c>
    </row>
    <row r="159" spans="3:3" x14ac:dyDescent="0.3">
      <c r="C159" t="s">
        <v>147</v>
      </c>
    </row>
    <row r="584" spans="3:3" x14ac:dyDescent="0.3">
      <c r="C584" t="s">
        <v>144</v>
      </c>
    </row>
  </sheetData>
  <mergeCells count="1">
    <mergeCell ref="B19:H19"/>
  </mergeCells>
  <phoneticPr fontId="32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46091</v>
      </c>
    </row>
    <row r="6" spans="2:31" ht="16.2" thickBot="1" x14ac:dyDescent="0.35">
      <c r="B6" s="140" t="s">
        <v>2</v>
      </c>
      <c r="C6" s="139" t="str">
        <f>'2229'!C10</f>
        <v>CONSTRUCTORA AQUICON S.A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56" t="s">
        <v>98</v>
      </c>
      <c r="I7" s="457"/>
      <c r="J7" s="457"/>
      <c r="K7" s="458"/>
      <c r="N7" s="75"/>
      <c r="O7" s="455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12031A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55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-50539.250700120763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487664.66799999995</v>
      </c>
      <c r="E11" s="132">
        <f>D11*0.19</f>
        <v>92656.286919999984</v>
      </c>
      <c r="F11" s="131">
        <f>E11+D11</f>
        <v>580320.95491999993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55450.749299879237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111775.25078743961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37450.749299879237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375889.41721256031</v>
      </c>
      <c r="E13" s="221">
        <f>(D11/D12)-1</f>
        <v>3.3629038142565255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28450.749299879237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-10549.250700120763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184429.16379927535</v>
      </c>
      <c r="F15" s="216">
        <f>E15-D12</f>
        <v>72653.913011835743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-10549.250700120763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29450.749299879237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63000</v>
      </c>
      <c r="E19" s="123">
        <f>D19*0.19</f>
        <v>11970</v>
      </c>
      <c r="F19" s="120">
        <f>SUM(D19:E19)</f>
        <v>74970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18941.16</v>
      </c>
      <c r="E20" s="121">
        <f>D20*0.19</f>
        <v>3598.8204000000001</v>
      </c>
      <c r="F20" s="120">
        <f>SUM(D20:E20)</f>
        <v>22539.9804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81941.16</v>
      </c>
      <c r="E21" s="116">
        <f>SUM(E18:E20)</f>
        <v>15568.820400000001</v>
      </c>
      <c r="F21" s="115">
        <f>SUM(F18:F20)</f>
        <v>97509.9804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77087.466519999987</v>
      </c>
    </row>
    <row r="41" spans="2:16" ht="15" thickBot="1" x14ac:dyDescent="0.35">
      <c r="H41" s="459" t="s">
        <v>60</v>
      </c>
      <c r="I41" s="460"/>
      <c r="J41" s="460"/>
      <c r="K41" s="460"/>
      <c r="L41" s="460"/>
      <c r="M41" s="461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487664.66799999995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81941.16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375889.41721256031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375889.41721256031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12031A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CONSTRUCTORA AQUICON S.A</v>
      </c>
      <c r="D10" s="350"/>
      <c r="E10" s="350"/>
      <c r="F10" s="351" t="s">
        <v>167</v>
      </c>
      <c r="G10" s="352">
        <f>'2229'!G10</f>
        <v>46091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46098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CAMILA ROJAS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+569 6304 1786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62" t="s">
        <v>175</v>
      </c>
      <c r="G17" s="462"/>
      <c r="H17" s="463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64" t="s">
        <v>176</v>
      </c>
      <c r="C20" s="465"/>
      <c r="D20" s="465"/>
      <c r="E20" s="465"/>
      <c r="F20" s="465"/>
      <c r="G20" s="465"/>
      <c r="H20" s="466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ENCHAPE RECTO 1 CARA</v>
      </c>
      <c r="D22" s="321">
        <f>'2229'!D21*1000</f>
        <v>2400</v>
      </c>
      <c r="E22" s="321">
        <f>'2229'!E21*1000</f>
        <v>750</v>
      </c>
      <c r="F22" s="322" t="str">
        <f>'2229'!F21</f>
        <v>HAYA 1750 MT</v>
      </c>
      <c r="G22" s="314">
        <f>'2229'!G21</f>
        <v>186706.36000514432</v>
      </c>
      <c r="H22" s="323">
        <f>G22*B22</f>
        <v>186706.36000514432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186706.36000514432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35474.208400977419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222180.56840612175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67" t="s">
        <v>182</v>
      </c>
      <c r="C2" s="467"/>
      <c r="D2" s="467"/>
      <c r="E2" s="361"/>
      <c r="G2" s="467" t="s">
        <v>183</v>
      </c>
      <c r="H2" s="467"/>
      <c r="I2" s="467"/>
      <c r="P2" s="468" t="s">
        <v>184</v>
      </c>
      <c r="Q2" s="468"/>
      <c r="R2" s="468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68" t="s">
        <v>184</v>
      </c>
      <c r="M8" s="468"/>
      <c r="N8" s="468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73" t="s">
        <v>265</v>
      </c>
      <c r="L3" s="473"/>
      <c r="M3" s="473" t="s">
        <v>266</v>
      </c>
      <c r="N3" s="473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CONSTRUCTORA AQUICON S.A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46091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46098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74" t="s">
        <v>265</v>
      </c>
      <c r="B10" s="474"/>
      <c r="C10" s="474"/>
      <c r="D10" s="474"/>
      <c r="E10" s="474"/>
      <c r="F10" s="474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74" t="s">
        <v>266</v>
      </c>
      <c r="B17" s="474"/>
      <c r="C17" s="474"/>
      <c r="D17" s="474"/>
      <c r="E17" s="474"/>
      <c r="F17" s="474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74" t="s">
        <v>272</v>
      </c>
      <c r="B45" s="474"/>
      <c r="C45" s="474"/>
      <c r="D45" s="474"/>
      <c r="E45" s="474"/>
      <c r="F45" s="474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69" t="s">
        <v>95</v>
      </c>
      <c r="C47" s="470"/>
      <c r="D47" s="471"/>
      <c r="E47" s="471"/>
      <c r="F47" s="472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12031A</v>
      </c>
      <c r="C2" s="1">
        <f>'NOTA DE VENTA'!$G$10</f>
        <v>46091</v>
      </c>
      <c r="D2" s="1">
        <f>'NOTA DE VENTA'!$G$11</f>
        <v>46098</v>
      </c>
      <c r="E2" t="str">
        <f>'NOTA DE VENTA'!$C$10</f>
        <v>CONSTRUCTORA AQUICON S.A</v>
      </c>
      <c r="F2" t="str">
        <f>'NOTA DE VENTA'!$C$22</f>
        <v>CUB ENCHAPE RECTO 1 CARA</v>
      </c>
      <c r="G2" t="str">
        <f>'NOTA DE VENTA'!$F$22</f>
        <v>HAYA 1750 MT</v>
      </c>
      <c r="H2" s="416">
        <f>'NOTA DE VENTA'!$H$25</f>
        <v>186706.36000514432</v>
      </c>
      <c r="I2" s="416">
        <f>H2*0.19</f>
        <v>35474.208400977419</v>
      </c>
      <c r="J2" s="416">
        <f>I2+H2</f>
        <v>222180.56840612175</v>
      </c>
      <c r="L2" s="61">
        <f>J2-K2</f>
        <v>222180.56840612175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2026-03-10T17:54:00Z</cp:lastPrinted>
  <dcterms:created xsi:type="dcterms:W3CDTF">2013-03-18T13:35:42Z</dcterms:created>
  <dcterms:modified xsi:type="dcterms:W3CDTF">2026-03-23T13:18:19Z</dcterms:modified>
</cp:coreProperties>
</file>