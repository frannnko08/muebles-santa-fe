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544F303E-5971-402E-B27C-2BC403D4A730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31" i="1"/>
  <c r="K27" i="1"/>
  <c r="K33" i="1" s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s="1"/>
  <c r="L25" i="1" s="1"/>
  <c r="S21" i="1" l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<sst xmlns="http://schemas.openxmlformats.org/spreadsheetml/2006/main" count="486" uniqueCount="294">
  <si>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</si>
  <si>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</si>
  <si>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</si>
  <si>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</si>
  <si>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</si>
  <si>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</si>
  <si>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</si>
  <si>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</si>
  <si>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</si>
  <si>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</si>
  <si>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</si>
  <si>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</si>
  <si>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</si>
  <si>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</si>
  <si>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</si>
  <si>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</si>
  <si>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</si>
  <si>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</si>
  <si>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</si>
  <si>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</si>
  <si>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</si>
  <si>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</si>
  <si>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</si>
  <si>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</si>
  <si>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</si>
  <si>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</si>
  <si>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</si>
  <si>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</si>
  <si>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</si>
  <si>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</si>
  <si>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</si>
  <si>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</si>
  <si>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</si>
  <si>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</si>
  <si>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</si>
  <si>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</si>
  <si>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</si>
  <si>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</si>
  <si>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</si>
  <si>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</si>
  <si>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</si>
  <si>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</si>
  <si>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</si>
  <si>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</si>
  <si>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</si>
  <si>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</si>
  <si>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</si>
  <si>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</si>
  <si>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</si>
  <si>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</si>
  <si>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</si>
  <si>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</si>
  <si>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</si>
  <si>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</si>
  <si>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</si>
  <si>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</si>
  <si>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</si>
  <si>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</si>
  <si>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</si>
  <si>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</si>
  <si>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</si>
  <si>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</si>
  <si>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</si>
  <si>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</si>
  <si>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</si>
  <si>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</si>
  <si>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</si>
  <si>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</si>
  <si>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</si>
  <si>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</si>
  <si>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</si>
  <si>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</si>
  <si>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</si>
  <si>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</si>
  <si>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</si>
  <si>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</si>
  <si>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</si>
  <si>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</si>
  <si>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</si>
  <si>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</si>
  <si>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</si>
  <si>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</si>
  <si>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</si>
  <si>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</si>
  <si>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</si>
  <si>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</si>
  <si>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</si>
  <si>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</si>
  <si>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</si>
  <si>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</si>
  <si>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</si>
  <si>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</si>
  <si>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</si>
  <si>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</si>
  <si>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</si>
  <si>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</si>
  <si>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</si>
  <si>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</si>
  <si>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</si>
  <si>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</si>
  <si>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</si>
  <si>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</si>
  <si>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</si>
  <si>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</si>
  <si>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</si>
  <si>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</si>
  <si>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</si>
  <si>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</si>
  <si>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</si>
  <si>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</si>
  <si>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</si>
  <si>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</si>
  <si>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</si>
  <si>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</si>
  <si>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</si>
  <si>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</si>
  <si>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</si>
  <si>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</si>
  <si>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</si>
  <si>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</si>
  <si>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</si>
  <si>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</si>
  <si>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</si>
  <si>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</si>
  <si>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</si>
  <si>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</si>
  <si>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</si>
  <si>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</si>
  <si>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</si>
  <si>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</si>
  <si>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</si>
  <si>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</si>
  <si>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</si>
  <si>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</si>
  <si>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</si>
  <si>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</si>
  <si>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</si>
  <si>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</si>
  <si>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</si>
  <si>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</si>
  <si>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</si>
  <si>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</si>
  <si>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</si>
  <si>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</si>
  <si>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</si>
  <si>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</si>
  <si>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</si>
  <si>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</si>
  <si>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</si>
  <si>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</si>
  <si>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</si>
  <si>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</si>
  <si>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</si>
  <si>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</si>
  <si>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</si>
  <si>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</si>
  <si>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</si>
  <si>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</si>
  <si>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</si>
  <si>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</si>
  <si>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</si>
  <si>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</si>
  <si>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</si>
  <si>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</si>
  <si>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</si>
  <si>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</si>
  <si>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</si>
  <si>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</si>
  <si>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</si>
  <si>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</si>
  <si>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</si>
  <si>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</si>
  <si>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</si>
  <si>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</si>
  <si>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</si>
  <si>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</si>
  <si>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</si>
  <si>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</si>
  <si>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</si>
  <si>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</si>
  <si>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</si>
  <si>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</si>
  <si>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</si>
  <si>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</si>
  <si>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</si>
  <si>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</si>
  <si>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</si>
  <si>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</si>
  <si>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</si>
  <si>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</si>
  <si>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</si>
  <si>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</si>
  <si>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</si>
  <si>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</si>
  <si>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</si>
  <si>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</si>
  <si>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</si>
  <si>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</si>
  <si>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</si>
  <si>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</si>
  <si>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</si>
  <si>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</si>
  <si>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</si>
  <si>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</si>
  <si>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</si>
  <si>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</si>
  <si>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</si>
  <si>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</si>
  <si>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</si>
  <si>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</si>
  <si>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</si>
  <si>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</si>
  <si>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</si>
  <si>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</si>
  <si>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</si>
  <si>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</si>
  <si>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</si>
  <si>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</si>
  <si>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</si>
  <si>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</si>
  <si>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</si>
  <si>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</si>
  <si>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</si>
  <si>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</si>
  <si>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</si>
  <si>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</si>
  <si>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</si>
  <si>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</si>
  <si>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</si>
  <si>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</si>
  <si>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</si>
  <si>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</si>
  <si>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</si>
  <si>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</si>
  <si>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</si>
  <si>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</si>
  <si>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</si>
  <si>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</si>
  <si>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</si>
  <si>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</si>
  <si>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</si>
  <si>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</si>
  <si>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</si>
  <si>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</si>
  <si>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</si>
  <si>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</si>
  <si>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</si>
  <si>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</si>
  <si>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</si>
  <si>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</si>
  <si>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</si>
  <si>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</si>
  <si>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</si>
  <si>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</si>
  <si>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</si>
  <si>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</si>
  <si>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</si>
  <si>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</si>
  <si>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</si>
  <si>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</si>
  <si>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</si>
  <si>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</si>
  <si>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</si>
  <si>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</si>
  <si>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</si>
  <si>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</si>
  <si>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</si>
  <si>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</si>
  <si>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</si>
  <si>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</si>
  <si>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</si>
  <si>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</si>
  <si>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</si>
  <si>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</si>
  <si>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</si>
  <si>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</si>
  <si>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</si>
  <si>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</si>
  <si>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</si>
  <si>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</si>
  <si>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</si>
  <si>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</si>
  <si>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</si>
  <si>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</si>
  <si>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</si>
  <si>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</si>
  <si>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</si>
  <si>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</si>
  <si>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</si>
  <si>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+569 9126 0109</t>
  </si>
  <si>
    <t>N° 12057</t>
  </si>
  <si>
    <t>NELSON RIVAS</t>
  </si>
  <si>
    <t>CUB CON RESPALDO FTE 90°</t>
  </si>
  <si>
    <t>NEW BLACK GRANITE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</si>
</sst>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5" fontId="0" fillId="0" borderId="0" xfId="0" applyNumberFormat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215079</xdr:rowOff>
    </xdr:from>
    <xdr:to>
      <xdr:col>5</xdr:col>
      <xdr:colOff>1732649</xdr:colOff>
      <xdr:row>25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baseline="0"/>
            <a:t>REGRUESO DE 2,5cm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8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291</v>
      </c>
      <c r="D10" s="243"/>
      <c r="E10" s="243"/>
      <c r="F10" s="418" t="s">
        <v>277</v>
      </c>
      <c r="G10" s="275">
        <v>46104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289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67020.508619218308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292</v>
      </c>
      <c r="D21" s="432">
        <v>2.71</v>
      </c>
      <c r="E21" s="432">
        <v>0.52500000000000002</v>
      </c>
      <c r="F21" s="313" t="s">
        <v>293</v>
      </c>
      <c r="G21" s="314">
        <f>Q21</f>
        <v>98168.290000000023</v>
      </c>
      <c r="H21" s="433">
        <f>G21*B21</f>
        <v>98168.290000000023</v>
      </c>
      <c r="I21" s="306"/>
      <c r="J21" s="264"/>
      <c r="K21" s="47"/>
      <c r="L21" s="47">
        <f>B21</f>
        <v>1</v>
      </c>
      <c r="M21" s="39">
        <f>D21+M$19</f>
        <v>2.79</v>
      </c>
      <c r="N21" s="39">
        <f>E21+$N$19</f>
        <v>0.52500000000000002</v>
      </c>
      <c r="O21" s="260">
        <f t="shared" ref="O21" si="0">M21*N21</f>
        <v>1.46475</v>
      </c>
      <c r="P21" s="258">
        <f t="shared" ref="P21" si="1">O21*L21</f>
        <v>1.46475</v>
      </c>
      <c r="Q21" s="251">
        <f t="shared" ref="Q21" si="2">Q$20*O21</f>
        <v>98168.290000000023</v>
      </c>
      <c r="R21" s="305">
        <f t="shared" ref="R21" si="3">Q21+R$20</f>
        <v>101168.29000000002</v>
      </c>
      <c r="S21" s="290">
        <f>M21*L21</f>
        <v>2.79</v>
      </c>
      <c r="T21" s="46">
        <f>N21*2*L21*2</f>
        <v>2.1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98168.290000000023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SUM(T21:T22)</f>
        <v>2.1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18651.975100000003</v>
      </c>
      <c r="I25" s="308"/>
      <c r="J25" s="264"/>
      <c r="K25" s="47">
        <v>450</v>
      </c>
      <c r="L25" s="434">
        <f>M25*10</f>
        <v>27.9</v>
      </c>
      <c r="M25" s="39">
        <f>SUM(M21:M24)</f>
        <v>2.79</v>
      </c>
      <c r="N25" s="12"/>
      <c r="O25" s="12"/>
      <c r="P25" s="252">
        <f>SUM(P21:P21)</f>
        <v>1.46475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116820.26510000002</v>
      </c>
      <c r="I26" s="308"/>
      <c r="J26" s="264"/>
      <c r="K26" s="47">
        <v>60</v>
      </c>
      <c r="L26" s="47"/>
      <c r="M26" s="39"/>
      <c r="N26" s="12"/>
      <c r="O26" s="12"/>
      <c r="P26" s="252">
        <f>P25</f>
        <v>1.46475</v>
      </c>
      <c r="Q26" s="14"/>
      <c r="R26" s="12"/>
      <c r="S26" s="239">
        <f>SUM(S21:S25)</f>
        <v>2.79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>
        <f>SUM(K25:K26)</f>
        <v>510</v>
      </c>
      <c r="L27" s="47"/>
      <c r="M27" s="14"/>
      <c r="N27" s="12"/>
      <c r="O27" s="12"/>
      <c r="P27" s="39">
        <f>P26*20%</f>
        <v>0.29294999999999999</v>
      </c>
      <c r="Q27" s="39" t="s">
        <v>129</v>
      </c>
      <c r="R27" s="42"/>
      <c r="S27" s="240">
        <f>S26+T24</f>
        <v>4.8900000000000006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1.7577</v>
      </c>
      <c r="Q28" s="14"/>
      <c r="R28" s="14"/>
      <c r="S28" s="238">
        <f>S27*20%</f>
        <v>0.9780000000000002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>
        <v>600</v>
      </c>
      <c r="L29" s="47"/>
      <c r="M29" s="14"/>
      <c r="N29" s="14"/>
      <c r="O29" s="14"/>
      <c r="P29" s="14"/>
      <c r="Q29" s="14"/>
      <c r="R29" s="14"/>
      <c r="S29" s="240">
        <f>S27+S28</f>
        <v>5.8680000000000003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>
        <v>60</v>
      </c>
      <c r="L30" s="47"/>
      <c r="M30" s="39">
        <f>P28</f>
        <v>1.7577</v>
      </c>
      <c r="N30" s="12">
        <v>3500</v>
      </c>
      <c r="O30" s="12">
        <f t="shared" ref="O30:O35" si="4">M30*N30</f>
        <v>6151.95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>
        <f>SUM(K29:K30)</f>
        <v>660</v>
      </c>
      <c r="L31" s="47"/>
      <c r="M31" s="248">
        <v>0.5</v>
      </c>
      <c r="N31" s="12">
        <v>23500</v>
      </c>
      <c r="O31" s="12">
        <f t="shared" si="4"/>
        <v>11750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>
        <f>K27+K31</f>
        <v>1170</v>
      </c>
      <c r="L33" s="249"/>
      <c r="M33" s="14">
        <v>1</v>
      </c>
      <c r="N33" s="249">
        <v>20000</v>
      </c>
      <c r="O33" s="12">
        <f t="shared" si="4"/>
        <v>20000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>
        <v>2.8</v>
      </c>
      <c r="N34" s="249">
        <v>900</v>
      </c>
      <c r="O34" s="12">
        <f t="shared" si="4"/>
        <v>2520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2.8</v>
      </c>
      <c r="N35" s="12">
        <v>1500</v>
      </c>
      <c r="O35" s="12">
        <f t="shared" si="4"/>
        <v>4200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44621.95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98168.290000000008</v>
      </c>
      <c r="P37" s="14" t="s">
        <v>138</v>
      </c>
      <c r="Q37" s="14"/>
      <c r="R37" s="40">
        <f>P28/R36</f>
        <v>0.47392687661777394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51290</v>
      </c>
      <c r="L38" s="249"/>
      <c r="M38" s="14"/>
      <c r="N38" s="12"/>
      <c r="O38" s="12">
        <f>O37/P26</f>
        <v>67020.508619218308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43100.840336134454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46104</v>
      </c>
    </row>
    <row r="6" spans="2:31" ht="16.2" thickBot="1" x14ac:dyDescent="0.35">
      <c r="B6" s="140" t="s">
        <v>2</v>
      </c>
      <c r="C6" s="139" t="str">
        <f>'2229'!C10</f>
        <v>NELSON RIVAS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12057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-3233.9704501207766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98168.290000000023</v>
      </c>
      <c r="E11" s="132">
        <f>D11*0.19</f>
        <v>18651.975100000003</v>
      </c>
      <c r="F11" s="131">
        <f>E11+D11</f>
        <v>116820.26510000002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102756.02954987923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47736.040787439619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84756.029549879226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50432.249212560404</v>
      </c>
      <c r="E13" s="221">
        <f>(D11/D12)-1</f>
        <v>1.0564816097155298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75756.029549879226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36756.029549879226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78764.467299275362</v>
      </c>
      <c r="F15" s="216">
        <f>E15-D12</f>
        <v>31028.426511835743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36756.029549879226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76756.029549879226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6151.95</v>
      </c>
      <c r="E20" s="121">
        <f>D20*0.19</f>
        <v>1168.8705</v>
      </c>
      <c r="F20" s="120">
        <f>SUM(D20:E20)</f>
        <v>7320.8204999999998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17901.95</v>
      </c>
      <c r="E21" s="116">
        <f>SUM(E18:E20)</f>
        <v>3401.3705</v>
      </c>
      <c r="F21" s="115">
        <f>SUM(F18:F20)</f>
        <v>21303.320500000002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15250.604600000002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98168.290000000023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17901.95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50432.249212560404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50432.249212560404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12057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NELSON RIVAS</v>
      </c>
      <c r="D10" s="350"/>
      <c r="E10" s="350"/>
      <c r="F10" s="351" t="s">
        <v>167</v>
      </c>
      <c r="G10" s="352">
        <f>'2229'!G10</f>
        <v>46104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46111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+569 9126 0109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FTE 90°</v>
      </c>
      <c r="D22" s="321">
        <f>'2229'!D21*1000</f>
        <v>2710</v>
      </c>
      <c r="E22" s="321">
        <f>'2229'!E21*1000</f>
        <v>525</v>
      </c>
      <c r="F22" s="322" t="str">
        <f>'2229'!F21</f>
        <v>NEW BLACK GRANITE BR</v>
      </c>
      <c r="G22" s="314">
        <f>'2229'!G21</f>
        <v>98168.290000000023</v>
      </c>
      <c r="H22" s="323">
        <f>G22*B22</f>
        <v>98168.290000000023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98168.290000000023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18651.975100000003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116820.26510000002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NELSON RIVAS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46104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46111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12057</v>
      </c>
      <c r="C2" s="1">
        <f>'NOTA DE VENTA'!$G$10</f>
        <v>46104</v>
      </c>
      <c r="D2" s="1">
        <f>'NOTA DE VENTA'!$G$11</f>
        <v>46111</v>
      </c>
      <c r="E2" t="str">
        <f>'NOTA DE VENTA'!$C$10</f>
        <v>NELSON RIVAS</v>
      </c>
      <c r="F2" t="str">
        <f>'NOTA DE VENTA'!$C$22</f>
        <v>CUB CON RESPALDO FTE 90°</v>
      </c>
      <c r="G2" t="str">
        <f>'NOTA DE VENTA'!$F$22</f>
        <v>NEW BLACK GRANITE BR</v>
      </c>
      <c r="H2" s="416">
        <f>'NOTA DE VENTA'!$H$25</f>
        <v>98168.290000000023</v>
      </c>
      <c r="I2" s="416">
        <f>H2*0.19</f>
        <v>18651.975100000003</v>
      </c>
      <c r="J2" s="416">
        <f>I2+H2</f>
        <v>116820.26510000002</v>
      </c>
      <c r="L2" s="61">
        <f>J2-K2</f>
        <v>116820.26510000002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2026-03-23T15:13:52Z</cp:lastPrinted>
  <dcterms:created xsi:type="dcterms:W3CDTF">2013-03-18T13:35:42Z</dcterms:created>
  <dcterms:modified xsi:type="dcterms:W3CDTF">2026-03-23T15:13:56Z</dcterms:modified>
</cp:coreProperties>
</file>