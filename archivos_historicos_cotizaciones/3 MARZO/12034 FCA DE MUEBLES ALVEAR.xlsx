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AE5A9C4F-204F-43D0-8243-5D6F75C5C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L21" i="1" l="1"/>
  <c r="K33" i="1"/>
  <c r="K29" i="1"/>
  <c r="K35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O41" i="1" l="1"/>
  <c r="E15" i="3"/>
  <c r="Q21" i="1" l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<sst xmlns="http://schemas.openxmlformats.org/spreadsheetml/2006/main" count="490" uniqueCount="298">
  <si>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</si>
  <si>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</si>
  <si>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</si>
  <si>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</si>
  <si>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</si>
  <si>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</si>
  <si>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</si>
  <si>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</si>
  <si>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</si>
  <si>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</si>
  <si>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</si>
  <si>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</si>
  <si>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</si>
  <si>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</si>
  <si>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</si>
  <si>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</si>
  <si>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</si>
  <si>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</si>
  <si>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</si>
  <si>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</si>
  <si>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</si>
  <si>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</si>
  <si>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</si>
  <si>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</si>
  <si>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</si>
  <si>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</si>
  <si>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</si>
  <si>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</si>
  <si>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</si>
  <si>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</si>
  <si>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</si>
  <si>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</si>
  <si>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</si>
  <si>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</si>
  <si>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</si>
  <si>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</si>
  <si>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</si>
  <si>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</si>
  <si>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</si>
  <si>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</si>
  <si>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</si>
  <si>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</si>
  <si>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</si>
  <si>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</si>
  <si>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</si>
  <si>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</si>
  <si>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</si>
  <si>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</si>
  <si>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</si>
  <si>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</si>
  <si>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</si>
  <si>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</si>
  <si>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</si>
  <si>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</si>
  <si>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</si>
  <si>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</si>
  <si>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</si>
  <si>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</si>
  <si>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</si>
  <si>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</si>
  <si>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</si>
  <si>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</si>
  <si>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</si>
  <si>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</si>
  <si>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</si>
  <si>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</si>
  <si>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</si>
  <si>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</si>
  <si>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</si>
  <si>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</si>
  <si>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</si>
  <si>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</si>
  <si>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</si>
  <si>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</si>
  <si>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</si>
  <si>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</si>
  <si>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</si>
  <si>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</si>
  <si>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</si>
  <si>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</si>
  <si>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</si>
  <si>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</si>
  <si>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</si>
  <si>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</si>
  <si>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</si>
  <si>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</si>
  <si>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</si>
  <si>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</si>
  <si>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</si>
  <si>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</si>
  <si>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</si>
  <si>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</si>
  <si>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</si>
  <si>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</si>
  <si>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</si>
  <si>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</si>
  <si>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</si>
  <si>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</si>
  <si>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</si>
  <si>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</si>
  <si>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</si>
  <si>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</si>
  <si>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</si>
  <si>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</si>
  <si>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</si>
  <si>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</si>
  <si>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</si>
  <si>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</si>
  <si>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</si>
  <si>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</si>
  <si>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</si>
  <si>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</si>
  <si>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</si>
  <si>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</si>
  <si>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</si>
  <si>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</si>
  <si>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</si>
  <si>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</si>
  <si>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</si>
  <si>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</si>
  <si>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</si>
  <si>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</si>
  <si>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</si>
  <si>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</si>
  <si>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</si>
  <si>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</si>
  <si>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</si>
  <si>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</si>
  <si>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</si>
  <si>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</si>
  <si>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</si>
  <si>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</si>
  <si>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</si>
  <si>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</si>
  <si>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</si>
  <si>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</si>
  <si>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</si>
  <si>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</si>
  <si>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</si>
  <si>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</si>
  <si>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</si>
  <si>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</si>
  <si>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</si>
  <si>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</si>
  <si>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</si>
  <si>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</si>
  <si>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</si>
  <si>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</si>
  <si>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</si>
  <si>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</si>
  <si>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</si>
  <si>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</si>
  <si>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</si>
  <si>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</si>
  <si>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</si>
  <si>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</si>
  <si>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</si>
  <si>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</si>
  <si>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</si>
  <si>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</si>
  <si>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</si>
  <si>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</si>
  <si>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</si>
  <si>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</si>
  <si>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</si>
  <si>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</si>
  <si>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</si>
  <si>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</si>
  <si>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</si>
  <si>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</si>
  <si>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</si>
  <si>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</si>
  <si>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</si>
  <si>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</si>
  <si>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</si>
  <si>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</si>
  <si>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</si>
  <si>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</si>
  <si>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</si>
  <si>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</si>
  <si>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</si>
  <si>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</si>
  <si>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</si>
  <si>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</si>
  <si>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</si>
  <si>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</si>
  <si>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</si>
  <si>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</si>
  <si>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</si>
  <si>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</si>
  <si>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</si>
  <si>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</si>
  <si>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</si>
  <si>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</si>
  <si>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</si>
  <si>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</si>
  <si>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</si>
  <si>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</si>
  <si>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</si>
  <si>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</si>
  <si>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</si>
  <si>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</si>
  <si>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</si>
  <si>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</si>
  <si>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</si>
  <si>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</si>
  <si>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</si>
  <si>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</si>
  <si>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</si>
  <si>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</si>
  <si>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</si>
  <si>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</si>
  <si>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</si>
  <si>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</si>
  <si>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</si>
  <si>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</si>
  <si>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</si>
  <si>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</si>
  <si>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</si>
  <si>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</si>
  <si>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</si>
  <si>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</si>
  <si>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</si>
  <si>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</si>
  <si>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</si>
  <si>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</si>
  <si>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</si>
  <si>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</si>
  <si>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</si>
  <si>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</si>
  <si>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</si>
  <si>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</si>
  <si>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</si>
  <si>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</si>
  <si>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</si>
  <si>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</si>
  <si>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</si>
  <si>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</si>
  <si>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</si>
  <si>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</si>
  <si>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</si>
  <si>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</si>
  <si>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</si>
  <si>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</si>
  <si>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</si>
  <si>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</si>
  <si>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</si>
  <si>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</si>
  <si>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</si>
  <si>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</si>
  <si>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</si>
  <si>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</si>
  <si>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</si>
  <si>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</si>
  <si>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</si>
  <si>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</si>
  <si>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</si>
  <si>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</si>
  <si>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</si>
  <si>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</si>
  <si>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</si>
  <si>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</si>
  <si>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</si>
  <si>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</si>
  <si>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</si>
  <si>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</si>
  <si>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</si>
  <si>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</si>
  <si>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</si>
  <si>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</si>
  <si>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</si>
  <si>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</si>
  <si>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</si>
  <si>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</si>
  <si>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</si>
  <si>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</si>
  <si>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</si>
  <si>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</si>
  <si>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</si>
  <si>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</si>
  <si>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</si>
  <si>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</si>
  <si>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</si>
  <si>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</si>
  <si>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</si>
  <si>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</si>
  <si>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</si>
  <si>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</si>
  <si>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</si>
  <si>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</si>
  <si>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</si>
  <si>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</si>
  <si>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</si>
  <si>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</si>
  <si>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CUB S/R 180°</t>
  </si>
  <si>
    <t>N° 11821</t>
  </si>
  <si>
    <t>5 DIAS HABILES</t>
  </si>
  <si>
    <t>WHITE OAK 1336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</si>
</sst>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4" fillId="0" borderId="0" xfId="0" quotePrefix="1" applyFont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CORTADO A LA MEDIDA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8" zoomScale="93" zoomScaleNormal="93" workbookViewId="0">
      <selection activeCell="J15" sqref="J1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288</v>
      </c>
      <c r="D10" s="243"/>
      <c r="E10" s="243"/>
      <c r="F10" s="418" t="s">
        <v>277</v>
      </c>
      <c r="G10" s="275">
        <v>46092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296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57">
        <v>56973069852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85073.333333333328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29">
        <v>1</v>
      </c>
      <c r="C21" s="433" t="s">
        <v>294</v>
      </c>
      <c r="D21" s="430">
        <v>1.7350000000000001</v>
      </c>
      <c r="E21" s="430">
        <v>0.8</v>
      </c>
      <c r="F21" s="429" t="s">
        <v>297</v>
      </c>
      <c r="G21" s="431">
        <v>126526</v>
      </c>
      <c r="H21" s="431">
        <f>G21*B21</f>
        <v>126526</v>
      </c>
      <c r="I21" s="306"/>
      <c r="J21" s="264"/>
      <c r="K21" s="47"/>
      <c r="L21" s="47">
        <f>B21</f>
        <v>1</v>
      </c>
      <c r="M21" s="39">
        <f>D21+M$19</f>
        <v>1.8150000000000002</v>
      </c>
      <c r="N21" s="39">
        <f>E21+$N$19</f>
        <v>0.8</v>
      </c>
      <c r="O21" s="260">
        <f t="shared" ref="O21" si="0">M21*N21</f>
        <v>1.4520000000000002</v>
      </c>
      <c r="P21" s="258">
        <f t="shared" ref="P21" si="1">O21*L21</f>
        <v>1.4520000000000002</v>
      </c>
      <c r="Q21" s="251">
        <f t="shared" ref="Q21" si="2">Q$20*O21</f>
        <v>123526.48000000001</v>
      </c>
      <c r="R21" s="305">
        <f t="shared" ref="R21" si="3">Q21+R$20</f>
        <v>126526.48000000001</v>
      </c>
      <c r="S21" s="290">
        <f>M21*L21</f>
        <v>1.8150000000000002</v>
      </c>
      <c r="T21" s="46">
        <f>N21*2*L21*2</f>
        <v>3.2</v>
      </c>
      <c r="U21" s="9"/>
      <c r="X21" s="4"/>
    </row>
    <row r="22" spans="2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2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SUM(H21:H23)</f>
        <v>126526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SUM(T21:T23)</f>
        <v>3.2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24039.94</v>
      </c>
      <c r="I27" s="308"/>
      <c r="J27" s="264"/>
      <c r="K27" s="47">
        <v>450</v>
      </c>
      <c r="L27" s="47"/>
      <c r="M27" s="39">
        <f>SUM(M21:M26)</f>
        <v>1.8150000000000002</v>
      </c>
      <c r="N27" s="12"/>
      <c r="O27" s="12"/>
      <c r="P27" s="252">
        <f>SUM(P21:P21)</f>
        <v>1.4520000000000002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150565.94</v>
      </c>
      <c r="I28" s="308"/>
      <c r="J28" s="264"/>
      <c r="K28" s="47">
        <v>60</v>
      </c>
      <c r="L28" s="47"/>
      <c r="M28" s="39"/>
      <c r="N28" s="12"/>
      <c r="O28" s="12"/>
      <c r="P28" s="252">
        <f>P27</f>
        <v>1.4520000000000002</v>
      </c>
      <c r="Q28" s="14"/>
      <c r="R28" s="12"/>
      <c r="S28" s="239">
        <f>SUM(S21:S27)</f>
        <v>1.8150000000000002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>
        <f>SUM(K27:K28)</f>
        <v>510</v>
      </c>
      <c r="L29" s="47"/>
      <c r="M29" s="14"/>
      <c r="N29" s="12"/>
      <c r="O29" s="12"/>
      <c r="P29" s="39">
        <f>P28*20%</f>
        <v>0.29040000000000005</v>
      </c>
      <c r="Q29" s="39" t="s">
        <v>129</v>
      </c>
      <c r="R29" s="42"/>
      <c r="S29" s="240">
        <f>S28+T26</f>
        <v>5.0150000000000006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1.7424000000000002</v>
      </c>
      <c r="Q30" s="14"/>
      <c r="R30" s="14"/>
      <c r="S30" s="238">
        <f>S29*20%</f>
        <v>1.0030000000000001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>
        <v>600</v>
      </c>
      <c r="L31" s="47"/>
      <c r="M31" s="14"/>
      <c r="N31" s="14"/>
      <c r="O31" s="14"/>
      <c r="P31" s="14"/>
      <c r="Q31" s="14"/>
      <c r="R31" s="14"/>
      <c r="S31" s="240">
        <f>S29+S30</f>
        <v>6.0180000000000007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>
        <v>60</v>
      </c>
      <c r="L32" s="47"/>
      <c r="M32" s="39">
        <f>P30</f>
        <v>1.7424000000000002</v>
      </c>
      <c r="N32" s="12">
        <v>3500</v>
      </c>
      <c r="O32" s="12">
        <f t="shared" ref="O32:O37" si="4">M32*N32</f>
        <v>6098.4000000000005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>
        <f>SUM(K31:K32)</f>
        <v>660</v>
      </c>
      <c r="L33" s="47"/>
      <c r="M33" s="248">
        <v>0.5</v>
      </c>
      <c r="N33" s="12">
        <v>23500</v>
      </c>
      <c r="O33" s="12">
        <f t="shared" si="4"/>
        <v>11750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4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>
        <f>K29+K33</f>
        <v>1170</v>
      </c>
      <c r="L35" s="249"/>
      <c r="M35" s="14">
        <v>1</v>
      </c>
      <c r="N35" s="249">
        <v>38300</v>
      </c>
      <c r="O35" s="12">
        <f t="shared" si="4"/>
        <v>38300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1500</v>
      </c>
      <c r="O37" s="12">
        <f t="shared" si="4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56148.4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123526.48000000001</v>
      </c>
      <c r="P39" s="14" t="s">
        <v>138</v>
      </c>
      <c r="Q39" s="14"/>
      <c r="R39" s="40">
        <f>P30/R38</f>
        <v>0.46980155306298538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85073.333333333328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46092</v>
      </c>
    </row>
    <row r="6" spans="2:31" ht="16.2" thickBot="1" x14ac:dyDescent="0.35">
      <c r="B6" s="140" t="s">
        <v>2</v>
      </c>
      <c r="C6" s="139" t="str">
        <f>'2229'!C10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11821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-7974.981700120773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126526</v>
      </c>
      <c r="E11" s="132">
        <f>D11*0.19</f>
        <v>24039.94</v>
      </c>
      <c r="F11" s="131">
        <f>E11+D11</f>
        <v>150565.94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98015.01829987923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47682.490787439616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80015.01829987923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78843.509212560384</v>
      </c>
      <c r="E13" s="221">
        <f>(D11/D12)-1</f>
        <v>1.6535107103366569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71015.01829987923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32015.018299879226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78676.109799275364</v>
      </c>
      <c r="F15" s="216">
        <f>E15-D12</f>
        <v>30993.619011835748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32015.018299879226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72015.01829987923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6098.4000000000005</v>
      </c>
      <c r="E20" s="121">
        <f>D20*0.19</f>
        <v>1158.6960000000001</v>
      </c>
      <c r="F20" s="120">
        <f>SUM(D20:E20)</f>
        <v>7257.0960000000005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17848.400000000001</v>
      </c>
      <c r="E21" s="116">
        <f>SUM(E18:E20)</f>
        <v>3391.1959999999999</v>
      </c>
      <c r="F21" s="115">
        <f>SUM(F18:F20)</f>
        <v>21239.596000000001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20648.743999999999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126526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17848.400000000001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78843.509212560384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78843.509212560384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11821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FCA. DE MUEBLES ALVEAR Y ALVEAR LTDA</v>
      </c>
      <c r="D10" s="350"/>
      <c r="E10" s="350"/>
      <c r="F10" s="351" t="s">
        <v>167</v>
      </c>
      <c r="G10" s="352">
        <f>'2229'!G10</f>
        <v>46092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76.143.978-2</v>
      </c>
      <c r="D11" s="345"/>
      <c r="E11" s="345"/>
      <c r="F11" s="345" t="s">
        <v>168</v>
      </c>
      <c r="G11" s="340">
        <f>WORKDAY(G10,5)</f>
        <v>46099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>FCA DE MUEBLES</v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CLAUDIO ALVEAR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>LINEALTA1</v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56973069852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ROSA ESTER 03281 LA PINTANA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S/R 180°</v>
      </c>
      <c r="D22" s="321">
        <f>'2229'!D21*1000</f>
        <v>1735</v>
      </c>
      <c r="E22" s="321">
        <f>'2229'!E21*1000</f>
        <v>800</v>
      </c>
      <c r="F22" s="322" t="str">
        <f>'2229'!F21</f>
        <v>WHITE OAK 1336 MT</v>
      </c>
      <c r="G22" s="314">
        <f>'2229'!G21</f>
        <v>126526</v>
      </c>
      <c r="H22" s="323">
        <f>G22*B22</f>
        <v>126526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126526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24039.94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150565.94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FCA. DE MUEBLES ALVEAR Y ALVEAR LTDA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46092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46099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11821</v>
      </c>
      <c r="C2" s="1">
        <f>'NOTA DE VENTA'!$G$10</f>
        <v>46092</v>
      </c>
      <c r="D2" s="1">
        <f>'NOTA DE VENTA'!$G$11</f>
        <v>46099</v>
      </c>
      <c r="E2" t="str">
        <f>'NOTA DE VENTA'!$C$10</f>
        <v>FCA. DE MUEBLES ALVEAR Y ALVEAR LTDA</v>
      </c>
      <c r="F2" t="str">
        <f>'NOTA DE VENTA'!$C$22</f>
        <v>CUB S/R 180°</v>
      </c>
      <c r="G2" t="str">
        <f>'NOTA DE VENTA'!$F$22</f>
        <v>WHITE OAK 1336 MT</v>
      </c>
      <c r="H2" s="416">
        <f>'NOTA DE VENTA'!$H$25</f>
        <v>126526</v>
      </c>
      <c r="I2" s="416">
        <f>H2*0.19</f>
        <v>24039.94</v>
      </c>
      <c r="J2" s="416">
        <f>I2+H2</f>
        <v>150565.94</v>
      </c>
      <c r="L2" s="61">
        <f>J2-K2</f>
        <v>150565.94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2026-03-11T19:13:22Z</dcterms:modified>
</cp:coreProperties>
</file>