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EEA0371E-94B4-4765-9E58-6A3A9DA51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L22" i="1"/>
  <c r="M22" i="1"/>
  <c r="N22" i="1"/>
  <c r="O22" i="1" s="1"/>
  <c r="P22" i="1" s="1"/>
  <c r="S22" i="1"/>
  <c r="K24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O32" i="1"/>
  <c r="R36" i="1"/>
  <c r="M30" i="1" l="1"/>
  <c r="R37" i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O39" i="1"/>
  <c r="R22" i="1" l="1"/>
  <c r="H22" i="1"/>
  <c r="Q21" i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<sst xmlns="http://schemas.openxmlformats.org/spreadsheetml/2006/main" count="235" uniqueCount="179">
  <si>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</si>
  <si>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</si>
  <si>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</si>
  <si>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</si>
  <si>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</si>
  <si>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</si>
  <si>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</si>
  <si>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</si>
  <si>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</si>
  <si>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</si>
  <si>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</si>
  <si>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</si>
  <si>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</si>
  <si>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</si>
  <si>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</si>
  <si>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</si>
  <si>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</si>
  <si>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</si>
  <si>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</si>
  <si>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</si>
  <si>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</si>
  <si>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</si>
  <si>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</si>
  <si>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</si>
  <si>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</si>
  <si>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</si>
  <si>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</si>
  <si>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</si>
  <si>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</si>
  <si>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</si>
  <si>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</si>
  <si>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</si>
  <si>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</si>
  <si>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</si>
  <si>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</si>
  <si>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</si>
  <si>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</si>
  <si>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</si>
  <si>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</si>
  <si>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</si>
  <si>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</si>
  <si>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</si>
  <si>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</si>
  <si>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</si>
  <si>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</si>
  <si>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</si>
  <si>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</si>
  <si>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</si>
  <si>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</si>
  <si>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</si>
  <si>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</si>
  <si>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</si>
  <si>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</si>
  <si>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</si>
  <si>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</si>
  <si>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</si>
  <si>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</si>
  <si>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</si>
  <si>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</si>
  <si>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</si>
  <si>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</si>
  <si>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</si>
  <si>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</si>
  <si>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</si>
  <si>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</si>
  <si>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</si>
  <si>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</si>
  <si>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</si>
  <si>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</si>
  <si>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</si>
  <si>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</si>
  <si>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</si>
  <si>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</si>
  <si>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</si>
  <si>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</si>
  <si>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</si>
  <si>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</si>
  <si>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</si>
  <si>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</si>
  <si>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</si>
  <si>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</si>
  <si>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</si>
  <si>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</si>
  <si>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</si>
  <si>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</si>
  <si>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</si>
  <si>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</si>
  <si>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</si>
  <si>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</si>
  <si>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</si>
  <si>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</si>
  <si>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</si>
  <si>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</si>
  <si>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</si>
  <si>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</si>
  <si>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</si>
  <si>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</si>
  <si>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</si>
  <si>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</si>
  <si>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</si>
  <si>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</si>
  <si>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</si>
  <si>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</si>
  <si>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</si>
  <si>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</si>
  <si>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</si>
  <si>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</si>
  <si>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</si>
  <si>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</si>
  <si>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</si>
  <si>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</si>
  <si>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</si>
  <si>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</si>
  <si>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</si>
  <si>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</si>
  <si>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</si>
  <si>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</si>
  <si>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</si>
  <si>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</si>
  <si>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</si>
  <si>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</si>
  <si>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</si>
  <si>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</si>
  <si>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</si>
  <si>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</si>
  <si>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</si>
  <si>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</si>
  <si>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</si>
  <si>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</si>
  <si>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</si>
  <si>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</si>
  <si>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</si>
  <si>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</si>
  <si>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</si>
  <si>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</si>
  <si>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</si>
  <si>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</si>
  <si>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</si>
  <si>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</si>
  <si>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</si>
  <si>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</si>
  <si>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</si>
  <si>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</si>
  <si>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</si>
  <si>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</si>
  <si>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</si>
  <si>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</si>
  <si>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</si>
  <si>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</si>
  <si>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</si>
  <si>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</si>
  <si>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</si>
  <si>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</si>
  <si>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</si>
  <si>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</si>
  <si>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</si>
  <si>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</si>
  <si>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</si>
  <si>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</si>
  <si>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</si>
  <si>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</si>
  <si>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</si>
  <si>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</si>
  <si>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</si>
  <si>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</si>
  <si>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</si>
  <si>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</si>
  <si>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</si>
  <si>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</si>
  <si>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</si>
  <si>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</si>
  <si>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</si>
  <si>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 xml:space="preserve">5 DIAS HABILES </t>
  </si>
  <si>
    <t>MEDITERRANEO MT</t>
  </si>
  <si>
    <t>CUB CON RESPALDO FTE 90° R8</t>
  </si>
  <si>
    <t>N° 12038</t>
  </si>
  <si>
    <t>CUB MESA 4 LADOS</t>
  </si>
  <si>
    <t>MARITZA BELMAR</t>
  </si>
  <si>
    <t>+569 6656 1332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</si>
</sst>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LARGO.</a:t>
          </a:r>
        </a:p>
        <a:p>
          <a:pPr algn="l"/>
          <a:r>
            <a:rPr lang="es-CL" sz="1200" b="1" baseline="0"/>
            <a:t>CUB MESA 4 LADOS SE ENTREGA CON CORTES EN LAS ESQUINAS Y ENCHAPADA.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3" zoomScale="93" zoomScaleNormal="93" workbookViewId="0">
      <selection activeCell="K34" sqref="K34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177</v>
      </c>
      <c r="D10" s="236"/>
      <c r="E10" s="236"/>
      <c r="F10" s="237" t="s">
        <v>162</v>
      </c>
      <c r="G10" s="268">
        <v>46092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178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47" t="s">
        <v>7</v>
      </c>
      <c r="C20" s="348" t="s">
        <v>1</v>
      </c>
      <c r="D20" s="348" t="s">
        <v>127</v>
      </c>
      <c r="E20" s="348" t="s">
        <v>11</v>
      </c>
      <c r="F20" s="348" t="s">
        <v>8</v>
      </c>
      <c r="G20" s="348" t="s">
        <v>5</v>
      </c>
      <c r="H20" s="349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84785.773696575401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7">
        <v>1</v>
      </c>
      <c r="C21" s="338" t="s">
        <v>174</v>
      </c>
      <c r="D21" s="339">
        <v>1.6</v>
      </c>
      <c r="E21" s="339">
        <v>0.5</v>
      </c>
      <c r="F21" s="338" t="s">
        <v>173</v>
      </c>
      <c r="G21" s="340">
        <f>Q21</f>
        <v>71220.049905123349</v>
      </c>
      <c r="H21" s="341">
        <f>G21*B21</f>
        <v>71220.049905123349</v>
      </c>
      <c r="I21" s="292"/>
      <c r="J21" s="257"/>
      <c r="K21" s="44"/>
      <c r="L21" s="44">
        <f>B21</f>
        <v>1</v>
      </c>
      <c r="M21" s="36">
        <f>D21+M$19</f>
        <v>1.6800000000000002</v>
      </c>
      <c r="N21" s="36">
        <f>E21+$N$19</f>
        <v>0.5</v>
      </c>
      <c r="O21" s="253">
        <f t="shared" ref="O21" si="1">M21*N21</f>
        <v>0.84000000000000008</v>
      </c>
      <c r="P21" s="251">
        <f t="shared" ref="P21" si="2">O21*L21</f>
        <v>0.84000000000000008</v>
      </c>
      <c r="Q21" s="244">
        <f t="shared" ref="Q21" si="3">Q$20*O21</f>
        <v>71220.049905123349</v>
      </c>
      <c r="R21" s="291">
        <f t="shared" ref="R21" si="4">Q21+R$20</f>
        <v>73220.049905123349</v>
      </c>
      <c r="S21" s="279">
        <f>M21*L21</f>
        <v>1.6800000000000002</v>
      </c>
      <c r="T21" s="43">
        <f>N21*2*L21*2</f>
        <v>2</v>
      </c>
      <c r="U21" s="9"/>
      <c r="X21" s="4"/>
    </row>
    <row r="22" spans="1:25" ht="18" thickBot="1" x14ac:dyDescent="0.35">
      <c r="B22" s="342">
        <v>1</v>
      </c>
      <c r="C22" s="343" t="s">
        <v>176</v>
      </c>
      <c r="D22" s="344">
        <v>1</v>
      </c>
      <c r="E22" s="344">
        <v>0.6</v>
      </c>
      <c r="F22" s="343" t="s">
        <v>173</v>
      </c>
      <c r="G22" s="345">
        <v>60669</v>
      </c>
      <c r="H22" s="346">
        <f>G22*B22</f>
        <v>60669</v>
      </c>
      <c r="I22" s="292"/>
      <c r="J22" s="257"/>
      <c r="K22" s="44"/>
      <c r="L22" s="44">
        <f t="shared" ref="L22" si="5">B22</f>
        <v>1</v>
      </c>
      <c r="M22" s="36">
        <f t="shared" ref="M22" si="6">D22+M$19</f>
        <v>1.08</v>
      </c>
      <c r="N22" s="36">
        <f t="shared" ref="N22" si="7">E22+$N$19</f>
        <v>0.6</v>
      </c>
      <c r="O22" s="253">
        <f t="shared" ref="O22" si="8">M22*N22</f>
        <v>0.64800000000000002</v>
      </c>
      <c r="P22" s="251">
        <f t="shared" ref="P22" si="9">O22*L22</f>
        <v>0.64800000000000002</v>
      </c>
      <c r="Q22" s="244">
        <f t="shared" ref="Q22" si="10">Q$20*O22</f>
        <v>54941.181355380861</v>
      </c>
      <c r="R22" s="291">
        <f t="shared" ref="R22" si="11">Q22+R$20</f>
        <v>56941.181355380861</v>
      </c>
      <c r="S22" s="279">
        <f t="shared" ref="S22" si="12">M22*L22</f>
        <v>1.08</v>
      </c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50390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1" t="s">
        <v>28</v>
      </c>
      <c r="H24" s="332">
        <f>SUM(H21:H23)</f>
        <v>131889.04990512336</v>
      </c>
      <c r="I24" s="294"/>
      <c r="J24" s="324"/>
      <c r="K24" s="309">
        <f>K23/1.19</f>
        <v>42344.537815126052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5" t="s">
        <v>51</v>
      </c>
      <c r="H25" s="327">
        <f>H24*0.19</f>
        <v>25058.91948197344</v>
      </c>
      <c r="I25" s="294"/>
      <c r="J25" s="257"/>
      <c r="K25" s="309"/>
      <c r="L25" s="44"/>
      <c r="M25" s="36">
        <f>SUM(M21:M22)</f>
        <v>2.7600000000000002</v>
      </c>
      <c r="N25" s="12"/>
      <c r="O25" s="12"/>
      <c r="P25" s="245">
        <f>SUM(P21:P23)</f>
        <v>1.488</v>
      </c>
      <c r="Q25" s="14"/>
      <c r="R25" s="12"/>
      <c r="S25" s="232">
        <f>SUM(S21:S24)</f>
        <v>2.7600000000000002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6" t="s">
        <v>6</v>
      </c>
      <c r="H26" s="328">
        <f>H25+H24</f>
        <v>156947.96938709682</v>
      </c>
      <c r="I26" s="294"/>
      <c r="J26" s="257"/>
      <c r="K26" s="309"/>
      <c r="L26" s="44"/>
      <c r="M26" s="36"/>
      <c r="N26" s="12"/>
      <c r="O26" s="12"/>
      <c r="P26" s="245">
        <f>P25</f>
        <v>1.488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0.29760000000000003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1.7856000000000001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1.7856000000000001</v>
      </c>
      <c r="N30" s="12">
        <v>3500</v>
      </c>
      <c r="O30" s="12">
        <f t="shared" ref="O30:O35" si="13">M30*N30</f>
        <v>6249.6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0.5</v>
      </c>
      <c r="N31" s="12">
        <v>23500</v>
      </c>
      <c r="O31" s="12">
        <f t="shared" si="13"/>
        <v>11750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68800</v>
      </c>
      <c r="O32" s="12">
        <f t="shared" si="13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f>39000/1.19</f>
        <v>32773.10924369748</v>
      </c>
      <c r="O33" s="12">
        <f t="shared" si="13"/>
        <v>32773.10924369748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>
        <v>1.7</v>
      </c>
      <c r="N34" s="242">
        <v>900</v>
      </c>
      <c r="O34" s="12">
        <f t="shared" si="13"/>
        <v>1530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1.7</v>
      </c>
      <c r="N35" s="12">
        <v>1500</v>
      </c>
      <c r="O35" s="12">
        <f t="shared" si="13"/>
        <v>2550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54852.709243697478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O36*2.3</f>
        <v>126161.2312605042</v>
      </c>
      <c r="P37" s="14" t="s">
        <v>135</v>
      </c>
      <c r="Q37" s="14"/>
      <c r="R37" s="37">
        <f>P28/R36</f>
        <v>0.4814495254529767</v>
      </c>
      <c r="S37"/>
      <c r="T37" s="249"/>
    </row>
    <row r="38" spans="2:24" s="223" customFormat="1" ht="17.399999999999999" x14ac:dyDescent="0.35">
      <c r="G38"/>
      <c r="H38" s="252"/>
      <c r="I38" s="252"/>
      <c r="J38" s="329"/>
      <c r="L38" s="242"/>
      <c r="M38" s="14"/>
      <c r="N38" s="12"/>
      <c r="O38" s="12">
        <f>O37/P26</f>
        <v>84785.773696575401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2.2999999999999998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1"/>
      <c r="J40" s="330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2"/>
      <c r="D41" s="275"/>
      <c r="E41" s="275"/>
      <c r="F41" s="274"/>
      <c r="G41" s="310"/>
      <c r="H41" s="311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1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1"/>
      <c r="L43" s="242"/>
    </row>
    <row r="44" spans="2:24" ht="17.399999999999999" x14ac:dyDescent="0.35">
      <c r="D44" s="275"/>
      <c r="E44" s="275"/>
      <c r="F44" s="274"/>
      <c r="G44" s="310"/>
      <c r="H44" s="311"/>
      <c r="L44" s="242"/>
      <c r="T44" s="262"/>
    </row>
    <row r="45" spans="2:24" ht="17.399999999999999" x14ac:dyDescent="0.35">
      <c r="D45" s="275"/>
      <c r="E45" s="275"/>
      <c r="F45" s="274"/>
      <c r="G45" s="310"/>
      <c r="H45" s="311"/>
      <c r="L45" s="242"/>
    </row>
    <row r="46" spans="2:24" ht="15" customHeight="1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</row>
    <row r="48" spans="2:24" ht="17.399999999999999" x14ac:dyDescent="0.35">
      <c r="D48" s="275"/>
      <c r="E48" s="275"/>
      <c r="F48" s="274"/>
      <c r="G48" s="310"/>
      <c r="H48" s="311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1"/>
    </row>
    <row r="50" spans="4:20" ht="17.399999999999999" x14ac:dyDescent="0.35">
      <c r="D50" s="275"/>
      <c r="E50" s="275"/>
      <c r="F50" s="274"/>
      <c r="G50" s="310"/>
      <c r="H50" s="311"/>
      <c r="O50" s="51"/>
      <c r="P50" s="51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ht="17.399999999999999" x14ac:dyDescent="0.35">
      <c r="D53" s="275"/>
      <c r="E53" s="275"/>
      <c r="F53" s="274"/>
      <c r="G53" s="310"/>
      <c r="H53" s="311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46092</v>
      </c>
    </row>
    <row r="6" spans="1:31" ht="16.2" thickBot="1" x14ac:dyDescent="0.35">
      <c r="B6" s="134" t="s">
        <v>2</v>
      </c>
      <c r="C6" s="133" t="str">
        <f>'2229'!C10</f>
        <v>MARITZA BELMAR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12038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2309114.2152926107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4753773.4350228971</v>
      </c>
      <c r="C15" s="207" t="s">
        <v>118</v>
      </c>
      <c r="D15" s="208">
        <v>0.73</v>
      </c>
      <c r="E15" s="209">
        <f>(100%+D15)*D12</f>
        <v>3994767.5924562165</v>
      </c>
      <c r="F15" s="210">
        <f>E15-D12</f>
        <v>1685653.3771636058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'2229'!O32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'2229'!O33</f>
        <v>32773.10924369748</v>
      </c>
      <c r="E19" s="117">
        <f>D19*0.19</f>
        <v>6226.8907563025214</v>
      </c>
      <c r="F19" s="114">
        <f>SUM(D19:E19)</f>
        <v>39000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'2229'!O31</f>
        <v>11750</v>
      </c>
      <c r="E20" s="117">
        <f>D20*0.19</f>
        <v>2232.5</v>
      </c>
      <c r="F20" s="114">
        <f>SUM(D20:E20)</f>
        <v>13982.5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'2229'!O30</f>
        <v>6249.6</v>
      </c>
      <c r="E21" s="115">
        <f>D21*0.19</f>
        <v>1187.424</v>
      </c>
      <c r="F21" s="114">
        <f>SUM(D21:E21)</f>
        <v>7437.0240000000003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50772.709243697478</v>
      </c>
      <c r="E22" s="110">
        <f>SUM(E18:E21)</f>
        <v>9646.8147563025195</v>
      </c>
      <c r="F22" s="109">
        <f>SUM(F18:F21)</f>
        <v>60419.523999999998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50772.709243697478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2026-03-11T19:58:55Z</cp:lastPrinted>
  <dcterms:created xsi:type="dcterms:W3CDTF">2013-03-18T13:35:42Z</dcterms:created>
  <dcterms:modified xsi:type="dcterms:W3CDTF">2026-03-12T13:07:58Z</dcterms:modified>
</cp:coreProperties>
</file>