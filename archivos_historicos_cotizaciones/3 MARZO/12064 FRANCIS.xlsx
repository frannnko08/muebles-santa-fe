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C5B00049-3DDA-4210-B8BC-3C977EE3D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<sst xmlns="http://schemas.openxmlformats.org/spreadsheetml/2006/main" count="486" uniqueCount="294">
  <si>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</si>
  <si>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</si>
  <si>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</si>
  <si>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</si>
  <si>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</si>
  <si>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</si>
  <si>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</si>
  <si>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</si>
  <si>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</si>
  <si>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</si>
  <si>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</si>
  <si>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</si>
  <si>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</si>
  <si>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</si>
  <si>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</si>
  <si>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</si>
  <si>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</si>
  <si>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</si>
  <si>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</si>
  <si>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</si>
  <si>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</si>
  <si>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</si>
  <si>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</si>
  <si>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</si>
  <si>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</si>
  <si>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</si>
  <si>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</si>
  <si>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</si>
  <si>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</si>
  <si>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</si>
  <si>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</si>
  <si>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</si>
  <si>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</si>
  <si>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</si>
  <si>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</si>
  <si>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</si>
  <si>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</si>
  <si>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</si>
  <si>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</si>
  <si>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</si>
  <si>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</si>
  <si>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</si>
  <si>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</si>
  <si>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</si>
  <si>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</si>
  <si>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</si>
  <si>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</si>
  <si>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</si>
  <si>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</si>
  <si>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</si>
  <si>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</si>
  <si>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</si>
  <si>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</si>
  <si>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</si>
  <si>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</si>
  <si>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</si>
  <si>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</si>
  <si>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</si>
  <si>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</si>
  <si>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</si>
  <si>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</si>
  <si>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</si>
  <si>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</si>
  <si>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</si>
  <si>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</si>
  <si>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</si>
  <si>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</si>
  <si>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</si>
  <si>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</si>
  <si>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</si>
  <si>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</si>
  <si>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</si>
  <si>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</si>
  <si>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</si>
  <si>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</si>
  <si>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</si>
  <si>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</si>
  <si>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</si>
  <si>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</si>
  <si>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</si>
  <si>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</si>
  <si>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</si>
  <si>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</si>
  <si>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</si>
  <si>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</si>
  <si>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</si>
  <si>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</si>
  <si>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</si>
  <si>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</si>
  <si>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</si>
  <si>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</si>
  <si>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</si>
  <si>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</si>
  <si>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</si>
  <si>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</si>
  <si>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</si>
  <si>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</si>
  <si>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</si>
  <si>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</si>
  <si>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</si>
  <si>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</si>
  <si>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</si>
  <si>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</si>
  <si>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</si>
  <si>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</si>
  <si>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</si>
  <si>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</si>
  <si>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</si>
  <si>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</si>
  <si>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</si>
  <si>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</si>
  <si>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</si>
  <si>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</si>
  <si>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</si>
  <si>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</si>
  <si>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</si>
  <si>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</si>
  <si>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</si>
  <si>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</si>
  <si>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</si>
  <si>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</si>
  <si>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</si>
  <si>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</si>
  <si>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</si>
  <si>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</si>
  <si>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</si>
  <si>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</si>
  <si>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</si>
  <si>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</si>
  <si>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</si>
  <si>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</si>
  <si>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</si>
  <si>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</si>
  <si>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</si>
  <si>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</si>
  <si>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</si>
  <si>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</si>
  <si>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</si>
  <si>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</si>
  <si>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</si>
  <si>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</si>
  <si>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</si>
  <si>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</si>
  <si>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</si>
  <si>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</si>
  <si>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</si>
  <si>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</si>
  <si>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</si>
  <si>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</si>
  <si>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</si>
  <si>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</si>
  <si>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</si>
  <si>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</si>
  <si>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</si>
  <si>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</si>
  <si>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</si>
  <si>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</si>
  <si>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</si>
  <si>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</si>
  <si>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</si>
  <si>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</si>
  <si>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</si>
  <si>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</si>
  <si>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</si>
  <si>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</si>
  <si>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</si>
  <si>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</si>
  <si>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</si>
  <si>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</si>
  <si>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</si>
  <si>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</si>
  <si>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</si>
  <si>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</si>
  <si>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</si>
  <si>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</si>
  <si>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</si>
  <si>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</si>
  <si>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</si>
  <si>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</si>
  <si>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</si>
  <si>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</si>
  <si>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</si>
  <si>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</si>
  <si>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</si>
  <si>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</si>
  <si>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</si>
  <si>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</si>
  <si>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</si>
  <si>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</si>
  <si>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</si>
  <si>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</si>
  <si>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</si>
  <si>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</si>
  <si>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</si>
  <si>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</si>
  <si>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</si>
  <si>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</si>
  <si>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</si>
  <si>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</si>
  <si>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</si>
  <si>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</si>
  <si>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</si>
  <si>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</si>
  <si>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</si>
  <si>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</si>
  <si>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</si>
  <si>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</si>
  <si>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</si>
  <si>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</si>
  <si>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</si>
  <si>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</si>
  <si>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</si>
  <si>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</si>
  <si>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</si>
  <si>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</si>
  <si>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</si>
  <si>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</si>
  <si>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</si>
  <si>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</si>
  <si>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</si>
  <si>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</si>
  <si>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</si>
  <si>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</si>
  <si>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</si>
  <si>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</si>
  <si>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</si>
  <si>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</si>
  <si>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</si>
  <si>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</si>
  <si>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</si>
  <si>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</si>
  <si>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</si>
  <si>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</si>
  <si>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</si>
  <si>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</si>
  <si>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</si>
  <si>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</si>
  <si>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</si>
  <si>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</si>
  <si>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</si>
  <si>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</si>
  <si>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</si>
  <si>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</si>
  <si>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</si>
  <si>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</si>
  <si>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</si>
  <si>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</si>
  <si>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</si>
  <si>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</si>
  <si>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</si>
  <si>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</si>
  <si>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</si>
  <si>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</si>
  <si>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</si>
  <si>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</si>
  <si>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</si>
  <si>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</si>
  <si>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</si>
  <si>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</si>
  <si>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</si>
  <si>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</si>
  <si>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</si>
  <si>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</si>
  <si>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</si>
  <si>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</si>
  <si>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</si>
  <si>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</si>
  <si>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</si>
  <si>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</si>
  <si>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</si>
  <si>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</si>
  <si>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</si>
  <si>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</si>
  <si>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</si>
  <si>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</si>
  <si>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</si>
  <si>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</si>
  <si>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</si>
  <si>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</si>
  <si>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</si>
  <si>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</si>
  <si>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</si>
  <si>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</si>
  <si>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</si>
  <si>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</si>
  <si>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</si>
  <si>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</si>
  <si>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</si>
  <si>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</si>
  <si>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C/R 180°</t>
  </si>
  <si>
    <t>BLANCO MT</t>
  </si>
  <si>
    <t>N° 12063</t>
  </si>
  <si>
    <t>MARCO</t>
  </si>
  <si>
    <t>+569 9435 8963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</si>
</sst>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8" t="s">
        <v>277</v>
      </c>
      <c r="G10" s="275">
        <v>46107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61422.266009852217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1</v>
      </c>
      <c r="C21" s="432" t="s">
        <v>289</v>
      </c>
      <c r="D21" s="433">
        <v>1.08</v>
      </c>
      <c r="E21" s="433">
        <v>0.57999999999999996</v>
      </c>
      <c r="F21" s="434" t="s">
        <v>290</v>
      </c>
      <c r="G21" s="435">
        <f>Q21</f>
        <v>44887.392000000007</v>
      </c>
      <c r="H21" s="436">
        <f>G21*B21</f>
        <v>44887.392000000007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1.1600000000000001</v>
      </c>
      <c r="N21" s="39">
        <f t="shared" ref="N21" si="2">E21+$N$19</f>
        <v>0.63</v>
      </c>
      <c r="O21" s="260">
        <f t="shared" ref="O21" si="3">M21*N21</f>
        <v>0.73080000000000012</v>
      </c>
      <c r="P21" s="258">
        <f t="shared" ref="P21" si="4">O21*L21</f>
        <v>0.73080000000000012</v>
      </c>
      <c r="Q21" s="251">
        <f t="shared" ref="Q21" si="5">Q$20*O21</f>
        <v>44887.392000000007</v>
      </c>
      <c r="R21" s="305">
        <f t="shared" ref="R21" si="6">Q21+R$20</f>
        <v>47887.392000000007</v>
      </c>
      <c r="S21" s="290">
        <f t="shared" ref="S21" si="7">M21*L21*2</f>
        <v>2.3200000000000003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44887.392000000007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8528.6044800000018</v>
      </c>
      <c r="I25" s="308"/>
      <c r="J25" s="264"/>
      <c r="K25" s="47"/>
      <c r="L25" s="47"/>
      <c r="M25" s="39">
        <f>SUM(M21:M24)</f>
        <v>1.1600000000000001</v>
      </c>
      <c r="N25" s="12"/>
      <c r="O25" s="12"/>
      <c r="P25" s="252">
        <f>SUM(P21:P22)</f>
        <v>0.73080000000000012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53415.996480000009</v>
      </c>
      <c r="I26" s="308"/>
      <c r="J26" s="264"/>
      <c r="K26" s="47"/>
      <c r="L26" s="47"/>
      <c r="M26" s="39"/>
      <c r="N26" s="12"/>
      <c r="O26" s="12"/>
      <c r="P26" s="252">
        <f>P25</f>
        <v>0.73080000000000012</v>
      </c>
      <c r="Q26" s="14"/>
      <c r="R26" s="12"/>
      <c r="S26" s="239">
        <f>SUM(S21:S25)</f>
        <v>2.3200000000000003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0.14616000000000004</v>
      </c>
      <c r="Q27" s="39" t="s">
        <v>129</v>
      </c>
      <c r="R27" s="42"/>
      <c r="S27" s="240">
        <f>S26+T24</f>
        <v>2.3200000000000003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0.87696000000000018</v>
      </c>
      <c r="Q28" s="14"/>
      <c r="R28" s="14"/>
      <c r="S28" s="238">
        <f>S27*20%</f>
        <v>0.46400000000000008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2.7840000000000003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0.87696000000000018</v>
      </c>
      <c r="N30" s="12">
        <v>3500</v>
      </c>
      <c r="O30" s="12">
        <f t="shared" ref="O30:O35" si="8">M30*N30</f>
        <v>3069.3600000000006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0.3</v>
      </c>
      <c r="N32" s="249">
        <v>25000</v>
      </c>
      <c r="O32" s="12">
        <f t="shared" si="8"/>
        <v>7500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1.1599999999999999</v>
      </c>
      <c r="N34" s="249">
        <v>900</v>
      </c>
      <c r="O34" s="12">
        <f t="shared" si="8"/>
        <v>1044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1.1599999999999999</v>
      </c>
      <c r="N35" s="12">
        <v>1500</v>
      </c>
      <c r="O35" s="12">
        <f t="shared" si="8"/>
        <v>1739.9999999999998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20403.36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44887.392000000007</v>
      </c>
      <c r="P37" s="14" t="s">
        <v>138</v>
      </c>
      <c r="Q37" s="14"/>
      <c r="R37" s="40">
        <f>P28/R36</f>
        <v>0.23645383951682489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61422.266009852217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46107</v>
      </c>
    </row>
    <row r="6" spans="2:31" ht="16.2" thickBot="1" x14ac:dyDescent="0.35">
      <c r="B6" s="140" t="s">
        <v>2</v>
      </c>
      <c r="C6" s="139" t="str">
        <f>'2229'!C10</f>
        <v>MARCO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5568.4669665458932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44887.392000000007</v>
      </c>
      <c r="E11" s="132">
        <f>D11*0.19</f>
        <v>8528.6044800000018</v>
      </c>
      <c r="F11" s="131">
        <f>E11+D11</f>
        <v>53415.996480000009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111558.46696654589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47453.450787439615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93558.466966545893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-2566.0587874396078</v>
      </c>
      <c r="E13" s="221">
        <f>(D11/D12)-1</f>
        <v>-5.407528314292398E-2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84558.466966545893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45558.466966545893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78298.193799275366</v>
      </c>
      <c r="F15" s="216">
        <f>E15-D12</f>
        <v>30844.743011835752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45558.466966545893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85558.466966545893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7500</v>
      </c>
      <c r="E18" s="123">
        <f>D18*0.19</f>
        <v>1425</v>
      </c>
      <c r="F18" s="120">
        <f>SUM(D18:E18)</f>
        <v>8925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3069.3600000000006</v>
      </c>
      <c r="E20" s="121">
        <f>D20*0.19</f>
        <v>583.17840000000012</v>
      </c>
      <c r="F20" s="120">
        <f>SUM(D20:E20)</f>
        <v>3652.5384000000008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17619.36</v>
      </c>
      <c r="E21" s="116">
        <f>SUM(E18:E20)</f>
        <v>3347.6784000000002</v>
      </c>
      <c r="F21" s="115">
        <f>SUM(F18:F20)</f>
        <v>20967.038400000001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5180.9260800000011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44887.392000000007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17619.36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-2566.0587874396078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-2566.0587874396078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MARCO</v>
      </c>
      <c r="D10" s="350"/>
      <c r="E10" s="350"/>
      <c r="F10" s="351" t="s">
        <v>167</v>
      </c>
      <c r="G10" s="352">
        <f>'2229'!G10</f>
        <v>46107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+569 9435 8963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MARCO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12063</v>
      </c>
      <c r="C2" s="1">
        <f>'NOTA DE VENTA'!$G$10</f>
        <v>46107</v>
      </c>
      <c r="D2" s="1">
        <f>'NOTA DE VENTA'!$G$11</f>
        <v>46114</v>
      </c>
      <c r="E2" t="str">
        <f>'NOTA DE VENTA'!$C$10</f>
        <v>MARCO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2026-03-25T12:30:32Z</cp:lastPrinted>
  <dcterms:created xsi:type="dcterms:W3CDTF">2013-03-18T13:35:42Z</dcterms:created>
  <dcterms:modified xsi:type="dcterms:W3CDTF">2026-03-26T12:44:17Z</dcterms:modified>
</cp:coreProperties>
</file>