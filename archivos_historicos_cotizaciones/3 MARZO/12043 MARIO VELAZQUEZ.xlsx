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30498AEB-5018-4BB6-8344-A6C72E489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D27" i="6"/>
  <c r="C27" i="6"/>
  <c r="C49" i="6"/>
  <c r="S21" i="1" l="1"/>
  <c r="O21" i="1"/>
  <c r="P21" i="1" s="1"/>
  <c r="P25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1" i="1"/>
  <c r="T24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G21" i="1" s="1"/>
  <c r="O39" i="1"/>
  <c r="E15" i="3"/>
  <c r="R21" i="1" l="1"/>
  <c r="F15" i="3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<sst xmlns="http://schemas.openxmlformats.org/spreadsheetml/2006/main" count="487" uniqueCount="293">
  <si>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</si>
  <si>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</si>
  <si>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</si>
  <si>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</si>
  <si>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</si>
  <si>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</si>
  <si>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</si>
  <si>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</si>
  <si>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</si>
  <si>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</si>
  <si>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</si>
  <si>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</si>
  <si>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</si>
  <si>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</si>
  <si>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</si>
  <si>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</si>
  <si>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</si>
  <si>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</si>
  <si>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</si>
  <si>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</si>
  <si>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</si>
  <si>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</si>
  <si>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</si>
  <si>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</si>
  <si>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</si>
  <si>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</si>
  <si>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</si>
  <si>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</si>
  <si>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</si>
  <si>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</si>
  <si>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</si>
  <si>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</si>
  <si>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</si>
  <si>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</si>
  <si>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</si>
  <si>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</si>
  <si>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</si>
  <si>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</si>
  <si>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</si>
  <si>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</si>
  <si>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</si>
  <si>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</si>
  <si>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</si>
  <si>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</si>
  <si>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</si>
  <si>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</si>
  <si>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</si>
  <si>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</si>
  <si>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</si>
  <si>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</si>
  <si>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</si>
  <si>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</si>
  <si>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</si>
  <si>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</si>
  <si>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</si>
  <si>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</si>
  <si>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</si>
  <si>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</si>
  <si>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</si>
  <si>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</si>
  <si>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</si>
  <si>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</si>
  <si>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</si>
  <si>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</si>
  <si>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</si>
  <si>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</si>
  <si>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</si>
  <si>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</si>
  <si>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</si>
  <si>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</si>
  <si>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</si>
  <si>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</si>
  <si>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</si>
  <si>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</si>
  <si>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</si>
  <si>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</si>
  <si>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</si>
  <si>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</si>
  <si>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</si>
  <si>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</si>
  <si>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</si>
  <si>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</si>
  <si>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</si>
  <si>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</si>
  <si>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</si>
  <si>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</si>
  <si>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</si>
  <si>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</si>
  <si>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</si>
  <si>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</si>
  <si>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</si>
  <si>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</si>
  <si>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</si>
  <si>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</si>
  <si>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</si>
  <si>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</si>
  <si>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</si>
  <si>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</si>
  <si>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</si>
  <si>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</si>
  <si>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</si>
  <si>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</si>
  <si>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</si>
  <si>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</si>
  <si>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</si>
  <si>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</si>
  <si>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</si>
  <si>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</si>
  <si>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</si>
  <si>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</si>
  <si>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</si>
  <si>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</si>
  <si>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</si>
  <si>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</si>
  <si>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</si>
  <si>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</si>
  <si>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</si>
  <si>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</si>
  <si>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</si>
  <si>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</si>
  <si>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</si>
  <si>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</si>
  <si>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</si>
  <si>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</si>
  <si>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</si>
  <si>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</si>
  <si>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</si>
  <si>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</si>
  <si>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</si>
  <si>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</si>
  <si>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</si>
  <si>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</si>
  <si>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</si>
  <si>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</si>
  <si>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</si>
  <si>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</si>
  <si>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</si>
  <si>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</si>
  <si>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</si>
  <si>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</si>
  <si>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</si>
  <si>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</si>
  <si>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</si>
  <si>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</si>
  <si>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</si>
  <si>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</si>
  <si>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</si>
  <si>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</si>
  <si>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</si>
  <si>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</si>
  <si>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</si>
  <si>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</si>
  <si>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</si>
  <si>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</si>
  <si>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</si>
  <si>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</si>
  <si>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</si>
  <si>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</si>
  <si>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</si>
  <si>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</si>
  <si>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</si>
  <si>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</si>
  <si>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</si>
  <si>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</si>
  <si>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</si>
  <si>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</si>
  <si>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</si>
  <si>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</si>
  <si>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</si>
  <si>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</si>
  <si>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</si>
  <si>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</si>
  <si>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</si>
  <si>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</si>
  <si>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</si>
  <si>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</si>
  <si>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</si>
  <si>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</si>
  <si>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</si>
  <si>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</si>
  <si>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</si>
  <si>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</si>
  <si>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</si>
  <si>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</si>
  <si>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</si>
  <si>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</si>
  <si>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</si>
  <si>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</si>
  <si>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</si>
  <si>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</si>
  <si>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</si>
  <si>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</si>
  <si>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</si>
  <si>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</si>
  <si>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</si>
  <si>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</si>
  <si>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</si>
  <si>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</si>
  <si>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</si>
  <si>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</si>
  <si>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</si>
  <si>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</si>
  <si>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</si>
  <si>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</si>
  <si>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</si>
  <si>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</si>
  <si>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</si>
  <si>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</si>
  <si>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</si>
  <si>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</si>
  <si>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</si>
  <si>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</si>
  <si>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</si>
  <si>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</si>
  <si>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</si>
  <si>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</si>
  <si>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</si>
  <si>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</si>
  <si>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</si>
  <si>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</si>
  <si>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</si>
  <si>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</si>
  <si>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</si>
  <si>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</si>
  <si>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</si>
  <si>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</si>
  <si>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</si>
  <si>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</si>
  <si>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</si>
  <si>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</si>
  <si>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</si>
  <si>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</si>
  <si>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</si>
  <si>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</si>
  <si>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</si>
  <si>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</si>
  <si>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</si>
  <si>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</si>
  <si>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</si>
  <si>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</si>
  <si>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</si>
  <si>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</si>
  <si>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</si>
  <si>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</si>
  <si>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</si>
  <si>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</si>
  <si>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</si>
  <si>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</si>
  <si>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</si>
  <si>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</si>
  <si>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</si>
  <si>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</si>
  <si>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</si>
  <si>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</si>
  <si>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</si>
  <si>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</si>
  <si>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</si>
  <si>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</si>
  <si>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</si>
  <si>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</si>
  <si>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</si>
  <si>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</si>
  <si>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</si>
  <si>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</si>
  <si>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</si>
  <si>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</si>
  <si>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</si>
  <si>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</si>
  <si>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</si>
  <si>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</si>
  <si>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</si>
  <si>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</si>
  <si>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</si>
  <si>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</si>
  <si>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</si>
  <si>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</si>
  <si>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</si>
  <si>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</si>
  <si>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</si>
  <si>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</si>
  <si>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</si>
  <si>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</si>
  <si>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</si>
  <si>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</si>
  <si>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</si>
  <si>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</si>
  <si>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</si>
  <si>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</si>
  <si>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</si>
  <si>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CESAR</t>
  </si>
  <si>
    <t>N° 12042</t>
  </si>
  <si>
    <t>+569 2088 1320</t>
  </si>
  <si>
    <t>CUB CON RESPALDO FTE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</si>
</sst>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16961</xdr:colOff>
      <xdr:row>22</xdr:row>
      <xdr:rowOff>204839</xdr:rowOff>
    </xdr:from>
    <xdr:to>
      <xdr:col>5</xdr:col>
      <xdr:colOff>1736459</xdr:colOff>
      <xdr:row>26</xdr:row>
      <xdr:rowOff>16675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638" y="4598629"/>
          <a:ext cx="6492240" cy="69264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SOBREMEDIDA EN EL LARGO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SUSTRATO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D17" zoomScale="93" zoomScaleNormal="93" workbookViewId="0">
      <selection activeCell="L34" sqref="L3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46097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s="434" t="s">
        <v>291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/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72787.297297297293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1.4</v>
      </c>
      <c r="E21" s="432">
        <v>0.6</v>
      </c>
      <c r="F21" s="313" t="s">
        <v>38</v>
      </c>
      <c r="G21" s="314">
        <f>Q21</f>
        <v>64635.119999999995</v>
      </c>
      <c r="H21" s="433">
        <f>G21*B21</f>
        <v>64635.119999999995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1.48</v>
      </c>
      <c r="N21" s="39">
        <f t="shared" ref="N21" si="2">E21+$N$19</f>
        <v>0.6</v>
      </c>
      <c r="O21" s="260">
        <f t="shared" ref="O21" si="3">M21*N21</f>
        <v>0.88800000000000001</v>
      </c>
      <c r="P21" s="258">
        <f t="shared" ref="P21" si="4">O21*L21</f>
        <v>0.88800000000000001</v>
      </c>
      <c r="Q21" s="251">
        <f t="shared" ref="Q21" si="5">Q$20*O21</f>
        <v>64635.119999999995</v>
      </c>
      <c r="R21" s="305">
        <f t="shared" ref="R21" si="6">Q21+R$20</f>
        <v>69635.12</v>
      </c>
      <c r="S21" s="290">
        <f t="shared" ref="S21" si="7">M21*L21</f>
        <v>1.48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64635.119999999995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12280.672799999998</v>
      </c>
      <c r="I25" s="308"/>
      <c r="J25" s="264"/>
      <c r="K25" s="47"/>
      <c r="L25" s="47"/>
      <c r="M25" s="39">
        <f>SUM(M21:M24)</f>
        <v>1.48</v>
      </c>
      <c r="N25" s="12"/>
      <c r="O25" s="12"/>
      <c r="P25" s="252">
        <f>SUM(P21:P21)</f>
        <v>0.88800000000000001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76915.792799999996</v>
      </c>
      <c r="I26" s="308"/>
      <c r="J26" s="264"/>
      <c r="K26" s="47"/>
      <c r="L26" s="47"/>
      <c r="M26" s="39"/>
      <c r="N26" s="12"/>
      <c r="O26" s="12"/>
      <c r="P26" s="252">
        <f>P25</f>
        <v>0.88800000000000001</v>
      </c>
      <c r="Q26" s="14"/>
      <c r="R26" s="12"/>
      <c r="S26" s="239">
        <f>SUM(S21:S25)</f>
        <v>1.48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0.17760000000000001</v>
      </c>
      <c r="Q27" s="39" t="s">
        <v>129</v>
      </c>
      <c r="R27" s="42"/>
      <c r="S27" s="240">
        <f>S26+T24</f>
        <v>3.88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1.0656000000000001</v>
      </c>
      <c r="Q28" s="14"/>
      <c r="R28" s="14"/>
      <c r="S28" s="238">
        <f>S27*20%</f>
        <v>0.77600000000000002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4.6559999999999997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1.0656000000000001</v>
      </c>
      <c r="N30" s="12">
        <v>3500</v>
      </c>
      <c r="O30" s="12">
        <f t="shared" ref="O30:O35" si="8">M30*N30</f>
        <v>3729.6000000000004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8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41000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15000</v>
      </c>
      <c r="O33" s="12">
        <f t="shared" si="8"/>
        <v>15000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1.5</v>
      </c>
      <c r="N34" s="249">
        <v>900</v>
      </c>
      <c r="O34" s="12">
        <f t="shared" si="8"/>
        <v>1350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1.5</v>
      </c>
      <c r="N35" s="12">
        <v>1500</v>
      </c>
      <c r="O35" s="12">
        <f t="shared" si="8"/>
        <v>2250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29379.599999999999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64635.12</v>
      </c>
      <c r="P37" s="14" t="s">
        <v>138</v>
      </c>
      <c r="Q37" s="14"/>
      <c r="R37" s="40">
        <f>P28/R36</f>
        <v>0.28731665228645387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72787.297297297293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46097</v>
      </c>
    </row>
    <row r="6" spans="2:31" ht="16.2" thickBot="1" x14ac:dyDescent="0.35">
      <c r="B6" s="140" t="s">
        <v>2</v>
      </c>
      <c r="C6" s="139" t="str">
        <f>'2229'!C10</f>
        <v>CESAR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396.2449665458941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64635.119999999995</v>
      </c>
      <c r="E11" s="132">
        <f>D11*0.19</f>
        <v>12280.672799999998</v>
      </c>
      <c r="F11" s="131">
        <f>E11+D11</f>
        <v>76915.792799999996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106386.2449665459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40613.690787439613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88386.244966545899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24021.429212560382</v>
      </c>
      <c r="E13" s="221">
        <f>(D11/D12)-1</f>
        <v>0.59146137045957325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79386.244966545899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40386.244966545892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67012.58979927536</v>
      </c>
      <c r="F15" s="216">
        <f>E15-D12</f>
        <v>26398.899011835747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40386.244966545892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80386.244966545899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3729.6000000000004</v>
      </c>
      <c r="E20" s="121">
        <f>D20*0.19</f>
        <v>708.62400000000002</v>
      </c>
      <c r="F20" s="120">
        <f>SUM(D20:E20)</f>
        <v>4438.2240000000002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10779.6</v>
      </c>
      <c r="E21" s="116">
        <f>SUM(E18:E20)</f>
        <v>2048.1239999999998</v>
      </c>
      <c r="F21" s="115">
        <f>SUM(F18:F20)</f>
        <v>12827.724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10232.548799999999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64635.119999999995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10779.6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24021.429212560382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24021.429212560382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CESAR</v>
      </c>
      <c r="D10" s="350"/>
      <c r="E10" s="350"/>
      <c r="F10" s="351" t="s">
        <v>167</v>
      </c>
      <c r="G10" s="352">
        <f>'2229'!G10</f>
        <v>46097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+569 2088 1320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1400</v>
      </c>
      <c r="E22" s="321">
        <f>'2229'!E21*1000</f>
        <v>600</v>
      </c>
      <c r="F22" s="322" t="str">
        <f>'2229'!F21</f>
        <v>MADERA X DEFINIR</v>
      </c>
      <c r="G22" s="314">
        <f>'2229'!G21</f>
        <v>64635.119999999995</v>
      </c>
      <c r="H22" s="323">
        <f>G22*B22</f>
        <v>64635.119999999995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64635.119999999995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12280.672799999998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76915.792799999996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CESAR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46097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46104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MADERA X DEFINIR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MADERA X DEFINIR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12042</v>
      </c>
      <c r="C2" s="1">
        <f>'NOTA DE VENTA'!$G$10</f>
        <v>46097</v>
      </c>
      <c r="D2" s="1">
        <f>'NOTA DE VENTA'!$G$11</f>
        <v>46104</v>
      </c>
      <c r="E2" t="str">
        <f>'NOTA DE VENTA'!$C$10</f>
        <v>CESAR</v>
      </c>
      <c r="F2" t="str">
        <f>'NOTA DE VENTA'!$C$22</f>
        <v>CUB C/R R8</v>
      </c>
      <c r="G2" t="str">
        <f>'NOTA DE VENTA'!$F$22</f>
        <v>MADERA X DEFINIR</v>
      </c>
      <c r="H2" s="415">
        <f>'NOTA DE VENTA'!$H$25</f>
        <v>64635.119999999995</v>
      </c>
      <c r="I2" s="415">
        <f>H2*0.19</f>
        <v>12280.672799999998</v>
      </c>
      <c r="J2" s="415">
        <f>I2+H2</f>
        <v>76915.792799999996</v>
      </c>
      <c r="L2" s="61">
        <f>J2-K2</f>
        <v>76915.792799999996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2026-03-13T17:49:14Z</cp:lastPrinted>
  <dcterms:created xsi:type="dcterms:W3CDTF">2013-03-18T13:35:42Z</dcterms:created>
  <dcterms:modified xsi:type="dcterms:W3CDTF">2026-03-18T17:32:18Z</dcterms:modified>
</cp:coreProperties>
</file>