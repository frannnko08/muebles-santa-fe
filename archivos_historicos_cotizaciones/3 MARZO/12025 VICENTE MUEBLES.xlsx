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9BEBAA1E-3493-4BDD-B398-E45547C224BD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N21" i="1"/>
  <c r="O21" i="1" s="1"/>
  <c r="D27" i="6"/>
  <c r="C27" i="6"/>
  <c r="C49" i="6"/>
  <c r="S21" i="1" l="1"/>
  <c r="P21" i="1"/>
  <c r="P25" i="1" s="1"/>
  <c r="N5" i="6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5" i="1" l="1"/>
  <c r="S26" i="1"/>
  <c r="T21" i="1"/>
  <c r="T24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G21" i="1" s="1"/>
  <c r="O39" i="1"/>
  <c r="E15" i="3"/>
  <c r="R21" i="1" l="1"/>
  <c r="F15" i="3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<sst xmlns="http://schemas.openxmlformats.org/spreadsheetml/2006/main" count="488" uniqueCount="295">
  <si>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</si>
  <si>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</si>
  <si>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</si>
  <si>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</si>
  <si>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</si>
  <si>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</si>
  <si>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</si>
  <si>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</si>
  <si>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</si>
  <si>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</si>
  <si>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</si>
  <si>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</si>
  <si>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</si>
  <si>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</si>
  <si>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</si>
  <si>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</si>
  <si>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</si>
  <si>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</si>
  <si>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</si>
  <si>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</si>
  <si>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</si>
  <si>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</si>
  <si>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</si>
  <si>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</si>
  <si>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</si>
  <si>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</si>
  <si>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</si>
  <si>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</si>
  <si>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</si>
  <si>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</si>
  <si>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</si>
  <si>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</si>
  <si>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</si>
  <si>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</si>
  <si>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</si>
  <si>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</si>
  <si>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</si>
  <si>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</si>
  <si>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</si>
  <si>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</si>
  <si>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</si>
  <si>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</si>
  <si>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</si>
  <si>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</si>
  <si>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</si>
  <si>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</si>
  <si>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</si>
  <si>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</si>
  <si>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</si>
  <si>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</si>
  <si>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</si>
  <si>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</si>
  <si>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</si>
  <si>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</si>
  <si>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</si>
  <si>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</si>
  <si>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</si>
  <si>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</si>
  <si>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</si>
  <si>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</si>
  <si>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</si>
  <si>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</si>
  <si>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</si>
  <si>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</si>
  <si>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</si>
  <si>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</si>
  <si>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</si>
  <si>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</si>
  <si>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</si>
  <si>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</si>
  <si>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</si>
  <si>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</si>
  <si>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</si>
  <si>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</si>
  <si>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</si>
  <si>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</si>
  <si>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</si>
  <si>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</si>
  <si>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</si>
  <si>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</si>
  <si>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</si>
  <si>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</si>
  <si>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</si>
  <si>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</si>
  <si>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</si>
  <si>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</si>
  <si>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</si>
  <si>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</si>
  <si>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</si>
  <si>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</si>
  <si>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</si>
  <si>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</si>
  <si>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</si>
  <si>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</si>
  <si>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</si>
  <si>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</si>
  <si>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</si>
  <si>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</si>
  <si>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</si>
  <si>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</si>
  <si>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</si>
  <si>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</si>
  <si>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</si>
  <si>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</si>
  <si>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</si>
  <si>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</si>
  <si>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</si>
  <si>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</si>
  <si>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</si>
  <si>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</si>
  <si>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</si>
  <si>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</si>
  <si>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</si>
  <si>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</si>
  <si>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</si>
  <si>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</si>
  <si>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</si>
  <si>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</si>
  <si>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</si>
  <si>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</si>
  <si>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</si>
  <si>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</si>
  <si>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</si>
  <si>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</si>
  <si>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</si>
  <si>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</si>
  <si>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</si>
  <si>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</si>
  <si>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</si>
  <si>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</si>
  <si>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</si>
  <si>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</si>
  <si>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</si>
  <si>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</si>
  <si>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</si>
  <si>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</si>
  <si>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</si>
  <si>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</si>
  <si>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</si>
  <si>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</si>
  <si>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</si>
  <si>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</si>
  <si>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</si>
  <si>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</si>
  <si>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</si>
  <si>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</si>
  <si>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</si>
  <si>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</si>
  <si>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</si>
  <si>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</si>
  <si>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</si>
  <si>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</si>
  <si>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</si>
  <si>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</si>
  <si>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</si>
  <si>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</si>
  <si>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</si>
  <si>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</si>
  <si>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</si>
  <si>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</si>
  <si>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</si>
  <si>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</si>
  <si>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</si>
  <si>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</si>
  <si>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</si>
  <si>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</si>
  <si>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</si>
  <si>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</si>
  <si>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</si>
  <si>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</si>
  <si>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</si>
  <si>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</si>
  <si>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</si>
  <si>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</si>
  <si>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</si>
  <si>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</si>
  <si>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</si>
  <si>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</si>
  <si>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</si>
  <si>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</si>
  <si>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</si>
  <si>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</si>
  <si>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</si>
  <si>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</si>
  <si>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</si>
  <si>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</si>
  <si>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</si>
  <si>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</si>
  <si>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</si>
  <si>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</si>
  <si>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</si>
  <si>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</si>
  <si>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</si>
  <si>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</si>
  <si>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</si>
  <si>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</si>
  <si>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</si>
  <si>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</si>
  <si>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</si>
  <si>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</si>
  <si>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</si>
  <si>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</si>
  <si>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</si>
  <si>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</si>
  <si>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</si>
  <si>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</si>
  <si>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</si>
  <si>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</si>
  <si>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</si>
  <si>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</si>
  <si>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</si>
  <si>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</si>
  <si>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</si>
  <si>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</si>
  <si>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</si>
  <si>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</si>
  <si>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</si>
  <si>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</si>
  <si>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</si>
  <si>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</si>
  <si>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</si>
  <si>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</si>
  <si>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</si>
  <si>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</si>
  <si>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</si>
  <si>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</si>
  <si>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</si>
  <si>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</si>
  <si>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</si>
  <si>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</si>
  <si>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</si>
  <si>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</si>
  <si>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</si>
  <si>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</si>
  <si>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</si>
  <si>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</si>
  <si>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</si>
  <si>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</si>
  <si>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</si>
  <si>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</si>
  <si>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</si>
  <si>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</si>
  <si>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</si>
  <si>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</si>
  <si>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</si>
  <si>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</si>
  <si>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</si>
  <si>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</si>
  <si>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</si>
  <si>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</si>
  <si>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</si>
  <si>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</si>
  <si>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</si>
  <si>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</si>
  <si>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</si>
  <si>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</si>
  <si>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</si>
  <si>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</si>
  <si>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</si>
  <si>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</si>
  <si>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</si>
  <si>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</si>
  <si>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</si>
  <si>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</si>
  <si>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</si>
  <si>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</si>
  <si>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</si>
  <si>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</si>
  <si>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</si>
  <si>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</si>
  <si>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</si>
  <si>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</si>
  <si>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</si>
  <si>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</si>
  <si>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</si>
  <si>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</si>
  <si>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</si>
  <si>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</si>
  <si>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</si>
  <si>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</si>
  <si>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</si>
  <si>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</si>
  <si>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</si>
  <si>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</si>
  <si>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</si>
  <si>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</si>
  <si>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</si>
  <si>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</si>
  <si>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CUB CON RESPALDO FTE 90°</t>
  </si>
  <si>
    <t>VAINILLA 2109 MT</t>
  </si>
  <si>
    <t>VICENTE MUEBLES</t>
  </si>
  <si>
    <t>MARTIN TEJEDA</t>
  </si>
  <si>
    <t>+569 8150 1846</t>
  </si>
  <si>
    <t>5 DIAS HABILES</t>
  </si>
  <si>
    <t>N° 12025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</si>
</sst>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16388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6065" y="5458235"/>
          <a:ext cx="631722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16961</xdr:colOff>
      <xdr:row>22</xdr:row>
      <xdr:rowOff>225321</xdr:rowOff>
    </xdr:from>
    <xdr:to>
      <xdr:col>5</xdr:col>
      <xdr:colOff>1736459</xdr:colOff>
      <xdr:row>26</xdr:row>
      <xdr:rowOff>16674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638" y="4844434"/>
          <a:ext cx="6492240" cy="67215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SOBRE MEDIDAS EN EL LARGO.</a:t>
          </a:r>
          <a:endParaRPr lang="es-CL" sz="1200" b="1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4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3.6640625" customWidth="1"/>
    <col min="5" max="5" width="10.5546875" customWidth="1"/>
    <col min="6" max="6" width="32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290</v>
      </c>
      <c r="D10" s="243"/>
      <c r="E10" s="243"/>
      <c r="F10" s="417" t="s">
        <v>277</v>
      </c>
      <c r="G10" s="275">
        <v>46090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293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C13" t="s">
        <v>291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292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70123.146067415742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1</v>
      </c>
      <c r="C21" s="431" t="s">
        <v>288</v>
      </c>
      <c r="D21" s="432">
        <v>1.7</v>
      </c>
      <c r="E21" s="432">
        <v>0.5</v>
      </c>
      <c r="F21" s="313" t="s">
        <v>289</v>
      </c>
      <c r="G21" s="314">
        <f>Q21</f>
        <v>62409.600000000013</v>
      </c>
      <c r="H21" s="433">
        <f>G21*B21</f>
        <v>62409.600000000013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1.78</v>
      </c>
      <c r="N21" s="39">
        <f t="shared" ref="N21" si="2">E21+$N$19</f>
        <v>0.5</v>
      </c>
      <c r="O21" s="260">
        <f t="shared" ref="O21" si="3">M21*N21</f>
        <v>0.89</v>
      </c>
      <c r="P21" s="258">
        <f t="shared" ref="P21" si="4">O21*L21</f>
        <v>0.89</v>
      </c>
      <c r="Q21" s="251">
        <f t="shared" ref="Q21" si="5">Q$20*O21</f>
        <v>62409.600000000013</v>
      </c>
      <c r="R21" s="305">
        <f t="shared" ref="R21" si="6">Q21+R$20</f>
        <v>65409.600000000013</v>
      </c>
      <c r="S21" s="290">
        <f t="shared" ref="S21" si="7">M21*L21</f>
        <v>1.78</v>
      </c>
      <c r="T21" s="46">
        <f>N21*2*L21*2</f>
        <v>2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SUM(H21:H21)</f>
        <v>62409.600000000013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2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11857.824000000002</v>
      </c>
      <c r="I25" s="308"/>
      <c r="J25" s="264"/>
      <c r="K25" s="47"/>
      <c r="L25" s="47"/>
      <c r="M25" s="39">
        <f>SUM(M21:M24)</f>
        <v>1.78</v>
      </c>
      <c r="N25" s="12"/>
      <c r="O25" s="12"/>
      <c r="P25" s="252">
        <f>SUM(P21:P21)</f>
        <v>0.89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74267.424000000014</v>
      </c>
      <c r="I26" s="308"/>
      <c r="J26" s="264"/>
      <c r="K26" s="47"/>
      <c r="L26" s="47"/>
      <c r="M26" s="39"/>
      <c r="N26" s="12"/>
      <c r="O26" s="12"/>
      <c r="P26" s="252">
        <f>P25</f>
        <v>0.89</v>
      </c>
      <c r="Q26" s="14"/>
      <c r="R26" s="12"/>
      <c r="S26" s="239">
        <f>SUM(S21:S25)</f>
        <v>1.78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0.17800000000000002</v>
      </c>
      <c r="Q27" s="39" t="s">
        <v>129</v>
      </c>
      <c r="R27" s="42"/>
      <c r="S27" s="240">
        <f>S26+T24</f>
        <v>3.7800000000000002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1.0680000000000001</v>
      </c>
      <c r="Q28" s="14"/>
      <c r="R28" s="14"/>
      <c r="S28" s="238">
        <f>S27*20%</f>
        <v>0.75600000000000012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4.5360000000000005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1.0680000000000001</v>
      </c>
      <c r="N30" s="12">
        <v>3500</v>
      </c>
      <c r="O30" s="12">
        <f t="shared" ref="O30:O35" si="8">M30*N30</f>
        <v>3738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0.3</v>
      </c>
      <c r="N31" s="12">
        <v>23500</v>
      </c>
      <c r="O31" s="12">
        <f t="shared" si="8"/>
        <v>7050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>
        <v>0</v>
      </c>
      <c r="N32" s="249">
        <v>41000</v>
      </c>
      <c r="O32" s="12">
        <f t="shared" si="8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0.5</v>
      </c>
      <c r="N33" s="249">
        <v>27000</v>
      </c>
      <c r="O33" s="12">
        <f t="shared" si="8"/>
        <v>13500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>
        <v>1.7</v>
      </c>
      <c r="N34" s="249">
        <v>900</v>
      </c>
      <c r="O34" s="12">
        <f t="shared" si="8"/>
        <v>1530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1.7</v>
      </c>
      <c r="N35" s="12">
        <v>1500</v>
      </c>
      <c r="O35" s="12">
        <f t="shared" si="8"/>
        <v>2550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28368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62409.600000000006</v>
      </c>
      <c r="P37" s="14" t="s">
        <v>138</v>
      </c>
      <c r="Q37" s="14"/>
      <c r="R37" s="40">
        <f>P28/R36</f>
        <v>0.28796376186367562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70123.146067415742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46090</v>
      </c>
    </row>
    <row r="6" spans="2:31" ht="16.2" thickBot="1" x14ac:dyDescent="0.35">
      <c r="B6" s="140" t="s">
        <v>2</v>
      </c>
      <c r="C6" s="139" t="str">
        <f>'2229'!C10</f>
        <v>VICENTE MUEBLES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12025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769.47496654589122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62409.600000000013</v>
      </c>
      <c r="E11" s="132">
        <f>D11*0.19</f>
        <v>11857.824000000002</v>
      </c>
      <c r="F11" s="131">
        <f>E11+D11</f>
        <v>74267.424000000014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106759.47496654589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40622.090787439614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88759.474966545895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21787.509212560399</v>
      </c>
      <c r="E13" s="221">
        <f>(D11/D12)-1</f>
        <v>0.53634632758235856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79759.474966545895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40759.474966545895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67026.44979927536</v>
      </c>
      <c r="F15" s="216">
        <f>E15-D12</f>
        <v>26404.359011835746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40759.474966545895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80759.474966545895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7050</v>
      </c>
      <c r="E19" s="123">
        <f>D19*0.19</f>
        <v>1339.5</v>
      </c>
      <c r="F19" s="120">
        <f>SUM(D19:E19)</f>
        <v>8389.5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3738</v>
      </c>
      <c r="E20" s="121">
        <f>D20*0.19</f>
        <v>710.22</v>
      </c>
      <c r="F20" s="120">
        <f>SUM(D20:E20)</f>
        <v>4448.22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10788</v>
      </c>
      <c r="E21" s="116">
        <f>SUM(E18:E20)</f>
        <v>2049.7200000000003</v>
      </c>
      <c r="F21" s="115">
        <f>SUM(F18:F20)</f>
        <v>12837.720000000001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9808.104000000003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62409.600000000013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10788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21787.509212560399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21787.509212560399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12025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VICENTE MUEBLES</v>
      </c>
      <c r="D10" s="350"/>
      <c r="E10" s="350"/>
      <c r="F10" s="351" t="s">
        <v>167</v>
      </c>
      <c r="G10" s="352">
        <f>'2229'!G10</f>
        <v>46090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46097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MARTIN TEJEDA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+569 8150 1846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1700</v>
      </c>
      <c r="E22" s="321">
        <f>'2229'!E21*1000</f>
        <v>500</v>
      </c>
      <c r="F22" s="322" t="str">
        <f>'2229'!F21</f>
        <v>VAINILLA 2109 MT</v>
      </c>
      <c r="G22" s="314">
        <f>'2229'!G21</f>
        <v>62409.600000000013</v>
      </c>
      <c r="H22" s="323">
        <f>G22*B22</f>
        <v>62409.600000000013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62409.600000000013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11857.824000000002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74267.424000000014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VICENTE MUEBLES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470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46090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46097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500</v>
      </c>
      <c r="F27" s="383" t="str">
        <f t="shared" si="3"/>
        <v>VAINILLA 2109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500</v>
      </c>
      <c r="F49" s="430" t="str">
        <f>'NOTA DE VENTA'!F22</f>
        <v>VAINILLA 2109 MT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12025</v>
      </c>
      <c r="C2" s="1">
        <f>'NOTA DE VENTA'!$G$10</f>
        <v>46090</v>
      </c>
      <c r="D2" s="1">
        <f>'NOTA DE VENTA'!$G$11</f>
        <v>46097</v>
      </c>
      <c r="E2" t="str">
        <f>'NOTA DE VENTA'!$C$10</f>
        <v>VICENTE MUEBLES</v>
      </c>
      <c r="F2" t="str">
        <f>'NOTA DE VENTA'!$C$22</f>
        <v>CUB C/R R8</v>
      </c>
      <c r="G2" t="str">
        <f>'NOTA DE VENTA'!$F$22</f>
        <v>VAINILLA 2109 MT</v>
      </c>
      <c r="H2" s="415">
        <f>'NOTA DE VENTA'!$H$25</f>
        <v>62409.600000000013</v>
      </c>
      <c r="I2" s="415">
        <f>H2*0.19</f>
        <v>11857.824000000002</v>
      </c>
      <c r="J2" s="415">
        <f>I2+H2</f>
        <v>74267.424000000014</v>
      </c>
      <c r="L2" s="61">
        <f>J2-K2</f>
        <v>74267.424000000014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2026-03-05T15:11:34Z</cp:lastPrinted>
  <dcterms:created xsi:type="dcterms:W3CDTF">2013-03-18T13:35:42Z</dcterms:created>
  <dcterms:modified xsi:type="dcterms:W3CDTF">2026-03-09T15:48:06Z</dcterms:modified>
</cp:coreProperties>
</file>