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DC5C2131-F987-4F75-B3F2-CBA174942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2" i="1"/>
  <c r="L21" i="1"/>
  <c r="S21" i="1" l="1"/>
  <c r="M22" i="1"/>
  <c r="N22" i="1"/>
  <c r="S22" i="1" l="1"/>
  <c r="O22" i="1"/>
  <c r="P22" i="1" s="1"/>
  <c r="N21" i="1"/>
  <c r="O21" i="1" l="1"/>
  <c r="P21" i="1" s="1"/>
  <c r="P26" i="1" s="1"/>
  <c r="S27" i="1"/>
  <c r="M26" i="1"/>
  <c r="T25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1" i="1"/>
  <c r="O40" i="1"/>
  <c r="E15" i="3"/>
  <c r="H22" i="1" l="1"/>
  <c r="R21" i="1"/>
  <c r="H21" i="1"/>
  <c r="F15" i="3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<sst xmlns="http://schemas.openxmlformats.org/spreadsheetml/2006/main" count="232" uniqueCount="175">
  <si>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</si>
  <si>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</si>
  <si>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</si>
  <si>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</si>
  <si>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</si>
  <si>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</si>
  <si>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</si>
  <si>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</si>
  <si>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</si>
  <si>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</si>
  <si>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</si>
  <si>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</si>
  <si>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</si>
  <si>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</si>
  <si>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</si>
  <si>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</si>
  <si>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</si>
  <si>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</si>
  <si>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</si>
  <si>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</si>
  <si>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</si>
  <si>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</si>
  <si>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</si>
  <si>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</si>
  <si>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</si>
  <si>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</si>
  <si>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</si>
  <si>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</si>
  <si>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</si>
  <si>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</si>
  <si>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</si>
  <si>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</si>
  <si>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</si>
  <si>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</si>
  <si>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</si>
  <si>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</si>
  <si>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</si>
  <si>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</si>
  <si>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</si>
  <si>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</si>
  <si>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</si>
  <si>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</si>
  <si>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</si>
  <si>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</si>
  <si>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</si>
  <si>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</si>
  <si>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</si>
  <si>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</si>
  <si>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</si>
  <si>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</si>
  <si>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</si>
  <si>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</si>
  <si>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</si>
  <si>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</si>
  <si>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</si>
  <si>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</si>
  <si>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</si>
  <si>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</si>
  <si>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</si>
  <si>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</si>
  <si>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</si>
  <si>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</si>
  <si>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</si>
  <si>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</si>
  <si>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</si>
  <si>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</si>
  <si>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</si>
  <si>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</si>
  <si>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</si>
  <si>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</si>
  <si>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</si>
  <si>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</si>
  <si>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</si>
  <si>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</si>
  <si>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</si>
  <si>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</si>
  <si>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</si>
  <si>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</si>
  <si>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</si>
  <si>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</si>
  <si>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</si>
  <si>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</si>
  <si>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</si>
  <si>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</si>
  <si>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</si>
  <si>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</si>
  <si>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</si>
  <si>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</si>
  <si>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</si>
  <si>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</si>
  <si>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</si>
  <si>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</si>
  <si>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</si>
  <si>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</si>
  <si>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</si>
  <si>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</si>
  <si>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</si>
  <si>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</si>
  <si>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</si>
  <si>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</si>
  <si>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</si>
  <si>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</si>
  <si>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</si>
  <si>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</si>
  <si>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</si>
  <si>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</si>
  <si>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</si>
  <si>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</si>
  <si>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</si>
  <si>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</si>
  <si>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</si>
  <si>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</si>
  <si>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</si>
  <si>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</si>
  <si>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</si>
  <si>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</si>
  <si>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</si>
  <si>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</si>
  <si>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</si>
  <si>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</si>
  <si>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</si>
  <si>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</si>
  <si>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</si>
  <si>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</si>
  <si>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</si>
  <si>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</si>
  <si>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</si>
  <si>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</si>
  <si>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</si>
  <si>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</si>
  <si>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</si>
  <si>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</si>
  <si>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</si>
  <si>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</si>
  <si>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</si>
  <si>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</si>
  <si>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</si>
  <si>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</si>
  <si>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</si>
  <si>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</si>
  <si>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</si>
  <si>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</si>
  <si>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</si>
  <si>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</si>
  <si>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</si>
  <si>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</si>
  <si>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</si>
  <si>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</si>
  <si>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</si>
  <si>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</si>
  <si>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</si>
  <si>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</si>
  <si>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</si>
  <si>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</si>
  <si>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</si>
  <si>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</si>
  <si>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</si>
  <si>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</si>
  <si>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</si>
  <si>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</si>
  <si>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</si>
  <si>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</si>
  <si>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</si>
  <si>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</si>
  <si>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</si>
  <si>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</si>
  <si>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</si>
  <si>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</si>
  <si>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</si>
  <si>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</si>
  <si>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</si>
  <si>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</si>
  <si>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GLACIAL WHITE 22191 SF</t>
  </si>
  <si>
    <t>N° 12016</t>
  </si>
  <si>
    <t>URGENTE!!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</si>
</sst>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25913</xdr:rowOff>
    </xdr:from>
    <xdr:to>
      <xdr:col>5</xdr:col>
      <xdr:colOff>1728839</xdr:colOff>
      <xdr:row>27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84" zoomScaleNormal="84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46116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168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48751.382428940567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</v>
      </c>
      <c r="C21" s="330" t="s">
        <v>171</v>
      </c>
      <c r="D21" s="332">
        <v>3</v>
      </c>
      <c r="E21" s="332">
        <v>0.6</v>
      </c>
      <c r="F21" s="330" t="s">
        <v>172</v>
      </c>
      <c r="G21" s="331">
        <v>93093</v>
      </c>
      <c r="H21" s="331">
        <f t="shared" ref="H21" si="1">G21*B21</f>
        <v>186186</v>
      </c>
      <c r="I21" s="320"/>
      <c r="J21" s="265"/>
      <c r="K21" s="47"/>
      <c r="L21" s="333">
        <f>B21</f>
        <v>2</v>
      </c>
      <c r="M21" s="39">
        <f>D21+M$19</f>
        <v>3.08</v>
      </c>
      <c r="N21" s="39">
        <f t="shared" ref="N21" si="2">E21+$N$19</f>
        <v>0.6</v>
      </c>
      <c r="O21" s="261">
        <f t="shared" ref="O21" si="3">M21*N21</f>
        <v>1.8479999999999999</v>
      </c>
      <c r="P21" s="259">
        <f t="shared" ref="P21" si="4">O21*L21</f>
        <v>3.6959999999999997</v>
      </c>
      <c r="Q21" s="252">
        <f t="shared" ref="Q21" si="5">Q$20*O21</f>
        <v>90092.554728682167</v>
      </c>
      <c r="R21" s="319">
        <f t="shared" ref="R21" si="6">Q21+R$20</f>
        <v>93092.554728682167</v>
      </c>
      <c r="S21" s="297">
        <f t="shared" ref="S21:S22" si="7">L21*M21</f>
        <v>6.16</v>
      </c>
      <c r="T21" s="46"/>
      <c r="U21" s="9"/>
      <c r="X21" s="4"/>
    </row>
    <row r="22" spans="1:25" ht="17.399999999999999" x14ac:dyDescent="0.3">
      <c r="B22" s="330">
        <v>1</v>
      </c>
      <c r="C22" s="330" t="s">
        <v>171</v>
      </c>
      <c r="D22" s="332">
        <v>1.5</v>
      </c>
      <c r="E22" s="332">
        <v>0.6</v>
      </c>
      <c r="F22" s="330" t="s">
        <v>172</v>
      </c>
      <c r="G22" s="331">
        <v>49216</v>
      </c>
      <c r="H22" s="331">
        <f t="shared" ref="H22" si="8">G22*B22</f>
        <v>49216</v>
      </c>
      <c r="I22" s="320"/>
      <c r="J22" s="265"/>
      <c r="K22" s="47"/>
      <c r="L22" s="333">
        <f>B22</f>
        <v>1</v>
      </c>
      <c r="M22" s="39">
        <f t="shared" ref="M22" si="9">D22+M$19</f>
        <v>1.58</v>
      </c>
      <c r="N22" s="39">
        <f t="shared" ref="N22" si="10">E22+$N$19</f>
        <v>0.6</v>
      </c>
      <c r="O22" s="261">
        <f t="shared" ref="O22" si="11">M22*N22</f>
        <v>0.94799999999999995</v>
      </c>
      <c r="P22" s="259">
        <f t="shared" ref="P22" si="12">O22*L22</f>
        <v>0.94799999999999995</v>
      </c>
      <c r="Q22" s="252">
        <f t="shared" ref="Q22" si="13">Q$20*O22</f>
        <v>46216.310542635656</v>
      </c>
      <c r="R22" s="319">
        <f t="shared" ref="R22" si="14">Q22+R$20</f>
        <v>49216.310542635656</v>
      </c>
      <c r="S22" s="297">
        <f t="shared" si="7"/>
        <v>1.58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3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235402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44726.38</v>
      </c>
      <c r="I26" s="322"/>
      <c r="J26" s="265"/>
      <c r="K26" s="47"/>
      <c r="L26" s="47"/>
      <c r="M26" s="39">
        <f>SUM(M21:M25)</f>
        <v>4.66</v>
      </c>
      <c r="N26" s="12"/>
      <c r="O26" s="12"/>
      <c r="P26" s="253">
        <f>SUM(P21:P24)</f>
        <v>4.6440000000000001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280128.38</v>
      </c>
      <c r="I27" s="322"/>
      <c r="J27" s="265"/>
      <c r="K27" s="47"/>
      <c r="L27" s="47"/>
      <c r="M27" s="39"/>
      <c r="N27" s="12"/>
      <c r="O27" s="12"/>
      <c r="P27" s="253">
        <f>P26</f>
        <v>4.6440000000000001</v>
      </c>
      <c r="Q27" s="14"/>
      <c r="R27" s="12"/>
      <c r="S27" s="239">
        <f>SUM(S21:S26)</f>
        <v>7.74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0.92880000000000007</v>
      </c>
      <c r="Q28" s="39" t="s">
        <v>130</v>
      </c>
      <c r="R28" s="42"/>
      <c r="S28" s="240">
        <f>S27+T25</f>
        <v>7.74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5.5728</v>
      </c>
      <c r="Q29" s="14"/>
      <c r="R29" s="14"/>
      <c r="S29" s="238">
        <f>S28*20%</f>
        <v>1.548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9.2880000000000003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5.5728</v>
      </c>
      <c r="N31" s="12">
        <v>1500</v>
      </c>
      <c r="O31" s="12">
        <f t="shared" ref="O31:O36" si="15">M31*N31</f>
        <v>8359.2000000000007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1.5</v>
      </c>
      <c r="N32" s="12">
        <v>23500</v>
      </c>
      <c r="O32" s="12">
        <f t="shared" si="15"/>
        <v>35250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>
        <v>1</v>
      </c>
      <c r="N33" s="250">
        <v>23500</v>
      </c>
      <c r="O33" s="12">
        <f t="shared" si="15"/>
        <v>23500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/>
      <c r="K34" s="232"/>
      <c r="L34" s="250"/>
      <c r="M34" s="14">
        <v>1</v>
      </c>
      <c r="N34" s="250">
        <v>36831</v>
      </c>
      <c r="O34" s="12">
        <f t="shared" si="15"/>
        <v>36831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15700</v>
      </c>
      <c r="O35" s="12">
        <f t="shared" si="15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7.74</v>
      </c>
      <c r="N36" s="12">
        <v>500</v>
      </c>
      <c r="O36" s="12">
        <f t="shared" si="15"/>
        <v>3870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107810.2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226401.42</v>
      </c>
      <c r="P38" s="14" t="s">
        <v>140</v>
      </c>
      <c r="Q38" s="14"/>
      <c r="R38" s="40">
        <f>P29/R37</f>
        <v>1.2180983606557376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L39" s="250"/>
      <c r="M39" s="14"/>
      <c r="N39" s="12"/>
      <c r="O39" s="12">
        <f>O38/P27</f>
        <v>48751.382428940567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46116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12016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-12574.261700120775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235402</v>
      </c>
      <c r="E11" s="132">
        <f>D11*0.19</f>
        <v>44726.38</v>
      </c>
      <c r="F11" s="131">
        <f>E11+D11</f>
        <v>280128.38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93415.738299879231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96943.290787439619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75415.738299879231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138458.70921256038</v>
      </c>
      <c r="E13" s="221">
        <f>(D11/D12)-1</f>
        <v>1.4282443693411291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66415.738299879231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27415.738299879224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159956.42979927536</v>
      </c>
      <c r="F15" s="216">
        <f>E15-D12</f>
        <v>63013.139011835738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27415.738299879224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67415.738299879231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23500</v>
      </c>
      <c r="E18" s="123">
        <f>D18*0.19</f>
        <v>4465</v>
      </c>
      <c r="F18" s="120">
        <f>SUM(D18:E18)</f>
        <v>27965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8359.2000000000007</v>
      </c>
      <c r="E20" s="121">
        <f>D20*0.19</f>
        <v>1588.248</v>
      </c>
      <c r="F20" s="120">
        <f>SUM(D20:E20)</f>
        <v>9947.4480000000003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67109.2</v>
      </c>
      <c r="E21" s="116">
        <f>SUM(E18:E20)</f>
        <v>12750.748</v>
      </c>
      <c r="F21" s="115">
        <f>SUM(F18:F20)</f>
        <v>79859.948000000004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31975.631999999998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235402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67109.2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138458.70921256038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138458.70921256038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2026-03-03T00:14:56Z</cp:lastPrinted>
  <dcterms:created xsi:type="dcterms:W3CDTF">2013-03-18T13:35:42Z</dcterms:created>
  <dcterms:modified xsi:type="dcterms:W3CDTF">2026-03-04T19:12:24Z</dcterms:modified>
</cp:coreProperties>
</file>