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8_{099173A9-8F17-49D4-B733-5D766F0973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 s="1"/>
  <c r="P22" i="1" s="1"/>
  <c r="S22" i="1"/>
  <c r="L21" i="1"/>
  <c r="M21" i="1"/>
  <c r="N21" i="1"/>
  <c r="O21" i="1" l="1"/>
  <c r="P21" i="1" s="1"/>
  <c r="S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6" i="1" l="1"/>
  <c r="S27" i="1"/>
  <c r="T25" i="1"/>
  <c r="P26" i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D21" i="3"/>
  <c r="M43" i="3" s="1"/>
  <c r="D12" i="3" s="1"/>
  <c r="F20" i="3"/>
  <c r="F21" i="3" s="1"/>
  <c r="R22" i="1" l="1"/>
  <c r="G22" i="1"/>
  <c r="H22" i="1" s="1"/>
  <c r="Q21" i="1"/>
  <c r="G21" i="1" s="1"/>
  <c r="O40" i="1"/>
  <c r="E15" i="3"/>
  <c r="R21" i="1" l="1"/>
  <c r="H21" i="1" s="1"/>
  <c r="F15" i="3"/>
  <c r="H25" i="1" l="1"/>
  <c r="H26" i="1" l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<sst xmlns="http://schemas.openxmlformats.org/spreadsheetml/2006/main" count="488" uniqueCount="294">
  <si>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</si>
  <si>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</si>
  <si>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</si>
  <si>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</si>
  <si>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</si>
  <si>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</si>
  <si>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</si>
  <si>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</si>
  <si>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</si>
  <si>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</si>
  <si>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</si>
  <si>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</si>
  <si>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</si>
  <si>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</si>
  <si>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</si>
  <si>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</si>
  <si>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</si>
  <si>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</si>
  <si>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</si>
  <si>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</si>
  <si>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</si>
  <si>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</si>
  <si>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</si>
  <si>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</si>
  <si>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</si>
  <si>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</si>
  <si>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</si>
  <si>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</si>
  <si>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</si>
  <si>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</si>
  <si>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</si>
  <si>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</si>
  <si>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</si>
  <si>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</si>
  <si>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</si>
  <si>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</si>
  <si>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</si>
  <si>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</si>
  <si>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</si>
  <si>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</si>
  <si>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</si>
  <si>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</si>
  <si>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</si>
  <si>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</si>
  <si>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</si>
  <si>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</si>
  <si>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</si>
  <si>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</si>
  <si>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</si>
  <si>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</si>
  <si>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</si>
  <si>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</si>
  <si>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</si>
  <si>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</si>
  <si>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</si>
  <si>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</si>
  <si>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</si>
  <si>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</si>
  <si>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</si>
  <si>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</si>
  <si>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</si>
  <si>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</si>
  <si>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</si>
  <si>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</si>
  <si>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</si>
  <si>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</si>
  <si>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</si>
  <si>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</si>
  <si>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</si>
  <si>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</si>
  <si>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</si>
  <si>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</si>
  <si>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</si>
  <si>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</si>
  <si>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</si>
  <si>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</si>
  <si>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</si>
  <si>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</si>
  <si>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</si>
  <si>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</si>
  <si>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</si>
  <si>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</si>
  <si>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</si>
  <si>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</si>
  <si>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</si>
  <si>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</si>
  <si>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</si>
  <si>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</si>
  <si>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</si>
  <si>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</si>
  <si>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</si>
  <si>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</si>
  <si>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</si>
  <si>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</si>
  <si>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</si>
  <si>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</si>
  <si>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</si>
  <si>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</si>
  <si>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</si>
  <si>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</si>
  <si>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</si>
  <si>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</si>
  <si>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</si>
  <si>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</si>
  <si>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</si>
  <si>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</si>
  <si>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</si>
  <si>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</si>
  <si>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</si>
  <si>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</si>
  <si>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</si>
  <si>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</si>
  <si>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</si>
  <si>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</si>
  <si>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</si>
  <si>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</si>
  <si>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</si>
  <si>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</si>
  <si>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</si>
  <si>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</si>
  <si>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</si>
  <si>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</si>
  <si>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</si>
  <si>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</si>
  <si>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</si>
  <si>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</si>
  <si>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</si>
  <si>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</si>
  <si>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</si>
  <si>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</si>
  <si>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</si>
  <si>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</si>
  <si>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</si>
  <si>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</si>
  <si>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</si>
  <si>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</si>
  <si>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</si>
  <si>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</si>
  <si>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</si>
  <si>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</si>
  <si>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</si>
  <si>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</si>
  <si>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</si>
  <si>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</si>
  <si>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</si>
  <si>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</si>
  <si>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</si>
  <si>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</si>
  <si>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</si>
  <si>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</si>
  <si>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</si>
  <si>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</si>
  <si>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</si>
  <si>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</si>
  <si>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</si>
  <si>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</si>
  <si>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</si>
  <si>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</si>
  <si>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</si>
  <si>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</si>
  <si>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</si>
  <si>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</si>
  <si>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</si>
  <si>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</si>
  <si>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</si>
  <si>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</si>
  <si>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</si>
  <si>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</si>
  <si>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</si>
  <si>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</si>
  <si>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</si>
  <si>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</si>
  <si>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</si>
  <si>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</si>
  <si>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</si>
  <si>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</si>
  <si>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</si>
  <si>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</si>
  <si>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</si>
  <si>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</si>
  <si>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</si>
  <si>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</si>
  <si>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</si>
  <si>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</si>
  <si>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</si>
  <si>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</si>
  <si>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</si>
  <si>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</si>
  <si>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</si>
  <si>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</si>
  <si>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</si>
  <si>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</si>
  <si>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</si>
  <si>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</si>
  <si>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</si>
  <si>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</si>
  <si>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</si>
  <si>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</si>
  <si>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</si>
  <si>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</si>
  <si>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</si>
  <si>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</si>
  <si>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</si>
  <si>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</si>
  <si>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</si>
  <si>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</si>
  <si>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</si>
  <si>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</si>
  <si>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</si>
  <si>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</si>
  <si>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</si>
  <si>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</si>
  <si>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</si>
  <si>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</si>
  <si>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</si>
  <si>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</si>
  <si>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</si>
  <si>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</si>
  <si>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</si>
  <si>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</si>
  <si>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</si>
  <si>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</si>
  <si>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</si>
  <si>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</si>
  <si>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</si>
  <si>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</si>
  <si>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</si>
  <si>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</si>
  <si>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</si>
  <si>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</si>
  <si>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</si>
  <si>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</si>
  <si>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</si>
  <si>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</si>
  <si>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</si>
  <si>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</si>
  <si>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</si>
  <si>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</si>
  <si>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</si>
  <si>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</si>
  <si>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</si>
  <si>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</si>
  <si>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</si>
  <si>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</si>
  <si>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</si>
  <si>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</si>
  <si>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</si>
  <si>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</si>
  <si>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</si>
  <si>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</si>
  <si>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</si>
  <si>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</si>
  <si>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</si>
  <si>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</si>
  <si>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</si>
  <si>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</si>
  <si>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</si>
  <si>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</si>
  <si>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</si>
  <si>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</si>
  <si>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</si>
  <si>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</si>
  <si>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</si>
  <si>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</si>
  <si>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</si>
  <si>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</si>
  <si>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</si>
  <si>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</si>
  <si>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</si>
  <si>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</si>
  <si>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</si>
  <si>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</si>
  <si>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</si>
  <si>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</si>
  <si>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</si>
  <si>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</si>
  <si>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</si>
  <si>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</si>
  <si>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</si>
  <si>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</si>
  <si>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</si>
  <si>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</si>
  <si>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</si>
  <si>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</si>
  <si>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</si>
  <si>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</si>
  <si>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</si>
  <si>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</si>
  <si>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FRANCIS</t>
  </si>
  <si>
    <t>+569 7212 6739</t>
  </si>
  <si>
    <t>CUB CON RESPALDO FTE 90°</t>
  </si>
  <si>
    <t>GRANITO KOMBI BR</t>
  </si>
  <si>
    <t>N° 12075</t>
  </si>
  <si>
    <t>Duración cotización 2 días hábiles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</si>
</sst>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214364</xdr:rowOff>
    </xdr:from>
    <xdr:to>
      <xdr:col>5</xdr:col>
      <xdr:colOff>1728839</xdr:colOff>
      <xdr:row>26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SOBREMEDIDAS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5" zoomScale="93" zoomScaleNormal="93" workbookViewId="0">
      <selection activeCell="I8" sqref="I8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288</v>
      </c>
      <c r="D10" s="243"/>
      <c r="E10" s="243"/>
      <c r="F10" s="418" t="s">
        <v>276</v>
      </c>
      <c r="G10" s="275">
        <v>46113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285</v>
      </c>
      <c r="G11" s="421" t="s">
        <v>287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284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289</v>
      </c>
      <c r="D15" s="424"/>
      <c r="F15" s="29" t="s">
        <v>283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286</v>
      </c>
      <c r="D17" s="300"/>
      <c r="E17" s="119"/>
      <c r="F17" s="426" t="s">
        <v>293</v>
      </c>
      <c r="G17" s="426" t="s">
        <v>179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7" t="s">
        <v>95</v>
      </c>
      <c r="C19" s="438"/>
      <c r="D19" s="438"/>
      <c r="E19" s="438"/>
      <c r="F19" s="438"/>
      <c r="G19" s="438"/>
      <c r="H19" s="439"/>
      <c r="I19" s="263"/>
      <c r="J19" s="263"/>
      <c r="K19" s="5"/>
      <c r="L19" s="249"/>
      <c r="M19" s="14">
        <v>0.08</v>
      </c>
      <c r="N19" s="14">
        <v>0.05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54687.761194029852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60" t="s">
        <v>290</v>
      </c>
      <c r="D21" s="461">
        <v>2.5</v>
      </c>
      <c r="E21" s="461">
        <v>0.5</v>
      </c>
      <c r="F21" s="313" t="s">
        <v>291</v>
      </c>
      <c r="G21" s="314">
        <f>Q21</f>
        <v>77601.93313432837</v>
      </c>
      <c r="H21" s="462">
        <f>G21*B21</f>
        <v>77601.93313432837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2.58</v>
      </c>
      <c r="N21" s="39">
        <f t="shared" ref="N21" si="2">E21+$N$19</f>
        <v>0.55000000000000004</v>
      </c>
      <c r="O21" s="260">
        <f t="shared" ref="O21" si="3">M21*N21</f>
        <v>1.4190000000000003</v>
      </c>
      <c r="P21" s="258">
        <f t="shared" ref="P21" si="4">O21*L21</f>
        <v>1.4190000000000003</v>
      </c>
      <c r="Q21" s="251">
        <f t="shared" ref="Q21" si="5">Q$20*O21</f>
        <v>77601.93313432837</v>
      </c>
      <c r="R21" s="305">
        <f t="shared" ref="R21" si="6">Q21+R$20</f>
        <v>80601.93313432837</v>
      </c>
      <c r="S21" s="290">
        <f t="shared" ref="S21" si="7">M21*L21*2</f>
        <v>5.16</v>
      </c>
      <c r="T21" s="46"/>
      <c r="U21" s="9"/>
      <c r="X21" s="4"/>
    </row>
    <row r="22" spans="1:25" ht="18" thickBot="1" x14ac:dyDescent="0.35">
      <c r="B22" s="431">
        <v>1</v>
      </c>
      <c r="C22" s="432" t="s">
        <v>290</v>
      </c>
      <c r="D22" s="433">
        <v>2.7</v>
      </c>
      <c r="E22" s="433">
        <v>0.5</v>
      </c>
      <c r="F22" s="434" t="s">
        <v>291</v>
      </c>
      <c r="G22" s="435">
        <f>Q22</f>
        <v>83617.586865671663</v>
      </c>
      <c r="H22" s="436">
        <f>G22*B22</f>
        <v>83617.586865671663</v>
      </c>
      <c r="I22" s="306"/>
      <c r="J22" s="264"/>
      <c r="K22" s="47"/>
      <c r="L22" s="47">
        <f t="shared" ref="L22" si="8">B22</f>
        <v>1</v>
      </c>
      <c r="M22" s="39">
        <f t="shared" ref="M22" si="9">D22+M$19</f>
        <v>2.7800000000000002</v>
      </c>
      <c r="N22" s="39">
        <f t="shared" ref="N22" si="10">E22+$N$19</f>
        <v>0.55000000000000004</v>
      </c>
      <c r="O22" s="260">
        <f t="shared" ref="O22" si="11">M22*N22</f>
        <v>1.5290000000000004</v>
      </c>
      <c r="P22" s="258">
        <f t="shared" ref="P22" si="12">O22*L22</f>
        <v>1.5290000000000004</v>
      </c>
      <c r="Q22" s="251">
        <f t="shared" ref="Q22" si="13">Q$20*O22</f>
        <v>83617.586865671663</v>
      </c>
      <c r="R22" s="305">
        <f t="shared" ref="R22" si="14">Q22+R$20</f>
        <v>86617.586865671663</v>
      </c>
      <c r="S22" s="290">
        <f t="shared" ref="S22" si="15">M22*L22*2</f>
        <v>5.5600000000000005</v>
      </c>
      <c r="T22" s="46"/>
      <c r="U22" s="9"/>
      <c r="X22" s="4"/>
    </row>
    <row r="23" spans="1:25" ht="17.399999999999999" x14ac:dyDescent="0.3">
      <c r="B23" s="283"/>
      <c r="C23" s="325"/>
      <c r="D23" s="284"/>
      <c r="E23" s="284"/>
      <c r="F23" s="283"/>
      <c r="G23" s="306"/>
      <c r="H23" s="306"/>
      <c r="I23" s="306"/>
      <c r="J23" s="264"/>
      <c r="K23" s="47"/>
      <c r="L23" s="47"/>
      <c r="M23" s="39"/>
      <c r="N23" s="39"/>
      <c r="O23" s="260"/>
      <c r="P23" s="258"/>
      <c r="Q23" s="251"/>
      <c r="R23" s="305"/>
      <c r="S23" s="290"/>
      <c r="T23" s="46"/>
      <c r="U23" s="9"/>
      <c r="X23" s="4"/>
    </row>
    <row r="24" spans="1:25" ht="18" thickBot="1" x14ac:dyDescent="0.35">
      <c r="B24" s="283"/>
      <c r="C24" s="283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SUM(H21:H24)</f>
        <v>161219.52000000002</v>
      </c>
      <c r="I25" s="308"/>
      <c r="J25" s="264"/>
      <c r="K25" s="47">
        <v>2600000</v>
      </c>
      <c r="L25" s="47"/>
      <c r="M25" s="39"/>
      <c r="N25" s="39"/>
      <c r="O25" s="260"/>
      <c r="P25" s="258"/>
      <c r="Q25" s="251"/>
      <c r="R25" s="257"/>
      <c r="S25" s="290"/>
      <c r="T25" s="46">
        <f>SUM(T21:T24)</f>
        <v>0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30631.708800000004</v>
      </c>
      <c r="I26" s="308"/>
      <c r="J26" s="264"/>
      <c r="K26" s="47"/>
      <c r="L26" s="47"/>
      <c r="M26" s="39">
        <f>SUM(M21:M25)</f>
        <v>5.36</v>
      </c>
      <c r="N26" s="12"/>
      <c r="O26" s="12"/>
      <c r="P26" s="252">
        <f>SUM(P21:P23)</f>
        <v>2.9480000000000004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191851.22880000001</v>
      </c>
      <c r="I27" s="308"/>
      <c r="J27" s="264"/>
      <c r="K27" s="47"/>
      <c r="L27" s="47"/>
      <c r="M27" s="39"/>
      <c r="N27" s="12"/>
      <c r="O27" s="12"/>
      <c r="P27" s="252">
        <f>P26</f>
        <v>2.9480000000000004</v>
      </c>
      <c r="Q27" s="14"/>
      <c r="R27" s="12"/>
      <c r="S27" s="239">
        <f>SUM(S21:S26)</f>
        <v>10.72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0.58960000000000012</v>
      </c>
      <c r="Q28" s="39" t="s">
        <v>129</v>
      </c>
      <c r="R28" s="42"/>
      <c r="S28" s="240">
        <f>S27+T25</f>
        <v>10.72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3.5376000000000003</v>
      </c>
      <c r="Q29" s="14"/>
      <c r="R29" s="14"/>
      <c r="S29" s="238">
        <f>S28*20%</f>
        <v>2.1440000000000001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12.864000000000001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3.5376000000000003</v>
      </c>
      <c r="N31" s="12">
        <v>3500</v>
      </c>
      <c r="O31" s="12">
        <f t="shared" ref="O31:O36" si="16">M31*N31</f>
        <v>12381.6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1</v>
      </c>
      <c r="N32" s="12">
        <v>23500</v>
      </c>
      <c r="O32" s="12">
        <f t="shared" si="16"/>
        <v>23500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>
        <v>1</v>
      </c>
      <c r="N33" s="249">
        <v>33500</v>
      </c>
      <c r="O33" s="12">
        <f t="shared" si="16"/>
        <v>33500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/>
      <c r="L34" s="249"/>
      <c r="M34" s="14"/>
      <c r="N34" s="249">
        <v>29000</v>
      </c>
      <c r="O34" s="12">
        <f t="shared" si="16"/>
        <v>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282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16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>
        <v>2.6</v>
      </c>
      <c r="N36" s="12">
        <v>1500</v>
      </c>
      <c r="O36" s="12">
        <f t="shared" si="16"/>
        <v>3900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73281.600000000006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O37*2.2</f>
        <v>161219.52000000002</v>
      </c>
      <c r="P38" s="14" t="s">
        <v>138</v>
      </c>
      <c r="Q38" s="14"/>
      <c r="R38" s="40">
        <f>P29/R37</f>
        <v>0.95383951682484902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42800</v>
      </c>
      <c r="L39" s="249"/>
      <c r="M39" s="14"/>
      <c r="N39" s="12"/>
      <c r="O39" s="12">
        <f>O38/P27</f>
        <v>54687.761194029852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35966.386554621851</v>
      </c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46113</v>
      </c>
    </row>
    <row r="6" spans="2:31" ht="16.2" thickBot="1" x14ac:dyDescent="0.35">
      <c r="B6" s="140" t="s">
        <v>2</v>
      </c>
      <c r="C6" s="139" t="str">
        <f>'2229'!C10</f>
        <v>FRANCIS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1" t="s">
        <v>98</v>
      </c>
      <c r="I7" s="442"/>
      <c r="J7" s="442"/>
      <c r="K7" s="443"/>
      <c r="N7" s="75"/>
      <c r="O7" s="4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12075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414.39496654588828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161219.52000000002</v>
      </c>
      <c r="E11" s="132">
        <f>D11*0.19</f>
        <v>30631.708800000004</v>
      </c>
      <c r="F11" s="131">
        <f>E11+D11</f>
        <v>191851.22880000001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106404.39496654589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99215.690787439613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88404.394966545893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62003.829212560406</v>
      </c>
      <c r="E13" s="221">
        <f>(D11/D12)-1</f>
        <v>0.62493975217486364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79404.394966545893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40404.394966545886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163705.88979927535</v>
      </c>
      <c r="F15" s="216">
        <f>E15-D12</f>
        <v>64490.199011835735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40404.394966545886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80404.394966545893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33500</v>
      </c>
      <c r="E18" s="123">
        <f>D18*0.19</f>
        <v>6365</v>
      </c>
      <c r="F18" s="120">
        <f>SUM(D18:E18)</f>
        <v>39865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12381.6</v>
      </c>
      <c r="E20" s="121">
        <f>D20*0.19</f>
        <v>2352.5039999999999</v>
      </c>
      <c r="F20" s="120">
        <f>SUM(D20:E20)</f>
        <v>14734.103999999999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69381.600000000006</v>
      </c>
      <c r="E21" s="116">
        <f>SUM(E18:E20)</f>
        <v>13182.504000000001</v>
      </c>
      <c r="F21" s="115">
        <f>SUM(F18:F20)</f>
        <v>82564.103999999992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17449.204800000003</v>
      </c>
    </row>
    <row r="41" spans="2:16" ht="15" thickBot="1" x14ac:dyDescent="0.35">
      <c r="H41" s="444" t="s">
        <v>60</v>
      </c>
      <c r="I41" s="445"/>
      <c r="J41" s="445"/>
      <c r="K41" s="445"/>
      <c r="L41" s="445"/>
      <c r="M41" s="4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161219.52000000002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69381.600000000006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62003.829212560406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62003.829212560406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12075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FRANCIS</v>
      </c>
      <c r="D10" s="350"/>
      <c r="E10" s="350"/>
      <c r="F10" s="351" t="s">
        <v>167</v>
      </c>
      <c r="G10" s="352">
        <f>'2229'!G10</f>
        <v>46113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46120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180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+569 7212 6739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7" t="s">
        <v>175</v>
      </c>
      <c r="G17" s="447"/>
      <c r="H17" s="448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9" t="s">
        <v>176</v>
      </c>
      <c r="C20" s="450"/>
      <c r="D20" s="450"/>
      <c r="E20" s="450"/>
      <c r="F20" s="450"/>
      <c r="G20" s="450"/>
      <c r="H20" s="451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2" t="s">
        <v>181</v>
      </c>
      <c r="C2" s="452"/>
      <c r="D2" s="452"/>
      <c r="E2" s="361"/>
      <c r="G2" s="452" t="s">
        <v>182</v>
      </c>
      <c r="H2" s="452"/>
      <c r="I2" s="452"/>
      <c r="P2" s="453" t="s">
        <v>183</v>
      </c>
      <c r="Q2" s="453"/>
      <c r="R2" s="453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184</v>
      </c>
      <c r="E4" s="246" t="s">
        <v>185</v>
      </c>
      <c r="G4" s="362">
        <v>50</v>
      </c>
      <c r="H4" s="362">
        <v>100</v>
      </c>
      <c r="I4" s="367" t="s">
        <v>184</v>
      </c>
      <c r="J4" s="54" t="s">
        <v>186</v>
      </c>
      <c r="K4" s="54"/>
      <c r="L4" s="54"/>
      <c r="M4" s="54"/>
      <c r="P4">
        <v>50</v>
      </c>
      <c r="Q4">
        <v>-30</v>
      </c>
      <c r="R4" t="s">
        <v>187</v>
      </c>
    </row>
    <row r="5" spans="2:18" x14ac:dyDescent="0.3">
      <c r="B5" s="365">
        <v>40</v>
      </c>
      <c r="C5" s="365">
        <v>90</v>
      </c>
      <c r="D5" s="366" t="s">
        <v>188</v>
      </c>
      <c r="E5" s="246" t="s">
        <v>189</v>
      </c>
      <c r="G5" s="362">
        <v>50</v>
      </c>
      <c r="H5" s="362"/>
      <c r="I5" s="367" t="s">
        <v>190</v>
      </c>
      <c r="J5" s="54" t="s">
        <v>191</v>
      </c>
      <c r="K5" s="54"/>
      <c r="L5" s="54"/>
      <c r="M5" s="54"/>
      <c r="P5">
        <v>50</v>
      </c>
      <c r="Q5">
        <v>-30</v>
      </c>
      <c r="R5" t="s">
        <v>187</v>
      </c>
    </row>
    <row r="6" spans="2:18" x14ac:dyDescent="0.3">
      <c r="B6" s="365">
        <v>40</v>
      </c>
      <c r="C6" s="365">
        <v>100</v>
      </c>
      <c r="D6" s="366" t="s">
        <v>192</v>
      </c>
      <c r="E6" s="246" t="s">
        <v>193</v>
      </c>
      <c r="G6" s="365">
        <v>50</v>
      </c>
      <c r="H6" s="365">
        <v>100</v>
      </c>
      <c r="I6" s="366" t="s">
        <v>192</v>
      </c>
      <c r="P6">
        <v>50</v>
      </c>
      <c r="Q6">
        <v>-30</v>
      </c>
      <c r="R6" t="s">
        <v>194</v>
      </c>
    </row>
    <row r="7" spans="2:18" x14ac:dyDescent="0.3">
      <c r="B7" s="365">
        <v>40</v>
      </c>
      <c r="C7" s="365">
        <v>150</v>
      </c>
      <c r="D7" s="366" t="s">
        <v>195</v>
      </c>
      <c r="E7" s="246" t="s">
        <v>196</v>
      </c>
      <c r="G7" s="365">
        <v>50</v>
      </c>
      <c r="H7" s="365"/>
      <c r="I7" s="366" t="s">
        <v>195</v>
      </c>
      <c r="P7">
        <v>50</v>
      </c>
      <c r="Q7">
        <v>-30</v>
      </c>
      <c r="R7" t="s">
        <v>197</v>
      </c>
    </row>
    <row r="8" spans="2:18" x14ac:dyDescent="0.3">
      <c r="B8" s="365">
        <v>40</v>
      </c>
      <c r="C8" s="365">
        <v>100</v>
      </c>
      <c r="D8" s="366" t="s">
        <v>198</v>
      </c>
      <c r="E8" s="246" t="s">
        <v>199</v>
      </c>
      <c r="G8" s="365">
        <v>50</v>
      </c>
      <c r="H8" s="365">
        <v>100</v>
      </c>
      <c r="I8" s="366" t="s">
        <v>198</v>
      </c>
      <c r="L8" s="453" t="s">
        <v>183</v>
      </c>
      <c r="M8" s="453"/>
      <c r="N8" s="453"/>
      <c r="P8">
        <v>50</v>
      </c>
      <c r="Q8">
        <v>-30</v>
      </c>
      <c r="R8" t="s">
        <v>200</v>
      </c>
    </row>
    <row r="9" spans="2:18" x14ac:dyDescent="0.3">
      <c r="B9" s="365">
        <v>40</v>
      </c>
      <c r="C9" s="365">
        <v>50</v>
      </c>
      <c r="D9" s="366" t="s">
        <v>201</v>
      </c>
      <c r="E9" s="246" t="s">
        <v>202</v>
      </c>
      <c r="G9" s="365">
        <v>50</v>
      </c>
      <c r="H9" s="365">
        <v>100</v>
      </c>
      <c r="I9" s="366" t="s">
        <v>203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204</v>
      </c>
    </row>
    <row r="10" spans="2:18" x14ac:dyDescent="0.3">
      <c r="B10" s="365">
        <v>40</v>
      </c>
      <c r="C10" s="365">
        <v>80</v>
      </c>
      <c r="D10" s="366" t="s">
        <v>205</v>
      </c>
      <c r="E10" s="246" t="s">
        <v>206</v>
      </c>
      <c r="G10" s="365">
        <v>50</v>
      </c>
      <c r="H10" s="365"/>
      <c r="I10" s="366" t="s">
        <v>207</v>
      </c>
      <c r="L10" s="365">
        <v>50</v>
      </c>
      <c r="M10" s="365">
        <v>-30</v>
      </c>
      <c r="N10" s="366" t="s">
        <v>187</v>
      </c>
      <c r="P10">
        <v>50</v>
      </c>
      <c r="Q10">
        <v>0</v>
      </c>
      <c r="R10" t="s">
        <v>208</v>
      </c>
    </row>
    <row r="11" spans="2:18" x14ac:dyDescent="0.3">
      <c r="B11" s="365">
        <v>40</v>
      </c>
      <c r="C11" s="365">
        <v>60</v>
      </c>
      <c r="D11" s="366" t="s">
        <v>209</v>
      </c>
      <c r="E11" s="246" t="s">
        <v>210</v>
      </c>
      <c r="G11" s="365">
        <v>50</v>
      </c>
      <c r="H11" s="365">
        <v>100</v>
      </c>
      <c r="I11" s="366" t="s">
        <v>201</v>
      </c>
      <c r="L11" s="365">
        <v>50</v>
      </c>
      <c r="M11" s="365">
        <v>0</v>
      </c>
      <c r="N11" s="366" t="s">
        <v>211</v>
      </c>
      <c r="P11">
        <v>50</v>
      </c>
      <c r="Q11">
        <v>0</v>
      </c>
      <c r="R11" t="s">
        <v>212</v>
      </c>
    </row>
    <row r="12" spans="2:18" x14ac:dyDescent="0.3">
      <c r="B12" s="365">
        <v>40</v>
      </c>
      <c r="C12" s="365">
        <v>100</v>
      </c>
      <c r="D12" s="366" t="s">
        <v>213</v>
      </c>
      <c r="E12" s="246" t="s">
        <v>214</v>
      </c>
      <c r="G12" s="365">
        <v>50</v>
      </c>
      <c r="H12" s="365"/>
      <c r="I12" s="366" t="s">
        <v>205</v>
      </c>
      <c r="L12" s="365">
        <v>50</v>
      </c>
      <c r="M12" s="365">
        <v>-2</v>
      </c>
      <c r="N12" s="366" t="s">
        <v>215</v>
      </c>
      <c r="P12">
        <v>50</v>
      </c>
      <c r="Q12">
        <v>0</v>
      </c>
      <c r="R12" t="s">
        <v>216</v>
      </c>
    </row>
    <row r="13" spans="2:18" x14ac:dyDescent="0.3">
      <c r="B13" s="365">
        <v>40</v>
      </c>
      <c r="C13" s="365">
        <v>130</v>
      </c>
      <c r="D13" s="366" t="s">
        <v>217</v>
      </c>
      <c r="E13" s="246" t="s">
        <v>218</v>
      </c>
      <c r="G13" s="365">
        <v>50</v>
      </c>
      <c r="H13" s="365">
        <v>-30</v>
      </c>
      <c r="I13" s="366" t="s">
        <v>187</v>
      </c>
      <c r="P13">
        <v>50</v>
      </c>
      <c r="Q13">
        <v>0</v>
      </c>
      <c r="R13" t="s">
        <v>219</v>
      </c>
    </row>
    <row r="14" spans="2:18" x14ac:dyDescent="0.3">
      <c r="B14" s="365">
        <v>40</v>
      </c>
      <c r="C14" s="365">
        <v>150</v>
      </c>
      <c r="D14" s="366" t="s">
        <v>194</v>
      </c>
      <c r="E14" s="246"/>
      <c r="G14" s="365">
        <v>50</v>
      </c>
      <c r="H14" s="365">
        <v>-30</v>
      </c>
      <c r="I14" s="366" t="s">
        <v>194</v>
      </c>
    </row>
    <row r="15" spans="2:18" x14ac:dyDescent="0.3">
      <c r="B15" s="365">
        <v>40</v>
      </c>
      <c r="C15" s="365">
        <v>150</v>
      </c>
      <c r="D15" s="366" t="s">
        <v>220</v>
      </c>
      <c r="E15" s="246" t="s">
        <v>221</v>
      </c>
      <c r="G15" s="365">
        <v>50</v>
      </c>
      <c r="H15" s="365">
        <v>-30</v>
      </c>
      <c r="I15" s="366" t="s">
        <v>197</v>
      </c>
      <c r="P15">
        <v>50</v>
      </c>
      <c r="Q15">
        <v>0</v>
      </c>
      <c r="R15" t="s">
        <v>222</v>
      </c>
    </row>
    <row r="16" spans="2:18" x14ac:dyDescent="0.3">
      <c r="B16" s="365">
        <v>40</v>
      </c>
      <c r="C16" s="365">
        <v>130</v>
      </c>
      <c r="D16" s="366" t="s">
        <v>223</v>
      </c>
      <c r="E16" s="246" t="s">
        <v>224</v>
      </c>
      <c r="G16" s="365">
        <v>50</v>
      </c>
      <c r="H16" s="365">
        <v>-30</v>
      </c>
      <c r="I16" s="366" t="s">
        <v>225</v>
      </c>
      <c r="P16">
        <v>50</v>
      </c>
      <c r="Q16">
        <v>0</v>
      </c>
      <c r="R16" t="s">
        <v>226</v>
      </c>
    </row>
    <row r="17" spans="2:18" x14ac:dyDescent="0.3">
      <c r="B17" s="365">
        <v>40</v>
      </c>
      <c r="C17" s="365">
        <v>150</v>
      </c>
      <c r="D17" s="366" t="s">
        <v>212</v>
      </c>
      <c r="E17" s="246" t="s">
        <v>227</v>
      </c>
      <c r="G17" s="365">
        <v>50</v>
      </c>
      <c r="H17" s="365"/>
      <c r="I17" s="366" t="s">
        <v>212</v>
      </c>
      <c r="P17">
        <v>50</v>
      </c>
      <c r="Q17">
        <v>0</v>
      </c>
      <c r="R17" t="s">
        <v>228</v>
      </c>
    </row>
    <row r="18" spans="2:18" x14ac:dyDescent="0.3">
      <c r="B18" s="365">
        <v>140</v>
      </c>
      <c r="C18" s="365">
        <v>150</v>
      </c>
      <c r="D18" s="366" t="s">
        <v>216</v>
      </c>
      <c r="E18" s="246" t="s">
        <v>229</v>
      </c>
      <c r="G18" s="365">
        <v>50</v>
      </c>
      <c r="H18" s="365"/>
      <c r="I18" s="366" t="s">
        <v>216</v>
      </c>
      <c r="P18">
        <v>50</v>
      </c>
      <c r="Q18">
        <v>0</v>
      </c>
      <c r="R18" t="s">
        <v>230</v>
      </c>
    </row>
    <row r="19" spans="2:18" x14ac:dyDescent="0.3">
      <c r="B19" s="365">
        <v>150</v>
      </c>
      <c r="C19" s="365">
        <v>150</v>
      </c>
      <c r="D19" s="366" t="s">
        <v>219</v>
      </c>
      <c r="E19" s="246" t="s">
        <v>231</v>
      </c>
      <c r="G19" s="365">
        <v>50</v>
      </c>
      <c r="H19" s="365"/>
      <c r="I19" s="366" t="s">
        <v>219</v>
      </c>
      <c r="P19">
        <v>50</v>
      </c>
      <c r="Q19">
        <v>0</v>
      </c>
      <c r="R19" t="s">
        <v>232</v>
      </c>
    </row>
    <row r="20" spans="2:18" x14ac:dyDescent="0.3">
      <c r="B20" s="365">
        <v>40</v>
      </c>
      <c r="C20" s="365">
        <v>100</v>
      </c>
      <c r="D20" s="366" t="s">
        <v>233</v>
      </c>
      <c r="E20" s="246" t="s">
        <v>234</v>
      </c>
      <c r="G20" s="365">
        <v>50</v>
      </c>
      <c r="H20" s="365">
        <v>0</v>
      </c>
      <c r="I20" s="366" t="s">
        <v>233</v>
      </c>
      <c r="J20" s="54" t="s">
        <v>235</v>
      </c>
      <c r="K20" s="54"/>
      <c r="L20" s="54"/>
      <c r="M20" s="54"/>
      <c r="P20">
        <v>50</v>
      </c>
      <c r="Q20">
        <v>0</v>
      </c>
      <c r="R20" t="s">
        <v>236</v>
      </c>
    </row>
    <row r="21" spans="2:18" x14ac:dyDescent="0.3">
      <c r="B21" s="365">
        <v>100</v>
      </c>
      <c r="C21" s="365">
        <v>100</v>
      </c>
      <c r="D21" s="366" t="s">
        <v>237</v>
      </c>
      <c r="E21" s="246" t="s">
        <v>238</v>
      </c>
      <c r="G21" s="365">
        <v>50</v>
      </c>
      <c r="H21" s="365">
        <v>0</v>
      </c>
      <c r="I21" s="366" t="s">
        <v>237</v>
      </c>
      <c r="P21">
        <v>50</v>
      </c>
      <c r="Q21">
        <v>0</v>
      </c>
      <c r="R21" t="s">
        <v>239</v>
      </c>
    </row>
    <row r="22" spans="2:18" x14ac:dyDescent="0.3">
      <c r="B22" s="365">
        <v>100</v>
      </c>
      <c r="C22" s="365">
        <v>100</v>
      </c>
      <c r="D22" s="366" t="s">
        <v>222</v>
      </c>
      <c r="E22" s="246" t="s">
        <v>240</v>
      </c>
      <c r="G22" s="362"/>
      <c r="H22" s="362"/>
      <c r="I22" s="367" t="s">
        <v>222</v>
      </c>
      <c r="P22">
        <v>50</v>
      </c>
      <c r="Q22">
        <v>0</v>
      </c>
      <c r="R22" t="s">
        <v>241</v>
      </c>
    </row>
    <row r="23" spans="2:18" x14ac:dyDescent="0.3">
      <c r="B23" s="365">
        <v>40</v>
      </c>
      <c r="C23" s="365">
        <v>150</v>
      </c>
      <c r="D23" s="366" t="s">
        <v>226</v>
      </c>
      <c r="E23" s="246" t="s">
        <v>242</v>
      </c>
      <c r="G23" s="365">
        <v>50</v>
      </c>
      <c r="H23" s="365"/>
      <c r="I23" s="366" t="s">
        <v>226</v>
      </c>
      <c r="R23" t="s">
        <v>243</v>
      </c>
    </row>
    <row r="24" spans="2:18" x14ac:dyDescent="0.3">
      <c r="B24" s="365">
        <v>140</v>
      </c>
      <c r="C24" s="365">
        <v>150</v>
      </c>
      <c r="D24" s="366" t="s">
        <v>228</v>
      </c>
      <c r="E24" s="246" t="s">
        <v>244</v>
      </c>
      <c r="G24" s="365">
        <v>50</v>
      </c>
      <c r="H24" s="365"/>
      <c r="I24" s="366" t="s">
        <v>228</v>
      </c>
      <c r="R24" t="s">
        <v>245</v>
      </c>
    </row>
    <row r="25" spans="2:18" x14ac:dyDescent="0.3">
      <c r="B25" s="365">
        <v>150</v>
      </c>
      <c r="C25" s="365">
        <v>150</v>
      </c>
      <c r="D25" s="366" t="s">
        <v>230</v>
      </c>
      <c r="E25" s="246" t="s">
        <v>246</v>
      </c>
      <c r="G25" s="365">
        <v>50</v>
      </c>
      <c r="H25" s="365"/>
      <c r="I25" s="366" t="s">
        <v>230</v>
      </c>
      <c r="R25" t="s">
        <v>192</v>
      </c>
    </row>
    <row r="26" spans="2:18" x14ac:dyDescent="0.3">
      <c r="B26" s="365">
        <v>40</v>
      </c>
      <c r="C26" s="365">
        <v>77</v>
      </c>
      <c r="D26" s="366" t="s">
        <v>232</v>
      </c>
      <c r="E26" s="246" t="s">
        <v>247</v>
      </c>
      <c r="G26" s="365">
        <v>50</v>
      </c>
      <c r="H26" s="365"/>
      <c r="I26" s="366" t="s">
        <v>232</v>
      </c>
      <c r="R26" t="s">
        <v>195</v>
      </c>
    </row>
    <row r="27" spans="2:18" x14ac:dyDescent="0.3">
      <c r="B27" s="365">
        <v>110</v>
      </c>
      <c r="C27" s="365">
        <v>77</v>
      </c>
      <c r="D27" s="366" t="s">
        <v>236</v>
      </c>
      <c r="E27" s="246" t="s">
        <v>248</v>
      </c>
      <c r="G27" s="365">
        <v>50</v>
      </c>
      <c r="H27" s="365"/>
      <c r="I27" s="366" t="s">
        <v>236</v>
      </c>
      <c r="R27" t="s">
        <v>198</v>
      </c>
    </row>
    <row r="28" spans="2:18" x14ac:dyDescent="0.3">
      <c r="B28" s="365">
        <v>120</v>
      </c>
      <c r="C28" s="365">
        <v>77</v>
      </c>
      <c r="D28" s="366" t="s">
        <v>239</v>
      </c>
      <c r="E28" s="246" t="s">
        <v>249</v>
      </c>
      <c r="G28" s="365">
        <v>50</v>
      </c>
      <c r="H28" s="365"/>
      <c r="I28" s="366" t="s">
        <v>239</v>
      </c>
      <c r="R28" t="s">
        <v>203</v>
      </c>
    </row>
    <row r="29" spans="2:18" x14ac:dyDescent="0.3">
      <c r="B29" s="365">
        <v>40</v>
      </c>
      <c r="C29" s="365">
        <v>50</v>
      </c>
      <c r="D29" s="366" t="s">
        <v>241</v>
      </c>
      <c r="E29" s="246" t="s">
        <v>250</v>
      </c>
      <c r="G29" s="365">
        <v>50</v>
      </c>
      <c r="H29" s="365"/>
      <c r="I29" s="366" t="s">
        <v>241</v>
      </c>
      <c r="R29" t="s">
        <v>207</v>
      </c>
    </row>
    <row r="30" spans="2:18" x14ac:dyDescent="0.3">
      <c r="B30" s="365">
        <v>40</v>
      </c>
      <c r="C30" s="365">
        <v>60</v>
      </c>
      <c r="D30" s="366" t="s">
        <v>251</v>
      </c>
      <c r="E30" s="246" t="s">
        <v>252</v>
      </c>
      <c r="G30" s="365">
        <v>50</v>
      </c>
      <c r="H30" s="365"/>
      <c r="I30" s="366" t="s">
        <v>208</v>
      </c>
      <c r="R30" t="s">
        <v>201</v>
      </c>
    </row>
    <row r="31" spans="2:18" x14ac:dyDescent="0.3">
      <c r="B31" s="365">
        <v>40</v>
      </c>
      <c r="C31" s="365">
        <v>100</v>
      </c>
      <c r="D31" s="366" t="s">
        <v>204</v>
      </c>
      <c r="E31" s="246" t="s">
        <v>253</v>
      </c>
      <c r="G31" s="365">
        <v>50</v>
      </c>
      <c r="H31" s="365"/>
      <c r="I31" s="366" t="s">
        <v>204</v>
      </c>
      <c r="R31" t="s">
        <v>205</v>
      </c>
    </row>
    <row r="32" spans="2:18" x14ac:dyDescent="0.3">
      <c r="B32" s="365">
        <v>40</v>
      </c>
      <c r="C32" s="365">
        <v>60</v>
      </c>
      <c r="D32" s="366" t="s">
        <v>254</v>
      </c>
      <c r="E32" s="246" t="s">
        <v>255</v>
      </c>
      <c r="G32" s="365">
        <v>50</v>
      </c>
      <c r="H32" s="365"/>
      <c r="I32" s="366" t="s">
        <v>254</v>
      </c>
      <c r="R32" t="s">
        <v>256</v>
      </c>
    </row>
    <row r="33" spans="2:18" x14ac:dyDescent="0.3">
      <c r="B33" s="365">
        <v>40</v>
      </c>
      <c r="C33" s="365">
        <v>90</v>
      </c>
      <c r="D33" s="366" t="s">
        <v>257</v>
      </c>
      <c r="E33" s="246" t="s">
        <v>258</v>
      </c>
      <c r="G33" s="365">
        <v>50</v>
      </c>
      <c r="H33" s="365">
        <v>-2</v>
      </c>
      <c r="I33" s="366" t="s">
        <v>257</v>
      </c>
      <c r="R33" t="s">
        <v>259</v>
      </c>
    </row>
    <row r="34" spans="2:18" x14ac:dyDescent="0.3">
      <c r="B34" s="365">
        <v>40</v>
      </c>
      <c r="C34" s="365">
        <v>90</v>
      </c>
      <c r="D34" s="366" t="s">
        <v>260</v>
      </c>
      <c r="E34" s="246"/>
      <c r="G34" s="365">
        <v>50</v>
      </c>
      <c r="H34" s="365">
        <v>-2</v>
      </c>
      <c r="I34" s="366" t="s">
        <v>260</v>
      </c>
    </row>
    <row r="35" spans="2:18" x14ac:dyDescent="0.3">
      <c r="B35" s="365">
        <v>40</v>
      </c>
      <c r="C35" s="365">
        <v>90</v>
      </c>
      <c r="D35" s="366" t="s">
        <v>256</v>
      </c>
      <c r="E35" s="246" t="s">
        <v>261</v>
      </c>
      <c r="G35" s="365">
        <v>50</v>
      </c>
      <c r="H35" s="365">
        <v>-2</v>
      </c>
      <c r="I35" s="366" t="s">
        <v>256</v>
      </c>
      <c r="R35" t="s">
        <v>262</v>
      </c>
    </row>
    <row r="36" spans="2:18" x14ac:dyDescent="0.3">
      <c r="B36" s="368">
        <v>40</v>
      </c>
      <c r="C36" s="368">
        <v>90</v>
      </c>
      <c r="D36" s="369" t="s">
        <v>259</v>
      </c>
      <c r="G36" s="365">
        <v>50</v>
      </c>
      <c r="H36" s="365">
        <v>-2</v>
      </c>
      <c r="I36" s="366" t="s">
        <v>259</v>
      </c>
      <c r="R36" t="s">
        <v>257</v>
      </c>
    </row>
    <row r="37" spans="2:18" x14ac:dyDescent="0.3">
      <c r="B37" s="368">
        <v>40</v>
      </c>
      <c r="C37" s="368">
        <v>90</v>
      </c>
      <c r="D37" s="369" t="s">
        <v>262</v>
      </c>
      <c r="G37" s="365">
        <v>50</v>
      </c>
      <c r="H37" s="365">
        <v>-2</v>
      </c>
      <c r="I37" s="366" t="s">
        <v>262</v>
      </c>
      <c r="R37" t="s">
        <v>260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263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8" t="s">
        <v>264</v>
      </c>
      <c r="L3" s="458"/>
      <c r="M3" s="458" t="s">
        <v>265</v>
      </c>
      <c r="N3" s="458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266</v>
      </c>
      <c r="D5" s="372" t="str">
        <f>'NOTA DE VENTA'!$C$10</f>
        <v>FRANCIS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46113</v>
      </c>
      <c r="E7" s="138"/>
      <c r="F7" s="138"/>
      <c r="G7" s="138"/>
    </row>
    <row r="8" spans="1:14" ht="15.6" x14ac:dyDescent="0.3">
      <c r="A8" s="138"/>
      <c r="B8" s="138"/>
      <c r="C8" s="370" t="s">
        <v>267</v>
      </c>
      <c r="D8" s="405">
        <f>'NOTA DE VENTA'!$G$11</f>
        <v>46120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9" t="s">
        <v>264</v>
      </c>
      <c r="B10" s="459"/>
      <c r="C10" s="459"/>
      <c r="D10" s="459"/>
      <c r="E10" s="459"/>
      <c r="F10" s="459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268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9" t="s">
        <v>265</v>
      </c>
      <c r="B17" s="459"/>
      <c r="C17" s="459"/>
      <c r="D17" s="459"/>
      <c r="E17" s="459"/>
      <c r="F17" s="459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268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269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270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268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266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9" t="s">
        <v>271</v>
      </c>
      <c r="B45" s="459"/>
      <c r="C45" s="459"/>
      <c r="D45" s="459"/>
      <c r="E45" s="459"/>
      <c r="F45" s="459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4" t="s">
        <v>95</v>
      </c>
      <c r="C47" s="455"/>
      <c r="D47" s="456"/>
      <c r="E47" s="456"/>
      <c r="F47" s="457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272</v>
      </c>
      <c r="G48" s="138"/>
    </row>
    <row r="49" spans="1:7" s="59" customFormat="1" ht="15" customHeight="1" x14ac:dyDescent="0.3">
      <c r="A49" s="380" t="s">
        <v>273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274</v>
      </c>
      <c r="B1" s="414" t="s">
        <v>275</v>
      </c>
      <c r="C1" s="413" t="s">
        <v>276</v>
      </c>
      <c r="D1" s="413" t="s">
        <v>277</v>
      </c>
      <c r="E1" s="413" t="s">
        <v>278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279</v>
      </c>
      <c r="L1" s="415" t="s">
        <v>280</v>
      </c>
      <c r="M1" s="413" t="s">
        <v>281</v>
      </c>
    </row>
    <row r="2" spans="1:13" x14ac:dyDescent="0.3">
      <c r="A2">
        <f>'NOTA DE VENTA'!$G$8</f>
        <v>0</v>
      </c>
      <c r="B2" t="str">
        <f>'NOTA DE VENTA'!$D$8</f>
        <v>N° 12075</v>
      </c>
      <c r="C2" s="1">
        <f>'NOTA DE VENTA'!$G$10</f>
        <v>46113</v>
      </c>
      <c r="D2" s="1">
        <f>'NOTA DE VENTA'!$G$11</f>
        <v>46120</v>
      </c>
      <c r="E2" t="str">
        <f>'NOTA DE VENTA'!$C$10</f>
        <v>FRANCIS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2026-03-26T13:05:26Z</cp:lastPrinted>
  <dcterms:created xsi:type="dcterms:W3CDTF">2013-03-18T13:35:42Z</dcterms:created>
  <dcterms:modified xsi:type="dcterms:W3CDTF">2026-04-01T18:51:01Z</dcterms:modified>
</cp:coreProperties>
</file>