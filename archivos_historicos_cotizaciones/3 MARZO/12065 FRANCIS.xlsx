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8_{67991723-667D-4E1C-9D96-AD878F5DC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O21" i="1" l="1"/>
  <c r="P21" i="1" s="1"/>
  <c r="S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4" i="1"/>
  <c r="P25" i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G21" i="1" s="1"/>
  <c r="O39" i="1"/>
  <c r="E15" i="3"/>
  <c r="R21" i="1" l="1"/>
  <c r="H21" i="1" s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<sst xmlns="http://schemas.openxmlformats.org/spreadsheetml/2006/main" count="486" uniqueCount="294">
  <si>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</si>
  <si>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</si>
  <si>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</si>
  <si>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</si>
  <si>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</si>
  <si>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</si>
  <si>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</si>
  <si>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</si>
  <si>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</si>
  <si>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</si>
  <si>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</si>
  <si>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</si>
  <si>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</si>
  <si>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</si>
  <si>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</si>
  <si>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</si>
  <si>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</si>
  <si>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</si>
  <si>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</si>
  <si>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</si>
  <si>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</si>
  <si>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</si>
  <si>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</si>
  <si>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</si>
  <si>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</si>
  <si>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</si>
  <si>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</si>
  <si>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</si>
  <si>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</si>
  <si>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</si>
  <si>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</si>
  <si>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</si>
  <si>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</si>
  <si>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</si>
  <si>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</si>
  <si>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</si>
  <si>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</si>
  <si>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</si>
  <si>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</si>
  <si>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</si>
  <si>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</si>
  <si>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</si>
  <si>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</si>
  <si>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</si>
  <si>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</si>
  <si>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</si>
  <si>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</si>
  <si>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</si>
  <si>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</si>
  <si>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</si>
  <si>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</si>
  <si>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</si>
  <si>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</si>
  <si>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</si>
  <si>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</si>
  <si>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</si>
  <si>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</si>
  <si>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</si>
  <si>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</si>
  <si>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</si>
  <si>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</si>
  <si>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</si>
  <si>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</si>
  <si>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</si>
  <si>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</si>
  <si>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</si>
  <si>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</si>
  <si>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</si>
  <si>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</si>
  <si>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</si>
  <si>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</si>
  <si>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</si>
  <si>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</si>
  <si>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</si>
  <si>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</si>
  <si>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</si>
  <si>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</si>
  <si>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</si>
  <si>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</si>
  <si>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</si>
  <si>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</si>
  <si>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</si>
  <si>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</si>
  <si>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</si>
  <si>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</si>
  <si>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</si>
  <si>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</si>
  <si>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</si>
  <si>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</si>
  <si>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</si>
  <si>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</si>
  <si>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</si>
  <si>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</si>
  <si>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</si>
  <si>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</si>
  <si>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</si>
  <si>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</si>
  <si>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</si>
  <si>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</si>
  <si>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</si>
  <si>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</si>
  <si>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</si>
  <si>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</si>
  <si>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</si>
  <si>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</si>
  <si>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</si>
  <si>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</si>
  <si>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</si>
  <si>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</si>
  <si>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</si>
  <si>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</si>
  <si>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</si>
  <si>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</si>
  <si>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</si>
  <si>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</si>
  <si>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</si>
  <si>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</si>
  <si>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</si>
  <si>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</si>
  <si>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</si>
  <si>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</si>
  <si>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</si>
  <si>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</si>
  <si>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</si>
  <si>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</si>
  <si>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</si>
  <si>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</si>
  <si>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</si>
  <si>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</si>
  <si>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</si>
  <si>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</si>
  <si>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</si>
  <si>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</si>
  <si>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</si>
  <si>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</si>
  <si>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</si>
  <si>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</si>
  <si>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</si>
  <si>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</si>
  <si>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</si>
  <si>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</si>
  <si>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</si>
  <si>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</si>
  <si>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</si>
  <si>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</si>
  <si>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</si>
  <si>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</si>
  <si>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</si>
  <si>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</si>
  <si>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</si>
  <si>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</si>
  <si>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</si>
  <si>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</si>
  <si>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</si>
  <si>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</si>
  <si>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</si>
  <si>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</si>
  <si>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</si>
  <si>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</si>
  <si>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</si>
  <si>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</si>
  <si>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</si>
  <si>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</si>
  <si>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</si>
  <si>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</si>
  <si>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</si>
  <si>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</si>
  <si>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</si>
  <si>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</si>
  <si>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</si>
  <si>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</si>
  <si>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</si>
  <si>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</si>
  <si>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</si>
  <si>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</si>
  <si>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</si>
  <si>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</si>
  <si>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</si>
  <si>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</si>
  <si>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</si>
  <si>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</si>
  <si>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</si>
  <si>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</si>
  <si>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</si>
  <si>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</si>
  <si>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</si>
  <si>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</si>
  <si>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</si>
  <si>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</si>
  <si>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</si>
  <si>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</si>
  <si>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</si>
  <si>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</si>
  <si>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</si>
  <si>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</si>
  <si>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</si>
  <si>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</si>
  <si>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</si>
  <si>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</si>
  <si>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</si>
  <si>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</si>
  <si>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</si>
  <si>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</si>
  <si>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</si>
  <si>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</si>
  <si>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</si>
  <si>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</si>
  <si>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</si>
  <si>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</si>
  <si>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</si>
  <si>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</si>
  <si>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</si>
  <si>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</si>
  <si>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</si>
  <si>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</si>
  <si>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</si>
  <si>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</si>
  <si>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</si>
  <si>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</si>
  <si>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</si>
  <si>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</si>
  <si>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</si>
  <si>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</si>
  <si>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</si>
  <si>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</si>
  <si>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</si>
  <si>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</si>
  <si>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</si>
  <si>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</si>
  <si>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</si>
  <si>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</si>
  <si>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</si>
  <si>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</si>
  <si>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</si>
  <si>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</si>
  <si>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</si>
  <si>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</si>
  <si>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</si>
  <si>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</si>
  <si>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</si>
  <si>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</si>
  <si>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</si>
  <si>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</si>
  <si>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</si>
  <si>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</si>
  <si>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</si>
  <si>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</si>
  <si>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</si>
  <si>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</si>
  <si>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</si>
  <si>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</si>
  <si>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</si>
  <si>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</si>
  <si>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</si>
  <si>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</si>
  <si>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</si>
  <si>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</si>
  <si>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</si>
  <si>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</si>
  <si>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</si>
  <si>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</si>
  <si>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</si>
  <si>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</si>
  <si>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</si>
  <si>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</si>
  <si>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</si>
  <si>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</si>
  <si>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</si>
  <si>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</si>
  <si>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</si>
  <si>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</si>
  <si>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</si>
  <si>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</si>
  <si>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</si>
  <si>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</si>
  <si>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</si>
  <si>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</si>
  <si>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</si>
  <si>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</si>
  <si>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</si>
  <si>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</si>
  <si>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</si>
  <si>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</si>
  <si>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</si>
  <si>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</si>
  <si>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</si>
  <si>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</si>
  <si>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</si>
  <si>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</si>
  <si>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FRANCIS</t>
  </si>
  <si>
    <t>+569 7212 6739</t>
  </si>
  <si>
    <t>CUB CON RESPALDO FTE 90°</t>
  </si>
  <si>
    <t>GRANITO KOMBI BR</t>
  </si>
  <si>
    <t>N° 12065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</si>
</sst>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46107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290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95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61410.542635658909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31">
        <v>1</v>
      </c>
      <c r="C21" s="432" t="s">
        <v>291</v>
      </c>
      <c r="D21" s="433">
        <v>2.5</v>
      </c>
      <c r="E21" s="433">
        <v>0.5</v>
      </c>
      <c r="F21" s="434" t="s">
        <v>292</v>
      </c>
      <c r="G21" s="435">
        <f>Q21</f>
        <v>87141.560000000012</v>
      </c>
      <c r="H21" s="436">
        <f>G21*B21</f>
        <v>87141.560000000012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2.58</v>
      </c>
      <c r="N21" s="39">
        <f t="shared" ref="N21" si="2">E21+$N$19</f>
        <v>0.55000000000000004</v>
      </c>
      <c r="O21" s="260">
        <f t="shared" ref="O21" si="3">M21*N21</f>
        <v>1.4190000000000003</v>
      </c>
      <c r="P21" s="258">
        <f t="shared" ref="P21" si="4">O21*L21</f>
        <v>1.4190000000000003</v>
      </c>
      <c r="Q21" s="251">
        <f t="shared" ref="Q21" si="5">Q$20*O21</f>
        <v>87141.560000000012</v>
      </c>
      <c r="R21" s="305">
        <f t="shared" ref="R21" si="6">Q21+R$20</f>
        <v>90141.560000000012</v>
      </c>
      <c r="S21" s="290">
        <f t="shared" ref="S21" si="7">M21*L21*2</f>
        <v>5.16</v>
      </c>
      <c r="T21" s="46"/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87141.560000000012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0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16556.896400000001</v>
      </c>
      <c r="I25" s="308"/>
      <c r="J25" s="264"/>
      <c r="K25" s="47"/>
      <c r="L25" s="47"/>
      <c r="M25" s="39">
        <f>SUM(M21:M24)</f>
        <v>2.58</v>
      </c>
      <c r="N25" s="12"/>
      <c r="O25" s="12"/>
      <c r="P25" s="252">
        <f>SUM(P21:P22)</f>
        <v>1.4190000000000003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103698.45640000001</v>
      </c>
      <c r="I26" s="308"/>
      <c r="J26" s="264"/>
      <c r="K26" s="47"/>
      <c r="L26" s="47"/>
      <c r="M26" s="39"/>
      <c r="N26" s="12"/>
      <c r="O26" s="12"/>
      <c r="P26" s="252">
        <f>P25</f>
        <v>1.4190000000000003</v>
      </c>
      <c r="Q26" s="14"/>
      <c r="R26" s="12"/>
      <c r="S26" s="239">
        <f>SUM(S21:S25)</f>
        <v>5.16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0.28380000000000005</v>
      </c>
      <c r="Q27" s="39" t="s">
        <v>129</v>
      </c>
      <c r="R27" s="42"/>
      <c r="S27" s="240">
        <f>S26+T24</f>
        <v>5.16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1.7028000000000003</v>
      </c>
      <c r="Q28" s="14"/>
      <c r="R28" s="14"/>
      <c r="S28" s="238">
        <f>S27*20%</f>
        <v>1.032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6.1920000000000002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1.7028000000000003</v>
      </c>
      <c r="N30" s="12">
        <v>3500</v>
      </c>
      <c r="O30" s="12">
        <f t="shared" ref="O30:O35" si="8">M30*N30</f>
        <v>5959.8000000000011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23500</v>
      </c>
      <c r="O31" s="12">
        <f t="shared" si="8"/>
        <v>11750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1</v>
      </c>
      <c r="N32" s="249">
        <v>18000</v>
      </c>
      <c r="O32" s="12">
        <f t="shared" si="8"/>
        <v>18000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/>
      <c r="N33" s="249">
        <v>29000</v>
      </c>
      <c r="O33" s="12">
        <f t="shared" si="8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2.6</v>
      </c>
      <c r="N35" s="12">
        <v>1500</v>
      </c>
      <c r="O35" s="12">
        <f t="shared" si="8"/>
        <v>3900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39609.800000000003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87141.560000000012</v>
      </c>
      <c r="P37" s="14" t="s">
        <v>138</v>
      </c>
      <c r="Q37" s="14"/>
      <c r="R37" s="40">
        <f>P28/R36</f>
        <v>0.45912424503882665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61410.542635658909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46107</v>
      </c>
    </row>
    <row r="6" spans="2:31" ht="16.2" thickBot="1" x14ac:dyDescent="0.35">
      <c r="B6" s="140" t="s">
        <v>2</v>
      </c>
      <c r="C6" s="139" t="str">
        <f>'2229'!C10</f>
        <v>FRANCIS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98</v>
      </c>
      <c r="I7" s="442"/>
      <c r="J7" s="442"/>
      <c r="K7" s="443"/>
      <c r="N7" s="75"/>
      <c r="O7" s="4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3500.9766332125605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87141.560000000012</v>
      </c>
      <c r="E11" s="132">
        <f>D11*0.19</f>
        <v>16556.896400000001</v>
      </c>
      <c r="F11" s="131">
        <f>E11+D11</f>
        <v>103698.45640000001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109490.97663321256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65543.890787439625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91490.976633212558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21597.669212560388</v>
      </c>
      <c r="E13" s="221">
        <f>(D11/D12)-1</f>
        <v>0.32951460392551524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82490.976633212558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43490.976633212558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108147.41979927538</v>
      </c>
      <c r="F15" s="216">
        <f>E15-D12</f>
        <v>42603.529011835752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43490.976633212558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83490.976633212558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18000</v>
      </c>
      <c r="E18" s="123">
        <f>D18*0.19</f>
        <v>3420</v>
      </c>
      <c r="F18" s="120">
        <f>SUM(D18:E18)</f>
        <v>21420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5959.8000000000011</v>
      </c>
      <c r="E20" s="121">
        <f>D20*0.19</f>
        <v>1132.3620000000003</v>
      </c>
      <c r="F20" s="120">
        <f>SUM(D20:E20)</f>
        <v>7092.1620000000012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35709.800000000003</v>
      </c>
      <c r="E21" s="116">
        <f>SUM(E18:E20)</f>
        <v>6784.8620000000001</v>
      </c>
      <c r="F21" s="115">
        <f>SUM(F18:F20)</f>
        <v>42494.662000000004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9772.0344000000005</v>
      </c>
    </row>
    <row r="41" spans="2:16" ht="15" thickBot="1" x14ac:dyDescent="0.35">
      <c r="H41" s="444" t="s">
        <v>60</v>
      </c>
      <c r="I41" s="445"/>
      <c r="J41" s="445"/>
      <c r="K41" s="445"/>
      <c r="L41" s="445"/>
      <c r="M41" s="4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87141.560000000012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35709.800000000003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21597.669212560388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21597.669212560388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FRANCIS</v>
      </c>
      <c r="D10" s="350"/>
      <c r="E10" s="350"/>
      <c r="F10" s="351" t="s">
        <v>167</v>
      </c>
      <c r="G10" s="352">
        <f>'2229'!G10</f>
        <v>46107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+569 7212 6739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175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176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182</v>
      </c>
      <c r="C2" s="452"/>
      <c r="D2" s="452"/>
      <c r="E2" s="361"/>
      <c r="G2" s="452" t="s">
        <v>183</v>
      </c>
      <c r="H2" s="452"/>
      <c r="I2" s="452"/>
      <c r="P2" s="453" t="s">
        <v>184</v>
      </c>
      <c r="Q2" s="453"/>
      <c r="R2" s="45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3" t="s">
        <v>184</v>
      </c>
      <c r="M8" s="453"/>
      <c r="N8" s="453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265</v>
      </c>
      <c r="L3" s="458"/>
      <c r="M3" s="458" t="s">
        <v>266</v>
      </c>
      <c r="N3" s="45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FRANCIS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265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266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272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12065</v>
      </c>
      <c r="C2" s="1">
        <f>'NOTA DE VENTA'!$G$10</f>
        <v>46107</v>
      </c>
      <c r="D2" s="1">
        <f>'NOTA DE VENTA'!$G$11</f>
        <v>46114</v>
      </c>
      <c r="E2" t="str">
        <f>'NOTA DE VENTA'!$C$10</f>
        <v>FRANCIS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2026-03-26T13:05:26Z</cp:lastPrinted>
  <dcterms:created xsi:type="dcterms:W3CDTF">2013-03-18T13:35:42Z</dcterms:created>
  <dcterms:modified xsi:type="dcterms:W3CDTF">2026-03-26T18:07:45Z</dcterms:modified>
</cp:coreProperties>
</file>