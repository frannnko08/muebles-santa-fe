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6795AF32-5EDC-4A88-9146-50EA01338C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T21" i="1" l="1"/>
  <c r="S21" i="1"/>
  <c r="O21" i="1"/>
  <c r="P21" i="1" s="1"/>
  <c r="N5" i="6"/>
  <c r="A2" i="7"/>
  <c r="P24" i="1" l="1"/>
  <c r="S25" i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4" i="1"/>
  <c r="L24" i="1" s="1"/>
  <c r="T23" i="1" l="1"/>
  <c r="S26" i="1" s="1"/>
  <c r="K38" i="1"/>
  <c r="S27" i="1" l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Q21" i="1" l="1"/>
  <c r="G21" i="1" s="1"/>
  <c r="O38" i="1"/>
  <c r="E15" i="3"/>
  <c r="R21" i="1" l="1"/>
  <c r="H21" i="1" s="1"/>
  <c r="F15" i="3"/>
  <c r="H23" i="1" l="1"/>
  <c r="H24" i="1" s="1"/>
  <c r="H25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2" i="3" l="1"/>
  <c r="X11" i="3"/>
  <c r="X16" i="3"/>
  <c r="X13" i="3"/>
  <c r="E13" i="3"/>
  <c r="E11" i="3"/>
  <c r="D40" i="3" s="1"/>
  <c r="M42" i="3"/>
  <c r="M46" i="3" s="1"/>
  <c r="M49" i="3" s="1"/>
  <c r="X14" i="3"/>
  <c r="D13" i="3"/>
  <c r="F11" i="3" l="1"/>
</calcChain>
</file>

<file path=xl/sharedStrings.xml><?xml version="1.0" encoding="utf-8"?>
<sst xmlns="http://schemas.openxmlformats.org/spreadsheetml/2006/main" count="486" uniqueCount="296">
  <si>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</si>
  <si>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</si>
  <si>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</si>
  <si>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</si>
  <si>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</si>
  <si>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</si>
  <si>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</si>
  <si>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</si>
  <si>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</si>
  <si>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</si>
  <si>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</si>
  <si>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</si>
  <si>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</si>
  <si>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</si>
  <si>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</si>
  <si>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</si>
  <si>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</si>
  <si>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</si>
  <si>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</si>
  <si>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</si>
  <si>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</si>
  <si>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</si>
  <si>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</si>
  <si>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</si>
  <si>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</si>
  <si>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</si>
  <si>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</si>
  <si>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</si>
  <si>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</si>
  <si>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</si>
  <si>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</si>
  <si>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</si>
  <si>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</si>
  <si>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</si>
  <si>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</si>
  <si>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</si>
  <si>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</si>
  <si>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</si>
  <si>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</si>
  <si>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</si>
  <si>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</si>
  <si>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</si>
  <si>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</si>
  <si>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</si>
  <si>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</si>
  <si>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</si>
  <si>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</si>
  <si>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</si>
  <si>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</si>
  <si>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</si>
  <si>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</si>
  <si>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</si>
  <si>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</si>
  <si>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</si>
  <si>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</si>
  <si>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</si>
  <si>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</si>
  <si>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</si>
  <si>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</si>
  <si>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</si>
  <si>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</si>
  <si>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</si>
  <si>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</si>
  <si>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</si>
  <si>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</si>
  <si>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</si>
  <si>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</si>
  <si>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</si>
  <si>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</si>
  <si>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</si>
  <si>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</si>
  <si>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</si>
  <si>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</si>
  <si>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</si>
  <si>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</si>
  <si>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</si>
  <si>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</si>
  <si>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</si>
  <si>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</si>
  <si>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</si>
  <si>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</si>
  <si>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</si>
  <si>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</si>
  <si>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</si>
  <si>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</si>
  <si>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</si>
  <si>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</si>
  <si>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</si>
  <si>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</si>
  <si>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</si>
  <si>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</si>
  <si>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</si>
  <si>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</si>
  <si>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</si>
  <si>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</si>
  <si>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</si>
  <si>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</si>
  <si>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</si>
  <si>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</si>
  <si>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</si>
  <si>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</si>
  <si>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</si>
  <si>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</si>
  <si>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</si>
  <si>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</si>
  <si>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</si>
  <si>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</si>
  <si>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</si>
  <si>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</si>
  <si>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</si>
  <si>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</si>
  <si>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</si>
  <si>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</si>
  <si>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</si>
  <si>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</si>
  <si>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</si>
  <si>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</si>
  <si>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</si>
  <si>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</si>
  <si>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</si>
  <si>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</si>
  <si>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</si>
  <si>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</si>
  <si>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</si>
  <si>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</si>
  <si>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</si>
  <si>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</si>
  <si>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</si>
  <si>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</si>
  <si>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</si>
  <si>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</si>
  <si>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</si>
  <si>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</si>
  <si>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</si>
  <si>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</si>
  <si>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</si>
  <si>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</si>
  <si>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</si>
  <si>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</si>
  <si>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</si>
  <si>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</si>
  <si>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</si>
  <si>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</si>
  <si>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</si>
  <si>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</si>
  <si>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</si>
  <si>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</si>
  <si>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</si>
  <si>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</si>
  <si>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</si>
  <si>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</si>
  <si>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</si>
  <si>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</si>
  <si>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</si>
  <si>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</si>
  <si>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</si>
  <si>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</si>
  <si>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</si>
  <si>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</si>
  <si>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</si>
  <si>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</si>
  <si>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</si>
  <si>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</si>
  <si>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</si>
  <si>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</si>
  <si>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</si>
  <si>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</si>
  <si>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</si>
  <si>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</si>
  <si>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</si>
  <si>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</si>
  <si>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</si>
  <si>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</si>
  <si>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</si>
  <si>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</si>
  <si>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</si>
  <si>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</si>
  <si>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</si>
  <si>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</si>
  <si>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</si>
  <si>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</si>
  <si>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</si>
  <si>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</si>
  <si>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</si>
  <si>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</si>
  <si>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</si>
  <si>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</si>
  <si>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</si>
  <si>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</si>
  <si>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</si>
  <si>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</si>
  <si>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</si>
  <si>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</si>
  <si>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</si>
  <si>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</si>
  <si>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</si>
  <si>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</si>
  <si>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</si>
  <si>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</si>
  <si>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</si>
  <si>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</si>
  <si>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</si>
  <si>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</si>
  <si>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</si>
  <si>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</si>
  <si>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</si>
  <si>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</si>
  <si>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</si>
  <si>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</si>
  <si>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</si>
  <si>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</si>
  <si>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</si>
  <si>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</si>
  <si>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</si>
  <si>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</si>
  <si>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</si>
  <si>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</si>
  <si>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</si>
  <si>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</si>
  <si>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</si>
  <si>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</si>
  <si>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</si>
  <si>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</si>
  <si>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</si>
  <si>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</si>
  <si>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</si>
  <si>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</si>
  <si>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</si>
  <si>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</si>
  <si>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</si>
  <si>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</si>
  <si>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</si>
  <si>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</si>
  <si>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</si>
  <si>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</si>
  <si>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</si>
  <si>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</si>
  <si>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</si>
  <si>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</si>
  <si>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</si>
  <si>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</si>
  <si>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</si>
  <si>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</si>
  <si>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</si>
  <si>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</si>
  <si>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</si>
  <si>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</si>
  <si>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</si>
  <si>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</si>
  <si>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</si>
  <si>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</si>
  <si>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</si>
  <si>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</si>
  <si>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</si>
  <si>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</si>
  <si>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</si>
  <si>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</si>
  <si>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</si>
  <si>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</si>
  <si>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</si>
  <si>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</si>
  <si>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</si>
  <si>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</si>
  <si>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</si>
  <si>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</si>
  <si>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</si>
  <si>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</si>
  <si>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</si>
  <si>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</si>
  <si>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</si>
  <si>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</si>
  <si>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</si>
  <si>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</si>
  <si>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</si>
  <si>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</si>
  <si>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</si>
  <si>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</si>
  <si>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</si>
  <si>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</si>
  <si>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</si>
  <si>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</si>
  <si>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</si>
  <si>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</si>
  <si>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</si>
  <si>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</si>
  <si>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</si>
  <si>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</si>
  <si>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</si>
  <si>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</si>
  <si>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 xml:space="preserve">+56 9 </t>
  </si>
  <si>
    <t>VICENTE MUEBLES</t>
  </si>
  <si>
    <t>MARTIN TEJEDA</t>
  </si>
  <si>
    <t>CUB SIN RESPALDO FTE 90° SIN REGRUESO</t>
  </si>
  <si>
    <t>VAINILLA 2109 MT</t>
  </si>
  <si>
    <t>SI</t>
  </si>
  <si>
    <t>N° 12084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</si>
</sst>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30" fillId="0" borderId="19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166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215079</xdr:rowOff>
    </xdr:from>
    <xdr:to>
      <xdr:col>5</xdr:col>
      <xdr:colOff>1732649</xdr:colOff>
      <xdr:row>24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328240"/>
          <a:ext cx="6321037" cy="67611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SE ENTREGA CORTADA A LA MEDIDA Y ENCHAPADA EN LOS COSTADOS.</a:t>
          </a:r>
          <a:endParaRPr lang="es-CL" sz="1200" b="1" baseline="0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/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9" t="s">
        <v>290</v>
      </c>
      <c r="D10" s="243"/>
      <c r="E10" s="243"/>
      <c r="F10" s="418" t="s">
        <v>275</v>
      </c>
      <c r="G10" s="275">
        <v>46119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284</v>
      </c>
      <c r="G11" s="421">
        <v>46120</v>
      </c>
      <c r="H11" s="422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294</v>
      </c>
      <c r="H12" s="247"/>
      <c r="Q12" s="19"/>
      <c r="R12" s="25"/>
      <c r="S12" s="19"/>
    </row>
    <row r="13" spans="2:24" x14ac:dyDescent="0.3">
      <c r="B13" s="419" t="s">
        <v>141</v>
      </c>
      <c r="C13" t="s">
        <v>291</v>
      </c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289</v>
      </c>
      <c r="D15" s="424"/>
      <c r="F15" s="29" t="s">
        <v>282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5" t="s">
        <v>13</v>
      </c>
      <c r="C17" s="299" t="s">
        <v>285</v>
      </c>
      <c r="D17" s="300"/>
      <c r="E17" s="119"/>
      <c r="F17" s="426" t="s">
        <v>177</v>
      </c>
      <c r="G17" s="426" t="s">
        <v>178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8" t="s">
        <v>94</v>
      </c>
      <c r="C19" s="439"/>
      <c r="D19" s="439"/>
      <c r="E19" s="439"/>
      <c r="F19" s="439"/>
      <c r="G19" s="439"/>
      <c r="H19" s="440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O37</f>
        <v>63420.408163265311</v>
      </c>
      <c r="R20" s="257">
        <v>3000</v>
      </c>
      <c r="S20" s="38"/>
      <c r="T20" s="14" t="s">
        <v>126</v>
      </c>
      <c r="U20" s="9"/>
      <c r="X20" s="4"/>
    </row>
    <row r="21" spans="1:25" ht="18" thickBot="1" x14ac:dyDescent="0.35">
      <c r="B21" s="432">
        <v>1</v>
      </c>
      <c r="C21" s="433" t="s">
        <v>292</v>
      </c>
      <c r="D21" s="434">
        <v>2.4</v>
      </c>
      <c r="E21" s="434">
        <v>0.5</v>
      </c>
      <c r="F21" s="435" t="s">
        <v>293</v>
      </c>
      <c r="G21" s="436">
        <f>Q21</f>
        <v>77690</v>
      </c>
      <c r="H21" s="437">
        <f>G21*B21</f>
        <v>77690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2.4499999999999997</v>
      </c>
      <c r="N21" s="39">
        <f t="shared" ref="N21" si="2">E21+$N$19</f>
        <v>0.5</v>
      </c>
      <c r="O21" s="260">
        <f t="shared" ref="O21" si="3">M21*N21</f>
        <v>1.2249999999999999</v>
      </c>
      <c r="P21" s="258">
        <f t="shared" ref="P21" si="4">O21*L21</f>
        <v>1.2249999999999999</v>
      </c>
      <c r="Q21" s="251">
        <f t="shared" ref="Q21" si="5">Q$20*O21</f>
        <v>77690</v>
      </c>
      <c r="R21" s="305">
        <f t="shared" ref="R21" si="6">Q21+R$20</f>
        <v>80690</v>
      </c>
      <c r="S21" s="290">
        <f>M21*L21*2</f>
        <v>4.8999999999999995</v>
      </c>
      <c r="T21" s="46">
        <f>N21*L21*2</f>
        <v>1</v>
      </c>
      <c r="U21" s="9"/>
      <c r="X21" s="4"/>
    </row>
    <row r="22" spans="1:25" ht="18" thickBot="1" x14ac:dyDescent="0.35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SUM(H21:H21)</f>
        <v>77690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SUM(T21:T21)</f>
        <v>1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50</v>
      </c>
      <c r="H24" s="287">
        <f>H23*19%</f>
        <v>14761.1</v>
      </c>
      <c r="I24" s="308"/>
      <c r="J24" s="264"/>
      <c r="K24" s="47"/>
      <c r="L24" s="431">
        <f>M24*10</f>
        <v>24.499999999999996</v>
      </c>
      <c r="M24" s="39">
        <f>SUM(M21:M23)</f>
        <v>2.4499999999999997</v>
      </c>
      <c r="N24" s="12"/>
      <c r="O24" s="12"/>
      <c r="P24" s="252">
        <f>SUM(P21:P21)</f>
        <v>1.2249999999999999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92451.1</v>
      </c>
      <c r="I25" s="308"/>
      <c r="J25" s="264"/>
      <c r="K25" s="47"/>
      <c r="L25" s="47"/>
      <c r="M25" s="39"/>
      <c r="N25" s="12"/>
      <c r="O25" s="12"/>
      <c r="P25" s="252">
        <f>P24</f>
        <v>1.2249999999999999</v>
      </c>
      <c r="Q25" s="14"/>
      <c r="R25" s="12"/>
      <c r="S25" s="239">
        <f>SUM(S21:S24)</f>
        <v>4.8999999999999995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0.245</v>
      </c>
      <c r="Q26" s="39" t="s">
        <v>128</v>
      </c>
      <c r="R26" s="42"/>
      <c r="S26" s="240">
        <f>S25+T23</f>
        <v>5.8999999999999995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1.4699999999999998</v>
      </c>
      <c r="Q27" s="14"/>
      <c r="R27" s="14"/>
      <c r="S27" s="238">
        <f>S26*20%</f>
        <v>1.18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7.0799999999999992</v>
      </c>
      <c r="T28" s="14"/>
      <c r="U28" s="294" t="s">
        <v>21</v>
      </c>
      <c r="V28" s="291" t="s">
        <v>147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1.4699999999999998</v>
      </c>
      <c r="N29" s="12">
        <v>3500</v>
      </c>
      <c r="O29" s="12">
        <f t="shared" ref="O29:O34" si="7">M29*N29</f>
        <v>5144.9999999999991</v>
      </c>
      <c r="P29" s="14" t="s">
        <v>21</v>
      </c>
      <c r="Q29" s="14"/>
      <c r="R29" s="14"/>
      <c r="S29" s="241"/>
      <c r="T29" s="14"/>
      <c r="U29" s="294" t="s">
        <v>148</v>
      </c>
      <c r="V29" s="291">
        <v>3625</v>
      </c>
      <c r="W29" s="59" t="s">
        <v>149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0.39600000000000002</v>
      </c>
      <c r="N30" s="12">
        <v>25000</v>
      </c>
      <c r="O30" s="12">
        <f t="shared" si="7"/>
        <v>9900</v>
      </c>
      <c r="P30" s="39" t="s">
        <v>286</v>
      </c>
      <c r="Q30" s="42"/>
      <c r="R30" s="14"/>
      <c r="S30" s="240"/>
      <c r="T30" s="14"/>
      <c r="U30" s="294"/>
      <c r="V30" s="59">
        <v>906.25</v>
      </c>
      <c r="W30" s="59" t="s">
        <v>150</v>
      </c>
      <c r="X30" s="296"/>
    </row>
    <row r="31" spans="1:25" s="230" customFormat="1" ht="17.399999999999999" x14ac:dyDescent="0.35">
      <c r="B31" s="24" t="s">
        <v>146</v>
      </c>
      <c r="J31" s="261"/>
      <c r="K31" s="232"/>
      <c r="L31" s="249"/>
      <c r="M31" s="14"/>
      <c r="N31" s="249">
        <v>33975</v>
      </c>
      <c r="O31" s="12">
        <f t="shared" si="7"/>
        <v>0</v>
      </c>
      <c r="P31" s="39" t="s">
        <v>287</v>
      </c>
      <c r="Q31" s="42"/>
      <c r="S31" s="240"/>
      <c r="T31" s="255"/>
      <c r="U31" s="59"/>
      <c r="V31" s="59">
        <f>V30*20%</f>
        <v>181.25</v>
      </c>
      <c r="W31" s="296" t="s">
        <v>151</v>
      </c>
      <c r="X31" s="59"/>
    </row>
    <row r="32" spans="1:25" s="230" customFormat="1" ht="17.399999999999999" x14ac:dyDescent="0.35">
      <c r="B32" s="24" t="s">
        <v>160</v>
      </c>
      <c r="C32"/>
      <c r="D32"/>
      <c r="E32"/>
      <c r="F32"/>
      <c r="J32" s="261"/>
      <c r="K32" s="232"/>
      <c r="L32" s="249"/>
      <c r="M32" s="14">
        <v>0.85</v>
      </c>
      <c r="N32" s="249">
        <v>28000</v>
      </c>
      <c r="O32" s="12">
        <f t="shared" si="7"/>
        <v>23800</v>
      </c>
      <c r="P32" s="14" t="s">
        <v>288</v>
      </c>
      <c r="Q32" s="17"/>
      <c r="S32" s="238"/>
      <c r="T32" s="255"/>
      <c r="U32" s="59"/>
      <c r="V32" s="59">
        <f>V30+V31</f>
        <v>1087.5</v>
      </c>
      <c r="W32" s="296" t="s">
        <v>152</v>
      </c>
      <c r="X32" s="59"/>
    </row>
    <row r="33" spans="1:24" s="230" customFormat="1" ht="17.399999999999999" x14ac:dyDescent="0.35">
      <c r="A33" s="230" t="s">
        <v>281</v>
      </c>
      <c r="B33" s="29" t="s">
        <v>123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7"/>
        <v>0</v>
      </c>
      <c r="P33" s="14" t="s">
        <v>31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1500</v>
      </c>
      <c r="O34" s="12">
        <f t="shared" si="7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38845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32</v>
      </c>
      <c r="N36" s="12"/>
      <c r="O36" s="254">
        <f>O35*2</f>
        <v>77690</v>
      </c>
      <c r="P36" s="14" t="s">
        <v>137</v>
      </c>
      <c r="Q36" s="14"/>
      <c r="R36" s="40">
        <f>P27/R35</f>
        <v>0.39635461604831745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51290</v>
      </c>
      <c r="L37" s="249"/>
      <c r="M37" s="14"/>
      <c r="N37" s="12"/>
      <c r="O37" s="12">
        <f>O36/P25</f>
        <v>63420.408163265311</v>
      </c>
      <c r="P37" s="45" t="s">
        <v>24</v>
      </c>
      <c r="Q37" s="14"/>
      <c r="R37" s="14"/>
      <c r="S37"/>
      <c r="T37" s="238"/>
      <c r="U37" s="59" t="s">
        <v>153</v>
      </c>
      <c r="V37" s="291">
        <v>43650</v>
      </c>
    </row>
    <row r="38" spans="1:24" s="230" customFormat="1" ht="17.399999999999999" x14ac:dyDescent="0.35">
      <c r="G38"/>
      <c r="K38" s="230">
        <f>K37/1.19</f>
        <v>43100.840336134454</v>
      </c>
      <c r="L38" s="249"/>
      <c r="M38" s="13"/>
      <c r="N38" s="14"/>
      <c r="O38" s="17">
        <f>O36/O35</f>
        <v>2</v>
      </c>
      <c r="P38" s="15"/>
      <c r="Q38"/>
      <c r="R38"/>
      <c r="S38"/>
      <c r="T38" s="238"/>
      <c r="U38" s="59" t="s">
        <v>155</v>
      </c>
      <c r="V38" s="292" t="s">
        <v>154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156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151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143</v>
      </c>
    </row>
    <row r="73" spans="3:3" x14ac:dyDescent="0.3">
      <c r="C73" t="s">
        <v>142</v>
      </c>
    </row>
    <row r="76" spans="3:3" x14ac:dyDescent="0.3">
      <c r="C76" t="s">
        <v>142</v>
      </c>
    </row>
    <row r="153" spans="3:3" x14ac:dyDescent="0.3">
      <c r="C153" t="s">
        <v>142</v>
      </c>
    </row>
    <row r="154" spans="3:3" x14ac:dyDescent="0.3">
      <c r="C154" t="s">
        <v>144</v>
      </c>
    </row>
    <row r="155" spans="3:3" x14ac:dyDescent="0.3">
      <c r="C155" t="s">
        <v>145</v>
      </c>
    </row>
    <row r="580" spans="3:3" x14ac:dyDescent="0.3">
      <c r="C580" t="s">
        <v>142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46119</v>
      </c>
    </row>
    <row r="6" spans="2:31" ht="16.2" thickBot="1" x14ac:dyDescent="0.35">
      <c r="B6" s="140" t="s">
        <v>2</v>
      </c>
      <c r="C6" s="139" t="str">
        <f>'2229'!C10</f>
        <v>VICENTE MUEBLES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2" t="s">
        <v>97</v>
      </c>
      <c r="I7" s="443"/>
      <c r="J7" s="443"/>
      <c r="K7" s="444"/>
      <c r="N7" s="75"/>
      <c r="O7" s="441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12084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1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-606.58336678743945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'2229'!H23</f>
        <v>77690</v>
      </c>
      <c r="E11" s="132">
        <f>D11*0.19</f>
        <v>14761.1</v>
      </c>
      <c r="F11" s="131">
        <f>E11+D11</f>
        <v>92451.1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105383.41663321256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44879.090787439614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87383.416633212561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32810.909212560386</v>
      </c>
      <c r="E13" s="221">
        <f>(D11/D12)-1</f>
        <v>0.73109567588974489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78383.416633212561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39383.416633212561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74050.499799275363</v>
      </c>
      <c r="F15" s="216">
        <f>E15-D12</f>
        <v>29171.409011835749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39383.416633212561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79383.416633212561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'2229'!O30</f>
        <v>9900</v>
      </c>
      <c r="E19" s="123">
        <f>D19*0.19</f>
        <v>1881</v>
      </c>
      <c r="F19" s="120">
        <f>SUM(D19:E19)</f>
        <v>11781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5144.9999999999991</v>
      </c>
      <c r="E20" s="121">
        <f>D20*0.19</f>
        <v>977.54999999999984</v>
      </c>
      <c r="F20" s="120">
        <f>SUM(D20:E20)</f>
        <v>6122.5499999999993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15045</v>
      </c>
      <c r="E21" s="116">
        <f>SUM(E18:E20)</f>
        <v>2858.5499999999997</v>
      </c>
      <c r="F21" s="115">
        <f>SUM(F18:F20)</f>
        <v>17903.55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11902.550000000001</v>
      </c>
    </row>
    <row r="41" spans="2:16" ht="15" thickBot="1" x14ac:dyDescent="0.35">
      <c r="H41" s="445" t="s">
        <v>59</v>
      </c>
      <c r="I41" s="446"/>
      <c r="J41" s="446"/>
      <c r="K41" s="446"/>
      <c r="L41" s="446"/>
      <c r="M41" s="447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77690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15045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32810.909212560386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32810.909212560386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12084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VICENTE MUEBLES</v>
      </c>
      <c r="D10" s="350"/>
      <c r="E10" s="350"/>
      <c r="F10" s="351" t="s">
        <v>165</v>
      </c>
      <c r="G10" s="352">
        <f>'2229'!G10</f>
        <v>46119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46126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>MARTIN TEJEDA</v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 xml:space="preserve">+56 9 </v>
      </c>
      <c r="D15" s="347"/>
      <c r="E15" s="345"/>
      <c r="F15" s="345" t="s">
        <v>171</v>
      </c>
      <c r="G15" s="345" t="str">
        <f>'2229'!G12</f>
        <v>SI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8" t="s">
        <v>173</v>
      </c>
      <c r="G17" s="448"/>
      <c r="H17" s="449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0" t="s">
        <v>174</v>
      </c>
      <c r="C20" s="451"/>
      <c r="D20" s="451"/>
      <c r="E20" s="451"/>
      <c r="F20" s="451"/>
      <c r="G20" s="451"/>
      <c r="H20" s="452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3" t="s">
        <v>180</v>
      </c>
      <c r="C2" s="453"/>
      <c r="D2" s="453"/>
      <c r="E2" s="361"/>
      <c r="G2" s="453" t="s">
        <v>181</v>
      </c>
      <c r="H2" s="453"/>
      <c r="I2" s="453"/>
      <c r="P2" s="454" t="s">
        <v>182</v>
      </c>
      <c r="Q2" s="454"/>
      <c r="R2" s="454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4" t="s">
        <v>182</v>
      </c>
      <c r="M8" s="454"/>
      <c r="N8" s="454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9" t="s">
        <v>263</v>
      </c>
      <c r="L3" s="459"/>
      <c r="M3" s="459" t="s">
        <v>264</v>
      </c>
      <c r="N3" s="459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VICENTE MUEBLES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46119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46126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0" t="s">
        <v>263</v>
      </c>
      <c r="B10" s="460"/>
      <c r="C10" s="460"/>
      <c r="D10" s="460"/>
      <c r="E10" s="460"/>
      <c r="F10" s="460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0" t="s">
        <v>264</v>
      </c>
      <c r="B17" s="460"/>
      <c r="C17" s="460"/>
      <c r="D17" s="460"/>
      <c r="E17" s="460"/>
      <c r="F17" s="460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0" t="s">
        <v>270</v>
      </c>
      <c r="B45" s="460"/>
      <c r="C45" s="460"/>
      <c r="D45" s="460"/>
      <c r="E45" s="460"/>
      <c r="F45" s="460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5" t="s">
        <v>94</v>
      </c>
      <c r="C47" s="456"/>
      <c r="D47" s="457"/>
      <c r="E47" s="457"/>
      <c r="F47" s="458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12084</v>
      </c>
      <c r="C2" s="1">
        <f>'NOTA DE VENTA'!$G$10</f>
        <v>46119</v>
      </c>
      <c r="D2" s="1">
        <f>'NOTA DE VENTA'!$G$11</f>
        <v>46126</v>
      </c>
      <c r="E2" t="str">
        <f>'NOTA DE VENTA'!$C$10</f>
        <v>VICENTE MUEBLES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2026-04-07T19:13:17Z</cp:lastPrinted>
  <dcterms:created xsi:type="dcterms:W3CDTF">2013-03-18T13:35:42Z</dcterms:created>
  <dcterms:modified xsi:type="dcterms:W3CDTF">2026-04-07T19:13:35Z</dcterms:modified>
</cp:coreProperties>
</file>