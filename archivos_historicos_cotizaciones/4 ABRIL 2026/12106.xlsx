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E5B4B43A-8483-4AA8-855E-F29DE83762A1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<sst xmlns="http://schemas.openxmlformats.org/spreadsheetml/2006/main" count="487" uniqueCount="294">
  <si>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</si>
  <si>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</si>
  <si>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</si>
  <si>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</si>
  <si>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</si>
  <si>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</si>
  <si>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</si>
  <si>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</si>
  <si>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</si>
  <si>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</si>
  <si>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</si>
  <si>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</si>
  <si>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</si>
  <si>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</si>
  <si>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</si>
  <si>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</si>
  <si>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</si>
  <si>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</si>
  <si>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</si>
  <si>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</si>
  <si>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</si>
  <si>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</si>
  <si>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</si>
  <si>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</si>
  <si>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</si>
  <si>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</si>
  <si>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</si>
  <si>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</si>
  <si>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</si>
  <si>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</si>
  <si>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</si>
  <si>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</si>
  <si>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</si>
  <si>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</si>
  <si>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</si>
  <si>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</si>
  <si>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</si>
  <si>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</si>
  <si>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</si>
  <si>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</si>
  <si>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</si>
  <si>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</si>
  <si>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</si>
  <si>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</si>
  <si>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</si>
  <si>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</si>
  <si>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</si>
  <si>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</si>
  <si>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</si>
  <si>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</si>
  <si>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</si>
  <si>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</si>
  <si>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</si>
  <si>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</si>
  <si>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</si>
  <si>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</si>
  <si>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</si>
  <si>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</si>
  <si>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</si>
  <si>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</si>
  <si>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</si>
  <si>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</si>
  <si>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</si>
  <si>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</si>
  <si>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</si>
  <si>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</si>
  <si>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</si>
  <si>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</si>
  <si>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</si>
  <si>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</si>
  <si>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</si>
  <si>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</si>
  <si>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</si>
  <si>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</si>
  <si>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</si>
  <si>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</si>
  <si>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</si>
  <si>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</si>
  <si>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</si>
  <si>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</si>
  <si>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</si>
  <si>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</si>
  <si>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</si>
  <si>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</si>
  <si>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</si>
  <si>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</si>
  <si>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</si>
  <si>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</si>
  <si>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</si>
  <si>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</si>
  <si>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</si>
  <si>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</si>
  <si>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</si>
  <si>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</si>
  <si>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</si>
  <si>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</si>
  <si>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</si>
  <si>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</si>
  <si>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</si>
  <si>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</si>
  <si>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</si>
  <si>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</si>
  <si>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</si>
  <si>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</si>
  <si>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</si>
  <si>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</si>
  <si>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</si>
  <si>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</si>
  <si>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</si>
  <si>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</si>
  <si>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</si>
  <si>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</si>
  <si>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</si>
  <si>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</si>
  <si>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</si>
  <si>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</si>
  <si>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</si>
  <si>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</si>
  <si>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</si>
  <si>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</si>
  <si>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</si>
  <si>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</si>
  <si>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</si>
  <si>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</si>
  <si>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</si>
  <si>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</si>
  <si>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</si>
  <si>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</si>
  <si>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</si>
  <si>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</si>
  <si>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</si>
  <si>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</si>
  <si>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</si>
  <si>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</si>
  <si>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</si>
  <si>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</si>
  <si>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</si>
  <si>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</si>
  <si>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</si>
  <si>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</si>
  <si>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</si>
  <si>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</si>
  <si>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</si>
  <si>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</si>
  <si>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</si>
  <si>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</si>
  <si>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</si>
  <si>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</si>
  <si>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</si>
  <si>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</si>
  <si>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</si>
  <si>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</si>
  <si>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</si>
  <si>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</si>
  <si>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</si>
  <si>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</si>
  <si>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</si>
  <si>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</si>
  <si>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</si>
  <si>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</si>
  <si>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</si>
  <si>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</si>
  <si>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</si>
  <si>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</si>
  <si>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</si>
  <si>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</si>
  <si>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</si>
  <si>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</si>
  <si>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</si>
  <si>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</si>
  <si>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</si>
  <si>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</si>
  <si>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</si>
  <si>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</si>
  <si>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</si>
  <si>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</si>
  <si>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</si>
  <si>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</si>
  <si>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</si>
  <si>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</si>
  <si>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</si>
  <si>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</si>
  <si>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</si>
  <si>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</si>
  <si>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</si>
  <si>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</si>
  <si>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</si>
  <si>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</si>
  <si>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</si>
  <si>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</si>
  <si>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</si>
  <si>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</si>
  <si>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</si>
  <si>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</si>
  <si>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</si>
  <si>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</si>
  <si>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</si>
  <si>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</si>
  <si>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</si>
  <si>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</si>
  <si>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</si>
  <si>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</si>
  <si>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</si>
  <si>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</si>
  <si>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</si>
  <si>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</si>
  <si>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</si>
  <si>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</si>
  <si>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</si>
  <si>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</si>
  <si>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</si>
  <si>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</si>
  <si>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</si>
  <si>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</si>
  <si>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</si>
  <si>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</si>
  <si>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</si>
  <si>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</si>
  <si>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</si>
  <si>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</si>
  <si>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</si>
  <si>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</si>
  <si>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</si>
  <si>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</si>
  <si>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</si>
  <si>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</si>
  <si>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</si>
  <si>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</si>
  <si>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</si>
  <si>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</si>
  <si>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</si>
  <si>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</si>
  <si>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</si>
  <si>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</si>
  <si>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</si>
  <si>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</si>
  <si>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</si>
  <si>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</si>
  <si>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</si>
  <si>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</si>
  <si>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</si>
  <si>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</si>
  <si>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</si>
  <si>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</si>
  <si>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</si>
  <si>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</si>
  <si>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</si>
  <si>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</si>
  <si>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</si>
  <si>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</si>
  <si>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</si>
  <si>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</si>
  <si>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</si>
  <si>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</si>
  <si>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</si>
  <si>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</si>
  <si>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</si>
  <si>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</si>
  <si>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</si>
  <si>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</si>
  <si>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</si>
  <si>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</si>
  <si>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</si>
  <si>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</si>
  <si>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</si>
  <si>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</si>
  <si>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</si>
  <si>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</si>
  <si>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</si>
  <si>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</si>
  <si>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</si>
  <si>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</si>
  <si>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</si>
  <si>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</si>
  <si>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</si>
  <si>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</si>
  <si>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</si>
  <si>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</si>
  <si>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</si>
  <si>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</si>
  <si>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</si>
  <si>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</si>
  <si>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</si>
  <si>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</si>
  <si>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</si>
  <si>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</si>
  <si>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</si>
  <si>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</si>
  <si>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CLAUDIA TALA BARRIL</t>
  </si>
  <si>
    <t>10.016.482-5</t>
  </si>
  <si>
    <t>ANTOFAGASTA</t>
  </si>
  <si>
    <t>CUB CON RESPALDO FTE 90°</t>
  </si>
  <si>
    <t>GRANITINO NEGRO BR</t>
  </si>
  <si>
    <t>N° 12106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</si>
</sst>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51" fillId="8" borderId="0" xfId="0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5</xdr:col>
      <xdr:colOff>1732649</xdr:colOff>
      <xdr:row>25</xdr:row>
      <xdr:rowOff>219321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8629"/>
          <a:ext cx="6454182" cy="64948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LARGO.</a:t>
          </a:r>
        </a:p>
        <a:p>
          <a:pPr algn="l"/>
          <a:r>
            <a:rPr lang="es-CL" sz="1200" b="1" baseline="0"/>
            <a:t>INCLUYE TROZO DE LAMINADO PARA TAPAR CANTOS DE LOS COSTADOS.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93" zoomScaleNormal="93" workbookViewId="0">
      <selection activeCell="D6" sqref="D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288</v>
      </c>
      <c r="D10" s="243"/>
      <c r="E10" s="243"/>
      <c r="F10" s="417" t="s">
        <v>277</v>
      </c>
      <c r="G10" s="275">
        <v>46139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 t="s">
        <v>289</v>
      </c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/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56" t="s">
        <v>290</v>
      </c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290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3" t="s">
        <v>95</v>
      </c>
      <c r="C19" s="434"/>
      <c r="D19" s="434"/>
      <c r="E19" s="434"/>
      <c r="F19" s="434"/>
      <c r="G19" s="434"/>
      <c r="H19" s="43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123569.52380952383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0" t="s">
        <v>291</v>
      </c>
      <c r="D21" s="431">
        <v>3</v>
      </c>
      <c r="E21" s="431">
        <v>0.6</v>
      </c>
      <c r="F21" s="312" t="s">
        <v>292</v>
      </c>
      <c r="G21" s="313">
        <f>139990/1.19</f>
        <v>117638.65546218488</v>
      </c>
      <c r="H21" s="432">
        <f>G21*B21</f>
        <v>117638.65546218488</v>
      </c>
      <c r="I21" s="305"/>
      <c r="J21" s="264"/>
      <c r="K21" s="47"/>
      <c r="L21" s="47">
        <f>B21</f>
        <v>1</v>
      </c>
      <c r="M21" s="39">
        <f>D21+M$19</f>
        <v>3.08</v>
      </c>
      <c r="N21" s="39">
        <f>E21+$N$19</f>
        <v>0.6</v>
      </c>
      <c r="O21" s="260">
        <f t="shared" ref="O21" si="0">M21*N21</f>
        <v>1.8479999999999999</v>
      </c>
      <c r="P21" s="258">
        <f t="shared" ref="P21" si="1">O21*L21</f>
        <v>1.8479999999999999</v>
      </c>
      <c r="Q21" s="251">
        <f t="shared" ref="Q21" si="2">Q$20*O21</f>
        <v>228356.48000000001</v>
      </c>
      <c r="R21" s="304">
        <f t="shared" ref="R21" si="3">Q21+R$20</f>
        <v>231356.48</v>
      </c>
      <c r="S21" s="290">
        <f>M21*L21</f>
        <v>3.08</v>
      </c>
      <c r="T21" s="46">
        <f>N21*2*L21*2</f>
        <v>2.4</v>
      </c>
      <c r="U21" s="9"/>
      <c r="X21" s="4"/>
    </row>
    <row r="22" spans="1:25" ht="17.399999999999999" x14ac:dyDescent="0.3">
      <c r="B22" s="283"/>
      <c r="C22" s="324"/>
      <c r="D22" s="284"/>
      <c r="E22" s="284"/>
      <c r="F22" s="283"/>
      <c r="G22" s="305"/>
      <c r="H22" s="305"/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0"/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SUM(H21:H21)</f>
        <v>117638.65546218488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22351.344537815126</v>
      </c>
      <c r="I25" s="307"/>
      <c r="J25" s="264"/>
      <c r="K25" s="47"/>
      <c r="L25" s="47"/>
      <c r="M25" s="39">
        <f>SUM(M21:M24)</f>
        <v>3.08</v>
      </c>
      <c r="N25" s="12"/>
      <c r="O25" s="12"/>
      <c r="P25" s="252">
        <f>SUM(P21:P23)</f>
        <v>1.8479999999999999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139990</v>
      </c>
      <c r="I26" s="307"/>
      <c r="J26" s="264"/>
      <c r="K26" s="47"/>
      <c r="L26" s="47"/>
      <c r="M26" s="39"/>
      <c r="N26" s="12"/>
      <c r="O26" s="12"/>
      <c r="P26" s="252">
        <f>P25</f>
        <v>1.8479999999999999</v>
      </c>
      <c r="Q26" s="14"/>
      <c r="R26" s="12"/>
      <c r="S26" s="239">
        <f>SUM(S21:S25)</f>
        <v>3.08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0.36959999999999998</v>
      </c>
      <c r="Q27" s="39" t="s">
        <v>129</v>
      </c>
      <c r="R27" s="42"/>
      <c r="S27" s="240">
        <f>S26+T24</f>
        <v>5.48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2.2176</v>
      </c>
      <c r="Q28" s="14"/>
      <c r="R28" s="14"/>
      <c r="S28" s="238">
        <f>S27*20%</f>
        <v>1.0960000000000001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6.5760000000000005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2.2176</v>
      </c>
      <c r="N30" s="12">
        <v>4000</v>
      </c>
      <c r="O30" s="12">
        <f t="shared" ref="O30:O35" si="4">M30*N30</f>
        <v>8870.4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0.8</v>
      </c>
      <c r="N31" s="12">
        <v>24910</v>
      </c>
      <c r="O31" s="12">
        <f t="shared" si="4"/>
        <v>19928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2</v>
      </c>
      <c r="N33" s="249">
        <v>37500</v>
      </c>
      <c r="O33" s="12">
        <f t="shared" si="4"/>
        <v>75000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103798.39999999999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228356.48000000001</v>
      </c>
      <c r="P37" s="14" t="s">
        <v>138</v>
      </c>
      <c r="Q37" s="14"/>
      <c r="R37" s="40">
        <f>P28/R36</f>
        <v>0.59792924935289038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123569.52380952383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46139</v>
      </c>
    </row>
    <row r="6" spans="2:31" ht="16.2" thickBot="1" x14ac:dyDescent="0.35">
      <c r="B6" s="140" t="s">
        <v>2</v>
      </c>
      <c r="C6" s="139" t="str">
        <f>'2229'!C10</f>
        <v>CLAUDIA TALA BARRIL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7" t="s">
        <v>98</v>
      </c>
      <c r="I7" s="438"/>
      <c r="J7" s="438"/>
      <c r="K7" s="439"/>
      <c r="N7" s="75"/>
      <c r="O7" s="43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12106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-3482.507610484919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117638.65546218488</v>
      </c>
      <c r="E11" s="132">
        <f>D11*0.19</f>
        <v>22351.344537815126</v>
      </c>
      <c r="F11" s="131">
        <f>E11+D11</f>
        <v>139990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102507.49238951509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58632.490787439616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84507.492389515086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59006.164674745261</v>
      </c>
      <c r="E13" s="221">
        <f>(D11/D12)-1</f>
        <v>1.0063731538996072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75507.492389515086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36507.492389515079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96743.609799275364</v>
      </c>
      <c r="F15" s="216">
        <f>E15-D12</f>
        <v>38111.119011835748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36507.492389515079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76507.492389515086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19928</v>
      </c>
      <c r="E19" s="123">
        <f>D19*0.19</f>
        <v>3786.32</v>
      </c>
      <c r="F19" s="120">
        <f>SUM(D19:E19)</f>
        <v>23714.32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8870.4</v>
      </c>
      <c r="E20" s="121">
        <f>D20*0.19</f>
        <v>1685.376</v>
      </c>
      <c r="F20" s="120">
        <f>SUM(D20:E20)</f>
        <v>10555.776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28798.400000000001</v>
      </c>
      <c r="E21" s="116">
        <f>SUM(E18:E20)</f>
        <v>5471.6959999999999</v>
      </c>
      <c r="F21" s="115">
        <f>SUM(F18:F20)</f>
        <v>34270.095999999998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16879.648537815126</v>
      </c>
    </row>
    <row r="41" spans="2:16" ht="15" thickBot="1" x14ac:dyDescent="0.35">
      <c r="H41" s="440" t="s">
        <v>60</v>
      </c>
      <c r="I41" s="441"/>
      <c r="J41" s="441"/>
      <c r="K41" s="441"/>
      <c r="L41" s="441"/>
      <c r="M41" s="44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117638.65546218488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28798.400000000001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59006.164674745261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59006.164674745261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12106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CLAUDIA TALA BARRIL</v>
      </c>
      <c r="D10" s="349"/>
      <c r="E10" s="349"/>
      <c r="F10" s="350" t="s">
        <v>167</v>
      </c>
      <c r="G10" s="351">
        <f>'2229'!G10</f>
        <v>46139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>10.016.482-5</v>
      </c>
      <c r="D11" s="344"/>
      <c r="E11" s="344"/>
      <c r="F11" s="344" t="s">
        <v>168</v>
      </c>
      <c r="G11" s="339">
        <f>WORKDAY(G10,5)</f>
        <v>46146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/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>ANTOFAGASTA</v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ANTOFAGASTA</v>
      </c>
      <c r="D17" s="342"/>
      <c r="E17" s="343"/>
      <c r="F17" s="443" t="s">
        <v>175</v>
      </c>
      <c r="G17" s="443"/>
      <c r="H17" s="44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5" t="s">
        <v>176</v>
      </c>
      <c r="C20" s="446"/>
      <c r="D20" s="446"/>
      <c r="E20" s="446"/>
      <c r="F20" s="446"/>
      <c r="G20" s="446"/>
      <c r="H20" s="447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FTE 90°</v>
      </c>
      <c r="D22" s="320">
        <f>'2229'!D21*1000</f>
        <v>3000</v>
      </c>
      <c r="E22" s="320">
        <f>'2229'!E21*1000</f>
        <v>600</v>
      </c>
      <c r="F22" s="321" t="str">
        <f>'2229'!F21</f>
        <v>GRANITINO NEGRO BR</v>
      </c>
      <c r="G22" s="313">
        <f>'2229'!G21</f>
        <v>117638.65546218488</v>
      </c>
      <c r="H22" s="322">
        <f>G22*B22</f>
        <v>117638.65546218488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117638.65546218488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22351.344537815126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139990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182</v>
      </c>
      <c r="C2" s="448"/>
      <c r="D2" s="448"/>
      <c r="E2" s="360"/>
      <c r="G2" s="448" t="s">
        <v>183</v>
      </c>
      <c r="H2" s="448"/>
      <c r="I2" s="448"/>
      <c r="P2" s="449" t="s">
        <v>184</v>
      </c>
      <c r="Q2" s="449"/>
      <c r="R2" s="449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49" t="s">
        <v>184</v>
      </c>
      <c r="M8" s="449"/>
      <c r="N8" s="449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4" t="s">
        <v>265</v>
      </c>
      <c r="L3" s="454"/>
      <c r="M3" s="454" t="s">
        <v>266</v>
      </c>
      <c r="N3" s="454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CLAUDIA TALA BARRIL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46139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46146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5" t="s">
        <v>265</v>
      </c>
      <c r="B10" s="455"/>
      <c r="C10" s="455"/>
      <c r="D10" s="455"/>
      <c r="E10" s="455"/>
      <c r="F10" s="455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5" t="s">
        <v>266</v>
      </c>
      <c r="B17" s="455"/>
      <c r="C17" s="455"/>
      <c r="D17" s="455"/>
      <c r="E17" s="455"/>
      <c r="F17" s="455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5" t="s">
        <v>272</v>
      </c>
      <c r="B45" s="455"/>
      <c r="C45" s="455"/>
      <c r="D45" s="455"/>
      <c r="E45" s="455"/>
      <c r="F45" s="45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0" t="s">
        <v>95</v>
      </c>
      <c r="C47" s="451"/>
      <c r="D47" s="452"/>
      <c r="E47" s="452"/>
      <c r="F47" s="453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12106</v>
      </c>
      <c r="C2" s="1">
        <f>'NOTA DE VENTA'!$G$10</f>
        <v>46139</v>
      </c>
      <c r="D2" s="1">
        <f>'NOTA DE VENTA'!$G$11</f>
        <v>46146</v>
      </c>
      <c r="E2" t="str">
        <f>'NOTA DE VENTA'!$C$10</f>
        <v>CLAUDIA TALA BARRIL</v>
      </c>
      <c r="F2" t="str">
        <f>'NOTA DE VENTA'!$C$22</f>
        <v>CUB CON RESPALDO FTE 90°</v>
      </c>
      <c r="G2" t="str">
        <f>'NOTA DE VENTA'!$F$22</f>
        <v>GRANITINO NEGRO BR</v>
      </c>
      <c r="H2" s="415">
        <f>'NOTA DE VENTA'!$H$25</f>
        <v>117638.65546218488</v>
      </c>
      <c r="I2" s="415">
        <f>H2*0.19</f>
        <v>22351.344537815126</v>
      </c>
      <c r="J2" s="415">
        <f>I2+H2</f>
        <v>139990</v>
      </c>
      <c r="L2" s="61">
        <f>J2-K2</f>
        <v>139990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2026-04-27T19:52:06Z</cp:lastPrinted>
  <dcterms:created xsi:type="dcterms:W3CDTF">2013-03-18T13:35:42Z</dcterms:created>
  <dcterms:modified xsi:type="dcterms:W3CDTF">2026-04-27T19:52:15Z</dcterms:modified>
</cp:coreProperties>
</file>