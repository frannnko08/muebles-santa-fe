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77078F74-1338-4F71-8636-FF09187261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2" i="1"/>
  <c r="H23" i="1"/>
  <c r="O39" i="1"/>
  <c r="P27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J21" i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3" i="1" l="1"/>
  <c r="R23" i="1" s="1"/>
  <c r="Q22" i="1"/>
  <c r="R22" i="1" s="1"/>
  <c r="O41" i="1"/>
  <c r="E15" i="3"/>
  <c r="Q21" i="1" l="1"/>
  <c r="F15" i="3"/>
  <c r="R21" i="1" l="1"/>
  <c r="H21" i="1" l="1"/>
  <c r="H27" i="1" s="1"/>
  <c r="G22" i="4" l="1"/>
  <c r="H22" i="4" s="1"/>
  <c r="H25" i="4" s="1"/>
  <c r="H28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<sst xmlns="http://schemas.openxmlformats.org/spreadsheetml/2006/main" count="491" uniqueCount="296">
  <si>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</si>
  <si>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</si>
  <si>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</si>
  <si>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</si>
  <si>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</si>
  <si>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</si>
  <si>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</si>
  <si>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</si>
  <si>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</si>
  <si>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</si>
  <si>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</si>
  <si>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</si>
  <si>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</si>
  <si>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</si>
  <si>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</si>
  <si>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</si>
  <si>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</si>
  <si>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</si>
  <si>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</si>
  <si>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</si>
  <si>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</si>
  <si>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</si>
  <si>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</si>
  <si>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</si>
  <si>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</si>
  <si>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</si>
  <si>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</si>
  <si>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</si>
  <si>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</si>
  <si>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</si>
  <si>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</si>
  <si>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</si>
  <si>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</si>
  <si>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</si>
  <si>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</si>
  <si>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</si>
  <si>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</si>
  <si>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</si>
  <si>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</si>
  <si>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</si>
  <si>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</si>
  <si>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</si>
  <si>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</si>
  <si>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</si>
  <si>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</si>
  <si>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</si>
  <si>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</si>
  <si>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</si>
  <si>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</si>
  <si>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</si>
  <si>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</si>
  <si>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</si>
  <si>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</si>
  <si>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</si>
  <si>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</si>
  <si>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</si>
  <si>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</si>
  <si>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</si>
  <si>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</si>
  <si>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</si>
  <si>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</si>
  <si>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</si>
  <si>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</si>
  <si>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</si>
  <si>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</si>
  <si>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</si>
  <si>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</si>
  <si>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</si>
  <si>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</si>
  <si>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</si>
  <si>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</si>
  <si>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</si>
  <si>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</si>
  <si>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</si>
  <si>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</si>
  <si>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</si>
  <si>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</si>
  <si>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</si>
  <si>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</si>
  <si>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</si>
  <si>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</si>
  <si>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</si>
  <si>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</si>
  <si>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</si>
  <si>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</si>
  <si>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</si>
  <si>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</si>
  <si>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</si>
  <si>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</si>
  <si>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</si>
  <si>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</si>
  <si>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</si>
  <si>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</si>
  <si>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</si>
  <si>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</si>
  <si>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</si>
  <si>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</si>
  <si>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</si>
  <si>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</si>
  <si>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</si>
  <si>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</si>
  <si>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</si>
  <si>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</si>
  <si>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</si>
  <si>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</si>
  <si>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</si>
  <si>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</si>
  <si>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</si>
  <si>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</si>
  <si>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</si>
  <si>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</si>
  <si>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</si>
  <si>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</si>
  <si>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</si>
  <si>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</si>
  <si>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</si>
  <si>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</si>
  <si>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</si>
  <si>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</si>
  <si>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</si>
  <si>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</si>
  <si>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</si>
  <si>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</si>
  <si>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</si>
  <si>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</si>
  <si>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</si>
  <si>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</si>
  <si>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</si>
  <si>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</si>
  <si>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</si>
  <si>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</si>
  <si>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</si>
  <si>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</si>
  <si>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</si>
  <si>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</si>
  <si>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</si>
  <si>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</si>
  <si>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</si>
  <si>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</si>
  <si>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</si>
  <si>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</si>
  <si>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</si>
  <si>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</si>
  <si>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</si>
  <si>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</si>
  <si>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</si>
  <si>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</si>
  <si>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</si>
  <si>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</si>
  <si>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</si>
  <si>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</si>
  <si>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</si>
  <si>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</si>
  <si>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</si>
  <si>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</si>
  <si>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</si>
  <si>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</si>
  <si>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</si>
  <si>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</si>
  <si>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</si>
  <si>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</si>
  <si>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</si>
  <si>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</si>
  <si>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</si>
  <si>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</si>
  <si>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</si>
  <si>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</si>
  <si>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</si>
  <si>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</si>
  <si>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</si>
  <si>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</si>
  <si>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</si>
  <si>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</si>
  <si>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</si>
  <si>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</si>
  <si>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</si>
  <si>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</si>
  <si>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</si>
  <si>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</si>
  <si>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</si>
  <si>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</si>
  <si>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</si>
  <si>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</si>
  <si>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</si>
  <si>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</si>
  <si>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</si>
  <si>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</si>
  <si>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</si>
  <si>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</si>
  <si>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</si>
  <si>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</si>
  <si>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</si>
  <si>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</si>
  <si>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</si>
  <si>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</si>
  <si>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</si>
  <si>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</si>
  <si>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</si>
  <si>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</si>
  <si>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</si>
  <si>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</si>
  <si>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</si>
  <si>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</si>
  <si>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</si>
  <si>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</si>
  <si>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</si>
  <si>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</si>
  <si>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</si>
  <si>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</si>
  <si>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</si>
  <si>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</si>
  <si>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</si>
  <si>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</si>
  <si>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</si>
  <si>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</si>
  <si>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</si>
  <si>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</si>
  <si>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</si>
  <si>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</si>
  <si>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</si>
  <si>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</si>
  <si>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</si>
  <si>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</si>
  <si>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</si>
  <si>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</si>
  <si>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</si>
  <si>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</si>
  <si>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</si>
  <si>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</si>
  <si>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</si>
  <si>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</si>
  <si>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</si>
  <si>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</si>
  <si>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</si>
  <si>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</si>
  <si>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</si>
  <si>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</si>
  <si>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</si>
  <si>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</si>
  <si>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</si>
  <si>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</si>
  <si>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</si>
  <si>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</si>
  <si>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</si>
  <si>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</si>
  <si>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</si>
  <si>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</si>
  <si>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</si>
  <si>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</si>
  <si>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</si>
  <si>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</si>
  <si>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</si>
  <si>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</si>
  <si>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</si>
  <si>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</si>
  <si>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</si>
  <si>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</si>
  <si>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</si>
  <si>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</si>
  <si>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</si>
  <si>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</si>
  <si>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</si>
  <si>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</si>
  <si>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</si>
  <si>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</si>
  <si>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</si>
  <si>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</si>
  <si>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</si>
  <si>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</si>
  <si>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</si>
  <si>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</si>
  <si>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</si>
  <si>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</si>
  <si>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</si>
  <si>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</si>
  <si>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</si>
  <si>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</si>
  <si>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</si>
  <si>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</si>
  <si>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</si>
  <si>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</si>
  <si>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</si>
  <si>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</si>
  <si>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</si>
  <si>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</si>
  <si>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</si>
  <si>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</si>
  <si>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</si>
  <si>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DEMOVI</t>
  </si>
  <si>
    <t>+569 8466 2944</t>
  </si>
  <si>
    <t>NAIROBI HERNANDEZ</t>
  </si>
  <si>
    <t>CUB C/R FRENTE 90° R8</t>
  </si>
  <si>
    <t>BLANCO OPACO MERINO</t>
  </si>
  <si>
    <t>1 DIA HABIL</t>
  </si>
  <si>
    <t>SI</t>
  </si>
  <si>
    <t>N° 12088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</si>
</sst>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167" fontId="21" fillId="0" borderId="0" xfId="0" applyNumberFormat="1" applyFont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0" xfId="0" applyFont="1" applyBorder="1" applyAlignment="1">
      <alignment horizontal="center" vertical="center"/>
    </xf>
    <xf numFmtId="166" fontId="30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214364</xdr:rowOff>
    </xdr:from>
    <xdr:to>
      <xdr:col>5</xdr:col>
      <xdr:colOff>1728839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COB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2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46121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293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294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290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289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51420.147058823524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0">
        <v>3</v>
      </c>
      <c r="C21" s="430" t="s">
        <v>291</v>
      </c>
      <c r="D21" s="431">
        <v>3</v>
      </c>
      <c r="E21" s="431">
        <v>0.5</v>
      </c>
      <c r="F21" s="430" t="s">
        <v>292</v>
      </c>
      <c r="G21" s="432">
        <v>82187</v>
      </c>
      <c r="H21" s="432">
        <f>G21*B21</f>
        <v>246561</v>
      </c>
      <c r="I21" s="306"/>
      <c r="J21" s="434">
        <f>G21/2</f>
        <v>41093.5</v>
      </c>
      <c r="K21" s="47"/>
      <c r="L21" s="47">
        <f>B21</f>
        <v>3</v>
      </c>
      <c r="M21" s="39">
        <f>D21+M$19</f>
        <v>3.08</v>
      </c>
      <c r="N21" s="39">
        <f>E21+$N$19</f>
        <v>0.5</v>
      </c>
      <c r="O21" s="260">
        <f t="shared" ref="O21" si="0">M21*N21</f>
        <v>1.54</v>
      </c>
      <c r="P21" s="258">
        <f t="shared" ref="P21" si="1">O21*L21</f>
        <v>4.62</v>
      </c>
      <c r="Q21" s="251">
        <f t="shared" ref="Q21" si="2">Q$20*O21</f>
        <v>79187.026470588229</v>
      </c>
      <c r="R21" s="305">
        <f t="shared" ref="R21" si="3">Q21+R$20</f>
        <v>82187.026470588229</v>
      </c>
      <c r="S21" s="290">
        <f>M21*L21</f>
        <v>9.24</v>
      </c>
      <c r="T21" s="46">
        <f>N21*2*L21*2</f>
        <v>6</v>
      </c>
      <c r="U21" s="9"/>
      <c r="X21" s="4"/>
    </row>
    <row r="22" spans="2:25" ht="17.399999999999999" x14ac:dyDescent="0.3">
      <c r="B22" s="430">
        <v>1</v>
      </c>
      <c r="C22" s="430" t="s">
        <v>291</v>
      </c>
      <c r="D22" s="431">
        <v>1.5</v>
      </c>
      <c r="E22" s="431">
        <v>0.4</v>
      </c>
      <c r="F22" s="430" t="s">
        <v>292</v>
      </c>
      <c r="G22" s="432">
        <v>35498</v>
      </c>
      <c r="H22" s="432">
        <f t="shared" ref="H22:H23" si="4">G22*B22</f>
        <v>35498</v>
      </c>
      <c r="I22" s="306"/>
      <c r="J22" s="434"/>
      <c r="K22" s="47"/>
      <c r="L22" s="47">
        <f t="shared" ref="L22:L23" si="5">B22</f>
        <v>1</v>
      </c>
      <c r="M22" s="39">
        <f t="shared" ref="M22:M23" si="6">D22+M$19</f>
        <v>1.58</v>
      </c>
      <c r="N22" s="39">
        <f t="shared" ref="N22:N23" si="7">E22+$N$19</f>
        <v>0.4</v>
      </c>
      <c r="O22" s="260">
        <f t="shared" ref="O22:O23" si="8">M22*N22</f>
        <v>0.63200000000000012</v>
      </c>
      <c r="P22" s="258">
        <f t="shared" ref="P22:P23" si="9">O22*L22</f>
        <v>0.63200000000000012</v>
      </c>
      <c r="Q22" s="251">
        <f t="shared" ref="Q22:Q23" si="10">Q$20*O22</f>
        <v>32497.532941176472</v>
      </c>
      <c r="R22" s="305">
        <f t="shared" ref="R22:R23" si="11">Q22+R$20</f>
        <v>35497.532941176469</v>
      </c>
      <c r="S22" s="290">
        <f t="shared" ref="S22:S23" si="12">M22*L22</f>
        <v>1.58</v>
      </c>
      <c r="T22" s="46"/>
      <c r="U22" s="9"/>
      <c r="X22" s="4"/>
    </row>
    <row r="23" spans="2:25" ht="17.399999999999999" x14ac:dyDescent="0.3">
      <c r="B23" s="430">
        <v>1</v>
      </c>
      <c r="C23" s="430" t="s">
        <v>291</v>
      </c>
      <c r="D23" s="431">
        <v>2.5</v>
      </c>
      <c r="E23" s="431">
        <v>0.6</v>
      </c>
      <c r="F23" s="430" t="s">
        <v>292</v>
      </c>
      <c r="G23" s="432">
        <v>82598</v>
      </c>
      <c r="H23" s="432">
        <f t="shared" si="4"/>
        <v>82598</v>
      </c>
      <c r="I23" s="306"/>
      <c r="J23" s="434"/>
      <c r="K23" s="47"/>
      <c r="L23" s="47">
        <f t="shared" si="5"/>
        <v>1</v>
      </c>
      <c r="M23" s="39">
        <f t="shared" si="6"/>
        <v>2.58</v>
      </c>
      <c r="N23" s="39">
        <f t="shared" si="7"/>
        <v>0.6</v>
      </c>
      <c r="O23" s="260">
        <f t="shared" si="8"/>
        <v>1.548</v>
      </c>
      <c r="P23" s="258">
        <f t="shared" si="9"/>
        <v>1.548</v>
      </c>
      <c r="Q23" s="251">
        <f t="shared" si="10"/>
        <v>79598.387647058815</v>
      </c>
      <c r="R23" s="305">
        <f t="shared" si="11"/>
        <v>82598.387647058815</v>
      </c>
      <c r="S23" s="290">
        <f t="shared" si="12"/>
        <v>2.58</v>
      </c>
      <c r="T23" s="46"/>
      <c r="U23" s="9"/>
      <c r="X23" s="4"/>
    </row>
    <row r="24" spans="2:25" ht="17.399999999999999" x14ac:dyDescent="0.3">
      <c r="B24" s="458"/>
      <c r="C24" s="458"/>
      <c r="D24" s="459"/>
      <c r="E24" s="459"/>
      <c r="F24" s="458"/>
      <c r="G24" s="306"/>
      <c r="H24" s="306"/>
      <c r="I24" s="306"/>
      <c r="J24" s="434"/>
      <c r="K24" s="47"/>
      <c r="L24" s="47"/>
      <c r="M24" s="39"/>
      <c r="N24" s="39"/>
      <c r="O24" s="260"/>
      <c r="P24" s="258"/>
      <c r="Q24" s="251"/>
      <c r="R24" s="305"/>
      <c r="S24" s="290"/>
      <c r="T24" s="46"/>
      <c r="U24" s="9"/>
      <c r="X24" s="4"/>
    </row>
    <row r="25" spans="2:25" ht="18" thickBot="1" x14ac:dyDescent="0.35">
      <c r="B25" s="283"/>
      <c r="C25" s="283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SUM(H21:H25)</f>
        <v>364657</v>
      </c>
      <c r="I26" s="308"/>
      <c r="J26" s="264"/>
      <c r="K26" s="47">
        <v>2600000</v>
      </c>
      <c r="L26" s="47"/>
      <c r="M26" s="39"/>
      <c r="N26" s="39"/>
      <c r="O26" s="260"/>
      <c r="P26" s="258"/>
      <c r="Q26" s="251"/>
      <c r="R26" s="257"/>
      <c r="S26" s="290"/>
      <c r="T26" s="46">
        <f>SUM(T21:T25)</f>
        <v>6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69284.83</v>
      </c>
      <c r="I27" s="308"/>
      <c r="J27" s="264"/>
      <c r="K27" s="47"/>
      <c r="L27" s="47"/>
      <c r="M27" s="39">
        <f>SUM(M21:M26)</f>
        <v>7.24</v>
      </c>
      <c r="N27" s="12"/>
      <c r="O27" s="12"/>
      <c r="P27" s="252">
        <f>SUM(P21:P23)</f>
        <v>6.8000000000000007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433941.83</v>
      </c>
      <c r="I28" s="308"/>
      <c r="J28" s="264"/>
      <c r="K28" s="47"/>
      <c r="L28" s="47"/>
      <c r="M28" s="39"/>
      <c r="N28" s="12"/>
      <c r="O28" s="12"/>
      <c r="P28" s="252">
        <f>P27</f>
        <v>6.8000000000000007</v>
      </c>
      <c r="Q28" s="14"/>
      <c r="R28" s="12"/>
      <c r="S28" s="239">
        <f>SUM(S21:S27)</f>
        <v>13.4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1.3600000000000003</v>
      </c>
      <c r="Q29" s="39" t="s">
        <v>129</v>
      </c>
      <c r="R29" s="42"/>
      <c r="S29" s="240">
        <f>S28+T26</f>
        <v>19.399999999999999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8.16</v>
      </c>
      <c r="Q30" s="14"/>
      <c r="R30" s="14"/>
      <c r="S30" s="238">
        <f>S29*20%</f>
        <v>3.88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23.279999999999998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8.16</v>
      </c>
      <c r="N32" s="12">
        <v>3500</v>
      </c>
      <c r="O32" s="12">
        <f t="shared" ref="O32:O37" si="13">M32*N32</f>
        <v>28560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2.5</v>
      </c>
      <c r="N33" s="12">
        <v>24910</v>
      </c>
      <c r="O33" s="12">
        <f t="shared" si="13"/>
        <v>62275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58860</v>
      </c>
      <c r="O34" s="12">
        <f t="shared" si="13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2</v>
      </c>
      <c r="N35" s="249">
        <v>24000</v>
      </c>
      <c r="O35" s="12">
        <f t="shared" si="13"/>
        <v>48000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3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>
        <v>13.4</v>
      </c>
      <c r="N37" s="12">
        <v>1500</v>
      </c>
      <c r="O37" s="12">
        <f t="shared" si="13"/>
        <v>20100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158935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349657</v>
      </c>
      <c r="P39" s="14" t="s">
        <v>138</v>
      </c>
      <c r="Q39" s="14"/>
      <c r="R39" s="40">
        <f>P30/R38</f>
        <v>2.2001725625539259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46000</v>
      </c>
      <c r="L40" s="249"/>
      <c r="M40" s="14"/>
      <c r="N40" s="12"/>
      <c r="O40" s="12">
        <f>O39/P28</f>
        <v>51420.147058823524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38655.462184873948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46121</v>
      </c>
    </row>
    <row r="6" spans="2:31" ht="16.2" thickBot="1" x14ac:dyDescent="0.35">
      <c r="B6" s="140" t="s">
        <v>2</v>
      </c>
      <c r="C6" s="139" t="str">
        <f>'2229'!C10</f>
        <v>DEMOVI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12088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-27592.166700120779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364657</v>
      </c>
      <c r="E11" s="132">
        <f>D11*0.19</f>
        <v>69284.83</v>
      </c>
      <c r="F11" s="131">
        <f>E11+D11</f>
        <v>433941.83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78397.833299879218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120669.09078743961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60397.833299879218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243987.90921256039</v>
      </c>
      <c r="E13" s="221">
        <f>(D11/D12)-1</f>
        <v>2.0219586276849366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51397.833299879218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12397.833299879221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199103.99979927533</v>
      </c>
      <c r="F15" s="216">
        <f>E15-D12</f>
        <v>78434.909011835727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12397.833299879221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52397.833299879218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62275</v>
      </c>
      <c r="E19" s="123">
        <f>D19*0.19</f>
        <v>11832.25</v>
      </c>
      <c r="F19" s="120">
        <f>SUM(D19:E19)</f>
        <v>74107.25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28560</v>
      </c>
      <c r="E20" s="121">
        <f>D20*0.19</f>
        <v>5426.4</v>
      </c>
      <c r="F20" s="120">
        <f>SUM(D20:E20)</f>
        <v>33986.400000000001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90835</v>
      </c>
      <c r="E21" s="116">
        <f>SUM(E18:E20)</f>
        <v>17258.650000000001</v>
      </c>
      <c r="F21" s="115">
        <f>SUM(F18:F20)</f>
        <v>108093.65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52026.18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364657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90835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243987.90921256039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243987.90921256039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12088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DEMOVI</v>
      </c>
      <c r="D10" s="350"/>
      <c r="E10" s="350"/>
      <c r="F10" s="351" t="s">
        <v>167</v>
      </c>
      <c r="G10" s="352">
        <f>'2229'!G10</f>
        <v>46121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46128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NAIROBI HERNANDEZ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+569 8466 2944</v>
      </c>
      <c r="D15" s="347"/>
      <c r="E15" s="345"/>
      <c r="F15" s="345" t="s">
        <v>173</v>
      </c>
      <c r="G15" s="345" t="str">
        <f>'2229'!G12</f>
        <v>SI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3</v>
      </c>
      <c r="C22" s="313" t="str">
        <f>'2229'!C21</f>
        <v>CUB C/R FRENTE 90° R8</v>
      </c>
      <c r="D22" s="321">
        <f>'2229'!D21*1000</f>
        <v>3000</v>
      </c>
      <c r="E22" s="321">
        <f>'2229'!E21*1000</f>
        <v>500</v>
      </c>
      <c r="F22" s="322" t="str">
        <f>'2229'!F21</f>
        <v>BLANCO OPACO MERINO</v>
      </c>
      <c r="G22" s="314">
        <f>'2229'!G21</f>
        <v>82187</v>
      </c>
      <c r="H22" s="323">
        <f>G22*B22</f>
        <v>246561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246561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46846.590000000004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293407.59000000003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DEMOVI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46121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46128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12088</v>
      </c>
      <c r="C2" s="1">
        <f>'NOTA DE VENTA'!$G$10</f>
        <v>46121</v>
      </c>
      <c r="D2" s="1">
        <f>'NOTA DE VENTA'!$G$11</f>
        <v>46128</v>
      </c>
      <c r="E2" t="str">
        <f>'NOTA DE VENTA'!$C$10</f>
        <v>DEMOVI</v>
      </c>
      <c r="F2" t="str">
        <f>'NOTA DE VENTA'!$C$22</f>
        <v>CUB C/R FRENTE 90° R8</v>
      </c>
      <c r="G2" t="str">
        <f>'NOTA DE VENTA'!$F$22</f>
        <v>BLANCO OPACO MERINO</v>
      </c>
      <c r="H2" s="416">
        <f>'NOTA DE VENTA'!$H$25</f>
        <v>246561</v>
      </c>
      <c r="I2" s="416">
        <f>H2*0.19</f>
        <v>46846.590000000004</v>
      </c>
      <c r="J2" s="416">
        <f>I2+H2</f>
        <v>293407.59000000003</v>
      </c>
      <c r="L2" s="61">
        <f>J2-K2</f>
        <v>293407.59000000003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2026-04-09T14:18:51Z</dcterms:modified>
</cp:coreProperties>
</file>