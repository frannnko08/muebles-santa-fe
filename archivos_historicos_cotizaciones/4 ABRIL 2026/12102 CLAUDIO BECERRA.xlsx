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A716FF45-3C41-4A9A-80F9-15695BF57C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<sst xmlns="http://schemas.openxmlformats.org/spreadsheetml/2006/main" count="485" uniqueCount="293">
  <si>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</si>
  <si>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</si>
  <si>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</si>
  <si>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</si>
  <si>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</si>
  <si>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</si>
  <si>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</si>
  <si>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</si>
  <si>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</si>
  <si>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</si>
  <si>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</si>
  <si>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</si>
  <si>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</si>
  <si>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</si>
  <si>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</si>
  <si>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</si>
  <si>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</si>
  <si>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</si>
  <si>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</si>
  <si>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</si>
  <si>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</si>
  <si>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</si>
  <si>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</si>
  <si>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</si>
  <si>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</si>
  <si>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</si>
  <si>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</si>
  <si>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</si>
  <si>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</si>
  <si>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</si>
  <si>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</si>
  <si>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</si>
  <si>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</si>
  <si>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</si>
  <si>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</si>
  <si>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</si>
  <si>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</si>
  <si>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</si>
  <si>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</si>
  <si>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</si>
  <si>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</si>
  <si>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</si>
  <si>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</si>
  <si>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</si>
  <si>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</si>
  <si>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</si>
  <si>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</si>
  <si>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</si>
  <si>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</si>
  <si>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</si>
  <si>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</si>
  <si>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</si>
  <si>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</si>
  <si>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</si>
  <si>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</si>
  <si>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</si>
  <si>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</si>
  <si>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</si>
  <si>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</si>
  <si>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</si>
  <si>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</si>
  <si>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</si>
  <si>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</si>
  <si>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</si>
  <si>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</si>
  <si>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</si>
  <si>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</si>
  <si>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</si>
  <si>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</si>
  <si>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</si>
  <si>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</si>
  <si>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</si>
  <si>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</si>
  <si>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</si>
  <si>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</si>
  <si>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</si>
  <si>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</si>
  <si>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</si>
  <si>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</si>
  <si>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</si>
  <si>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</si>
  <si>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</si>
  <si>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</si>
  <si>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</si>
  <si>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</si>
  <si>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</si>
  <si>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</si>
  <si>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</si>
  <si>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</si>
  <si>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</si>
  <si>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</si>
  <si>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</si>
  <si>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</si>
  <si>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</si>
  <si>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</si>
  <si>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</si>
  <si>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</si>
  <si>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</si>
  <si>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</si>
  <si>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</si>
  <si>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</si>
  <si>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</si>
  <si>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</si>
  <si>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</si>
  <si>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</si>
  <si>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</si>
  <si>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</si>
  <si>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</si>
  <si>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</si>
  <si>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</si>
  <si>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</si>
  <si>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</si>
  <si>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</si>
  <si>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</si>
  <si>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</si>
  <si>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</si>
  <si>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</si>
  <si>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</si>
  <si>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</si>
  <si>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</si>
  <si>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</si>
  <si>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</si>
  <si>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</si>
  <si>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</si>
  <si>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</si>
  <si>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</si>
  <si>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</si>
  <si>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</si>
  <si>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</si>
  <si>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</si>
  <si>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</si>
  <si>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</si>
  <si>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</si>
  <si>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</si>
  <si>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</si>
  <si>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</si>
  <si>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</si>
  <si>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</si>
  <si>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</si>
  <si>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</si>
  <si>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</si>
  <si>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</si>
  <si>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</si>
  <si>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</si>
  <si>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</si>
  <si>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</si>
  <si>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</si>
  <si>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</si>
  <si>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</si>
  <si>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</si>
  <si>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</si>
  <si>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</si>
  <si>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</si>
  <si>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</si>
  <si>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</si>
  <si>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</si>
  <si>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</si>
  <si>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</si>
  <si>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</si>
  <si>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</si>
  <si>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</si>
  <si>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</si>
  <si>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</si>
  <si>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</si>
  <si>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</si>
  <si>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</si>
  <si>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</si>
  <si>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</si>
  <si>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</si>
  <si>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</si>
  <si>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</si>
  <si>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</si>
  <si>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</si>
  <si>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</si>
  <si>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</si>
  <si>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</si>
  <si>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</si>
  <si>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</si>
  <si>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</si>
  <si>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</si>
  <si>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</si>
  <si>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</si>
  <si>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</si>
  <si>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</si>
  <si>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</si>
  <si>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</si>
  <si>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</si>
  <si>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</si>
  <si>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</si>
  <si>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</si>
  <si>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</si>
  <si>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</si>
  <si>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</si>
  <si>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</si>
  <si>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</si>
  <si>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</si>
  <si>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</si>
  <si>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</si>
  <si>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</si>
  <si>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</si>
  <si>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</si>
  <si>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</si>
  <si>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</si>
  <si>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</si>
  <si>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</si>
  <si>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</si>
  <si>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</si>
  <si>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</si>
  <si>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</si>
  <si>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</si>
  <si>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</si>
  <si>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</si>
  <si>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</si>
  <si>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</si>
  <si>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</si>
  <si>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</si>
  <si>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</si>
  <si>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</si>
  <si>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</si>
  <si>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</si>
  <si>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</si>
  <si>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</si>
  <si>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</si>
  <si>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</si>
  <si>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</si>
  <si>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</si>
  <si>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</si>
  <si>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</si>
  <si>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</si>
  <si>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</si>
  <si>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</si>
  <si>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</si>
  <si>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</si>
  <si>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</si>
  <si>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</si>
  <si>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</si>
  <si>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</si>
  <si>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</si>
  <si>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</si>
  <si>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</si>
  <si>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</si>
  <si>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</si>
  <si>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</si>
  <si>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</si>
  <si>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</si>
  <si>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</si>
  <si>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</si>
  <si>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</si>
  <si>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</si>
  <si>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</si>
  <si>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</si>
  <si>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</si>
  <si>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</si>
  <si>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</si>
  <si>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</si>
  <si>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</si>
  <si>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</si>
  <si>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</si>
  <si>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</si>
  <si>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</si>
  <si>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</si>
  <si>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</si>
  <si>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</si>
  <si>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</si>
  <si>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</si>
  <si>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</si>
  <si>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</si>
  <si>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</si>
  <si>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</si>
  <si>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</si>
  <si>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</si>
  <si>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</si>
  <si>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</si>
  <si>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</si>
  <si>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</si>
  <si>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</si>
  <si>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</si>
  <si>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</si>
  <si>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</si>
  <si>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</si>
  <si>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</si>
  <si>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</si>
  <si>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</si>
  <si>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</si>
  <si>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</si>
  <si>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</si>
  <si>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</si>
  <si>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</si>
  <si>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</si>
  <si>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</si>
  <si>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CLAUDIO BECERRA</t>
  </si>
  <si>
    <t>BLANCO CARRARA BR</t>
  </si>
  <si>
    <t>N° 12102A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</si>
</sst>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204838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965290"/>
          <a:ext cx="6317227" cy="68825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290</v>
      </c>
      <c r="D10" s="243"/>
      <c r="E10" s="243"/>
      <c r="F10" s="418" t="s">
        <v>277</v>
      </c>
      <c r="G10" s="275">
        <v>46135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/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132395.63318777291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</v>
      </c>
      <c r="C21" s="434" t="s">
        <v>289</v>
      </c>
      <c r="D21" s="431">
        <v>2.21</v>
      </c>
      <c r="E21" s="431">
        <v>0.5</v>
      </c>
      <c r="F21" s="430" t="s">
        <v>291</v>
      </c>
      <c r="G21" s="432">
        <f>Q21</f>
        <v>151592.99999999997</v>
      </c>
      <c r="H21" s="432">
        <f>G21*B21</f>
        <v>151592.99999999997</v>
      </c>
      <c r="I21" s="306"/>
      <c r="J21" s="264"/>
      <c r="K21" s="47"/>
      <c r="L21" s="47">
        <f>B21</f>
        <v>1</v>
      </c>
      <c r="M21" s="39">
        <f>D21+M$19</f>
        <v>2.29</v>
      </c>
      <c r="N21" s="39">
        <f>E21+$N$19</f>
        <v>0.5</v>
      </c>
      <c r="O21" s="260">
        <f t="shared" ref="O21" si="0">M21*N21</f>
        <v>1.145</v>
      </c>
      <c r="P21" s="258">
        <f t="shared" ref="P21" si="1">O21*L21</f>
        <v>1.145</v>
      </c>
      <c r="Q21" s="251">
        <f t="shared" ref="Q21" si="2">Q$20*O21</f>
        <v>151592.99999999997</v>
      </c>
      <c r="R21" s="305">
        <f t="shared" ref="R21" si="3">Q21+R$20</f>
        <v>154592.99999999997</v>
      </c>
      <c r="S21" s="290">
        <f>M21*L21</f>
        <v>2.29</v>
      </c>
      <c r="T21" s="46">
        <f>N21*2*L21*2</f>
        <v>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151592.99999999997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28802.669999999995</v>
      </c>
      <c r="I25" s="308"/>
      <c r="J25" s="264"/>
      <c r="K25" s="47"/>
      <c r="L25" s="47"/>
      <c r="M25" s="39">
        <f>SUM(M21:M24)</f>
        <v>2.29</v>
      </c>
      <c r="N25" s="12"/>
      <c r="O25" s="12"/>
      <c r="P25" s="252">
        <f>SUM(P21:P21)</f>
        <v>1.145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180395.66999999995</v>
      </c>
      <c r="I26" s="308"/>
      <c r="J26" s="264"/>
      <c r="K26" s="47"/>
      <c r="L26" s="47"/>
      <c r="M26" s="39"/>
      <c r="N26" s="12"/>
      <c r="O26" s="12"/>
      <c r="P26" s="252">
        <f>P25</f>
        <v>1.145</v>
      </c>
      <c r="Q26" s="14"/>
      <c r="R26" s="12"/>
      <c r="S26" s="239">
        <f>SUM(S21:S25)</f>
        <v>2.29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0.22900000000000001</v>
      </c>
      <c r="Q27" s="39" t="s">
        <v>129</v>
      </c>
      <c r="R27" s="42"/>
      <c r="S27" s="240">
        <f>S26+T24</f>
        <v>4.29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1.3740000000000001</v>
      </c>
      <c r="Q28" s="14"/>
      <c r="R28" s="14"/>
      <c r="S28" s="238">
        <f>S27*20%</f>
        <v>0.8580000000000001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5.1479999999999997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1.3740000000000001</v>
      </c>
      <c r="N30" s="12">
        <v>4000</v>
      </c>
      <c r="O30" s="12">
        <f t="shared" ref="O30:O35" si="4">M30*N30</f>
        <v>5496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0.4</v>
      </c>
      <c r="N31" s="12">
        <v>24910</v>
      </c>
      <c r="O31" s="12">
        <f t="shared" si="4"/>
        <v>9964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47000</v>
      </c>
      <c r="O33" s="12">
        <f t="shared" si="4"/>
        <v>47000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2.2999999999999998</v>
      </c>
      <c r="N35" s="12">
        <v>1500</v>
      </c>
      <c r="O35" s="12">
        <f t="shared" si="4"/>
        <v>3449.9999999999995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65910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O36*2.3</f>
        <v>151593</v>
      </c>
      <c r="P37" s="14" t="s">
        <v>138</v>
      </c>
      <c r="Q37" s="14"/>
      <c r="R37" s="40">
        <f>P28/R36</f>
        <v>0.37047023295944781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132395.63318777291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2.2999999999999998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46135</v>
      </c>
    </row>
    <row r="6" spans="2:31" ht="16.2" thickBot="1" x14ac:dyDescent="0.35">
      <c r="B6" s="140" t="s">
        <v>2</v>
      </c>
      <c r="C6" s="139" t="str">
        <f>'2229'!C10</f>
        <v>CLAUDIO BECERRA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12102A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-12809.625033454102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151592.99999999997</v>
      </c>
      <c r="E11" s="132">
        <f>D11*0.19</f>
        <v>28802.669999999995</v>
      </c>
      <c r="F11" s="131">
        <f>E11+D11</f>
        <v>180395.66999999995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93180.374966545904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45294.090787439614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75180.374966545904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106298.90921256036</v>
      </c>
      <c r="E13" s="221">
        <f>(D11/D12)-1</f>
        <v>2.3468604262620021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66180.374966545904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27180.374966545896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74735.249799275363</v>
      </c>
      <c r="F15" s="216">
        <f>E15-D12</f>
        <v>29441.159011835749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27180.374966545896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67180.374966545904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9964</v>
      </c>
      <c r="E19" s="123">
        <f>D19*0.19</f>
        <v>1893.16</v>
      </c>
      <c r="F19" s="120">
        <f>SUM(D19:E19)</f>
        <v>11857.16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5496</v>
      </c>
      <c r="E20" s="121">
        <f>D20*0.19</f>
        <v>1044.24</v>
      </c>
      <c r="F20" s="120">
        <f>SUM(D20:E20)</f>
        <v>6540.24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15460</v>
      </c>
      <c r="E21" s="116">
        <f>SUM(E18:E20)</f>
        <v>2937.4</v>
      </c>
      <c r="F21" s="115">
        <f>SUM(F18:F20)</f>
        <v>18397.400000000001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25865.269999999993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151592.99999999997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15460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106298.90921256036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106298.90921256036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12102A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CLAUDIO BECERRA</v>
      </c>
      <c r="D10" s="350"/>
      <c r="E10" s="350"/>
      <c r="F10" s="351" t="s">
        <v>167</v>
      </c>
      <c r="G10" s="352">
        <f>'2229'!G10</f>
        <v>46135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46142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CON RESPALDO FTE 90°</v>
      </c>
      <c r="D22" s="321">
        <f>'2229'!D21*1000</f>
        <v>2210</v>
      </c>
      <c r="E22" s="321">
        <f>'2229'!E21*1000</f>
        <v>500</v>
      </c>
      <c r="F22" s="322" t="str">
        <f>'2229'!F21</f>
        <v>BLANCO CARRARA BR</v>
      </c>
      <c r="G22" s="314">
        <f>'2229'!G21</f>
        <v>151592.99999999997</v>
      </c>
      <c r="H22" s="323">
        <f>G22*B22</f>
        <v>151592.99999999997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151592.99999999997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28802.669999999995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180395.66999999995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CLAUDIO BECERRA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46135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46142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12102A</v>
      </c>
      <c r="C2" s="1">
        <f>'NOTA DE VENTA'!$G$10</f>
        <v>46135</v>
      </c>
      <c r="D2" s="1">
        <f>'NOTA DE VENTA'!$G$11</f>
        <v>46142</v>
      </c>
      <c r="E2" t="str">
        <f>'NOTA DE VENTA'!$C$10</f>
        <v>CLAUDIO BECERRA</v>
      </c>
      <c r="F2" t="str">
        <f>'NOTA DE VENTA'!$C$22</f>
        <v>CUB CON RESPALDO FTE 90°</v>
      </c>
      <c r="G2" t="str">
        <f>'NOTA DE VENTA'!$F$22</f>
        <v>BLANCO CARRARA BR</v>
      </c>
      <c r="H2" s="416">
        <f>'NOTA DE VENTA'!$H$25</f>
        <v>151592.99999999997</v>
      </c>
      <c r="I2" s="416">
        <f>H2*0.19</f>
        <v>28802.669999999995</v>
      </c>
      <c r="J2" s="416">
        <f>I2+H2</f>
        <v>180395.66999999995</v>
      </c>
      <c r="L2" s="61">
        <f>J2-K2</f>
        <v>180395.66999999995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2026-04-23T14:58:09Z</cp:lastPrinted>
  <dcterms:created xsi:type="dcterms:W3CDTF">2013-03-18T13:35:42Z</dcterms:created>
  <dcterms:modified xsi:type="dcterms:W3CDTF">2026-04-23T16:49:02Z</dcterms:modified>
</cp:coreProperties>
</file>