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9A32412E-58A2-41C2-80EE-44246E755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N5" i="6"/>
  <c r="A2" i="7"/>
  <c r="P24" i="1" l="1"/>
  <c r="S25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 s="1"/>
  <c r="H23" i="1" s="1"/>
  <c r="F15" i="3"/>
  <c r="H24" i="1" l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<sst xmlns="http://schemas.openxmlformats.org/spreadsheetml/2006/main" count="486" uniqueCount="295">
  <si>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</si>
  <si>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</si>
  <si>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</si>
  <si>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</si>
  <si>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</si>
  <si>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</si>
  <si>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</si>
  <si>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</si>
  <si>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</si>
  <si>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</si>
  <si>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</si>
  <si>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</si>
  <si>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</si>
  <si>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</si>
  <si>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</si>
  <si>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</si>
  <si>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</si>
  <si>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</si>
  <si>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</si>
  <si>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</si>
  <si>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</si>
  <si>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</si>
  <si>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</si>
  <si>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</si>
  <si>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</si>
  <si>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</si>
  <si>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</si>
  <si>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</si>
  <si>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</si>
  <si>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</si>
  <si>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</si>
  <si>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</si>
  <si>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</si>
  <si>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</si>
  <si>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</si>
  <si>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</si>
  <si>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</si>
  <si>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</si>
  <si>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</si>
  <si>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</si>
  <si>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</si>
  <si>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</si>
  <si>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</si>
  <si>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</si>
  <si>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</si>
  <si>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</si>
  <si>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</si>
  <si>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</si>
  <si>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</si>
  <si>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</si>
  <si>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</si>
  <si>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</si>
  <si>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</si>
  <si>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</si>
  <si>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</si>
  <si>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</si>
  <si>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</si>
  <si>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</si>
  <si>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</si>
  <si>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</si>
  <si>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</si>
  <si>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</si>
  <si>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</si>
  <si>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</si>
  <si>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</si>
  <si>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</si>
  <si>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</si>
  <si>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</si>
  <si>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</si>
  <si>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</si>
  <si>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</si>
  <si>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</si>
  <si>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</si>
  <si>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</si>
  <si>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</si>
  <si>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</si>
  <si>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</si>
  <si>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</si>
  <si>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</si>
  <si>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</si>
  <si>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</si>
  <si>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</si>
  <si>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</si>
  <si>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</si>
  <si>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</si>
  <si>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</si>
  <si>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</si>
  <si>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</si>
  <si>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</si>
  <si>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</si>
  <si>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</si>
  <si>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</si>
  <si>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</si>
  <si>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</si>
  <si>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</si>
  <si>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</si>
  <si>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</si>
  <si>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</si>
  <si>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</si>
  <si>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</si>
  <si>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</si>
  <si>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</si>
  <si>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</si>
  <si>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</si>
  <si>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</si>
  <si>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</si>
  <si>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</si>
  <si>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</si>
  <si>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</si>
  <si>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</si>
  <si>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</si>
  <si>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</si>
  <si>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</si>
  <si>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</si>
  <si>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</si>
  <si>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</si>
  <si>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</si>
  <si>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</si>
  <si>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</si>
  <si>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</si>
  <si>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</si>
  <si>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</si>
  <si>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</si>
  <si>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</si>
  <si>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</si>
  <si>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</si>
  <si>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</si>
  <si>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</si>
  <si>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</si>
  <si>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</si>
  <si>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</si>
  <si>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</si>
  <si>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</si>
  <si>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</si>
  <si>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</si>
  <si>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</si>
  <si>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</si>
  <si>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</si>
  <si>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</si>
  <si>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</si>
  <si>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</si>
  <si>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</si>
  <si>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</si>
  <si>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</si>
  <si>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</si>
  <si>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</si>
  <si>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</si>
  <si>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</si>
  <si>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</si>
  <si>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</si>
  <si>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</si>
  <si>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</si>
  <si>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</si>
  <si>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</si>
  <si>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</si>
  <si>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</si>
  <si>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</si>
  <si>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</si>
  <si>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</si>
  <si>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</si>
  <si>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</si>
  <si>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</si>
  <si>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</si>
  <si>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</si>
  <si>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</si>
  <si>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</si>
  <si>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</si>
  <si>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</si>
  <si>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</si>
  <si>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</si>
  <si>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</si>
  <si>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</si>
  <si>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</si>
  <si>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</si>
  <si>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</si>
  <si>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</si>
  <si>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</si>
  <si>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</si>
  <si>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</si>
  <si>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</si>
  <si>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</si>
  <si>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</si>
  <si>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</si>
  <si>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</si>
  <si>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</si>
  <si>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</si>
  <si>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</si>
  <si>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</si>
  <si>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</si>
  <si>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</si>
  <si>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</si>
  <si>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</si>
  <si>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</si>
  <si>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</si>
  <si>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</si>
  <si>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</si>
  <si>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</si>
  <si>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</si>
  <si>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</si>
  <si>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</si>
  <si>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</si>
  <si>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</si>
  <si>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</si>
  <si>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</si>
  <si>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</si>
  <si>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</si>
  <si>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</si>
  <si>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</si>
  <si>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</si>
  <si>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</si>
  <si>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</si>
  <si>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</si>
  <si>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</si>
  <si>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</si>
  <si>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</si>
  <si>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</si>
  <si>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</si>
  <si>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</si>
  <si>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</si>
  <si>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</si>
  <si>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</si>
  <si>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</si>
  <si>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</si>
  <si>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</si>
  <si>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</si>
  <si>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</si>
  <si>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</si>
  <si>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</si>
  <si>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</si>
  <si>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</si>
  <si>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</si>
  <si>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</si>
  <si>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</si>
  <si>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</si>
  <si>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</si>
  <si>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</si>
  <si>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</si>
  <si>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</si>
  <si>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</si>
  <si>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</si>
  <si>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</si>
  <si>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</si>
  <si>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</si>
  <si>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</si>
  <si>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</si>
  <si>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</si>
  <si>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</si>
  <si>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</si>
  <si>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</si>
  <si>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</si>
  <si>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</si>
  <si>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</si>
  <si>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</si>
  <si>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</si>
  <si>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</si>
  <si>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</si>
  <si>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</si>
  <si>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</si>
  <si>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</si>
  <si>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</si>
  <si>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</si>
  <si>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</si>
  <si>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</si>
  <si>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</si>
  <si>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</si>
  <si>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</si>
  <si>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</si>
  <si>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</si>
  <si>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</si>
  <si>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</si>
  <si>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</si>
  <si>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</si>
  <si>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</si>
  <si>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</si>
  <si>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</si>
  <si>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</si>
  <si>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</si>
  <si>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</si>
  <si>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</si>
  <si>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</si>
  <si>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</si>
  <si>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</si>
  <si>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</si>
  <si>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</si>
  <si>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</si>
  <si>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</si>
  <si>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</si>
  <si>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</si>
  <si>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</si>
  <si>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3 a 5 DIAS HÁBILES</t>
  </si>
  <si>
    <t>IVORY MT</t>
  </si>
  <si>
    <t>RAY</t>
  </si>
  <si>
    <t>N° 12094</t>
  </si>
  <si>
    <t>CUB CON RESPALDO FTE 90°</t>
  </si>
  <si>
    <t>+569 6459 1371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</si>
</sst>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0" fillId="0" borderId="0" xfId="0" quotePrefix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328240"/>
          <a:ext cx="6321037" cy="67611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4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291</v>
      </c>
      <c r="D10" s="243"/>
      <c r="E10" s="243"/>
      <c r="F10" s="418" t="s">
        <v>275</v>
      </c>
      <c r="G10" s="275">
        <v>46125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 t="s">
        <v>289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7" t="s">
        <v>294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79942.702702702707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1">
        <v>1</v>
      </c>
      <c r="C21" s="432" t="s">
        <v>293</v>
      </c>
      <c r="D21" s="433">
        <v>1.8</v>
      </c>
      <c r="E21" s="433">
        <v>0.55000000000000004</v>
      </c>
      <c r="F21" s="434" t="s">
        <v>290</v>
      </c>
      <c r="G21" s="435">
        <f>Q21</f>
        <v>81341.700000000012</v>
      </c>
      <c r="H21" s="436">
        <f>G21*B21</f>
        <v>81341.700000000012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1.85</v>
      </c>
      <c r="N21" s="39">
        <f t="shared" ref="N21" si="2">E21+$N$19</f>
        <v>0.55000000000000004</v>
      </c>
      <c r="O21" s="260">
        <f t="shared" ref="O21" si="3">M21*N21</f>
        <v>1.0175000000000001</v>
      </c>
      <c r="P21" s="258">
        <f t="shared" ref="P21" si="4">O21*L21</f>
        <v>1.0175000000000001</v>
      </c>
      <c r="Q21" s="251">
        <f t="shared" ref="Q21" si="5">Q$20*O21</f>
        <v>81341.700000000012</v>
      </c>
      <c r="R21" s="305">
        <f t="shared" ref="R21" si="6">Q21+R$20</f>
        <v>84341.700000000012</v>
      </c>
      <c r="S21" s="290">
        <f>M21*L21*2</f>
        <v>3.7</v>
      </c>
      <c r="T21" s="46">
        <f>N21*L21*2</f>
        <v>1.1000000000000001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H21</f>
        <v>81341.700000000012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1.1000000000000001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15454.923000000003</v>
      </c>
      <c r="I24" s="308"/>
      <c r="J24" s="264"/>
      <c r="K24" s="47"/>
      <c r="L24" s="430">
        <f>M24*10</f>
        <v>18.5</v>
      </c>
      <c r="M24" s="39">
        <f>SUM(M21:M23)</f>
        <v>1.85</v>
      </c>
      <c r="N24" s="12"/>
      <c r="O24" s="12"/>
      <c r="P24" s="252">
        <f>SUM(P21:P21)</f>
        <v>1.0175000000000001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96796.623000000021</v>
      </c>
      <c r="I25" s="308"/>
      <c r="J25" s="264"/>
      <c r="K25" s="47"/>
      <c r="L25" s="47"/>
      <c r="M25" s="39"/>
      <c r="N25" s="12"/>
      <c r="O25" s="12"/>
      <c r="P25" s="252">
        <f>P24</f>
        <v>1.0175000000000001</v>
      </c>
      <c r="Q25" s="14"/>
      <c r="R25" s="12"/>
      <c r="S25" s="239">
        <f>SUM(S21:S24)</f>
        <v>3.7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0.20350000000000001</v>
      </c>
      <c r="Q26" s="39" t="s">
        <v>128</v>
      </c>
      <c r="R26" s="42"/>
      <c r="S26" s="240">
        <f>S25+T23</f>
        <v>4.8000000000000007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1.2210000000000001</v>
      </c>
      <c r="Q27" s="14"/>
      <c r="R27" s="14"/>
      <c r="S27" s="238">
        <f>S26*20%</f>
        <v>0.96000000000000019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5.7600000000000007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1.2210000000000001</v>
      </c>
      <c r="N29" s="12">
        <v>3500</v>
      </c>
      <c r="O29" s="12">
        <f t="shared" ref="O29:O34" si="7">M29*N29</f>
        <v>4273.5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0.4</v>
      </c>
      <c r="N30" s="12">
        <v>25000</v>
      </c>
      <c r="O30" s="12">
        <f t="shared" si="7"/>
        <v>10000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7"/>
        <v>20000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1.8</v>
      </c>
      <c r="N34" s="12">
        <v>1500</v>
      </c>
      <c r="O34" s="12">
        <f t="shared" si="7"/>
        <v>2700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36973.5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81341.700000000012</v>
      </c>
      <c r="P36" s="14" t="s">
        <v>137</v>
      </c>
      <c r="Q36" s="14"/>
      <c r="R36" s="40">
        <f>P27/R35</f>
        <v>0.32921699741156168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79942.702702702707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46125</v>
      </c>
    </row>
    <row r="6" spans="2:31" ht="16.2" thickBot="1" x14ac:dyDescent="0.35">
      <c r="B6" s="140" t="s">
        <v>2</v>
      </c>
      <c r="C6" s="139" t="str">
        <f>'2229'!C10</f>
        <v>RAY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12094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-1427.3625334541091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81341.700000000012</v>
      </c>
      <c r="E11" s="132">
        <f>D11*0.19</f>
        <v>15454.923000000003</v>
      </c>
      <c r="F11" s="131">
        <f>E11+D11</f>
        <v>96796.623000000021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104562.63746654589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44107.590787439614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86562.637466545886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37234.109212560397</v>
      </c>
      <c r="E13" s="221">
        <f>(D11/D12)-1</f>
        <v>0.84416556306592572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77562.637466545886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38562.637466545893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72777.524799275358</v>
      </c>
      <c r="F15" s="216">
        <f>E15-D12</f>
        <v>28669.934011835743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38562.637466545893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78562.637466545886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4273.5</v>
      </c>
      <c r="E20" s="121">
        <f>D20*0.19</f>
        <v>811.96500000000003</v>
      </c>
      <c r="F20" s="120">
        <f>SUM(D20:E20)</f>
        <v>5085.4650000000001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14273.5</v>
      </c>
      <c r="E21" s="116">
        <f>SUM(E18:E20)</f>
        <v>2711.9650000000001</v>
      </c>
      <c r="F21" s="115">
        <f>SUM(F18:F20)</f>
        <v>16985.465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12742.958000000002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81341.700000000012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14273.5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37234.109212560397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37234.109212560397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12094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RAY</v>
      </c>
      <c r="D10" s="350"/>
      <c r="E10" s="350"/>
      <c r="F10" s="351" t="s">
        <v>165</v>
      </c>
      <c r="G10" s="352">
        <f>'2229'!G10</f>
        <v>46125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46132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IF('2229'!C15="","",'2229'!C15)</f>
        <v>+569 6459 1371</v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e">
        <f>IF('2229'!#REF!="","",'2229'!#REF!)</f>
        <v>#REF!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173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174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180</v>
      </c>
      <c r="C2" s="453"/>
      <c r="D2" s="453"/>
      <c r="E2" s="361"/>
      <c r="G2" s="453" t="s">
        <v>181</v>
      </c>
      <c r="H2" s="453"/>
      <c r="I2" s="453"/>
      <c r="P2" s="454" t="s">
        <v>182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4" t="s">
        <v>182</v>
      </c>
      <c r="M8" s="454"/>
      <c r="N8" s="454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G14" sqref="G1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263</v>
      </c>
      <c r="L3" s="459"/>
      <c r="M3" s="459" t="s">
        <v>264</v>
      </c>
      <c r="N3" s="459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RAY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46125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46132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263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264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270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12094</v>
      </c>
      <c r="C2" s="1">
        <f>'NOTA DE VENTA'!$G$10</f>
        <v>46125</v>
      </c>
      <c r="D2" s="1">
        <f>'NOTA DE VENTA'!$G$11</f>
        <v>46132</v>
      </c>
      <c r="E2" t="str">
        <f>'NOTA DE VENTA'!$C$10</f>
        <v>RAY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2026-04-13T18:30:52Z</cp:lastPrinted>
  <dcterms:created xsi:type="dcterms:W3CDTF">2013-03-18T13:35:42Z</dcterms:created>
  <dcterms:modified xsi:type="dcterms:W3CDTF">2026-04-14T14:04:00Z</dcterms:modified>
</cp:coreProperties>
</file>