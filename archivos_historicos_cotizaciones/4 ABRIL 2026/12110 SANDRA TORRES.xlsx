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E017568B-807F-4B34-B1F0-15BB2F6DA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<sst xmlns="http://schemas.openxmlformats.org/spreadsheetml/2006/main" count="486" uniqueCount="293">
  <si>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</si>
  <si>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</si>
  <si>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</si>
  <si>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</si>
  <si>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</si>
  <si>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</si>
  <si>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</si>
  <si>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</si>
  <si>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</si>
  <si>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</si>
  <si>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</si>
  <si>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</si>
  <si>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</si>
  <si>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</si>
  <si>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</si>
  <si>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</si>
  <si>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</si>
  <si>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</si>
  <si>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</si>
  <si>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</si>
  <si>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</si>
  <si>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</si>
  <si>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</si>
  <si>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</si>
  <si>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</si>
  <si>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</si>
  <si>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</si>
  <si>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</si>
  <si>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</si>
  <si>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</si>
  <si>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</si>
  <si>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</si>
  <si>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</si>
  <si>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</si>
  <si>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</si>
  <si>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</si>
  <si>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</si>
  <si>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</si>
  <si>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</si>
  <si>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</si>
  <si>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</si>
  <si>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</si>
  <si>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</si>
  <si>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</si>
  <si>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</si>
  <si>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</si>
  <si>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</si>
  <si>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</si>
  <si>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</si>
  <si>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</si>
  <si>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</si>
  <si>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</si>
  <si>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</si>
  <si>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</si>
  <si>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</si>
  <si>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</si>
  <si>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</si>
  <si>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</si>
  <si>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</si>
  <si>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</si>
  <si>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</si>
  <si>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</si>
  <si>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</si>
  <si>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</si>
  <si>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</si>
  <si>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</si>
  <si>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</si>
  <si>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</si>
  <si>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</si>
  <si>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</si>
  <si>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</si>
  <si>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</si>
  <si>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</si>
  <si>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</si>
  <si>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</si>
  <si>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</si>
  <si>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</si>
  <si>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</si>
  <si>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</si>
  <si>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</si>
  <si>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</si>
  <si>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</si>
  <si>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</si>
  <si>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</si>
  <si>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</si>
  <si>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</si>
  <si>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</si>
  <si>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</si>
  <si>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</si>
  <si>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</si>
  <si>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</si>
  <si>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</si>
  <si>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</si>
  <si>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</si>
  <si>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</si>
  <si>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</si>
  <si>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</si>
  <si>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</si>
  <si>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</si>
  <si>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</si>
  <si>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</si>
  <si>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</si>
  <si>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</si>
  <si>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</si>
  <si>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</si>
  <si>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</si>
  <si>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</si>
  <si>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</si>
  <si>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</si>
  <si>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</si>
  <si>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</si>
  <si>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</si>
  <si>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</si>
  <si>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</si>
  <si>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</si>
  <si>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</si>
  <si>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</si>
  <si>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</si>
  <si>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</si>
  <si>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</si>
  <si>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</si>
  <si>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</si>
  <si>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</si>
  <si>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</si>
  <si>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</si>
  <si>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</si>
  <si>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</si>
  <si>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</si>
  <si>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</si>
  <si>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</si>
  <si>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</si>
  <si>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</si>
  <si>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</si>
  <si>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</si>
  <si>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</si>
  <si>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</si>
  <si>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</si>
  <si>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</si>
  <si>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</si>
  <si>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</si>
  <si>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</si>
  <si>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</si>
  <si>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</si>
  <si>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</si>
  <si>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</si>
  <si>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</si>
  <si>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</si>
  <si>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</si>
  <si>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</si>
  <si>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</si>
  <si>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</si>
  <si>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</si>
  <si>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</si>
  <si>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</si>
  <si>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</si>
  <si>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</si>
  <si>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</si>
  <si>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</si>
  <si>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</si>
  <si>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</si>
  <si>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</si>
  <si>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</si>
  <si>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</si>
  <si>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</si>
  <si>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</si>
  <si>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</si>
  <si>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</si>
  <si>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</si>
  <si>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</si>
  <si>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</si>
  <si>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</si>
  <si>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</si>
  <si>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</si>
  <si>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</si>
  <si>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</si>
  <si>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</si>
  <si>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</si>
  <si>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</si>
  <si>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</si>
  <si>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</si>
  <si>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</si>
  <si>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</si>
  <si>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</si>
  <si>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</si>
  <si>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</si>
  <si>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</si>
  <si>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</si>
  <si>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</si>
  <si>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</si>
  <si>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</si>
  <si>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</si>
  <si>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</si>
  <si>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</si>
  <si>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</si>
  <si>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</si>
  <si>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</si>
  <si>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</si>
  <si>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</si>
  <si>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</si>
  <si>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</si>
  <si>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</si>
  <si>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</si>
  <si>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</si>
  <si>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</si>
  <si>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</si>
  <si>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</si>
  <si>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</si>
  <si>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</si>
  <si>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</si>
  <si>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</si>
  <si>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</si>
  <si>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</si>
  <si>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</si>
  <si>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</si>
  <si>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</si>
  <si>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</si>
  <si>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</si>
  <si>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</si>
  <si>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</si>
  <si>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</si>
  <si>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</si>
  <si>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</si>
  <si>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</si>
  <si>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</si>
  <si>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</si>
  <si>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</si>
  <si>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</si>
  <si>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</si>
  <si>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</si>
  <si>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</si>
  <si>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</si>
  <si>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</si>
  <si>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</si>
  <si>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</si>
  <si>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</si>
  <si>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</si>
  <si>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</si>
  <si>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</si>
  <si>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</si>
  <si>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</si>
  <si>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</si>
  <si>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</si>
  <si>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</si>
  <si>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</si>
  <si>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</si>
  <si>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</si>
  <si>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</si>
  <si>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</si>
  <si>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</si>
  <si>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</si>
  <si>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</si>
  <si>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</si>
  <si>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</si>
  <si>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</si>
  <si>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</si>
  <si>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</si>
  <si>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</si>
  <si>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</si>
  <si>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</si>
  <si>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</si>
  <si>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</si>
  <si>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</si>
  <si>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</si>
  <si>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</si>
  <si>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</si>
  <si>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</si>
  <si>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</si>
  <si>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</si>
  <si>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</si>
  <si>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</si>
  <si>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</si>
  <si>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</si>
  <si>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</si>
  <si>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</si>
  <si>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</si>
  <si>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</si>
  <si>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</si>
  <si>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</si>
  <si>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</si>
  <si>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</si>
  <si>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</si>
  <si>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</si>
  <si>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</si>
  <si>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</si>
  <si>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</si>
  <si>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</si>
  <si>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</si>
  <si>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</si>
  <si>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SANTIAGO</t>
  </si>
  <si>
    <t>N° 12110</t>
  </si>
  <si>
    <t>SANDRA TORRES</t>
  </si>
  <si>
    <t>+569 8868 9475</t>
  </si>
  <si>
    <t>NEW BLACK GRANITE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</si>
</sst>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213032</xdr:rowOff>
    </xdr:from>
    <xdr:to>
      <xdr:col>5</xdr:col>
      <xdr:colOff>1736459</xdr:colOff>
      <xdr:row>26</xdr:row>
      <xdr:rowOff>24580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06451"/>
          <a:ext cx="6439556" cy="71283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7" t="s">
        <v>277</v>
      </c>
      <c r="G10" s="275">
        <v>46141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288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69182.321031569591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223</v>
      </c>
      <c r="D21" s="431">
        <v>1.65</v>
      </c>
      <c r="E21" s="431">
        <v>0.65</v>
      </c>
      <c r="F21" s="312" t="s">
        <v>292</v>
      </c>
      <c r="G21" s="313">
        <f>Q21</f>
        <v>77795.520000000004</v>
      </c>
      <c r="H21" s="432">
        <f>G21*B21</f>
        <v>77795.520000000004</v>
      </c>
      <c r="I21" s="305"/>
      <c r="J21" s="264"/>
      <c r="K21" s="47"/>
      <c r="L21" s="47">
        <f>B21</f>
        <v>1</v>
      </c>
      <c r="M21" s="39">
        <f>D21+M$19</f>
        <v>1.73</v>
      </c>
      <c r="N21" s="39">
        <f>E21+$N$19</f>
        <v>0.65</v>
      </c>
      <c r="O21" s="260">
        <f t="shared" ref="O21" si="0">M21*N21</f>
        <v>1.1245000000000001</v>
      </c>
      <c r="P21" s="258">
        <f t="shared" ref="P21" si="1">O21*L21</f>
        <v>1.1245000000000001</v>
      </c>
      <c r="Q21" s="251">
        <f t="shared" ref="Q21" si="2">Q$20*O21</f>
        <v>77795.520000000004</v>
      </c>
      <c r="R21" s="304">
        <f t="shared" ref="R21" si="3">Q21+R$20</f>
        <v>80795.520000000004</v>
      </c>
      <c r="S21" s="290">
        <f>M21*L21</f>
        <v>1.73</v>
      </c>
      <c r="T21" s="46">
        <f>N21*2*L21*2</f>
        <v>2.6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77795.520000000004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14781.148800000001</v>
      </c>
      <c r="I25" s="307"/>
      <c r="J25" s="264"/>
      <c r="K25" s="47"/>
      <c r="L25" s="47"/>
      <c r="M25" s="39">
        <f>SUM(M21:M24)</f>
        <v>1.73</v>
      </c>
      <c r="N25" s="12"/>
      <c r="O25" s="12"/>
      <c r="P25" s="252">
        <f>SUM(P21:P23)</f>
        <v>1.1245000000000001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92576.668799999999</v>
      </c>
      <c r="I26" s="307"/>
      <c r="J26" s="264"/>
      <c r="K26" s="47"/>
      <c r="L26" s="47"/>
      <c r="M26" s="39"/>
      <c r="N26" s="12"/>
      <c r="O26" s="12"/>
      <c r="P26" s="252">
        <f>P25</f>
        <v>1.1245000000000001</v>
      </c>
      <c r="Q26" s="14"/>
      <c r="R26" s="12"/>
      <c r="S26" s="239">
        <f>SUM(S21:S25)</f>
        <v>1.73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0.22490000000000002</v>
      </c>
      <c r="Q27" s="39" t="s">
        <v>129</v>
      </c>
      <c r="R27" s="42"/>
      <c r="S27" s="240">
        <f>S26+T24</f>
        <v>4.33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1.3494000000000002</v>
      </c>
      <c r="Q28" s="14"/>
      <c r="R28" s="14"/>
      <c r="S28" s="238">
        <f>S27*20%</f>
        <v>0.8660000000000001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5.1959999999999997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1.3494000000000002</v>
      </c>
      <c r="N30" s="12">
        <v>4000</v>
      </c>
      <c r="O30" s="12">
        <f t="shared" ref="O30:O35" si="4">M30*N30</f>
        <v>5397.6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24910</v>
      </c>
      <c r="O31" s="12">
        <f t="shared" si="4"/>
        <v>9964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4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35361.599999999999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77795.520000000004</v>
      </c>
      <c r="P37" s="14" t="s">
        <v>138</v>
      </c>
      <c r="Q37" s="14"/>
      <c r="R37" s="40">
        <f>P28/R36</f>
        <v>0.36383735979292497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69182.321031569591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46141</v>
      </c>
    </row>
    <row r="6" spans="2:31" ht="16.2" thickBot="1" x14ac:dyDescent="0.35">
      <c r="B6" s="140" t="s">
        <v>2</v>
      </c>
      <c r="C6" s="139" t="str">
        <f>'2229'!C10</f>
        <v>SANDRA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-537.10503345410689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77795.520000000004</v>
      </c>
      <c r="E11" s="132">
        <f>D11*0.19</f>
        <v>14781.148800000001</v>
      </c>
      <c r="F11" s="131">
        <f>E11+D11</f>
        <v>92576.668799999999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105452.89496654589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45195.690787439613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87452.894966545893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32599.829212560391</v>
      </c>
      <c r="E13" s="221">
        <f>(D11/D12)-1</f>
        <v>0.72130392620573125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78452.894966545893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39452.894966545893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74572.889799275363</v>
      </c>
      <c r="F15" s="216">
        <f>E15-D12</f>
        <v>29377.19901183575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39452.894966545893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79452.894966545893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9964</v>
      </c>
      <c r="E19" s="123">
        <f>D19*0.19</f>
        <v>1893.16</v>
      </c>
      <c r="F19" s="120">
        <f>SUM(D19:E19)</f>
        <v>11857.16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5397.6</v>
      </c>
      <c r="E20" s="121">
        <f>D20*0.19</f>
        <v>1025.5440000000001</v>
      </c>
      <c r="F20" s="120">
        <f>SUM(D20:E20)</f>
        <v>6423.1440000000002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15361.6</v>
      </c>
      <c r="E21" s="116">
        <f>SUM(E18:E20)</f>
        <v>2918.7040000000002</v>
      </c>
      <c r="F21" s="115">
        <f>SUM(F18:F20)</f>
        <v>18280.304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11862.444800000001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77795.520000000004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15361.6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32599.829212560391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32599.829212560391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12110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SANDRA TORRES</v>
      </c>
      <c r="D10" s="349"/>
      <c r="E10" s="349"/>
      <c r="F10" s="350" t="s">
        <v>167</v>
      </c>
      <c r="G10" s="351">
        <f>'2229'!G10</f>
        <v>46141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46148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+569 8868 9475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MESA 4 LADOS</v>
      </c>
      <c r="D22" s="320">
        <f>'2229'!D21*1000</f>
        <v>1650</v>
      </c>
      <c r="E22" s="320">
        <f>'2229'!E21*1000</f>
        <v>650</v>
      </c>
      <c r="F22" s="321" t="str">
        <f>'2229'!F21</f>
        <v>NEW BLACK GRANITE BR</v>
      </c>
      <c r="G22" s="313">
        <f>'2229'!G21</f>
        <v>77795.520000000004</v>
      </c>
      <c r="H22" s="322">
        <f>G22*B22</f>
        <v>77795.520000000004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77795.520000000004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14781.148800000001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92576.668799999999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SANDRA TORRES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12110</v>
      </c>
      <c r="C2" s="1">
        <f>'NOTA DE VENTA'!$G$10</f>
        <v>46141</v>
      </c>
      <c r="D2" s="1">
        <f>'NOTA DE VENTA'!$G$11</f>
        <v>46148</v>
      </c>
      <c r="E2" t="str">
        <f>'NOTA DE VENTA'!$C$10</f>
        <v>SANDRA TORRES</v>
      </c>
      <c r="F2" t="str">
        <f>'NOTA DE VENTA'!$C$22</f>
        <v>CUB MESA 4 LADOS</v>
      </c>
      <c r="G2" t="str">
        <f>'NOTA DE VENTA'!$F$22</f>
        <v>NEW BLACK GRANITE BR</v>
      </c>
      <c r="H2" s="415">
        <f>'NOTA DE VENTA'!$H$25</f>
        <v>77795.520000000004</v>
      </c>
      <c r="I2" s="415">
        <f>H2*0.19</f>
        <v>14781.148800000001</v>
      </c>
      <c r="J2" s="415">
        <f>I2+H2</f>
        <v>92576.668799999999</v>
      </c>
      <c r="L2" s="61">
        <f>J2-K2</f>
        <v>92576.668799999999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2026-04-29T18:30:43Z</cp:lastPrinted>
  <dcterms:created xsi:type="dcterms:W3CDTF">2013-03-18T13:35:42Z</dcterms:created>
  <dcterms:modified xsi:type="dcterms:W3CDTF">2026-05-06T13:18:58Z</dcterms:modified>
</cp:coreProperties>
</file>