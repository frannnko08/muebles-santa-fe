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C50B25F5-C146-4905-BD43-AC042E7CD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 s="1"/>
  <c r="P22" i="1" s="1"/>
  <c r="S22" i="1"/>
  <c r="L21" i="1" l="1"/>
  <c r="M21" i="1"/>
  <c r="N21" i="1"/>
  <c r="T21" i="1" l="1"/>
  <c r="S21" i="1"/>
  <c r="O21" i="1"/>
  <c r="P21" i="1" s="1"/>
  <c r="P26" i="1" s="1"/>
  <c r="N5" i="6"/>
  <c r="A2" i="7"/>
  <c r="S27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6" i="1"/>
  <c r="L26" i="1" s="1"/>
  <c r="T25" i="1" l="1"/>
  <c r="S28" i="1" s="1"/>
  <c r="K40" i="1"/>
  <c r="S29" i="1" l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R22" i="1" l="1"/>
  <c r="G22" i="1"/>
  <c r="H22" i="1" s="1"/>
  <c r="Q21" i="1"/>
  <c r="G21" i="1" s="1"/>
  <c r="O40" i="1"/>
  <c r="E15" i="3"/>
  <c r="R21" i="1" l="1"/>
  <c r="H21" i="1"/>
  <c r="F15" i="3"/>
  <c r="H25" i="1" l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<sst xmlns="http://schemas.openxmlformats.org/spreadsheetml/2006/main" count="487" uniqueCount="294">
  <si>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</si>
  <si>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</si>
  <si>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</si>
  <si>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</si>
  <si>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</si>
  <si>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</si>
  <si>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</si>
  <si>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</si>
  <si>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</si>
  <si>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</si>
  <si>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</si>
  <si>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</si>
  <si>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</si>
  <si>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</si>
  <si>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</si>
  <si>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</si>
  <si>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</si>
  <si>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</si>
  <si>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</si>
  <si>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</si>
  <si>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</si>
  <si>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</si>
  <si>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</si>
  <si>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</si>
  <si>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</si>
  <si>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</si>
  <si>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</si>
  <si>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</si>
  <si>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</si>
  <si>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</si>
  <si>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</si>
  <si>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</si>
  <si>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</si>
  <si>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</si>
  <si>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</si>
  <si>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</si>
  <si>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</si>
  <si>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</si>
  <si>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</si>
  <si>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</si>
  <si>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</si>
  <si>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</si>
  <si>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</si>
  <si>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</si>
  <si>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</si>
  <si>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</si>
  <si>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</si>
  <si>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</si>
  <si>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</si>
  <si>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</si>
  <si>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</si>
  <si>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</si>
  <si>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</si>
  <si>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</si>
  <si>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</si>
  <si>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</si>
  <si>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</si>
  <si>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</si>
  <si>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</si>
  <si>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</si>
  <si>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</si>
  <si>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</si>
  <si>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</si>
  <si>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</si>
  <si>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</si>
  <si>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</si>
  <si>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</si>
  <si>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</si>
  <si>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</si>
  <si>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</si>
  <si>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</si>
  <si>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</si>
  <si>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</si>
  <si>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</si>
  <si>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</si>
  <si>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</si>
  <si>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</si>
  <si>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</si>
  <si>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</si>
  <si>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</si>
  <si>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</si>
  <si>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</si>
  <si>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</si>
  <si>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</si>
  <si>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</si>
  <si>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</si>
  <si>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</si>
  <si>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</si>
  <si>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</si>
  <si>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</si>
  <si>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</si>
  <si>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</si>
  <si>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</si>
  <si>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</si>
  <si>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</si>
  <si>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</si>
  <si>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</si>
  <si>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</si>
  <si>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</si>
  <si>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</si>
  <si>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</si>
  <si>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</si>
  <si>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</si>
  <si>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</si>
  <si>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</si>
  <si>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</si>
  <si>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</si>
  <si>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</si>
  <si>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</si>
  <si>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</si>
  <si>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</si>
  <si>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</si>
  <si>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</si>
  <si>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</si>
  <si>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</si>
  <si>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</si>
  <si>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</si>
  <si>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</si>
  <si>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</si>
  <si>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</si>
  <si>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</si>
  <si>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</si>
  <si>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</si>
  <si>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</si>
  <si>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</si>
  <si>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</si>
  <si>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</si>
  <si>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</si>
  <si>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</si>
  <si>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</si>
  <si>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</si>
  <si>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</si>
  <si>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</si>
  <si>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</si>
  <si>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</si>
  <si>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</si>
  <si>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</si>
  <si>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</si>
  <si>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</si>
  <si>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</si>
  <si>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</si>
  <si>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</si>
  <si>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</si>
  <si>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</si>
  <si>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</si>
  <si>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</si>
  <si>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</si>
  <si>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</si>
  <si>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</si>
  <si>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</si>
  <si>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</si>
  <si>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</si>
  <si>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</si>
  <si>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</si>
  <si>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</si>
  <si>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</si>
  <si>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</si>
  <si>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</si>
  <si>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</si>
  <si>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</si>
  <si>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</si>
  <si>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</si>
  <si>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</si>
  <si>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</si>
  <si>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</si>
  <si>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</si>
  <si>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</si>
  <si>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</si>
  <si>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</si>
  <si>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</si>
  <si>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</si>
  <si>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</si>
  <si>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</si>
  <si>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</si>
  <si>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</si>
  <si>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</si>
  <si>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</si>
  <si>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</si>
  <si>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</si>
  <si>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</si>
  <si>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</si>
  <si>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</si>
  <si>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</si>
  <si>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</si>
  <si>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</si>
  <si>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</si>
  <si>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</si>
  <si>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</si>
  <si>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</si>
  <si>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</si>
  <si>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</si>
  <si>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</si>
  <si>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</si>
  <si>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</si>
  <si>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</si>
  <si>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</si>
  <si>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</si>
  <si>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</si>
  <si>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</si>
  <si>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</si>
  <si>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</si>
  <si>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</si>
  <si>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</si>
  <si>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</si>
  <si>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</si>
  <si>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</si>
  <si>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</si>
  <si>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</si>
  <si>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</si>
  <si>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</si>
  <si>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</si>
  <si>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</si>
  <si>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</si>
  <si>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</si>
  <si>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</si>
  <si>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</si>
  <si>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</si>
  <si>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</si>
  <si>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</si>
  <si>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</si>
  <si>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</si>
  <si>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</si>
  <si>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</si>
  <si>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</si>
  <si>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</si>
  <si>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</si>
  <si>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</si>
  <si>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</si>
  <si>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</si>
  <si>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</si>
  <si>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</si>
  <si>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</si>
  <si>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</si>
  <si>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</si>
  <si>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</si>
  <si>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</si>
  <si>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</si>
  <si>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</si>
  <si>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</si>
  <si>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</si>
  <si>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</si>
  <si>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</si>
  <si>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</si>
  <si>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</si>
  <si>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</si>
  <si>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</si>
  <si>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</si>
  <si>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</si>
  <si>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</si>
  <si>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</si>
  <si>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</si>
  <si>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</si>
  <si>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</si>
  <si>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</si>
  <si>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</si>
  <si>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</si>
  <si>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</si>
  <si>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</si>
  <si>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</si>
  <si>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</si>
  <si>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</si>
  <si>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</si>
  <si>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</si>
  <si>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</si>
  <si>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</si>
  <si>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</si>
  <si>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</si>
  <si>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</si>
  <si>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</si>
  <si>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</si>
  <si>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</si>
  <si>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</si>
  <si>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</si>
  <si>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</si>
  <si>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</si>
  <si>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</si>
  <si>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</si>
  <si>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</si>
  <si>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</si>
  <si>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</si>
  <si>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</si>
  <si>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</si>
  <si>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INSTALACIÓN</t>
  </si>
  <si>
    <t>DESPACHO</t>
  </si>
  <si>
    <t>PLAZO ENTREGA</t>
  </si>
  <si>
    <t>SANTIAGO</t>
  </si>
  <si>
    <t>MDF 25MM</t>
  </si>
  <si>
    <t>5 DIAS HABILES</t>
  </si>
  <si>
    <t>LAMINA DE 153X366</t>
  </si>
  <si>
    <t>EMANUEL GOITIA</t>
  </si>
  <si>
    <t>+569 6454 7056</t>
  </si>
  <si>
    <t>CUBIERTA CON RESPALDO Y FRENTE 90°</t>
  </si>
  <si>
    <t>NEO LUNA GRANITE</t>
  </si>
  <si>
    <t>N° 12077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</si>
</sst>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SOBRE MEDIDAS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9" zoomScale="93" zoomScaleNormal="93" workbookViewId="0">
      <selection activeCell="I9" sqref="I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289</v>
      </c>
      <c r="D10" s="243"/>
      <c r="E10" s="243"/>
      <c r="F10" s="418" t="s">
        <v>276</v>
      </c>
      <c r="G10" s="275">
        <v>46118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284</v>
      </c>
      <c r="G11" s="421" t="s">
        <v>287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290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O39</f>
        <v>72787.479674796748</v>
      </c>
      <c r="R20" s="257">
        <v>5000</v>
      </c>
      <c r="S20" s="38"/>
      <c r="T20" s="14" t="s">
        <v>126</v>
      </c>
      <c r="U20" s="9"/>
      <c r="X20" s="4"/>
    </row>
    <row r="21" spans="1:25" ht="17.399999999999999" x14ac:dyDescent="0.3">
      <c r="B21" s="312">
        <v>1</v>
      </c>
      <c r="C21" s="461" t="s">
        <v>291</v>
      </c>
      <c r="D21" s="462">
        <v>2.38</v>
      </c>
      <c r="E21" s="462">
        <v>0.6</v>
      </c>
      <c r="F21" s="313" t="s">
        <v>292</v>
      </c>
      <c r="G21" s="314">
        <f>Q21</f>
        <v>107434.31999999999</v>
      </c>
      <c r="H21" s="463">
        <f>G21*B21</f>
        <v>107434.31999999999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2.46</v>
      </c>
      <c r="N21" s="39">
        <f t="shared" ref="N21" si="2">E21+$N$19</f>
        <v>0.6</v>
      </c>
      <c r="O21" s="260">
        <f t="shared" ref="O21" si="3">M21*N21</f>
        <v>1.476</v>
      </c>
      <c r="P21" s="258">
        <f t="shared" ref="P21" si="4">O21*L21</f>
        <v>1.476</v>
      </c>
      <c r="Q21" s="251">
        <f t="shared" ref="Q21" si="5">Q$20*O21</f>
        <v>107434.31999999999</v>
      </c>
      <c r="R21" s="305">
        <f t="shared" ref="R21" si="6">Q21+R$20</f>
        <v>112434.31999999999</v>
      </c>
      <c r="S21" s="290">
        <f>M21*L21*2</f>
        <v>4.92</v>
      </c>
      <c r="T21" s="46">
        <f>N21*L21*2</f>
        <v>1.2</v>
      </c>
      <c r="U21" s="9"/>
      <c r="X21" s="4"/>
    </row>
    <row r="22" spans="1:25" ht="18" thickBot="1" x14ac:dyDescent="0.35">
      <c r="B22" s="432">
        <v>1</v>
      </c>
      <c r="C22" s="433" t="s">
        <v>291</v>
      </c>
      <c r="D22" s="434">
        <v>1.1499999999999999</v>
      </c>
      <c r="E22" s="434">
        <v>0.6</v>
      </c>
      <c r="F22" s="435" t="s">
        <v>292</v>
      </c>
      <c r="G22" s="436">
        <f>Q22</f>
        <v>53717.159999999996</v>
      </c>
      <c r="H22" s="437">
        <f>G22*B22</f>
        <v>53717.159999999996</v>
      </c>
      <c r="I22" s="306"/>
      <c r="J22" s="264"/>
      <c r="K22" s="47"/>
      <c r="L22" s="47">
        <f t="shared" ref="L22" si="7">B22</f>
        <v>1</v>
      </c>
      <c r="M22" s="39">
        <f t="shared" ref="M22" si="8">D22+M$19</f>
        <v>1.23</v>
      </c>
      <c r="N22" s="39">
        <f t="shared" ref="N22" si="9">E22+$N$19</f>
        <v>0.6</v>
      </c>
      <c r="O22" s="260">
        <f t="shared" ref="O22" si="10">M22*N22</f>
        <v>0.73799999999999999</v>
      </c>
      <c r="P22" s="258">
        <f t="shared" ref="P22" si="11">O22*L22</f>
        <v>0.73799999999999999</v>
      </c>
      <c r="Q22" s="251">
        <f t="shared" ref="Q22" si="12">Q$20*O22</f>
        <v>53717.159999999996</v>
      </c>
      <c r="R22" s="305">
        <f t="shared" ref="R22" si="13">Q22+R$20</f>
        <v>58717.159999999996</v>
      </c>
      <c r="S22" s="290">
        <f>M22*L22*2</f>
        <v>2.46</v>
      </c>
      <c r="T22" s="46"/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161151.47999999998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SUM(T21:T23)</f>
        <v>1.2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50</v>
      </c>
      <c r="H26" s="287">
        <f>H25*19%</f>
        <v>30618.781199999998</v>
      </c>
      <c r="I26" s="308"/>
      <c r="J26" s="264"/>
      <c r="K26" s="47"/>
      <c r="L26" s="431">
        <f>M26*10</f>
        <v>36.9</v>
      </c>
      <c r="M26" s="39">
        <f>SUM(M21:M25)</f>
        <v>3.69</v>
      </c>
      <c r="N26" s="12"/>
      <c r="O26" s="12"/>
      <c r="P26" s="252">
        <f>SUM(P21:P23)</f>
        <v>2.214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191770.26119999998</v>
      </c>
      <c r="I27" s="308"/>
      <c r="J27" s="264"/>
      <c r="K27" s="47"/>
      <c r="L27" s="47"/>
      <c r="M27" s="39"/>
      <c r="N27" s="12"/>
      <c r="O27" s="12"/>
      <c r="P27" s="252">
        <f>P26</f>
        <v>2.214</v>
      </c>
      <c r="Q27" s="14"/>
      <c r="R27" s="12"/>
      <c r="S27" s="239">
        <f>SUM(S21:S26)</f>
        <v>7.38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0.44280000000000003</v>
      </c>
      <c r="Q28" s="39" t="s">
        <v>128</v>
      </c>
      <c r="R28" s="42"/>
      <c r="S28" s="240">
        <f>S27+T25</f>
        <v>8.58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2.6568000000000001</v>
      </c>
      <c r="Q29" s="14"/>
      <c r="R29" s="14"/>
      <c r="S29" s="238">
        <f>S28*20%</f>
        <v>1.7160000000000002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10.295999999999999</v>
      </c>
      <c r="T30" s="14"/>
      <c r="U30" s="294" t="s">
        <v>21</v>
      </c>
      <c r="V30" s="291" t="s">
        <v>148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2.6568000000000001</v>
      </c>
      <c r="N31" s="12">
        <v>3500</v>
      </c>
      <c r="O31" s="12">
        <f t="shared" ref="O31:O36" si="14">M31*N31</f>
        <v>9298.7999999999993</v>
      </c>
      <c r="P31" s="14" t="s">
        <v>21</v>
      </c>
      <c r="Q31" s="14"/>
      <c r="R31" s="14"/>
      <c r="S31" s="241"/>
      <c r="T31" s="14"/>
      <c r="U31" s="294" t="s">
        <v>149</v>
      </c>
      <c r="V31" s="291">
        <v>3625</v>
      </c>
      <c r="W31" s="59" t="s">
        <v>150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0.8</v>
      </c>
      <c r="N32" s="12">
        <v>23500</v>
      </c>
      <c r="O32" s="12">
        <f t="shared" si="14"/>
        <v>18800</v>
      </c>
      <c r="P32" s="39" t="s">
        <v>286</v>
      </c>
      <c r="Q32" s="42"/>
      <c r="R32" s="14"/>
      <c r="S32" s="240"/>
      <c r="T32" s="14"/>
      <c r="U32" s="294"/>
      <c r="V32" s="59">
        <v>906.25</v>
      </c>
      <c r="W32" s="59" t="s">
        <v>151</v>
      </c>
      <c r="X32" s="296"/>
    </row>
    <row r="33" spans="2:24" s="230" customFormat="1" ht="17.399999999999999" x14ac:dyDescent="0.35">
      <c r="B33" s="24" t="s">
        <v>147</v>
      </c>
      <c r="J33" s="261"/>
      <c r="K33" s="232"/>
      <c r="L33" s="249"/>
      <c r="M33" s="14"/>
      <c r="N33" s="249">
        <v>33975</v>
      </c>
      <c r="O33" s="12">
        <f t="shared" si="14"/>
        <v>0</v>
      </c>
      <c r="P33" s="39" t="s">
        <v>288</v>
      </c>
      <c r="Q33" s="42"/>
      <c r="S33" s="240"/>
      <c r="T33" s="255"/>
      <c r="U33" s="59"/>
      <c r="V33" s="59">
        <f>V32*20%</f>
        <v>181.25</v>
      </c>
      <c r="W33" s="296" t="s">
        <v>152</v>
      </c>
      <c r="X33" s="59"/>
    </row>
    <row r="34" spans="2:24" s="230" customFormat="1" ht="17.399999999999999" x14ac:dyDescent="0.35">
      <c r="B34" s="24" t="s">
        <v>161</v>
      </c>
      <c r="C34"/>
      <c r="D34"/>
      <c r="E34"/>
      <c r="F34"/>
      <c r="J34" s="261"/>
      <c r="K34" s="232"/>
      <c r="L34" s="249"/>
      <c r="M34" s="14">
        <v>2</v>
      </c>
      <c r="N34" s="249">
        <v>20000</v>
      </c>
      <c r="O34" s="12">
        <f t="shared" si="14"/>
        <v>40000</v>
      </c>
      <c r="P34" s="14" t="s">
        <v>138</v>
      </c>
      <c r="Q34" s="17"/>
      <c r="S34" s="238"/>
      <c r="T34" s="255"/>
      <c r="U34" s="59"/>
      <c r="V34" s="59">
        <f>V32+V33</f>
        <v>1087.5</v>
      </c>
      <c r="W34" s="296" t="s">
        <v>153</v>
      </c>
      <c r="X34" s="59"/>
    </row>
    <row r="35" spans="2:24" s="230" customFormat="1" ht="17.399999999999999" x14ac:dyDescent="0.35">
      <c r="B35" s="29" t="s">
        <v>123</v>
      </c>
      <c r="C35"/>
      <c r="D35"/>
      <c r="E35"/>
      <c r="F35" s="229" t="s">
        <v>15</v>
      </c>
      <c r="J35" s="261"/>
      <c r="K35" s="259"/>
      <c r="L35" s="249"/>
      <c r="M35" s="248">
        <v>3.6</v>
      </c>
      <c r="N35" s="249">
        <v>900</v>
      </c>
      <c r="O35" s="12">
        <f t="shared" si="14"/>
        <v>3240</v>
      </c>
      <c r="P35" s="14" t="s">
        <v>31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86"/>
      <c r="K36" s="259"/>
      <c r="L36" s="249"/>
      <c r="M36" s="265">
        <v>3.6</v>
      </c>
      <c r="N36" s="12">
        <v>1500</v>
      </c>
      <c r="O36" s="12">
        <f t="shared" si="14"/>
        <v>5400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59"/>
      <c r="L37" s="249"/>
      <c r="M37" s="14"/>
      <c r="N37" s="12"/>
      <c r="O37" s="12">
        <f>SUM(O31:O36)</f>
        <v>76738.8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49"/>
      <c r="M38" s="253" t="s">
        <v>32</v>
      </c>
      <c r="N38" s="12"/>
      <c r="O38" s="254">
        <f>O37*2.1</f>
        <v>161151.48000000001</v>
      </c>
      <c r="P38" s="14" t="s">
        <v>137</v>
      </c>
      <c r="Q38" s="14"/>
      <c r="R38" s="40">
        <f>P29/R37</f>
        <v>0.71635030198446936</v>
      </c>
      <c r="S38"/>
      <c r="T38" s="256"/>
    </row>
    <row r="39" spans="2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72787.479674796748</v>
      </c>
      <c r="P39" s="45" t="s">
        <v>24</v>
      </c>
      <c r="Q39" s="14"/>
      <c r="R39" s="14"/>
      <c r="S39"/>
      <c r="T39" s="238"/>
      <c r="U39" s="59" t="s">
        <v>154</v>
      </c>
      <c r="V39" s="291">
        <v>43650</v>
      </c>
    </row>
    <row r="40" spans="2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156</v>
      </c>
      <c r="V40" s="292" t="s">
        <v>155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157</v>
      </c>
      <c r="V41" s="293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152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49"/>
    </row>
    <row r="45" spans="2:24" x14ac:dyDescent="0.3">
      <c r="L45" s="249"/>
      <c r="T45" s="269"/>
    </row>
    <row r="46" spans="2:24" x14ac:dyDescent="0.3">
      <c r="L46" s="249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144</v>
      </c>
    </row>
    <row r="75" spans="3:15" x14ac:dyDescent="0.3">
      <c r="C75" t="s">
        <v>143</v>
      </c>
    </row>
    <row r="78" spans="3:15" x14ac:dyDescent="0.3">
      <c r="C78" t="s">
        <v>143</v>
      </c>
    </row>
    <row r="155" spans="3:3" x14ac:dyDescent="0.3">
      <c r="C155" t="s">
        <v>143</v>
      </c>
    </row>
    <row r="156" spans="3:3" x14ac:dyDescent="0.3">
      <c r="C156" t="s">
        <v>145</v>
      </c>
    </row>
    <row r="157" spans="3:3" x14ac:dyDescent="0.3">
      <c r="C157" t="s">
        <v>146</v>
      </c>
    </row>
    <row r="582" spans="3:3" x14ac:dyDescent="0.3">
      <c r="C582" t="s">
        <v>143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46118</v>
      </c>
    </row>
    <row r="6" spans="2:31" ht="16.2" thickBot="1" x14ac:dyDescent="0.35">
      <c r="B6" s="140" t="s">
        <v>2</v>
      </c>
      <c r="C6" s="139" t="str">
        <f>'2229'!C10</f>
        <v>EMANUEL GOITIA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12077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-10927.035033454105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161151.47999999998</v>
      </c>
      <c r="E11" s="132">
        <f>D11*0.19</f>
        <v>30618.781199999998</v>
      </c>
      <c r="F11" s="131">
        <f>E11+D11</f>
        <v>191770.26119999998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95062.9649665459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57932.89078743961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77062.9649665459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103218.58921256037</v>
      </c>
      <c r="E13" s="221">
        <f>(D11/D12)-1</f>
        <v>1.7816923652451178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68062.9649665459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29062.964966545893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95589.269799275353</v>
      </c>
      <c r="F15" s="216">
        <f>E15-D12</f>
        <v>37656.379011835743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29062.964966545893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69062.9649665459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9298.7999999999993</v>
      </c>
      <c r="E20" s="121">
        <f>D20*0.19</f>
        <v>1766.7719999999999</v>
      </c>
      <c r="F20" s="120">
        <f>SUM(D20:E20)</f>
        <v>11065.572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28098.799999999999</v>
      </c>
      <c r="E21" s="116">
        <f>SUM(E18:E20)</f>
        <v>5338.7719999999999</v>
      </c>
      <c r="F21" s="115">
        <f>SUM(F18:F20)</f>
        <v>33437.572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25280.009199999997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161151.47999999998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28098.799999999999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103218.58921256037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103218.58921256037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12077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EMANUEL GOITIA</v>
      </c>
      <c r="D10" s="350"/>
      <c r="E10" s="350"/>
      <c r="F10" s="351" t="s">
        <v>166</v>
      </c>
      <c r="G10" s="352">
        <f>'2229'!G10</f>
        <v>46118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46125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+569 6454 7056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174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175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181</v>
      </c>
      <c r="C2" s="453"/>
      <c r="D2" s="453"/>
      <c r="E2" s="361"/>
      <c r="G2" s="453" t="s">
        <v>182</v>
      </c>
      <c r="H2" s="453"/>
      <c r="I2" s="453"/>
      <c r="P2" s="454" t="s">
        <v>183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54" t="s">
        <v>183</v>
      </c>
      <c r="M8" s="454"/>
      <c r="N8" s="454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264</v>
      </c>
      <c r="L3" s="459"/>
      <c r="M3" s="459" t="s">
        <v>265</v>
      </c>
      <c r="N3" s="459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EMANUEL GOITIA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46118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264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265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271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12077</v>
      </c>
      <c r="C2" s="1">
        <f>'NOTA DE VENTA'!$G$10</f>
        <v>46118</v>
      </c>
      <c r="D2" s="1">
        <f>'NOTA DE VENTA'!$G$11</f>
        <v>46125</v>
      </c>
      <c r="E2" t="str">
        <f>'NOTA DE VENTA'!$C$10</f>
        <v>EMANUEL GOITIA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2026-04-06T12:47:20Z</cp:lastPrinted>
  <dcterms:created xsi:type="dcterms:W3CDTF">2013-03-18T13:35:42Z</dcterms:created>
  <dcterms:modified xsi:type="dcterms:W3CDTF">2026-04-06T15:43:09Z</dcterms:modified>
</cp:coreProperties>
</file>