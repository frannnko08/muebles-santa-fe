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1D505088-B445-4999-B058-DB9C21AFE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O22" i="1"/>
  <c r="P22" i="1" s="1"/>
  <c r="S22" i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Q21" i="1" l="1"/>
  <c r="O40" i="1"/>
  <c r="E15" i="3"/>
  <c r="R21" i="1" l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<sst xmlns="http://schemas.openxmlformats.org/spreadsheetml/2006/main" count="232" uniqueCount="175">
  <si>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</si>
  <si>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</si>
  <si>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</si>
  <si>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</si>
  <si>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</si>
  <si>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</si>
  <si>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</si>
  <si>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</si>
  <si>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</si>
  <si>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</si>
  <si>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</si>
  <si>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</si>
  <si>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</si>
  <si>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</si>
  <si>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</si>
  <si>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</si>
  <si>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</si>
  <si>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</si>
  <si>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</si>
  <si>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</si>
  <si>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</si>
  <si>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</si>
  <si>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</si>
  <si>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</si>
  <si>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</si>
  <si>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</si>
  <si>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</si>
  <si>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</si>
  <si>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</si>
  <si>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</si>
  <si>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</si>
  <si>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</si>
  <si>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</si>
  <si>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</si>
  <si>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</si>
  <si>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</si>
  <si>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</si>
  <si>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</si>
  <si>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</si>
  <si>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</si>
  <si>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</si>
  <si>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</si>
  <si>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</si>
  <si>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</si>
  <si>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</si>
  <si>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</si>
  <si>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</si>
  <si>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</si>
  <si>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</si>
  <si>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</si>
  <si>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</si>
  <si>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</si>
  <si>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</si>
  <si>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</si>
  <si>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</si>
  <si>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</si>
  <si>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</si>
  <si>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</si>
  <si>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</si>
  <si>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</si>
  <si>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</si>
  <si>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</si>
  <si>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</si>
  <si>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</si>
  <si>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</si>
  <si>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</si>
  <si>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</si>
  <si>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</si>
  <si>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</si>
  <si>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</si>
  <si>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</si>
  <si>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</si>
  <si>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</si>
  <si>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</si>
  <si>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</si>
  <si>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</si>
  <si>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</si>
  <si>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</si>
  <si>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</si>
  <si>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</si>
  <si>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</si>
  <si>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</si>
  <si>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</si>
  <si>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</si>
  <si>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</si>
  <si>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</si>
  <si>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</si>
  <si>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</si>
  <si>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</si>
  <si>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</si>
  <si>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</si>
  <si>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</si>
  <si>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</si>
  <si>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</si>
  <si>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</si>
  <si>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</si>
  <si>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</si>
  <si>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</si>
  <si>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</si>
  <si>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</si>
  <si>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</si>
  <si>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</si>
  <si>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</si>
  <si>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</si>
  <si>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</si>
  <si>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</si>
  <si>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</si>
  <si>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</si>
  <si>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</si>
  <si>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</si>
  <si>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</si>
  <si>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</si>
  <si>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</si>
  <si>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</si>
  <si>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</si>
  <si>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</si>
  <si>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</si>
  <si>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</si>
  <si>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</si>
  <si>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</si>
  <si>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</si>
  <si>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</si>
  <si>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</si>
  <si>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</si>
  <si>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</si>
  <si>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</si>
  <si>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</si>
  <si>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</si>
  <si>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</si>
  <si>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</si>
  <si>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</si>
  <si>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</si>
  <si>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</si>
  <si>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</si>
  <si>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</si>
  <si>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</si>
  <si>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</si>
  <si>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</si>
  <si>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</si>
  <si>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</si>
  <si>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</si>
  <si>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</si>
  <si>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</si>
  <si>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</si>
  <si>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</si>
  <si>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</si>
  <si>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</si>
  <si>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</si>
  <si>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</si>
  <si>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</si>
  <si>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</si>
  <si>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</si>
  <si>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</si>
  <si>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</si>
  <si>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</si>
  <si>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</si>
  <si>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</si>
  <si>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</si>
  <si>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</si>
  <si>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</si>
  <si>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</si>
  <si>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</si>
  <si>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</si>
  <si>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</si>
  <si>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</si>
  <si>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</si>
  <si>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</si>
  <si>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</si>
  <si>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</si>
  <si>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</si>
  <si>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</si>
  <si>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</si>
  <si>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3 DIAS HABILES</t>
  </si>
  <si>
    <t>N° 12090</t>
  </si>
  <si>
    <t>GLACIAL WITE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</si>
</sst>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8" zoomScale="84" zoomScaleNormal="84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52145.284974093272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2.1</v>
      </c>
      <c r="E21" s="332">
        <v>0.6</v>
      </c>
      <c r="F21" s="330" t="s">
        <v>174</v>
      </c>
      <c r="G21" s="331">
        <v>71206</v>
      </c>
      <c r="H21" s="331">
        <f t="shared" ref="H21:H22" si="1">G21*B21</f>
        <v>71206</v>
      </c>
      <c r="I21" s="320"/>
      <c r="J21" s="265"/>
      <c r="K21" s="47"/>
      <c r="L21" s="333">
        <f>B21</f>
        <v>1</v>
      </c>
      <c r="M21" s="39">
        <f>D21+M$19</f>
        <v>2.1800000000000002</v>
      </c>
      <c r="N21" s="39">
        <f t="shared" ref="N21" si="2">E21+$N$19</f>
        <v>0.6</v>
      </c>
      <c r="O21" s="261">
        <f t="shared" ref="O21" si="3">M21*N21</f>
        <v>1.3080000000000001</v>
      </c>
      <c r="P21" s="259">
        <f t="shared" ref="P21" si="4">O21*L21</f>
        <v>1.3080000000000001</v>
      </c>
      <c r="Q21" s="252">
        <f t="shared" ref="Q21" si="5">Q$20*O21</f>
        <v>68206.032746113997</v>
      </c>
      <c r="R21" s="319">
        <f t="shared" ref="R21" si="6">Q21+R$20</f>
        <v>71206.032746113997</v>
      </c>
      <c r="S21" s="297">
        <f t="shared" ref="S21" si="7">L21*M21</f>
        <v>2.1800000000000002</v>
      </c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1.6</v>
      </c>
      <c r="E22" s="332">
        <v>0.6</v>
      </c>
      <c r="F22" s="330" t="s">
        <v>174</v>
      </c>
      <c r="G22" s="331">
        <v>55562</v>
      </c>
      <c r="H22" s="331">
        <f t="shared" si="1"/>
        <v>55562</v>
      </c>
      <c r="I22" s="320"/>
      <c r="J22" s="265"/>
      <c r="K22" s="47"/>
      <c r="L22" s="333">
        <f>B22</f>
        <v>1</v>
      </c>
      <c r="M22" s="39">
        <f>D22+M$19</f>
        <v>1.6800000000000002</v>
      </c>
      <c r="N22" s="39">
        <f t="shared" ref="N22" si="8">E22+$N$19</f>
        <v>0.6</v>
      </c>
      <c r="O22" s="261">
        <f t="shared" ref="O22" si="9">M22*N22</f>
        <v>1.008</v>
      </c>
      <c r="P22" s="259">
        <f t="shared" ref="P22" si="10">O22*L22</f>
        <v>1.008</v>
      </c>
      <c r="Q22" s="252">
        <f t="shared" ref="Q22" si="11">Q$20*O22</f>
        <v>52562.447253886021</v>
      </c>
      <c r="R22" s="319">
        <f t="shared" ref="R22" si="12">Q22+R$20</f>
        <v>55562.447253886021</v>
      </c>
      <c r="S22" s="297">
        <f t="shared" ref="S22" si="13">L22*M22</f>
        <v>1.6800000000000002</v>
      </c>
      <c r="T22" s="46"/>
      <c r="U22" s="9"/>
      <c r="X22" s="4"/>
    </row>
    <row r="23" spans="1:25" ht="17.399999999999999" x14ac:dyDescent="0.3">
      <c r="B23" s="346"/>
      <c r="C23" s="346"/>
      <c r="D23" s="286"/>
      <c r="E23" s="286"/>
      <c r="F23" s="346"/>
      <c r="G23" s="320"/>
      <c r="H23" s="320"/>
      <c r="I23" s="320"/>
      <c r="J23" s="265"/>
      <c r="K23" s="47"/>
      <c r="L23" s="333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126768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24085.920000000002</v>
      </c>
      <c r="I26" s="322"/>
      <c r="J26" s="265"/>
      <c r="K26" s="47"/>
      <c r="L26" s="47"/>
      <c r="M26" s="39">
        <f>SUM(M21:M25)</f>
        <v>3.8600000000000003</v>
      </c>
      <c r="N26" s="12"/>
      <c r="O26" s="12"/>
      <c r="P26" s="253">
        <f>SUM(P21:P24)</f>
        <v>2.3159999999999998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150853.92000000001</v>
      </c>
      <c r="I27" s="322"/>
      <c r="J27" s="265"/>
      <c r="K27" s="47"/>
      <c r="L27" s="47"/>
      <c r="M27" s="39"/>
      <c r="N27" s="12"/>
      <c r="O27" s="12"/>
      <c r="P27" s="253">
        <f>P26</f>
        <v>2.3159999999999998</v>
      </c>
      <c r="Q27" s="14"/>
      <c r="R27" s="12"/>
      <c r="S27" s="239">
        <f>SUM(S21:S26)</f>
        <v>3.8600000000000003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0.4632</v>
      </c>
      <c r="Q28" s="39" t="s">
        <v>130</v>
      </c>
      <c r="R28" s="42"/>
      <c r="S28" s="240">
        <f>S27+T25</f>
        <v>3.8600000000000003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2.7791999999999999</v>
      </c>
      <c r="Q29" s="14"/>
      <c r="R29" s="14"/>
      <c r="S29" s="238">
        <f>S28*20%</f>
        <v>0.77200000000000013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4.6320000000000006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2.7791999999999999</v>
      </c>
      <c r="N31" s="12">
        <v>1500</v>
      </c>
      <c r="O31" s="12">
        <f t="shared" ref="O31:O36" si="14">M31*N31</f>
        <v>4168.8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24910</v>
      </c>
      <c r="O32" s="12">
        <f t="shared" si="14"/>
        <v>24910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23500</v>
      </c>
      <c r="O33" s="12">
        <f t="shared" si="14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1</v>
      </c>
      <c r="N34" s="250">
        <v>26500</v>
      </c>
      <c r="O34" s="12">
        <f t="shared" si="14"/>
        <v>26500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14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3.86</v>
      </c>
      <c r="N36" s="12">
        <v>500</v>
      </c>
      <c r="O36" s="12">
        <f t="shared" si="14"/>
        <v>1930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57508.800000000003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120768.48000000001</v>
      </c>
      <c r="P38" s="14" t="s">
        <v>140</v>
      </c>
      <c r="Q38" s="14"/>
      <c r="R38" s="40">
        <f>P29/R37</f>
        <v>0.60747540983606552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52145.284974093272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-4926.9550334541082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126768</v>
      </c>
      <c r="E11" s="132">
        <f>D11*0.19</f>
        <v>24085.920000000002</v>
      </c>
      <c r="F11" s="131">
        <f>E11+D11</f>
        <v>150853.92000000001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101063.04496654589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58912.89078743961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83063.044966545887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67855.10921256039</v>
      </c>
      <c r="E13" s="221">
        <f>(D11/D12)-1</f>
        <v>1.1517871268171973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74063.044966545887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35063.044966545895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97206.269799275353</v>
      </c>
      <c r="F15" s="216">
        <f>E15-D12</f>
        <v>38293.379011835743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35063.044966545895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75063.044966545887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24910</v>
      </c>
      <c r="E19" s="123">
        <f>D19*0.19</f>
        <v>4732.8999999999996</v>
      </c>
      <c r="F19" s="120">
        <f>SUM(D19:E19)</f>
        <v>29642.9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4168.8</v>
      </c>
      <c r="E20" s="121">
        <f>D20*0.19</f>
        <v>792.072</v>
      </c>
      <c r="F20" s="120">
        <f>SUM(D20:E20)</f>
        <v>4960.8720000000003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29078.799999999999</v>
      </c>
      <c r="E21" s="116">
        <f>SUM(E18:E20)</f>
        <v>5524.9719999999998</v>
      </c>
      <c r="F21" s="115">
        <f>SUM(F18:F20)</f>
        <v>34603.772000000004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18560.948000000004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126768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29078.799999999999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67855.10921256039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67855.10921256039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2026-04-10T14:44:13Z</dcterms:modified>
</cp:coreProperties>
</file>