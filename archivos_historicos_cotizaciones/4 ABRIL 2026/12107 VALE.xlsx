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4FADB8BD-66EC-43C9-A501-4091E47F45C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7" i="1"/>
  <c r="P28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8" i="1" l="1"/>
  <c r="S21" i="1"/>
  <c r="S29" i="1" s="1"/>
  <c r="T21" i="1"/>
  <c r="T27" i="1" s="1"/>
  <c r="O21" i="1"/>
  <c r="P21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Q23" i="1"/>
  <c r="Q24" i="1"/>
  <c r="O42" i="1"/>
  <c r="E15" i="3"/>
  <c r="R24" i="1" l="1"/>
  <c r="G24" i="1"/>
  <c r="H24" i="1" s="1"/>
  <c r="R23" i="1"/>
  <c r="G23" i="1"/>
  <c r="H23" i="1" s="1"/>
  <c r="R22" i="1"/>
  <c r="G22" i="1"/>
  <c r="H22" i="1" s="1"/>
  <c r="Q21" i="1"/>
  <c r="G21" i="1" s="1"/>
  <c r="F15" i="3"/>
  <c r="R21" i="1" l="1"/>
  <c r="H21" i="1" l="1"/>
  <c r="H28" i="1" l="1"/>
  <c r="H29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<sst xmlns="http://schemas.openxmlformats.org/spreadsheetml/2006/main" count="493" uniqueCount="296">
  <si>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</si>
  <si>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</si>
  <si>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</si>
  <si>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</si>
  <si>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</si>
  <si>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</si>
  <si>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</si>
  <si>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</si>
  <si>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</si>
  <si>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</si>
  <si>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</si>
  <si>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</si>
  <si>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</si>
  <si>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</si>
  <si>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</si>
  <si>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</si>
  <si>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</si>
  <si>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</si>
  <si>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</si>
  <si>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</si>
  <si>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</si>
  <si>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</si>
  <si>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</si>
  <si>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</si>
  <si>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</si>
  <si>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</si>
  <si>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</si>
  <si>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</si>
  <si>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</si>
  <si>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</si>
  <si>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</si>
  <si>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</si>
  <si>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</si>
  <si>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</si>
  <si>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</si>
  <si>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</si>
  <si>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</si>
  <si>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</si>
  <si>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</si>
  <si>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</si>
  <si>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</si>
  <si>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</si>
  <si>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</si>
  <si>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</si>
  <si>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</si>
  <si>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</si>
  <si>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</si>
  <si>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</si>
  <si>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</si>
  <si>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</si>
  <si>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</si>
  <si>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</si>
  <si>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</si>
  <si>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</si>
  <si>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</si>
  <si>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</si>
  <si>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</si>
  <si>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</si>
  <si>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</si>
  <si>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</si>
  <si>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</si>
  <si>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</si>
  <si>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</si>
  <si>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</si>
  <si>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</si>
  <si>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</si>
  <si>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</si>
  <si>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</si>
  <si>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</si>
  <si>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</si>
  <si>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</si>
  <si>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</si>
  <si>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</si>
  <si>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</si>
  <si>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</si>
  <si>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</si>
  <si>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</si>
  <si>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</si>
  <si>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</si>
  <si>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</si>
  <si>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</si>
  <si>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</si>
  <si>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</si>
  <si>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</si>
  <si>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</si>
  <si>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</si>
  <si>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</si>
  <si>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</si>
  <si>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</si>
  <si>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</si>
  <si>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</si>
  <si>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</si>
  <si>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</si>
  <si>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</si>
  <si>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</si>
  <si>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</si>
  <si>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</si>
  <si>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</si>
  <si>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</si>
  <si>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</si>
  <si>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</si>
  <si>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</si>
  <si>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</si>
  <si>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</si>
  <si>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</si>
  <si>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</si>
  <si>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</si>
  <si>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</si>
  <si>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</si>
  <si>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</si>
  <si>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</si>
  <si>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</si>
  <si>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</si>
  <si>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</si>
  <si>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</si>
  <si>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</si>
  <si>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</si>
  <si>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</si>
  <si>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</si>
  <si>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</si>
  <si>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</si>
  <si>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</si>
  <si>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</si>
  <si>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</si>
  <si>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</si>
  <si>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</si>
  <si>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</si>
  <si>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</si>
  <si>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</si>
  <si>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</si>
  <si>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</si>
  <si>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</si>
  <si>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</si>
  <si>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</si>
  <si>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</si>
  <si>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</si>
  <si>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</si>
  <si>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</si>
  <si>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</si>
  <si>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</si>
  <si>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</si>
  <si>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</si>
  <si>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</si>
  <si>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</si>
  <si>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</si>
  <si>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</si>
  <si>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</si>
  <si>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</si>
  <si>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</si>
  <si>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</si>
  <si>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</si>
  <si>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</si>
  <si>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</si>
  <si>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</si>
  <si>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</si>
  <si>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</si>
  <si>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</si>
  <si>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</si>
  <si>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</si>
  <si>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</si>
  <si>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</si>
  <si>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</si>
  <si>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</si>
  <si>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</si>
  <si>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</si>
  <si>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</si>
  <si>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</si>
  <si>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</si>
  <si>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</si>
  <si>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</si>
  <si>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</si>
  <si>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</si>
  <si>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</si>
  <si>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</si>
  <si>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</si>
  <si>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</si>
  <si>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</si>
  <si>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</si>
  <si>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</si>
  <si>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</si>
  <si>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</si>
  <si>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</si>
  <si>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</si>
  <si>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</si>
  <si>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</si>
  <si>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</si>
  <si>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</si>
  <si>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</si>
  <si>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</si>
  <si>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</si>
  <si>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</si>
  <si>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</si>
  <si>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</si>
  <si>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</si>
  <si>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</si>
  <si>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</si>
  <si>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</si>
  <si>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</si>
  <si>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</si>
  <si>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</si>
  <si>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</si>
  <si>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</si>
  <si>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</si>
  <si>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</si>
  <si>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</si>
  <si>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</si>
  <si>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</si>
  <si>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</si>
  <si>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</si>
  <si>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</si>
  <si>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</si>
  <si>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</si>
  <si>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</si>
  <si>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</si>
  <si>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</si>
  <si>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</si>
  <si>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</si>
  <si>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</si>
  <si>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</si>
  <si>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</si>
  <si>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</si>
  <si>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</si>
  <si>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</si>
  <si>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</si>
  <si>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</si>
  <si>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</si>
  <si>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</si>
  <si>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</si>
  <si>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</si>
  <si>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</si>
  <si>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</si>
  <si>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</si>
  <si>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</si>
  <si>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</si>
  <si>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</si>
  <si>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</si>
  <si>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</si>
  <si>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</si>
  <si>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</si>
  <si>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</si>
  <si>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</si>
  <si>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</si>
  <si>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</si>
  <si>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</si>
  <si>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</si>
  <si>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</si>
  <si>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</si>
  <si>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</si>
  <si>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</si>
  <si>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</si>
  <si>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</si>
  <si>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</si>
  <si>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</si>
  <si>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</si>
  <si>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</si>
  <si>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</si>
  <si>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</si>
  <si>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</si>
  <si>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</si>
  <si>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</si>
  <si>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</si>
  <si>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</si>
  <si>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</si>
  <si>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</si>
  <si>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</si>
  <si>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</si>
  <si>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</si>
  <si>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</si>
  <si>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</si>
  <si>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</si>
  <si>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</si>
  <si>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</si>
  <si>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</si>
  <si>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</si>
  <si>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</si>
  <si>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</si>
  <si>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</si>
  <si>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</si>
  <si>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</si>
  <si>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</si>
  <si>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</si>
  <si>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</si>
  <si>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</si>
  <si>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</si>
  <si>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</si>
  <si>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</si>
  <si>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</si>
  <si>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</si>
  <si>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CUB CON RESPALDO FTE 90°</t>
  </si>
  <si>
    <t>GRANITINO NEGRO BR</t>
  </si>
  <si>
    <t>VALE EVANS</t>
  </si>
  <si>
    <t>SANTIAGO</t>
  </si>
  <si>
    <t>SERVICIO INSTALACION</t>
  </si>
  <si>
    <t>+56 9 9895 2360</t>
  </si>
  <si>
    <t>N° 12107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</si>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</sst>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153629</xdr:rowOff>
    </xdr:from>
    <xdr:to>
      <xdr:col>5</xdr:col>
      <xdr:colOff>1736459</xdr:colOff>
      <xdr:row>28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EL</a:t>
          </a:r>
          <a:r>
            <a:rPr lang="es-CL" sz="1200" b="1" baseline="0"/>
            <a:t> SERVICIO DE INSTALACION INCLUYE FLETE, MONTURA DE CUBIERTAS, CORTES DESFONDADOS, CORTES A LA MEDIDA Y ENCHAPADOS. NO INCLUYE SERVICIOS DE GASFITERIA.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B2" zoomScale="93" zoomScaleNormal="93" workbookViewId="0">
      <selection activeCell="G16" sqref="G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7" t="s">
        <v>277</v>
      </c>
      <c r="G10" s="275">
        <v>46140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295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295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293</v>
      </c>
      <c r="D15" s="424"/>
      <c r="F15" s="29" t="s">
        <v>284</v>
      </c>
      <c r="G15" s="75" t="s">
        <v>295</v>
      </c>
      <c r="H15" s="421"/>
    </row>
    <row r="16" spans="2:24" x14ac:dyDescent="0.3">
      <c r="B16" s="301" t="s">
        <v>3</v>
      </c>
      <c r="C16" s="433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291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72356.28865979382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1">
        <v>1</v>
      </c>
      <c r="C21" s="430" t="s">
        <v>288</v>
      </c>
      <c r="D21" s="431">
        <v>3.26</v>
      </c>
      <c r="E21" s="431">
        <v>0.55000000000000004</v>
      </c>
      <c r="F21" s="312" t="s">
        <v>289</v>
      </c>
      <c r="G21" s="313">
        <f>Q21</f>
        <v>132918.50226804125</v>
      </c>
      <c r="H21" s="432">
        <f>G21*B21</f>
        <v>132918.50226804125</v>
      </c>
      <c r="I21" s="305"/>
      <c r="J21" s="264"/>
      <c r="K21" s="47"/>
      <c r="L21" s="47">
        <f>B21</f>
        <v>1</v>
      </c>
      <c r="M21" s="39">
        <f>D21+M$19</f>
        <v>3.34</v>
      </c>
      <c r="N21" s="39">
        <f>E21+$N$19</f>
        <v>0.55000000000000004</v>
      </c>
      <c r="O21" s="260">
        <f t="shared" ref="O21" si="0">M21*N21</f>
        <v>1.837</v>
      </c>
      <c r="P21" s="258">
        <f t="shared" ref="P21" si="1">O21*L21</f>
        <v>1.837</v>
      </c>
      <c r="Q21" s="251">
        <f t="shared" ref="Q21" si="2">Q$20*O21</f>
        <v>132918.50226804125</v>
      </c>
      <c r="R21" s="304">
        <f t="shared" ref="R21" si="3">Q21+R$20</f>
        <v>135918.50226804125</v>
      </c>
      <c r="S21" s="290">
        <f>M21*L21</f>
        <v>3.34</v>
      </c>
      <c r="T21" s="46">
        <f>N21*2*L21*2</f>
        <v>2.2000000000000002</v>
      </c>
      <c r="U21" s="9"/>
      <c r="X21" s="4"/>
    </row>
    <row r="22" spans="2:25" ht="17.399999999999999" x14ac:dyDescent="0.3">
      <c r="B22" s="461">
        <v>1</v>
      </c>
      <c r="C22" s="458" t="s">
        <v>288</v>
      </c>
      <c r="D22" s="459">
        <v>0.37</v>
      </c>
      <c r="E22" s="459">
        <v>0.55000000000000004</v>
      </c>
      <c r="F22" s="457" t="s">
        <v>289</v>
      </c>
      <c r="G22" s="460">
        <f t="shared" ref="G22:G24" si="4">Q22</f>
        <v>17908.18144329897</v>
      </c>
      <c r="H22" s="462">
        <f t="shared" ref="H22:H24" si="5">G22*B22</f>
        <v>17908.18144329897</v>
      </c>
      <c r="I22" s="305"/>
      <c r="J22" s="264"/>
      <c r="K22" s="47"/>
      <c r="L22" s="47">
        <f t="shared" ref="L22:L24" si="6">B22</f>
        <v>1</v>
      </c>
      <c r="M22" s="39">
        <f t="shared" ref="M22:M24" si="7">D22+M$19</f>
        <v>0.45</v>
      </c>
      <c r="N22" s="39">
        <f t="shared" ref="N22:N24" si="8">E22+$N$19</f>
        <v>0.55000000000000004</v>
      </c>
      <c r="O22" s="260">
        <f t="shared" ref="O22:O24" si="9">M22*N22</f>
        <v>0.24750000000000003</v>
      </c>
      <c r="P22" s="258">
        <f t="shared" ref="P22:P24" si="10">O22*L22</f>
        <v>0.24750000000000003</v>
      </c>
      <c r="Q22" s="251">
        <f t="shared" ref="Q22:Q24" si="11">Q$20*O22</f>
        <v>17908.18144329897</v>
      </c>
      <c r="R22" s="304">
        <f t="shared" ref="R22:R24" si="12">Q22+R$20</f>
        <v>20908.18144329897</v>
      </c>
      <c r="S22" s="290">
        <f t="shared" ref="S22:S24" si="13">M22*L22</f>
        <v>0.45</v>
      </c>
      <c r="T22" s="46"/>
      <c r="U22" s="9"/>
      <c r="X22" s="4"/>
    </row>
    <row r="23" spans="2:25" ht="17.399999999999999" x14ac:dyDescent="0.3">
      <c r="B23" s="461">
        <v>1</v>
      </c>
      <c r="C23" s="458" t="s">
        <v>288</v>
      </c>
      <c r="D23" s="459">
        <v>0.18</v>
      </c>
      <c r="E23" s="459">
        <v>0.55000000000000004</v>
      </c>
      <c r="F23" s="457" t="s">
        <v>289</v>
      </c>
      <c r="G23" s="460">
        <f t="shared" si="4"/>
        <v>10346.949278350517</v>
      </c>
      <c r="H23" s="462">
        <f t="shared" si="5"/>
        <v>10346.949278350517</v>
      </c>
      <c r="I23" s="305"/>
      <c r="J23" s="264"/>
      <c r="K23" s="47"/>
      <c r="L23" s="47">
        <f t="shared" si="6"/>
        <v>1</v>
      </c>
      <c r="M23" s="39">
        <f t="shared" si="7"/>
        <v>0.26</v>
      </c>
      <c r="N23" s="39">
        <f t="shared" si="8"/>
        <v>0.55000000000000004</v>
      </c>
      <c r="O23" s="260">
        <f t="shared" si="9"/>
        <v>0.14300000000000002</v>
      </c>
      <c r="P23" s="258">
        <f t="shared" si="10"/>
        <v>0.14300000000000002</v>
      </c>
      <c r="Q23" s="251">
        <f t="shared" si="11"/>
        <v>10346.949278350517</v>
      </c>
      <c r="R23" s="304">
        <f t="shared" si="12"/>
        <v>13346.949278350517</v>
      </c>
      <c r="S23" s="290">
        <f t="shared" si="13"/>
        <v>0.26</v>
      </c>
      <c r="T23" s="46"/>
      <c r="U23" s="9"/>
      <c r="X23" s="4"/>
    </row>
    <row r="24" spans="2:25" ht="17.399999999999999" x14ac:dyDescent="0.3">
      <c r="B24" s="461">
        <v>1</v>
      </c>
      <c r="C24" s="458" t="s">
        <v>288</v>
      </c>
      <c r="D24" s="459">
        <v>0.72</v>
      </c>
      <c r="E24" s="459">
        <v>0.55000000000000004</v>
      </c>
      <c r="F24" s="457" t="s">
        <v>289</v>
      </c>
      <c r="G24" s="460">
        <f t="shared" si="4"/>
        <v>31836.767010309282</v>
      </c>
      <c r="H24" s="462">
        <f t="shared" si="5"/>
        <v>31836.767010309282</v>
      </c>
      <c r="I24" s="305"/>
      <c r="J24" s="264"/>
      <c r="K24" s="47"/>
      <c r="L24" s="47">
        <f t="shared" si="6"/>
        <v>1</v>
      </c>
      <c r="M24" s="39">
        <f t="shared" si="7"/>
        <v>0.79999999999999993</v>
      </c>
      <c r="N24" s="39">
        <f t="shared" si="8"/>
        <v>0.55000000000000004</v>
      </c>
      <c r="O24" s="260">
        <f t="shared" si="9"/>
        <v>0.44</v>
      </c>
      <c r="P24" s="258">
        <f t="shared" si="10"/>
        <v>0.44</v>
      </c>
      <c r="Q24" s="251">
        <f t="shared" si="11"/>
        <v>31836.767010309282</v>
      </c>
      <c r="R24" s="304">
        <f t="shared" si="12"/>
        <v>34836.767010309282</v>
      </c>
      <c r="S24" s="290">
        <f t="shared" si="13"/>
        <v>0.79999999999999993</v>
      </c>
      <c r="T24" s="46"/>
      <c r="U24" s="9"/>
      <c r="X24" s="4"/>
    </row>
    <row r="25" spans="2:25" ht="18" thickBot="1" x14ac:dyDescent="0.35">
      <c r="B25" s="463">
        <v>1</v>
      </c>
      <c r="C25" s="464" t="s">
        <v>292</v>
      </c>
      <c r="D25" s="465"/>
      <c r="E25" s="465"/>
      <c r="F25" s="466"/>
      <c r="G25" s="467">
        <v>150000</v>
      </c>
      <c r="H25" s="468">
        <f>G25</f>
        <v>150000</v>
      </c>
      <c r="I25" s="305"/>
      <c r="J25" s="264"/>
      <c r="K25" s="47"/>
      <c r="L25" s="47"/>
      <c r="M25" s="39"/>
      <c r="N25" s="39"/>
      <c r="O25" s="260"/>
      <c r="P25" s="258"/>
      <c r="Q25" s="251"/>
      <c r="R25" s="304"/>
      <c r="S25" s="290"/>
      <c r="T25" s="46"/>
      <c r="U25" s="9"/>
      <c r="X25" s="4"/>
    </row>
    <row r="26" spans="2:25" ht="18" thickBot="1" x14ac:dyDescent="0.35">
      <c r="B26" s="283"/>
      <c r="C26" s="324"/>
      <c r="D26" s="284"/>
      <c r="E26" s="284"/>
      <c r="F26" s="283"/>
      <c r="G26" s="264"/>
      <c r="H26" s="306"/>
      <c r="I26" s="308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09" t="s">
        <v>28</v>
      </c>
      <c r="H27" s="310">
        <f>SUM(H21:H25)</f>
        <v>343010.4</v>
      </c>
      <c r="I27" s="307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SUM(T21:T21)</f>
        <v>2.2000000000000002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>
        <f>H27*19%</f>
        <v>65171.976000000002</v>
      </c>
      <c r="I28" s="307"/>
      <c r="J28" s="264"/>
      <c r="K28" s="47"/>
      <c r="L28" s="47"/>
      <c r="M28" s="39">
        <f>SUM(M21:M27)</f>
        <v>4.8499999999999996</v>
      </c>
      <c r="N28" s="12"/>
      <c r="O28" s="12"/>
      <c r="P28" s="252">
        <f>SUM(P21:P26)</f>
        <v>2.6675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408182.37600000005</v>
      </c>
      <c r="I29" s="307"/>
      <c r="J29" s="264"/>
      <c r="K29" s="47"/>
      <c r="L29" s="47"/>
      <c r="M29" s="39"/>
      <c r="N29" s="12"/>
      <c r="O29" s="12"/>
      <c r="P29" s="252">
        <f>P28</f>
        <v>2.6675</v>
      </c>
      <c r="Q29" s="14"/>
      <c r="R29" s="12"/>
      <c r="S29" s="239">
        <f>SUM(S21:S28)</f>
        <v>4.8499999999999996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0.53349999999999997</v>
      </c>
      <c r="Q30" s="39" t="s">
        <v>129</v>
      </c>
      <c r="R30" s="42"/>
      <c r="S30" s="240">
        <f>S29+T27</f>
        <v>7.05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3.2010000000000001</v>
      </c>
      <c r="Q31" s="14"/>
      <c r="R31" s="14"/>
      <c r="S31" s="238">
        <f>S30*20%</f>
        <v>1.4100000000000001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8.4600000000000009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3.2010000000000001</v>
      </c>
      <c r="N33" s="12">
        <v>4000</v>
      </c>
      <c r="O33" s="12">
        <f t="shared" ref="O33:O38" si="14">M33*N33</f>
        <v>12804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0.8</v>
      </c>
      <c r="N34" s="12">
        <v>24910</v>
      </c>
      <c r="O34" s="12">
        <f t="shared" si="14"/>
        <v>19928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14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1</v>
      </c>
      <c r="N36" s="249">
        <v>55000</v>
      </c>
      <c r="O36" s="12">
        <f t="shared" si="14"/>
        <v>55000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14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1500</v>
      </c>
      <c r="O38" s="12">
        <f t="shared" si="14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87732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O39*2.2</f>
        <v>193010.40000000002</v>
      </c>
      <c r="P40" s="14" t="s">
        <v>138</v>
      </c>
      <c r="Q40" s="14"/>
      <c r="R40" s="40">
        <f>P31/R39</f>
        <v>0.86308239861949954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42800</v>
      </c>
      <c r="L41" s="249"/>
      <c r="M41" s="14"/>
      <c r="N41" s="12"/>
      <c r="O41" s="12">
        <f>O40/P29</f>
        <v>72356.28865979382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35966.386554621851</v>
      </c>
      <c r="L42" s="249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46140</v>
      </c>
    </row>
    <row r="6" spans="2:31" ht="16.2" thickBot="1" x14ac:dyDescent="0.35">
      <c r="B6" s="140" t="s">
        <v>2</v>
      </c>
      <c r="C6" s="139" t="str">
        <f>'2229'!C10</f>
        <v>VALE EVANS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12107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-39962.72503345411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343010.4</v>
      </c>
      <c r="E11" s="132">
        <f>D11*0.19</f>
        <v>65171.976000000002</v>
      </c>
      <c r="F11" s="131">
        <f>E11+D11</f>
        <v>408182.37600000005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66027.274966545898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62566.090787439614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48027.27496654589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280444.30921256042</v>
      </c>
      <c r="E13" s="221">
        <f>(D11/D12)-1</f>
        <v>4.4823690545943569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39027.27496654589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27.274966545890493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103234.04979927535</v>
      </c>
      <c r="F15" s="216">
        <f>E15-D12</f>
        <v>40667.959011835737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27.274966545890493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40027.27496654589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19928</v>
      </c>
      <c r="E19" s="123">
        <f>D19*0.19</f>
        <v>3786.32</v>
      </c>
      <c r="F19" s="120">
        <f>SUM(D19:E19)</f>
        <v>23714.32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12804</v>
      </c>
      <c r="E20" s="121">
        <f>D20*0.19</f>
        <v>2432.7600000000002</v>
      </c>
      <c r="F20" s="120">
        <f>SUM(D20:E20)</f>
        <v>15236.76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32732</v>
      </c>
      <c r="E21" s="116">
        <f>SUM(E18:E20)</f>
        <v>6219.08</v>
      </c>
      <c r="F21" s="115">
        <f>SUM(F18:F20)</f>
        <v>38951.08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58952.896000000001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343010.4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32732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280444.30921256042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280444.30921256042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12107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VALE EVANS</v>
      </c>
      <c r="D10" s="349"/>
      <c r="E10" s="349"/>
      <c r="F10" s="350" t="s">
        <v>167</v>
      </c>
      <c r="G10" s="351">
        <f>'2229'!G10</f>
        <v>46140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46147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SI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+56 9 9895 2360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FTE 90°</v>
      </c>
      <c r="D22" s="320">
        <f>'2229'!D21*1000</f>
        <v>3260</v>
      </c>
      <c r="E22" s="320">
        <f>'2229'!E21*1000</f>
        <v>550</v>
      </c>
      <c r="F22" s="321" t="str">
        <f>'2229'!F21</f>
        <v>GRANITINO NEGRO BR</v>
      </c>
      <c r="G22" s="313">
        <f>'2229'!G21</f>
        <v>132918.50226804125</v>
      </c>
      <c r="H22" s="322">
        <f>G22*B22</f>
        <v>132918.50226804125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132918.50226804125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25254.515430927837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158173.01769896908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0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VALE EVANS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46140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46147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12107</v>
      </c>
      <c r="C2" s="1">
        <f>'NOTA DE VENTA'!$G$10</f>
        <v>46140</v>
      </c>
      <c r="D2" s="1">
        <f>'NOTA DE VENTA'!$G$11</f>
        <v>46147</v>
      </c>
      <c r="E2" t="str">
        <f>'NOTA DE VENTA'!$C$10</f>
        <v>VALE EVANS</v>
      </c>
      <c r="F2" t="str">
        <f>'NOTA DE VENTA'!$C$22</f>
        <v>CUB CON RESPALDO FTE 90°</v>
      </c>
      <c r="G2" t="str">
        <f>'NOTA DE VENTA'!$F$22</f>
        <v>GRANITINO NEGRO BR</v>
      </c>
      <c r="H2" s="415">
        <f>'NOTA DE VENTA'!$H$25</f>
        <v>132918.50226804125</v>
      </c>
      <c r="I2" s="415">
        <f>H2*0.19</f>
        <v>25254.515430927837</v>
      </c>
      <c r="J2" s="415">
        <f>I2+H2</f>
        <v>158173.01769896908</v>
      </c>
      <c r="L2" s="61">
        <f>J2-K2</f>
        <v>158173.01769896908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2026-04-28T16:45:30Z</cp:lastPrinted>
  <dcterms:created xsi:type="dcterms:W3CDTF">2013-03-18T13:35:42Z</dcterms:created>
  <dcterms:modified xsi:type="dcterms:W3CDTF">2026-04-29T14:57:10Z</dcterms:modified>
</cp:coreProperties>
</file>