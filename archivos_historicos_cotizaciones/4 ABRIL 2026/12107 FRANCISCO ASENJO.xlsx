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6AF12339-5EB7-4822-87CE-B735968E8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<sst xmlns="http://schemas.openxmlformats.org/spreadsheetml/2006/main" count="485" uniqueCount="293">
  <si>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</si>
  <si>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</si>
  <si>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</si>
  <si>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</si>
  <si>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</si>
  <si>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</si>
  <si>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</si>
  <si>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</si>
  <si>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</si>
  <si>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</si>
  <si>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</si>
  <si>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</si>
  <si>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</si>
  <si>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</si>
  <si>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</si>
  <si>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</si>
  <si>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</si>
  <si>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</si>
  <si>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</si>
  <si>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</si>
  <si>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</si>
  <si>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</si>
  <si>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</si>
  <si>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</si>
  <si>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</si>
  <si>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</si>
  <si>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</si>
  <si>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</si>
  <si>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</si>
  <si>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</si>
  <si>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</si>
  <si>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</si>
  <si>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</si>
  <si>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</si>
  <si>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</si>
  <si>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</si>
  <si>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</si>
  <si>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</si>
  <si>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</si>
  <si>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</si>
  <si>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</si>
  <si>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</si>
  <si>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</si>
  <si>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</si>
  <si>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</si>
  <si>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</si>
  <si>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</si>
  <si>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</si>
  <si>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</si>
  <si>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</si>
  <si>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</si>
  <si>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</si>
  <si>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</si>
  <si>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</si>
  <si>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</si>
  <si>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</si>
  <si>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</si>
  <si>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</si>
  <si>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</si>
  <si>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</si>
  <si>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</si>
  <si>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</si>
  <si>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</si>
  <si>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</si>
  <si>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</si>
  <si>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</si>
  <si>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</si>
  <si>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</si>
  <si>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</si>
  <si>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</si>
  <si>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</si>
  <si>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</si>
  <si>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</si>
  <si>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</si>
  <si>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</si>
  <si>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</si>
  <si>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</si>
  <si>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</si>
  <si>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</si>
  <si>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</si>
  <si>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</si>
  <si>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</si>
  <si>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</si>
  <si>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</si>
  <si>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</si>
  <si>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</si>
  <si>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</si>
  <si>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</si>
  <si>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</si>
  <si>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</si>
  <si>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</si>
  <si>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</si>
  <si>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</si>
  <si>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</si>
  <si>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</si>
  <si>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</si>
  <si>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</si>
  <si>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</si>
  <si>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</si>
  <si>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</si>
  <si>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</si>
  <si>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</si>
  <si>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</si>
  <si>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</si>
  <si>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</si>
  <si>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</si>
  <si>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</si>
  <si>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</si>
  <si>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</si>
  <si>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</si>
  <si>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</si>
  <si>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</si>
  <si>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</si>
  <si>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</si>
  <si>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</si>
  <si>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</si>
  <si>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</si>
  <si>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</si>
  <si>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</si>
  <si>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</si>
  <si>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</si>
  <si>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</si>
  <si>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</si>
  <si>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</si>
  <si>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</si>
  <si>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</si>
  <si>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</si>
  <si>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</si>
  <si>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</si>
  <si>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</si>
  <si>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</si>
  <si>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</si>
  <si>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</si>
  <si>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</si>
  <si>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</si>
  <si>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</si>
  <si>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</si>
  <si>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</si>
  <si>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</si>
  <si>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</si>
  <si>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</si>
  <si>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</si>
  <si>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</si>
  <si>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</si>
  <si>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</si>
  <si>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</si>
  <si>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</si>
  <si>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</si>
  <si>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</si>
  <si>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</si>
  <si>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</si>
  <si>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</si>
  <si>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</si>
  <si>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</si>
  <si>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</si>
  <si>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</si>
  <si>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</si>
  <si>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</si>
  <si>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</si>
  <si>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</si>
  <si>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</si>
  <si>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</si>
  <si>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</si>
  <si>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</si>
  <si>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</si>
  <si>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</si>
  <si>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</si>
  <si>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</si>
  <si>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</si>
  <si>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</si>
  <si>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</si>
  <si>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</si>
  <si>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</si>
  <si>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</si>
  <si>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</si>
  <si>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</si>
  <si>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</si>
  <si>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</si>
  <si>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</si>
  <si>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</si>
  <si>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</si>
  <si>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</si>
  <si>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</si>
  <si>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</si>
  <si>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</si>
  <si>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</si>
  <si>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</si>
  <si>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</si>
  <si>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</si>
  <si>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</si>
  <si>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</si>
  <si>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</si>
  <si>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</si>
  <si>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</si>
  <si>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</si>
  <si>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</si>
  <si>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</si>
  <si>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</si>
  <si>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</si>
  <si>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</si>
  <si>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</si>
  <si>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</si>
  <si>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</si>
  <si>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</si>
  <si>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</si>
  <si>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</si>
  <si>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</si>
  <si>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</si>
  <si>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</si>
  <si>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</si>
  <si>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</si>
  <si>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</si>
  <si>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</si>
  <si>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</si>
  <si>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</si>
  <si>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</si>
  <si>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</si>
  <si>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</si>
  <si>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</si>
  <si>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</si>
  <si>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</si>
  <si>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</si>
  <si>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</si>
  <si>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</si>
  <si>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</si>
  <si>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</si>
  <si>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</si>
  <si>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</si>
  <si>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</si>
  <si>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</si>
  <si>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</si>
  <si>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</si>
  <si>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</si>
  <si>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</si>
  <si>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</si>
  <si>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</si>
  <si>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</si>
  <si>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</si>
  <si>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</si>
  <si>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</si>
  <si>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</si>
  <si>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</si>
  <si>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</si>
  <si>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</si>
  <si>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</si>
  <si>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</si>
  <si>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</si>
  <si>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</si>
  <si>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</si>
  <si>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</si>
  <si>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</si>
  <si>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</si>
  <si>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</si>
  <si>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</si>
  <si>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</si>
  <si>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</si>
  <si>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</si>
  <si>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</si>
  <si>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</si>
  <si>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</si>
  <si>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</si>
  <si>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</si>
  <si>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</si>
  <si>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</si>
  <si>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</si>
  <si>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</si>
  <si>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</si>
  <si>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</si>
  <si>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</si>
  <si>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</si>
  <si>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</si>
  <si>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</si>
  <si>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</si>
  <si>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</si>
  <si>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</si>
  <si>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</si>
  <si>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</si>
  <si>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</si>
  <si>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</si>
  <si>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</si>
  <si>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</si>
  <si>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</si>
  <si>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</si>
  <si>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</si>
  <si>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</si>
  <si>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</si>
  <si>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</si>
  <si>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</si>
  <si>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</si>
  <si>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FRANCISCO ASENJO</t>
  </si>
  <si>
    <t>N° 12107</t>
  </si>
  <si>
    <t>CUB CON RESPALDO Y FRENTE ESPAÑOL</t>
  </si>
  <si>
    <t>GRANITO KOMBI 0670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</si>
</sst>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16387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14452"/>
          <a:ext cx="6431936" cy="8767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CUBIERTAS SE ENTREGAN CON SOBRE MEDIDA EN EL LARGO 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A34" sqref="A3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289</v>
      </c>
      <c r="D10" s="243"/>
      <c r="E10" s="243"/>
      <c r="F10" s="418" t="s">
        <v>277</v>
      </c>
      <c r="G10" s="275">
        <v>46139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73949.808153477221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291</v>
      </c>
      <c r="D21" s="432">
        <v>2.7</v>
      </c>
      <c r="E21" s="432">
        <v>0.6</v>
      </c>
      <c r="F21" s="313" t="s">
        <v>292</v>
      </c>
      <c r="G21" s="314">
        <f>Q21</f>
        <v>123348.28000000001</v>
      </c>
      <c r="H21" s="433">
        <f>G21*B21</f>
        <v>123348.28000000001</v>
      </c>
      <c r="I21" s="306"/>
      <c r="J21" s="264"/>
      <c r="K21" s="47"/>
      <c r="L21" s="47">
        <f>B21</f>
        <v>1</v>
      </c>
      <c r="M21" s="39">
        <f>D21+M$19</f>
        <v>2.7800000000000002</v>
      </c>
      <c r="N21" s="39">
        <f>E21+$N$19</f>
        <v>0.6</v>
      </c>
      <c r="O21" s="260">
        <f t="shared" ref="O21" si="0">M21*N21</f>
        <v>1.6680000000000001</v>
      </c>
      <c r="P21" s="258">
        <f t="shared" ref="P21" si="1">O21*L21</f>
        <v>1.6680000000000001</v>
      </c>
      <c r="Q21" s="251">
        <f t="shared" ref="Q21" si="2">Q$20*O21</f>
        <v>123348.28000000001</v>
      </c>
      <c r="R21" s="305">
        <f t="shared" ref="R21" si="3">Q21+R$20</f>
        <v>126348.28000000001</v>
      </c>
      <c r="S21" s="290">
        <f>M21*L21</f>
        <v>2.7800000000000002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123348.28000000001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23436.173200000001</v>
      </c>
      <c r="I25" s="308"/>
      <c r="J25" s="264"/>
      <c r="K25" s="47"/>
      <c r="L25" s="47"/>
      <c r="M25" s="39">
        <f>SUM(M21:M24)</f>
        <v>2.7800000000000002</v>
      </c>
      <c r="N25" s="12"/>
      <c r="O25" s="12"/>
      <c r="P25" s="252">
        <f>SUM(P21:P23)</f>
        <v>1.6680000000000001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146784.45320000002</v>
      </c>
      <c r="I26" s="308"/>
      <c r="J26" s="264"/>
      <c r="K26" s="47"/>
      <c r="L26" s="47"/>
      <c r="M26" s="39"/>
      <c r="N26" s="12"/>
      <c r="O26" s="12"/>
      <c r="P26" s="252">
        <f>P25</f>
        <v>1.6680000000000001</v>
      </c>
      <c r="Q26" s="14"/>
      <c r="R26" s="12"/>
      <c r="S26" s="239">
        <f>SUM(S21:S25)</f>
        <v>2.7800000000000002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0.33360000000000006</v>
      </c>
      <c r="Q27" s="39" t="s">
        <v>129</v>
      </c>
      <c r="R27" s="42"/>
      <c r="S27" s="240">
        <f>S26+T24</f>
        <v>5.18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2.0016000000000003</v>
      </c>
      <c r="Q28" s="14"/>
      <c r="R28" s="14"/>
      <c r="S28" s="238">
        <f>S27*20%</f>
        <v>1.036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6.2159999999999993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2.0016000000000003</v>
      </c>
      <c r="N30" s="12">
        <v>4000</v>
      </c>
      <c r="O30" s="12">
        <f t="shared" ref="O30:O35" si="4">M30*N30</f>
        <v>8006.4000000000015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24910</v>
      </c>
      <c r="O31" s="12">
        <f t="shared" si="4"/>
        <v>14946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27555</v>
      </c>
      <c r="O33" s="12">
        <f t="shared" si="4"/>
        <v>27555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2.78</v>
      </c>
      <c r="N35" s="12">
        <v>2000</v>
      </c>
      <c r="O35" s="12">
        <f t="shared" si="4"/>
        <v>5560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56067.4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123348.28000000001</v>
      </c>
      <c r="P37" s="14" t="s">
        <v>138</v>
      </c>
      <c r="Q37" s="14"/>
      <c r="R37" s="40">
        <f>P28/R36</f>
        <v>0.5396893874029336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32790</v>
      </c>
      <c r="L38" s="249"/>
      <c r="M38" s="14"/>
      <c r="N38" s="12"/>
      <c r="O38" s="12">
        <f>O37/P26</f>
        <v>73949.808153477221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27554.621848739498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46139</v>
      </c>
    </row>
    <row r="6" spans="2:31" ht="16.2" thickBot="1" x14ac:dyDescent="0.35">
      <c r="B6" s="140" t="s">
        <v>2</v>
      </c>
      <c r="C6" s="139" t="str">
        <f>'2229'!C10</f>
        <v>FRANCISCO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-6041.7617001207764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123348.28000000001</v>
      </c>
      <c r="E11" s="132">
        <f>D11*0.19</f>
        <v>23436.173200000001</v>
      </c>
      <c r="F11" s="131">
        <f>E11+D11</f>
        <v>146784.45320000002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99948.238299879216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52786.490787439616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81948.238299879216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70561.789212560398</v>
      </c>
      <c r="E13" s="221">
        <f>(D11/D12)-1</f>
        <v>1.3367395361949379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72948.238299879216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33948.238299879224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87097.709799275355</v>
      </c>
      <c r="F15" s="216">
        <f>E15-D12</f>
        <v>34311.219011835739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33948.238299879224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73948.238299879216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14946</v>
      </c>
      <c r="E19" s="123">
        <f>D19*0.19</f>
        <v>2839.7400000000002</v>
      </c>
      <c r="F19" s="120">
        <f>SUM(D19:E19)</f>
        <v>17785.740000000002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8006.4000000000015</v>
      </c>
      <c r="E20" s="121">
        <f>D20*0.19</f>
        <v>1521.2160000000003</v>
      </c>
      <c r="F20" s="120">
        <f>SUM(D20:E20)</f>
        <v>9527.6160000000018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22952.400000000001</v>
      </c>
      <c r="E21" s="116">
        <f>SUM(E18:E20)</f>
        <v>4360.9560000000001</v>
      </c>
      <c r="F21" s="115">
        <f>SUM(F18:F20)</f>
        <v>27313.356000000003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19075.217199999999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123348.28000000001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22952.400000000001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70561.789212560398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70561.789212560398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FRANCISCO ASENJO</v>
      </c>
      <c r="D10" s="350"/>
      <c r="E10" s="350"/>
      <c r="F10" s="351" t="s">
        <v>167</v>
      </c>
      <c r="G10" s="352">
        <f>'2229'!G10</f>
        <v>46139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Y FRENTE ESPAÑOL</v>
      </c>
      <c r="D22" s="321">
        <f>'2229'!D21*1000</f>
        <v>2700</v>
      </c>
      <c r="E22" s="321">
        <f>'2229'!E21*1000</f>
        <v>600</v>
      </c>
      <c r="F22" s="322" t="str">
        <f>'2229'!F21</f>
        <v>GRANITO KOMBI 0670 BR</v>
      </c>
      <c r="G22" s="314">
        <f>'2229'!G21</f>
        <v>123348.28000000001</v>
      </c>
      <c r="H22" s="323">
        <f>G22*B22</f>
        <v>123348.28000000001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123348.28000000001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23436.173200000001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146784.45320000002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FRANCISCO ASENJO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12107</v>
      </c>
      <c r="C2" s="1">
        <f>'NOTA DE VENTA'!$G$10</f>
        <v>46139</v>
      </c>
      <c r="D2" s="1">
        <f>'NOTA DE VENTA'!$G$11</f>
        <v>46146</v>
      </c>
      <c r="E2" t="str">
        <f>'NOTA DE VENTA'!$C$10</f>
        <v>FRANCISCO ASENJO</v>
      </c>
      <c r="F2" t="str">
        <f>'NOTA DE VENTA'!$C$22</f>
        <v>CUB CON RESPALDO Y FRENTE ESPAÑOL</v>
      </c>
      <c r="G2" t="str">
        <f>'NOTA DE VENTA'!$F$22</f>
        <v>GRANITO KOMBI 0670 BR</v>
      </c>
      <c r="H2" s="416">
        <f>'NOTA DE VENTA'!$H$25</f>
        <v>123348.28000000001</v>
      </c>
      <c r="I2" s="416">
        <f>H2*0.19</f>
        <v>23436.173200000001</v>
      </c>
      <c r="J2" s="416">
        <f>I2+H2</f>
        <v>146784.45320000002</v>
      </c>
      <c r="L2" s="61">
        <f>J2-K2</f>
        <v>146784.45320000002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2026-04-27T13:28:49Z</cp:lastPrinted>
  <dcterms:created xsi:type="dcterms:W3CDTF">2013-03-18T13:35:42Z</dcterms:created>
  <dcterms:modified xsi:type="dcterms:W3CDTF">2026-04-27T21:48:05Z</dcterms:modified>
</cp:coreProperties>
</file>