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2C08ACAD-9851-4AFC-9A63-0A61DA63C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H25" i="1" l="1"/>
  <c r="L25" i="1"/>
  <c r="H24" i="1"/>
  <c r="L24" i="1"/>
  <c r="L22" i="1" l="1"/>
  <c r="M22" i="1"/>
  <c r="S22" i="1" s="1"/>
  <c r="N22" i="1"/>
  <c r="T22" i="1" s="1"/>
  <c r="L23" i="1"/>
  <c r="M23" i="1"/>
  <c r="N23" i="1"/>
  <c r="L21" i="1"/>
  <c r="M21" i="1"/>
  <c r="S21" i="1" s="1"/>
  <c r="N21" i="1"/>
  <c r="T23" i="1" l="1"/>
  <c r="T21" i="1"/>
  <c r="S23" i="1"/>
  <c r="S30" i="1"/>
  <c r="O22" i="1"/>
  <c r="P22" i="1" s="1"/>
  <c r="O23" i="1"/>
  <c r="P23" i="1" s="1"/>
  <c r="O21" i="1"/>
  <c r="P21" i="1" s="1"/>
  <c r="P29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9" i="1"/>
  <c r="L29" i="1" s="1"/>
  <c r="T28" i="1" l="1"/>
  <c r="S31" i="1" s="1"/>
  <c r="K43" i="1"/>
  <c r="S32" i="1" l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Q23" i="1"/>
  <c r="Q21" i="1"/>
  <c r="O43" i="1"/>
  <c r="E15" i="3"/>
  <c r="R23" i="1" l="1"/>
  <c r="G23" i="1"/>
  <c r="H23" i="1" s="1"/>
  <c r="G22" i="1"/>
  <c r="H22" i="1" s="1"/>
  <c r="R22" i="1"/>
  <c r="R21" i="1"/>
  <c r="G21" i="1"/>
  <c r="H21" i="1" s="1"/>
  <c r="F15" i="3"/>
  <c r="H28" i="1" l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<sst xmlns="http://schemas.openxmlformats.org/spreadsheetml/2006/main" count="492" uniqueCount="297">
  <si>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</si>
  <si>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</si>
  <si>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</si>
  <si>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</si>
  <si>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</si>
  <si>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</si>
  <si>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</si>
  <si>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</si>
  <si>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</si>
  <si>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</si>
  <si>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</si>
  <si>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</si>
  <si>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</si>
  <si>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</si>
  <si>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</si>
  <si>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</si>
  <si>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</si>
  <si>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</si>
  <si>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</si>
  <si>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</si>
  <si>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</si>
  <si>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</si>
  <si>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</si>
  <si>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</si>
  <si>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</si>
  <si>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</si>
  <si>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</si>
  <si>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</si>
  <si>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</si>
  <si>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</si>
  <si>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</si>
  <si>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</si>
  <si>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</si>
  <si>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</si>
  <si>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</si>
  <si>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</si>
  <si>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</si>
  <si>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</si>
  <si>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</si>
  <si>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</si>
  <si>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</si>
  <si>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</si>
  <si>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</si>
  <si>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</si>
  <si>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</si>
  <si>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</si>
  <si>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</si>
  <si>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</si>
  <si>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</si>
  <si>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</si>
  <si>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</si>
  <si>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</si>
  <si>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</si>
  <si>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</si>
  <si>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</si>
  <si>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</si>
  <si>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</si>
  <si>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</si>
  <si>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</si>
  <si>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</si>
  <si>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</si>
  <si>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</si>
  <si>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</si>
  <si>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</si>
  <si>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</si>
  <si>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</si>
  <si>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</si>
  <si>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</si>
  <si>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</si>
  <si>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</si>
  <si>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</si>
  <si>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</si>
  <si>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</si>
  <si>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</si>
  <si>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</si>
  <si>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</si>
  <si>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</si>
  <si>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</si>
  <si>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</si>
  <si>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</si>
  <si>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</si>
  <si>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</si>
  <si>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</si>
  <si>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</si>
  <si>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</si>
  <si>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</si>
  <si>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</si>
  <si>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</si>
  <si>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</si>
  <si>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</si>
  <si>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</si>
  <si>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</si>
  <si>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</si>
  <si>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</si>
  <si>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</si>
  <si>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</si>
  <si>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</si>
  <si>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</si>
  <si>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</si>
  <si>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</si>
  <si>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</si>
  <si>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</si>
  <si>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</si>
  <si>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</si>
  <si>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</si>
  <si>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</si>
  <si>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</si>
  <si>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</si>
  <si>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</si>
  <si>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</si>
  <si>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</si>
  <si>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</si>
  <si>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</si>
  <si>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</si>
  <si>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</si>
  <si>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</si>
  <si>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</si>
  <si>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</si>
  <si>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</si>
  <si>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</si>
  <si>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</si>
  <si>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</si>
  <si>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</si>
  <si>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</si>
  <si>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</si>
  <si>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</si>
  <si>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</si>
  <si>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</si>
  <si>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</si>
  <si>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</si>
  <si>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</si>
  <si>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</si>
  <si>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</si>
  <si>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</si>
  <si>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</si>
  <si>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</si>
  <si>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</si>
  <si>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</si>
  <si>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</si>
  <si>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</si>
  <si>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</si>
  <si>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</si>
  <si>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</si>
  <si>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</si>
  <si>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</si>
  <si>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</si>
  <si>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</si>
  <si>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</si>
  <si>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</si>
  <si>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</si>
  <si>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</si>
  <si>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</si>
  <si>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</si>
  <si>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</si>
  <si>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</si>
  <si>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</si>
  <si>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</si>
  <si>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</si>
  <si>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</si>
  <si>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</si>
  <si>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</si>
  <si>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</si>
  <si>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</si>
  <si>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</si>
  <si>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</si>
  <si>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</si>
  <si>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</si>
  <si>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</si>
  <si>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</si>
  <si>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</si>
  <si>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</si>
  <si>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</si>
  <si>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</si>
  <si>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</si>
  <si>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</si>
  <si>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</si>
  <si>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</si>
  <si>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</si>
  <si>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</si>
  <si>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</si>
  <si>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</si>
  <si>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</si>
  <si>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</si>
  <si>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</si>
  <si>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</si>
  <si>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</si>
  <si>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</si>
  <si>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</si>
  <si>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</si>
  <si>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</si>
  <si>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</si>
  <si>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</si>
  <si>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</si>
  <si>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</si>
  <si>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</si>
  <si>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</si>
  <si>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</si>
  <si>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</si>
  <si>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</si>
  <si>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</si>
  <si>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</si>
  <si>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</si>
  <si>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</si>
  <si>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</si>
  <si>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</si>
  <si>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</si>
  <si>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</si>
  <si>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</si>
  <si>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</si>
  <si>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</si>
  <si>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</si>
  <si>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</si>
  <si>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</si>
  <si>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</si>
  <si>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</si>
  <si>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</si>
  <si>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</si>
  <si>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</si>
  <si>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</si>
  <si>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</si>
  <si>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</si>
  <si>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</si>
  <si>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</si>
  <si>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</si>
  <si>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</si>
  <si>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</si>
  <si>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</si>
  <si>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</si>
  <si>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</si>
  <si>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</si>
  <si>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</si>
  <si>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</si>
  <si>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</si>
  <si>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</si>
  <si>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</si>
  <si>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</si>
  <si>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</si>
  <si>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</si>
  <si>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</si>
  <si>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</si>
  <si>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</si>
  <si>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</si>
  <si>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</si>
  <si>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</si>
  <si>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</si>
  <si>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</si>
  <si>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</si>
  <si>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</si>
  <si>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</si>
  <si>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</si>
  <si>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</si>
  <si>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</si>
  <si>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</si>
  <si>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</si>
  <si>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</si>
  <si>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</si>
  <si>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</si>
  <si>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</si>
  <si>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</si>
  <si>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</si>
  <si>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</si>
  <si>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</si>
  <si>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</si>
  <si>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</si>
  <si>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</si>
  <si>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</si>
  <si>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</si>
  <si>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</si>
  <si>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</si>
  <si>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</si>
  <si>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</si>
  <si>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</si>
  <si>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</si>
  <si>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</si>
  <si>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</si>
  <si>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</si>
  <si>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</si>
  <si>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</si>
  <si>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</si>
  <si>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</si>
  <si>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</si>
  <si>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</si>
  <si>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</si>
  <si>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</si>
  <si>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</si>
  <si>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</si>
  <si>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</si>
  <si>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12072</t>
  </si>
  <si>
    <t>IGNACIO ALVEAR</t>
  </si>
  <si>
    <t>+56 9 5224 1166</t>
  </si>
  <si>
    <t>3 DIAS HABILES</t>
  </si>
  <si>
    <t>ENCHAPE RECTO 2 CARAS MDF 25MM</t>
  </si>
  <si>
    <t>BLANCO OPACO 2114 MT</t>
  </si>
  <si>
    <t>MDF 25MM</t>
  </si>
  <si>
    <t>TAPACANTO PVC 50MTS 29X2</t>
  </si>
  <si>
    <t>PASACABLES PLASTICO BLANCO</t>
  </si>
  <si>
    <t>SERVICIO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</si>
</sst>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66" fontId="30" fillId="0" borderId="42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215079</xdr:rowOff>
    </xdr:from>
    <xdr:to>
      <xdr:col>5</xdr:col>
      <xdr:colOff>1732649</xdr:colOff>
      <xdr:row>29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TERMINADAS CON TAPACANTO PVC DE 2MM  COLOR BLANCO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25MM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20" zoomScale="93" zoomScaleNormal="93" workbookViewId="0">
      <selection activeCell="M38" sqref="M3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288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290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2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8" t="s">
        <v>94</v>
      </c>
      <c r="C19" s="449"/>
      <c r="D19" s="449"/>
      <c r="E19" s="449"/>
      <c r="F19" s="449"/>
      <c r="G19" s="449"/>
      <c r="H19" s="450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O42</f>
        <v>75311.490407789446</v>
      </c>
      <c r="R20" s="257">
        <v>15000</v>
      </c>
      <c r="S20" s="38"/>
      <c r="T20" s="14" t="s">
        <v>126</v>
      </c>
      <c r="U20" s="9"/>
      <c r="X20" s="4"/>
    </row>
    <row r="21" spans="2:25" ht="18" thickBot="1" x14ac:dyDescent="0.35">
      <c r="B21" s="432">
        <v>4</v>
      </c>
      <c r="C21" s="433" t="s">
        <v>291</v>
      </c>
      <c r="D21" s="434">
        <v>1.8</v>
      </c>
      <c r="E21" s="434">
        <v>0.8</v>
      </c>
      <c r="F21" s="435" t="s">
        <v>292</v>
      </c>
      <c r="G21" s="436">
        <f>Q21</f>
        <v>112394.86828458498</v>
      </c>
      <c r="H21" s="437">
        <f>G21*B21</f>
        <v>449579.47313833993</v>
      </c>
      <c r="I21" s="306"/>
      <c r="J21" s="264">
        <v>2</v>
      </c>
      <c r="K21" s="47"/>
      <c r="L21" s="47">
        <f t="shared" ref="L21" si="0">B21</f>
        <v>4</v>
      </c>
      <c r="M21" s="39">
        <f t="shared" ref="M21" si="1">D21+M$19</f>
        <v>1.82</v>
      </c>
      <c r="N21" s="39">
        <f t="shared" ref="N21" si="2">E21+$N$19</f>
        <v>0.82000000000000006</v>
      </c>
      <c r="O21" s="260">
        <f t="shared" ref="O21" si="3">M21*N21</f>
        <v>1.4924000000000002</v>
      </c>
      <c r="P21" s="258">
        <f t="shared" ref="P21" si="4">O21*L21</f>
        <v>5.9696000000000007</v>
      </c>
      <c r="Q21" s="251">
        <f t="shared" ref="Q21" si="5">Q$20*O21</f>
        <v>112394.86828458498</v>
      </c>
      <c r="R21" s="305">
        <f t="shared" ref="R21" si="6">Q21+R$20</f>
        <v>127394.86828458498</v>
      </c>
      <c r="S21" s="290">
        <f>M21*L21*2</f>
        <v>14.56</v>
      </c>
      <c r="T21" s="46">
        <f>N21*L21*2</f>
        <v>6.5600000000000005</v>
      </c>
      <c r="U21" s="9"/>
      <c r="X21" s="4"/>
    </row>
    <row r="22" spans="2:25" ht="18" thickBot="1" x14ac:dyDescent="0.35">
      <c r="B22" s="432">
        <v>4</v>
      </c>
      <c r="C22" s="433" t="s">
        <v>291</v>
      </c>
      <c r="D22" s="434">
        <v>1.6</v>
      </c>
      <c r="E22" s="434">
        <v>0.8</v>
      </c>
      <c r="F22" s="435" t="s">
        <v>292</v>
      </c>
      <c r="G22" s="436">
        <f t="shared" ref="G22:G23" si="7">Q22</f>
        <v>100043.78385770752</v>
      </c>
      <c r="H22" s="437">
        <f t="shared" ref="H22:H25" si="8">G22*B22</f>
        <v>400175.13543083007</v>
      </c>
      <c r="I22" s="306"/>
      <c r="J22" s="264">
        <v>2</v>
      </c>
      <c r="K22" s="47"/>
      <c r="L22" s="47">
        <f t="shared" ref="L22:L25" si="9">B22</f>
        <v>4</v>
      </c>
      <c r="M22" s="39">
        <f t="shared" ref="M22:M23" si="10">D22+M$19</f>
        <v>1.62</v>
      </c>
      <c r="N22" s="39">
        <f t="shared" ref="N22:N23" si="11">E22+$N$19</f>
        <v>0.82000000000000006</v>
      </c>
      <c r="O22" s="260">
        <f t="shared" ref="O22:O23" si="12">M22*N22</f>
        <v>1.3284000000000002</v>
      </c>
      <c r="P22" s="258">
        <f t="shared" ref="P22:P23" si="13">O22*L22</f>
        <v>5.313600000000001</v>
      </c>
      <c r="Q22" s="251">
        <f t="shared" ref="Q22:Q23" si="14">Q$20*O22</f>
        <v>100043.78385770752</v>
      </c>
      <c r="R22" s="305">
        <f t="shared" ref="R22:R23" si="15">Q22+R$20</f>
        <v>115043.78385770752</v>
      </c>
      <c r="S22" s="290">
        <f t="shared" ref="S22:S23" si="16">M22*L22*2</f>
        <v>12.96</v>
      </c>
      <c r="T22" s="46">
        <f t="shared" ref="T22:T23" si="17">N22*L22*2</f>
        <v>6.5600000000000005</v>
      </c>
      <c r="U22" s="9"/>
      <c r="X22" s="4"/>
    </row>
    <row r="23" spans="2:25" ht="17.399999999999999" x14ac:dyDescent="0.3">
      <c r="B23" s="438">
        <v>1</v>
      </c>
      <c r="C23" s="439" t="s">
        <v>291</v>
      </c>
      <c r="D23" s="440">
        <v>1.4</v>
      </c>
      <c r="E23" s="440">
        <v>0.8</v>
      </c>
      <c r="F23" s="441" t="s">
        <v>292</v>
      </c>
      <c r="G23" s="442">
        <f t="shared" si="7"/>
        <v>87692.699430830035</v>
      </c>
      <c r="H23" s="443">
        <f t="shared" si="8"/>
        <v>87692.699430830035</v>
      </c>
      <c r="I23" s="306"/>
      <c r="J23" s="264"/>
      <c r="K23" s="47"/>
      <c r="L23" s="47">
        <f t="shared" si="9"/>
        <v>1</v>
      </c>
      <c r="M23" s="39">
        <f t="shared" si="10"/>
        <v>1.42</v>
      </c>
      <c r="N23" s="39">
        <f t="shared" si="11"/>
        <v>0.82000000000000006</v>
      </c>
      <c r="O23" s="260">
        <f t="shared" si="12"/>
        <v>1.1644000000000001</v>
      </c>
      <c r="P23" s="258">
        <f t="shared" si="13"/>
        <v>1.1644000000000001</v>
      </c>
      <c r="Q23" s="251">
        <f t="shared" si="14"/>
        <v>87692.699430830035</v>
      </c>
      <c r="R23" s="305">
        <f t="shared" si="15"/>
        <v>102692.69943083003</v>
      </c>
      <c r="S23" s="290">
        <f t="shared" si="16"/>
        <v>2.84</v>
      </c>
      <c r="T23" s="46">
        <f t="shared" si="17"/>
        <v>1.6400000000000001</v>
      </c>
      <c r="U23" s="9"/>
      <c r="X23" s="4"/>
    </row>
    <row r="24" spans="2:25" ht="17.399999999999999" x14ac:dyDescent="0.3">
      <c r="B24" s="444">
        <v>9</v>
      </c>
      <c r="C24" s="445" t="s">
        <v>295</v>
      </c>
      <c r="D24" s="446"/>
      <c r="E24" s="446"/>
      <c r="F24" s="444"/>
      <c r="G24" s="447">
        <v>1000</v>
      </c>
      <c r="H24" s="447">
        <f t="shared" si="8"/>
        <v>9000</v>
      </c>
      <c r="I24" s="306"/>
      <c r="J24" s="264"/>
      <c r="K24" s="47"/>
      <c r="L24" s="47">
        <f t="shared" si="9"/>
        <v>9</v>
      </c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7.399999999999999" x14ac:dyDescent="0.3">
      <c r="B25" s="444">
        <v>1</v>
      </c>
      <c r="C25" s="445" t="s">
        <v>296</v>
      </c>
      <c r="D25" s="446"/>
      <c r="E25" s="446"/>
      <c r="F25" s="444"/>
      <c r="G25" s="447">
        <v>15000</v>
      </c>
      <c r="H25" s="447">
        <f t="shared" si="8"/>
        <v>15000</v>
      </c>
      <c r="I25" s="306"/>
      <c r="J25" s="264"/>
      <c r="K25" s="47"/>
      <c r="L25" s="47">
        <f t="shared" si="9"/>
        <v>1</v>
      </c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306"/>
      <c r="H26" s="306"/>
      <c r="I26" s="306"/>
      <c r="J26" s="264"/>
      <c r="K26" s="47"/>
      <c r="L26" s="47"/>
      <c r="M26" s="39"/>
      <c r="N26" s="39"/>
      <c r="O26" s="260"/>
      <c r="P26" s="258"/>
      <c r="Q26" s="251"/>
      <c r="R26" s="305"/>
      <c r="S26" s="290"/>
      <c r="T26" s="46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SUM(H21:H26)</f>
        <v>961447.30800000008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SUM(T21:T26)</f>
        <v>14.760000000000002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50</v>
      </c>
      <c r="H29" s="287">
        <f>H28*19%</f>
        <v>182674.98852000001</v>
      </c>
      <c r="I29" s="308"/>
      <c r="J29" s="264"/>
      <c r="K29" s="47"/>
      <c r="L29" s="431">
        <f>M29*10</f>
        <v>48.6</v>
      </c>
      <c r="M29" s="39">
        <f>SUM(M21:M28)</f>
        <v>4.8600000000000003</v>
      </c>
      <c r="N29" s="12"/>
      <c r="O29" s="12"/>
      <c r="P29" s="252">
        <f>SUM(P21:P26)</f>
        <v>12.447600000000001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1144122.2965200001</v>
      </c>
      <c r="I30" s="308"/>
      <c r="J30" s="264"/>
      <c r="K30" s="47"/>
      <c r="L30" s="47"/>
      <c r="M30" s="39"/>
      <c r="N30" s="12"/>
      <c r="O30" s="12"/>
      <c r="P30" s="252">
        <f>P29</f>
        <v>12.447600000000001</v>
      </c>
      <c r="Q30" s="14"/>
      <c r="R30" s="12"/>
      <c r="S30" s="239">
        <f>SUM(S21:S29)</f>
        <v>30.360000000000003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2.4895200000000006</v>
      </c>
      <c r="Q31" s="39" t="s">
        <v>128</v>
      </c>
      <c r="R31" s="42"/>
      <c r="S31" s="240">
        <f>S30+T28</f>
        <v>45.120000000000005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14.937120000000002</v>
      </c>
      <c r="Q32" s="14"/>
      <c r="R32" s="14"/>
      <c r="S32" s="238">
        <f>S31*20%</f>
        <v>9.0240000000000009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54.144000000000005</v>
      </c>
      <c r="T33" s="14"/>
      <c r="U33" s="294" t="s">
        <v>21</v>
      </c>
      <c r="V33" s="291" t="s">
        <v>148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P32*2</f>
        <v>29.874240000000004</v>
      </c>
      <c r="N34" s="12">
        <v>2000</v>
      </c>
      <c r="O34" s="12">
        <f t="shared" ref="O34:O39" si="18">M34*N34</f>
        <v>59748.48000000001</v>
      </c>
      <c r="P34" s="14" t="s">
        <v>21</v>
      </c>
      <c r="Q34" s="14"/>
      <c r="R34" s="14"/>
      <c r="S34" s="241"/>
      <c r="T34" s="14"/>
      <c r="U34" s="294" t="s">
        <v>149</v>
      </c>
      <c r="V34" s="291">
        <v>3625</v>
      </c>
      <c r="W34" s="59" t="s">
        <v>150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4</v>
      </c>
      <c r="N35" s="12">
        <v>38100</v>
      </c>
      <c r="O35" s="12">
        <f t="shared" si="18"/>
        <v>152400</v>
      </c>
      <c r="P35" s="39" t="s">
        <v>293</v>
      </c>
      <c r="Q35" s="42"/>
      <c r="R35" s="14"/>
      <c r="S35" s="240"/>
      <c r="T35" s="14"/>
      <c r="U35" s="294"/>
      <c r="V35" s="59">
        <v>906.25</v>
      </c>
      <c r="W35" s="59" t="s">
        <v>151</v>
      </c>
      <c r="X35" s="296"/>
    </row>
    <row r="36" spans="1:24" s="230" customFormat="1" ht="17.399999999999999" x14ac:dyDescent="0.35">
      <c r="B36" s="24" t="s">
        <v>147</v>
      </c>
      <c r="J36" s="261"/>
      <c r="K36" s="232">
        <v>40754</v>
      </c>
      <c r="L36" s="249"/>
      <c r="M36" s="14">
        <v>1</v>
      </c>
      <c r="N36" s="249">
        <v>33975</v>
      </c>
      <c r="O36" s="12">
        <f t="shared" si="18"/>
        <v>33975</v>
      </c>
      <c r="P36" s="39" t="s">
        <v>294</v>
      </c>
      <c r="Q36" s="42"/>
      <c r="S36" s="240"/>
      <c r="T36" s="255"/>
      <c r="U36" s="59"/>
      <c r="V36" s="59">
        <f>V35*20%</f>
        <v>181.25</v>
      </c>
      <c r="W36" s="296" t="s">
        <v>152</v>
      </c>
      <c r="X36" s="59"/>
    </row>
    <row r="37" spans="1:24" s="230" customFormat="1" ht="17.399999999999999" x14ac:dyDescent="0.35">
      <c r="B37" s="24" t="s">
        <v>161</v>
      </c>
      <c r="C37"/>
      <c r="D37"/>
      <c r="E37"/>
      <c r="F37"/>
      <c r="J37" s="261">
        <v>163016</v>
      </c>
      <c r="K37" s="232"/>
      <c r="L37" s="249"/>
      <c r="M37" s="14">
        <v>12</v>
      </c>
      <c r="N37" s="249">
        <v>16690</v>
      </c>
      <c r="O37" s="12">
        <f t="shared" si="18"/>
        <v>200280</v>
      </c>
      <c r="P37" s="14" t="s">
        <v>138</v>
      </c>
      <c r="Q37" s="17"/>
      <c r="S37" s="238"/>
      <c r="T37" s="255"/>
      <c r="U37" s="59"/>
      <c r="V37" s="59">
        <f>V35+V36</f>
        <v>1087.5</v>
      </c>
      <c r="W37" s="296" t="s">
        <v>153</v>
      </c>
      <c r="X37" s="59"/>
    </row>
    <row r="38" spans="1:24" s="230" customFormat="1" ht="17.399999999999999" x14ac:dyDescent="0.35">
      <c r="A38" s="230" t="s">
        <v>282</v>
      </c>
      <c r="B38" s="29" t="s">
        <v>123</v>
      </c>
      <c r="C38"/>
      <c r="D38"/>
      <c r="E38"/>
      <c r="F38" s="229" t="s">
        <v>15</v>
      </c>
      <c r="J38" s="261">
        <v>26644</v>
      </c>
      <c r="K38" s="259"/>
      <c r="L38" s="249"/>
      <c r="M38" s="248"/>
      <c r="N38" s="249">
        <v>900</v>
      </c>
      <c r="O38" s="12">
        <f t="shared" si="18"/>
        <v>0</v>
      </c>
      <c r="P38" s="14" t="s">
        <v>31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>
        <f>SUM(J37:J38)</f>
        <v>189660</v>
      </c>
      <c r="K39" s="259"/>
      <c r="L39" s="249"/>
      <c r="M39" s="265"/>
      <c r="N39" s="12">
        <v>1500</v>
      </c>
      <c r="O39" s="12">
        <f t="shared" si="18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446403.48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32</v>
      </c>
      <c r="N41" s="12"/>
      <c r="O41" s="254">
        <f>O40*2.1</f>
        <v>937447.30799999996</v>
      </c>
      <c r="P41" s="14" t="s">
        <v>137</v>
      </c>
      <c r="Q41" s="14"/>
      <c r="R41" s="40">
        <f>P32/R40</f>
        <v>4.0274805867126835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51290</v>
      </c>
      <c r="L42" s="249"/>
      <c r="M42" s="14"/>
      <c r="N42" s="12"/>
      <c r="O42" s="12">
        <f>O41/P30</f>
        <v>75311.490407789446</v>
      </c>
      <c r="P42" s="45" t="s">
        <v>24</v>
      </c>
      <c r="Q42" s="14"/>
      <c r="R42" s="14"/>
      <c r="S42"/>
      <c r="T42" s="238"/>
      <c r="U42" s="59" t="s">
        <v>154</v>
      </c>
      <c r="V42" s="291">
        <v>43650</v>
      </c>
    </row>
    <row r="43" spans="1:24" s="230" customFormat="1" ht="17.399999999999999" x14ac:dyDescent="0.35">
      <c r="G43"/>
      <c r="K43" s="230">
        <f>K42/1.19</f>
        <v>43100.840336134454</v>
      </c>
      <c r="L43" s="249"/>
      <c r="M43" s="13"/>
      <c r="N43" s="14"/>
      <c r="O43" s="17">
        <f>O41/O40</f>
        <v>2.1</v>
      </c>
      <c r="P43" s="15"/>
      <c r="Q43"/>
      <c r="R43"/>
      <c r="S43"/>
      <c r="T43" s="238"/>
      <c r="U43" s="59" t="s">
        <v>156</v>
      </c>
      <c r="V43" s="292" t="s">
        <v>155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157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152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144</v>
      </c>
    </row>
    <row r="78" spans="3:15" x14ac:dyDescent="0.3">
      <c r="C78" t="s">
        <v>143</v>
      </c>
    </row>
    <row r="81" spans="3:3" x14ac:dyDescent="0.3">
      <c r="C81" t="s">
        <v>143</v>
      </c>
    </row>
    <row r="158" spans="3:3" x14ac:dyDescent="0.3">
      <c r="C158" t="s">
        <v>143</v>
      </c>
    </row>
    <row r="159" spans="3:3" x14ac:dyDescent="0.3">
      <c r="C159" t="s">
        <v>145</v>
      </c>
    </row>
    <row r="160" spans="3:3" x14ac:dyDescent="0.3">
      <c r="C160" t="s">
        <v>146</v>
      </c>
    </row>
    <row r="585" spans="3:3" x14ac:dyDescent="0.3">
      <c r="C585" t="s">
        <v>143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46113</v>
      </c>
    </row>
    <row r="6" spans="2:31" ht="16.2" thickBot="1" x14ac:dyDescent="0.35">
      <c r="B6" s="140" t="s">
        <v>2</v>
      </c>
      <c r="C6" s="139" t="str">
        <f>'2229'!C10</f>
        <v>IGNACIO ALVEAR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2" t="s">
        <v>97</v>
      </c>
      <c r="I7" s="453"/>
      <c r="J7" s="453"/>
      <c r="K7" s="454"/>
      <c r="N7" s="75"/>
      <c r="O7" s="45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5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-84352.886033454139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'2229'!H28</f>
        <v>961447.30800000008</v>
      </c>
      <c r="E11" s="132">
        <f>D11*0.19</f>
        <v>182674.98852000001</v>
      </c>
      <c r="F11" s="131">
        <f>E11+D11</f>
        <v>1144122.2965200001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21637.113966545861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275957.57078743959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3637.1139665458613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685489.73721256049</v>
      </c>
      <c r="E13" s="221">
        <f>(D11/D12)-1</f>
        <v>2.4840403372755051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-5362.8860334541387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-44362.886033454139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455329.99179927527</v>
      </c>
      <c r="F15" s="216">
        <f>E15-D12</f>
        <v>179372.42101183569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-44362.886033454139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-4362.8860334541387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'2229'!O36</f>
        <v>33975</v>
      </c>
      <c r="E18" s="123">
        <f>D18*0.19</f>
        <v>6455.25</v>
      </c>
      <c r="F18" s="120">
        <f>SUM(D18:E18)</f>
        <v>40430.25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'2229'!O35</f>
        <v>152400</v>
      </c>
      <c r="E19" s="123">
        <f>D19*0.19</f>
        <v>28956</v>
      </c>
      <c r="F19" s="120">
        <f>SUM(D19:E19)</f>
        <v>181356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59748.48000000001</v>
      </c>
      <c r="E20" s="121">
        <f>D20*0.19</f>
        <v>11352.211200000002</v>
      </c>
      <c r="F20" s="120">
        <f>SUM(D20:E20)</f>
        <v>71100.691200000016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246123.48</v>
      </c>
      <c r="E21" s="116">
        <f>SUM(E18:E20)</f>
        <v>46763.461200000005</v>
      </c>
      <c r="F21" s="115">
        <f>SUM(F18:F20)</f>
        <v>292886.9412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135911.52731999999</v>
      </c>
    </row>
    <row r="41" spans="2:16" ht="15" thickBot="1" x14ac:dyDescent="0.35">
      <c r="H41" s="455" t="s">
        <v>59</v>
      </c>
      <c r="I41" s="456"/>
      <c r="J41" s="456"/>
      <c r="K41" s="456"/>
      <c r="L41" s="456"/>
      <c r="M41" s="45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961447.30800000008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246123.48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685489.73721256049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685489.73721256049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12072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IGNACIO ALVEAR</v>
      </c>
      <c r="D10" s="350"/>
      <c r="E10" s="350"/>
      <c r="F10" s="351" t="s">
        <v>166</v>
      </c>
      <c r="G10" s="352">
        <f>'2229'!G10</f>
        <v>46113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46120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+56 9 5224 1166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8" t="s">
        <v>174</v>
      </c>
      <c r="G17" s="458"/>
      <c r="H17" s="45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60" t="s">
        <v>175</v>
      </c>
      <c r="C20" s="461"/>
      <c r="D20" s="461"/>
      <c r="E20" s="461"/>
      <c r="F20" s="461"/>
      <c r="G20" s="461"/>
      <c r="H20" s="46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3" t="s">
        <v>181</v>
      </c>
      <c r="C2" s="463"/>
      <c r="D2" s="463"/>
      <c r="E2" s="361"/>
      <c r="G2" s="463" t="s">
        <v>182</v>
      </c>
      <c r="H2" s="463"/>
      <c r="I2" s="463"/>
      <c r="P2" s="464" t="s">
        <v>183</v>
      </c>
      <c r="Q2" s="464"/>
      <c r="R2" s="46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64" t="s">
        <v>183</v>
      </c>
      <c r="M8" s="464"/>
      <c r="N8" s="464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9" t="s">
        <v>264</v>
      </c>
      <c r="L3" s="469"/>
      <c r="M3" s="469" t="s">
        <v>265</v>
      </c>
      <c r="N3" s="469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IGNACIO ALVEAR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46113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70" t="s">
        <v>264</v>
      </c>
      <c r="B10" s="470"/>
      <c r="C10" s="470"/>
      <c r="D10" s="470"/>
      <c r="E10" s="470"/>
      <c r="F10" s="47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70" t="s">
        <v>265</v>
      </c>
      <c r="B17" s="470"/>
      <c r="C17" s="470"/>
      <c r="D17" s="470"/>
      <c r="E17" s="470"/>
      <c r="F17" s="47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70" t="s">
        <v>271</v>
      </c>
      <c r="B45" s="470"/>
      <c r="C45" s="470"/>
      <c r="D45" s="470"/>
      <c r="E45" s="470"/>
      <c r="F45" s="47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5" t="s">
        <v>94</v>
      </c>
      <c r="C47" s="466"/>
      <c r="D47" s="467"/>
      <c r="E47" s="467"/>
      <c r="F47" s="46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12072</v>
      </c>
      <c r="C2" s="1">
        <f>'NOTA DE VENTA'!$G$10</f>
        <v>46113</v>
      </c>
      <c r="D2" s="1">
        <f>'NOTA DE VENTA'!$G$11</f>
        <v>46120</v>
      </c>
      <c r="E2" t="str">
        <f>'NOTA DE VENTA'!$C$10</f>
        <v>IGNACIO ALVEAR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2026-03-30T19:26:19Z</cp:lastPrinted>
  <dcterms:created xsi:type="dcterms:W3CDTF">2013-03-18T13:35:42Z</dcterms:created>
  <dcterms:modified xsi:type="dcterms:W3CDTF">2026-04-02T11:50:41Z</dcterms:modified>
</cp:coreProperties>
</file>