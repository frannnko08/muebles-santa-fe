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8B4A617B-BCC5-4A26-A30B-226CEEB6A7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L21" i="1"/>
  <c r="M21" i="1"/>
  <c r="N21" i="1"/>
  <c r="T21" i="1" l="1"/>
  <c r="S21" i="1"/>
  <c r="O21" i="1"/>
  <c r="P21" i="1" s="1"/>
  <c r="N5" i="6"/>
  <c r="A2" i="7"/>
  <c r="P24" i="1" l="1"/>
  <c r="S25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T23" i="1" l="1"/>
  <c r="S26" i="1" s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O38" i="1"/>
  <c r="E15" i="3"/>
  <c r="R21" i="1" l="1"/>
  <c r="H21" i="1" s="1"/>
  <c r="F15" i="3"/>
  <c r="H24" i="1" l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2" i="3" l="1"/>
  <c r="X11" i="3"/>
  <c r="X16" i="3"/>
  <c r="X13" i="3"/>
  <c r="E13" i="3"/>
  <c r="E11" i="3"/>
  <c r="D40" i="3" s="1"/>
  <c r="M42" i="3"/>
  <c r="M46" i="3" s="1"/>
  <c r="M49" i="3" s="1"/>
  <c r="X14" i="3"/>
  <c r="D13" i="3"/>
  <c r="F11" i="3" l="1"/>
</calcChain>
</file>

<file path=xl/sharedStrings.xml><?xml version="1.0" encoding="utf-8"?>
<sst xmlns="http://schemas.openxmlformats.org/spreadsheetml/2006/main" count="485" uniqueCount="293">
  <si>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</si>
  <si>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</si>
  <si>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</si>
  <si>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</si>
  <si>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</si>
  <si>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</si>
  <si>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</si>
  <si>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</si>
  <si>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</si>
  <si>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</si>
  <si>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</si>
  <si>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</si>
  <si>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</si>
  <si>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</si>
  <si>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</si>
  <si>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</si>
  <si>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</si>
  <si>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</si>
  <si>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</si>
  <si>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</si>
  <si>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</si>
  <si>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</si>
  <si>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</si>
  <si>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</si>
  <si>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</si>
  <si>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</si>
  <si>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</si>
  <si>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</si>
  <si>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</si>
  <si>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</si>
  <si>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</si>
  <si>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</si>
  <si>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</si>
  <si>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</si>
  <si>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</si>
  <si>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</si>
  <si>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</si>
  <si>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</si>
  <si>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</si>
  <si>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</si>
  <si>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</si>
  <si>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</si>
  <si>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</si>
  <si>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</si>
  <si>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</si>
  <si>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</si>
  <si>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</si>
  <si>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</si>
  <si>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</si>
  <si>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</si>
  <si>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</si>
  <si>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</si>
  <si>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</si>
  <si>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</si>
  <si>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</si>
  <si>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</si>
  <si>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</si>
  <si>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</si>
  <si>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</si>
  <si>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</si>
  <si>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</si>
  <si>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</si>
  <si>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</si>
  <si>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</si>
  <si>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</si>
  <si>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</si>
  <si>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</si>
  <si>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</si>
  <si>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</si>
  <si>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</si>
  <si>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</si>
  <si>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</si>
  <si>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</si>
  <si>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</si>
  <si>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</si>
  <si>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</si>
  <si>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</si>
  <si>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</si>
  <si>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</si>
  <si>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</si>
  <si>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</si>
  <si>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</si>
  <si>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</si>
  <si>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</si>
  <si>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</si>
  <si>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</si>
  <si>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</si>
  <si>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</si>
  <si>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</si>
  <si>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</si>
  <si>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</si>
  <si>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</si>
  <si>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</si>
  <si>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</si>
  <si>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</si>
  <si>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</si>
  <si>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</si>
  <si>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</si>
  <si>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</si>
  <si>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</si>
  <si>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</si>
  <si>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</si>
  <si>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</si>
  <si>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</si>
  <si>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</si>
  <si>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</si>
  <si>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</si>
  <si>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</si>
  <si>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</si>
  <si>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</si>
  <si>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</si>
  <si>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</si>
  <si>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</si>
  <si>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</si>
  <si>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</si>
  <si>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</si>
  <si>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</si>
  <si>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</si>
  <si>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</si>
  <si>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</si>
  <si>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</si>
  <si>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</si>
  <si>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</si>
  <si>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</si>
  <si>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</si>
  <si>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</si>
  <si>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</si>
  <si>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</si>
  <si>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</si>
  <si>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</si>
  <si>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</si>
  <si>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</si>
  <si>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</si>
  <si>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</si>
  <si>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</si>
  <si>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</si>
  <si>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</si>
  <si>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</si>
  <si>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</si>
  <si>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</si>
  <si>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</si>
  <si>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</si>
  <si>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</si>
  <si>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</si>
  <si>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</si>
  <si>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</si>
  <si>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</si>
  <si>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</si>
  <si>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</si>
  <si>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</si>
  <si>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</si>
  <si>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</si>
  <si>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</si>
  <si>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</si>
  <si>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</si>
  <si>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</si>
  <si>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</si>
  <si>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</si>
  <si>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</si>
  <si>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</si>
  <si>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</si>
  <si>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</si>
  <si>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</si>
  <si>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</si>
  <si>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</si>
  <si>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</si>
  <si>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</si>
  <si>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</si>
  <si>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</si>
  <si>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</si>
  <si>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</si>
  <si>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</si>
  <si>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</si>
  <si>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</si>
  <si>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</si>
  <si>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</si>
  <si>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</si>
  <si>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</si>
  <si>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</si>
  <si>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</si>
  <si>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</si>
  <si>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</si>
  <si>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</si>
  <si>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</si>
  <si>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</si>
  <si>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</si>
  <si>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</si>
  <si>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</si>
  <si>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</si>
  <si>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</si>
  <si>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</si>
  <si>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</si>
  <si>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</si>
  <si>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</si>
  <si>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</si>
  <si>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</si>
  <si>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</si>
  <si>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</si>
  <si>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</si>
  <si>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</si>
  <si>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</si>
  <si>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</si>
  <si>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</si>
  <si>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</si>
  <si>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</si>
  <si>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</si>
  <si>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</si>
  <si>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</si>
  <si>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</si>
  <si>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</si>
  <si>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</si>
  <si>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</si>
  <si>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</si>
  <si>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</si>
  <si>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</si>
  <si>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</si>
  <si>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</si>
  <si>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</si>
  <si>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</si>
  <si>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</si>
  <si>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</si>
  <si>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</si>
  <si>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</si>
  <si>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</si>
  <si>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</si>
  <si>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</si>
  <si>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</si>
  <si>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</si>
  <si>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</si>
  <si>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</si>
  <si>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</si>
  <si>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</si>
  <si>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</si>
  <si>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</si>
  <si>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</si>
  <si>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</si>
  <si>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</si>
  <si>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</si>
  <si>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</si>
  <si>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</si>
  <si>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</si>
  <si>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</si>
  <si>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</si>
  <si>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</si>
  <si>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</si>
  <si>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</si>
  <si>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</si>
  <si>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</si>
  <si>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</si>
  <si>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</si>
  <si>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</si>
  <si>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</si>
  <si>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</si>
  <si>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</si>
  <si>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</si>
  <si>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</si>
  <si>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</si>
  <si>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</si>
  <si>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</si>
  <si>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</si>
  <si>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</si>
  <si>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</si>
  <si>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</si>
  <si>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</si>
  <si>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</si>
  <si>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</si>
  <si>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</si>
  <si>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</si>
  <si>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</si>
  <si>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</si>
  <si>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</si>
  <si>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</si>
  <si>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</si>
  <si>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</si>
  <si>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</si>
  <si>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</si>
  <si>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</si>
  <si>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</si>
  <si>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</si>
  <si>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</si>
  <si>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</si>
  <si>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</si>
  <si>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</si>
  <si>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</si>
  <si>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</si>
  <si>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</si>
  <si>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</si>
  <si>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</si>
  <si>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</si>
  <si>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BLANCO MT</t>
  </si>
  <si>
    <t>N° 12087</t>
  </si>
  <si>
    <t>ALEJANDRO</t>
  </si>
  <si>
    <t>+569 8837 7287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</si>
</sst>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0" fillId="0" borderId="0" xfId="0" quotePrefix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328240"/>
          <a:ext cx="6321037" cy="67611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REPLICA A LA MUESTRA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4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9" t="s">
        <v>291</v>
      </c>
      <c r="D10" s="243"/>
      <c r="E10" s="243"/>
      <c r="F10" s="418" t="s">
        <v>275</v>
      </c>
      <c r="G10" s="275">
        <v>46121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284</v>
      </c>
      <c r="G11" s="421">
        <v>46128</v>
      </c>
      <c r="H11" s="422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C13" s="438"/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292</v>
      </c>
      <c r="D15" s="424"/>
      <c r="F15" s="29" t="s">
        <v>282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5" t="s">
        <v>13</v>
      </c>
      <c r="C17" s="299" t="s">
        <v>285</v>
      </c>
      <c r="D17" s="300"/>
      <c r="E17" s="119"/>
      <c r="F17" s="426" t="s">
        <v>177</v>
      </c>
      <c r="G17" s="426" t="s">
        <v>178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9" t="s">
        <v>94</v>
      </c>
      <c r="C19" s="440"/>
      <c r="D19" s="440"/>
      <c r="E19" s="440"/>
      <c r="F19" s="440"/>
      <c r="G19" s="440"/>
      <c r="H19" s="441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94195.205437133147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32">
        <v>1</v>
      </c>
      <c r="C21" s="433" t="s">
        <v>250</v>
      </c>
      <c r="D21" s="434">
        <v>0.78</v>
      </c>
      <c r="E21" s="434">
        <v>0.78</v>
      </c>
      <c r="F21" s="435" t="s">
        <v>289</v>
      </c>
      <c r="G21" s="436">
        <v>58824</v>
      </c>
      <c r="H21" s="437">
        <f>G21*B21</f>
        <v>58824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0.83000000000000007</v>
      </c>
      <c r="N21" s="39">
        <f t="shared" ref="N21" si="2">E21+$N$19</f>
        <v>0.78</v>
      </c>
      <c r="O21" s="260">
        <f t="shared" ref="O21" si="3">M21*N21</f>
        <v>0.64740000000000009</v>
      </c>
      <c r="P21" s="258">
        <f t="shared" ref="P21" si="4">O21*L21</f>
        <v>0.64740000000000009</v>
      </c>
      <c r="Q21" s="251">
        <f t="shared" ref="Q21" si="5">Q$20*O21</f>
        <v>60981.97600000001</v>
      </c>
      <c r="R21" s="305">
        <f t="shared" ref="R21" si="6">Q21+R$20</f>
        <v>63981.97600000001</v>
      </c>
      <c r="S21" s="290">
        <f>M21*L21*2</f>
        <v>1.6600000000000001</v>
      </c>
      <c r="T21" s="46">
        <f>N21*L21*2</f>
        <v>1.56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H25/1.19</f>
        <v>58823.529411764706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1.56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11176.470588235294</v>
      </c>
      <c r="I24" s="308"/>
      <c r="J24" s="264"/>
      <c r="K24" s="47"/>
      <c r="L24" s="431">
        <f>M24*10</f>
        <v>8.3000000000000007</v>
      </c>
      <c r="M24" s="39">
        <f>SUM(M21:M23)</f>
        <v>0.83000000000000007</v>
      </c>
      <c r="N24" s="12"/>
      <c r="O24" s="12"/>
      <c r="P24" s="252">
        <f>SUM(P21:P21)</f>
        <v>0.64740000000000009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v>70000</v>
      </c>
      <c r="I25" s="308"/>
      <c r="J25" s="264"/>
      <c r="K25" s="47"/>
      <c r="L25" s="47"/>
      <c r="M25" s="39"/>
      <c r="N25" s="12"/>
      <c r="O25" s="12"/>
      <c r="P25" s="252">
        <f>P24</f>
        <v>0.64740000000000009</v>
      </c>
      <c r="Q25" s="14"/>
      <c r="R25" s="12"/>
      <c r="S25" s="239">
        <f>SUM(S21:S24)</f>
        <v>1.6600000000000001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0.12948000000000001</v>
      </c>
      <c r="Q26" s="39" t="s">
        <v>128</v>
      </c>
      <c r="R26" s="42"/>
      <c r="S26" s="240">
        <f>S25+T23</f>
        <v>3.22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0.77688000000000013</v>
      </c>
      <c r="Q27" s="14"/>
      <c r="R27" s="14"/>
      <c r="S27" s="238">
        <f>S26*20%</f>
        <v>0.64400000000000013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3.8640000000000003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0.77688000000000013</v>
      </c>
      <c r="N29" s="12">
        <v>3500</v>
      </c>
      <c r="O29" s="12">
        <f t="shared" ref="O29:O34" si="7">M29*N29</f>
        <v>2719.0800000000004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0.2</v>
      </c>
      <c r="N30" s="12">
        <v>25000</v>
      </c>
      <c r="O30" s="12">
        <f t="shared" si="7"/>
        <v>5000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0.8</v>
      </c>
      <c r="N32" s="249">
        <v>25000</v>
      </c>
      <c r="O32" s="12">
        <f t="shared" si="7"/>
        <v>20000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7"/>
        <v>0</v>
      </c>
      <c r="P33" s="14" t="s">
        <v>31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7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27719.08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O35*2.2</f>
        <v>60981.97600000001</v>
      </c>
      <c r="P36" s="14" t="s">
        <v>137</v>
      </c>
      <c r="Q36" s="14"/>
      <c r="R36" s="40">
        <f>P27/R35</f>
        <v>0.20946937014667821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94195.205437133147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46121</v>
      </c>
    </row>
    <row r="6" spans="2:31" ht="16.2" thickBot="1" x14ac:dyDescent="0.35">
      <c r="B6" s="140" t="s">
        <v>2</v>
      </c>
      <c r="C6" s="139" t="str">
        <f>'2229'!C10</f>
        <v>ALEJANDRO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3" t="s">
        <v>97</v>
      </c>
      <c r="I7" s="444"/>
      <c r="J7" s="444"/>
      <c r="K7" s="445"/>
      <c r="N7" s="75"/>
      <c r="O7" s="442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12087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2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523.20039791844226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58823.529411764706</v>
      </c>
      <c r="E11" s="132">
        <f>D11*0.19</f>
        <v>11176.470588235294</v>
      </c>
      <c r="F11" s="131">
        <f>E11+D11</f>
        <v>70000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106513.20039791844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37553.170787439616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88513.200397918437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21270.35862432509</v>
      </c>
      <c r="E13" s="221">
        <f>(D11/D12)-1</f>
        <v>0.56640646257863714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79513.200397918437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40513.200397918445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61962.73179927536</v>
      </c>
      <c r="F15" s="216">
        <f>E15-D12</f>
        <v>24409.561011835744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40513.200397918445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80513.200397918437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5000</v>
      </c>
      <c r="E19" s="123">
        <f>D19*0.19</f>
        <v>950</v>
      </c>
      <c r="F19" s="120">
        <f>SUM(D19:E19)</f>
        <v>5950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2719.0800000000004</v>
      </c>
      <c r="E20" s="121">
        <f>D20*0.19</f>
        <v>516.62520000000006</v>
      </c>
      <c r="F20" s="120">
        <f>SUM(D20:E20)</f>
        <v>3235.7052000000003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7719.08</v>
      </c>
      <c r="E21" s="116">
        <f>SUM(E18:E20)</f>
        <v>1466.6251999999999</v>
      </c>
      <c r="F21" s="115">
        <f>SUM(F18:F20)</f>
        <v>9185.7052000000003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9709.8453882352933</v>
      </c>
    </row>
    <row r="41" spans="2:16" ht="15" thickBot="1" x14ac:dyDescent="0.35">
      <c r="H41" s="446" t="s">
        <v>59</v>
      </c>
      <c r="I41" s="447"/>
      <c r="J41" s="447"/>
      <c r="K41" s="447"/>
      <c r="L41" s="447"/>
      <c r="M41" s="448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58823.529411764706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7719.08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21270.35862432509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21270.35862432509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12087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ALEJANDRO</v>
      </c>
      <c r="D10" s="350"/>
      <c r="E10" s="350"/>
      <c r="F10" s="351" t="s">
        <v>165</v>
      </c>
      <c r="G10" s="352">
        <f>'2229'!G10</f>
        <v>46121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46128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+569 8837 7287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9" t="s">
        <v>173</v>
      </c>
      <c r="G17" s="449"/>
      <c r="H17" s="450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1" t="s">
        <v>174</v>
      </c>
      <c r="C20" s="452"/>
      <c r="D20" s="452"/>
      <c r="E20" s="452"/>
      <c r="F20" s="452"/>
      <c r="G20" s="452"/>
      <c r="H20" s="453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4" t="s">
        <v>180</v>
      </c>
      <c r="C2" s="454"/>
      <c r="D2" s="454"/>
      <c r="E2" s="361"/>
      <c r="G2" s="454" t="s">
        <v>181</v>
      </c>
      <c r="H2" s="454"/>
      <c r="I2" s="454"/>
      <c r="P2" s="455" t="s">
        <v>182</v>
      </c>
      <c r="Q2" s="455"/>
      <c r="R2" s="455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5" t="s">
        <v>182</v>
      </c>
      <c r="M8" s="455"/>
      <c r="N8" s="455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G14" sqref="G1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0" t="s">
        <v>263</v>
      </c>
      <c r="L3" s="460"/>
      <c r="M3" s="460" t="s">
        <v>264</v>
      </c>
      <c r="N3" s="460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ALEJANDRO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46121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46128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1" t="s">
        <v>263</v>
      </c>
      <c r="B10" s="461"/>
      <c r="C10" s="461"/>
      <c r="D10" s="461"/>
      <c r="E10" s="461"/>
      <c r="F10" s="461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1" t="s">
        <v>264</v>
      </c>
      <c r="B17" s="461"/>
      <c r="C17" s="461"/>
      <c r="D17" s="461"/>
      <c r="E17" s="461"/>
      <c r="F17" s="461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1" t="s">
        <v>270</v>
      </c>
      <c r="B45" s="461"/>
      <c r="C45" s="461"/>
      <c r="D45" s="461"/>
      <c r="E45" s="461"/>
      <c r="F45" s="461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6" t="s">
        <v>94</v>
      </c>
      <c r="C47" s="457"/>
      <c r="D47" s="458"/>
      <c r="E47" s="458"/>
      <c r="F47" s="459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12087</v>
      </c>
      <c r="C2" s="1">
        <f>'NOTA DE VENTA'!$G$10</f>
        <v>46121</v>
      </c>
      <c r="D2" s="1">
        <f>'NOTA DE VENTA'!$G$11</f>
        <v>46128</v>
      </c>
      <c r="E2" t="str">
        <f>'NOTA DE VENTA'!$C$10</f>
        <v>ALEJANDRO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2026-04-09T18:40:28Z</cp:lastPrinted>
  <dcterms:created xsi:type="dcterms:W3CDTF">2013-03-18T13:35:42Z</dcterms:created>
  <dcterms:modified xsi:type="dcterms:W3CDTF">2026-04-14T14:03:32Z</dcterms:modified>
</cp:coreProperties>
</file>