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CC2C2444-73A1-4E8E-AC59-36C648240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L21" i="1" l="1"/>
  <c r="M21" i="1"/>
  <c r="N21" i="1"/>
  <c r="T21" i="1" l="1"/>
  <c r="S21" i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T24" i="1" l="1"/>
  <c r="S27" i="1" s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D21" i="3"/>
  <c r="M43" i="3" s="1"/>
  <c r="D12" i="3" s="1"/>
  <c r="F20" i="3"/>
  <c r="F21" i="3" s="1"/>
  <c r="R22" i="1" l="1"/>
  <c r="G22" i="1"/>
  <c r="H22" i="1" s="1"/>
  <c r="Q21" i="1"/>
  <c r="G21" i="1" s="1"/>
  <c r="O39" i="1"/>
  <c r="E15" i="3"/>
  <c r="R21" i="1" l="1"/>
  <c r="H21" i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<sst xmlns="http://schemas.openxmlformats.org/spreadsheetml/2006/main" count="488" uniqueCount="295">
  <si>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</si>
  <si>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</si>
  <si>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</si>
  <si>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</si>
  <si>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</si>
  <si>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</si>
  <si>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</si>
  <si>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</si>
  <si>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</si>
  <si>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</si>
  <si>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</si>
  <si>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</si>
  <si>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</si>
  <si>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</si>
  <si>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</si>
  <si>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</si>
  <si>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</si>
  <si>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</si>
  <si>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</si>
  <si>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</si>
  <si>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</si>
  <si>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</si>
  <si>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</si>
  <si>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</si>
  <si>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</si>
  <si>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</si>
  <si>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</si>
  <si>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</si>
  <si>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</si>
  <si>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</si>
  <si>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</si>
  <si>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</si>
  <si>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</si>
  <si>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</si>
  <si>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</si>
  <si>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</si>
  <si>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</si>
  <si>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</si>
  <si>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</si>
  <si>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</si>
  <si>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</si>
  <si>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</si>
  <si>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</si>
  <si>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</si>
  <si>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</si>
  <si>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</si>
  <si>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</si>
  <si>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</si>
  <si>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</si>
  <si>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</si>
  <si>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</si>
  <si>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</si>
  <si>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</si>
  <si>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</si>
  <si>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</si>
  <si>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</si>
  <si>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</si>
  <si>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</si>
  <si>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</si>
  <si>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</si>
  <si>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</si>
  <si>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</si>
  <si>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</si>
  <si>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</si>
  <si>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</si>
  <si>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</si>
  <si>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</si>
  <si>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</si>
  <si>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</si>
  <si>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</si>
  <si>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</si>
  <si>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</si>
  <si>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</si>
  <si>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</si>
  <si>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</si>
  <si>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</si>
  <si>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</si>
  <si>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</si>
  <si>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</si>
  <si>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</si>
  <si>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</si>
  <si>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</si>
  <si>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</si>
  <si>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</si>
  <si>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</si>
  <si>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</si>
  <si>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</si>
  <si>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</si>
  <si>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</si>
  <si>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</si>
  <si>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</si>
  <si>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</si>
  <si>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</si>
  <si>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</si>
  <si>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</si>
  <si>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</si>
  <si>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</si>
  <si>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</si>
  <si>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</si>
  <si>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</si>
  <si>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</si>
  <si>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</si>
  <si>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</si>
  <si>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</si>
  <si>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</si>
  <si>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</si>
  <si>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</si>
  <si>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</si>
  <si>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</si>
  <si>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</si>
  <si>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</si>
  <si>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</si>
  <si>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</si>
  <si>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</si>
  <si>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</si>
  <si>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</si>
  <si>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</si>
  <si>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</si>
  <si>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</si>
  <si>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</si>
  <si>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</si>
  <si>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</si>
  <si>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</si>
  <si>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</si>
  <si>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</si>
  <si>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</si>
  <si>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</si>
  <si>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</si>
  <si>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</si>
  <si>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</si>
  <si>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</si>
  <si>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</si>
  <si>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</si>
  <si>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</si>
  <si>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</si>
  <si>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</si>
  <si>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</si>
  <si>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</si>
  <si>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</si>
  <si>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</si>
  <si>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</si>
  <si>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</si>
  <si>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</si>
  <si>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</si>
  <si>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</si>
  <si>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</si>
  <si>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</si>
  <si>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</si>
  <si>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</si>
  <si>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</si>
  <si>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</si>
  <si>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</si>
  <si>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</si>
  <si>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</si>
  <si>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</si>
  <si>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</si>
  <si>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</si>
  <si>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</si>
  <si>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</si>
  <si>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</si>
  <si>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</si>
  <si>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</si>
  <si>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</si>
  <si>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</si>
  <si>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</si>
  <si>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</si>
  <si>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</si>
  <si>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</si>
  <si>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</si>
  <si>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</si>
  <si>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</si>
  <si>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</si>
  <si>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</si>
  <si>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</si>
  <si>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</si>
  <si>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</si>
  <si>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</si>
  <si>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</si>
  <si>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</si>
  <si>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</si>
  <si>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</si>
  <si>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</si>
  <si>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</si>
  <si>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</si>
  <si>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</si>
  <si>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</si>
  <si>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</si>
  <si>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</si>
  <si>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</si>
  <si>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</si>
  <si>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</si>
  <si>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</si>
  <si>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</si>
  <si>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</si>
  <si>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</si>
  <si>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</si>
  <si>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</si>
  <si>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</si>
  <si>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</si>
  <si>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</si>
  <si>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</si>
  <si>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</si>
  <si>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</si>
  <si>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</si>
  <si>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</si>
  <si>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</si>
  <si>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</si>
  <si>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</si>
  <si>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</si>
  <si>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</si>
  <si>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</si>
  <si>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</si>
  <si>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</si>
  <si>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</si>
  <si>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</si>
  <si>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</si>
  <si>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</si>
  <si>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</si>
  <si>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</si>
  <si>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</si>
  <si>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</si>
  <si>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</si>
  <si>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</si>
  <si>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</si>
  <si>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</si>
  <si>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</si>
  <si>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</si>
  <si>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</si>
  <si>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</si>
  <si>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</si>
  <si>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</si>
  <si>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</si>
  <si>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</si>
  <si>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</si>
  <si>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</si>
  <si>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</si>
  <si>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</si>
  <si>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</si>
  <si>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</si>
  <si>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</si>
  <si>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</si>
  <si>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</si>
  <si>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</si>
  <si>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</si>
  <si>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</si>
  <si>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</si>
  <si>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</si>
  <si>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</si>
  <si>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</si>
  <si>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</si>
  <si>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</si>
  <si>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</si>
  <si>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</si>
  <si>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</si>
  <si>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</si>
  <si>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</si>
  <si>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</si>
  <si>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</si>
  <si>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</si>
  <si>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</si>
  <si>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</si>
  <si>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</si>
  <si>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</si>
  <si>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</si>
  <si>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</si>
  <si>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</si>
  <si>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</si>
  <si>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</si>
  <si>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</si>
  <si>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</si>
  <si>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</si>
  <si>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</si>
  <si>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</si>
  <si>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</si>
  <si>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</si>
  <si>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</si>
  <si>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</si>
  <si>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</si>
  <si>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</si>
  <si>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</si>
  <si>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</si>
  <si>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</si>
  <si>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</si>
  <si>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</si>
  <si>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</si>
  <si>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</si>
  <si>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</si>
  <si>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</si>
  <si>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</si>
  <si>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</si>
  <si>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WHITE MARBLE BR</t>
  </si>
  <si>
    <t>N° 12078</t>
  </si>
  <si>
    <t>CUB SIN RESPALDO FTE 90°</t>
  </si>
  <si>
    <t>ALFONSO ROMERO</t>
  </si>
  <si>
    <t>+569 8552 2531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</si>
</sst>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A4" sqref="A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293</v>
      </c>
      <c r="D10" s="243"/>
      <c r="E10" s="243"/>
      <c r="F10" s="418" t="s">
        <v>276</v>
      </c>
      <c r="G10" s="275">
        <v>46118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1" t="s">
        <v>94</v>
      </c>
      <c r="C19" s="442"/>
      <c r="D19" s="442"/>
      <c r="E19" s="442"/>
      <c r="F19" s="442"/>
      <c r="G19" s="442"/>
      <c r="H19" s="44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64097.399957047746</v>
      </c>
      <c r="R20" s="257">
        <v>5000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438" t="s">
        <v>292</v>
      </c>
      <c r="D21" s="439">
        <v>1.92</v>
      </c>
      <c r="E21" s="439">
        <v>0.61</v>
      </c>
      <c r="F21" s="313" t="s">
        <v>290</v>
      </c>
      <c r="G21" s="314">
        <f>Q21</f>
        <v>78198.827947598242</v>
      </c>
      <c r="H21" s="440">
        <f>G21*B21</f>
        <v>78198.827947598242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</v>
      </c>
      <c r="N21" s="39">
        <f t="shared" ref="N21" si="2">E21+$N$19</f>
        <v>0.61</v>
      </c>
      <c r="O21" s="260">
        <f t="shared" ref="O21" si="3">M21*N21</f>
        <v>1.22</v>
      </c>
      <c r="P21" s="258">
        <f t="shared" ref="P21" si="4">O21*L21</f>
        <v>1.22</v>
      </c>
      <c r="Q21" s="251">
        <f t="shared" ref="Q21" si="5">Q$20*O21</f>
        <v>78198.827947598242</v>
      </c>
      <c r="R21" s="305">
        <f t="shared" ref="R21" si="6">Q21+R$20</f>
        <v>83198.827947598242</v>
      </c>
      <c r="S21" s="290">
        <f>M21*L21*2</f>
        <v>4</v>
      </c>
      <c r="T21" s="46">
        <f>N21*L21*2</f>
        <v>1.22</v>
      </c>
      <c r="U21" s="9"/>
      <c r="X21" s="4"/>
    </row>
    <row r="22" spans="1:25" ht="18" thickBot="1" x14ac:dyDescent="0.35">
      <c r="B22" s="432">
        <v>1</v>
      </c>
      <c r="C22" s="433" t="s">
        <v>292</v>
      </c>
      <c r="D22" s="434">
        <v>2.5</v>
      </c>
      <c r="E22" s="434">
        <v>0.61</v>
      </c>
      <c r="F22" s="435" t="s">
        <v>290</v>
      </c>
      <c r="G22" s="436">
        <f>Q22</f>
        <v>100876.48805240175</v>
      </c>
      <c r="H22" s="437">
        <f>G22*B22</f>
        <v>100876.48805240175</v>
      </c>
      <c r="I22" s="306"/>
      <c r="J22" s="264"/>
      <c r="K22" s="47"/>
      <c r="L22" s="47">
        <f t="shared" ref="L22" si="7">B22</f>
        <v>1</v>
      </c>
      <c r="M22" s="39">
        <f t="shared" ref="M22" si="8">D22+M$19</f>
        <v>2.58</v>
      </c>
      <c r="N22" s="39">
        <f t="shared" ref="N22" si="9">E22+$N$19</f>
        <v>0.61</v>
      </c>
      <c r="O22" s="260">
        <f t="shared" ref="O22" si="10">M22*N22</f>
        <v>1.5738000000000001</v>
      </c>
      <c r="P22" s="258">
        <f t="shared" ref="P22" si="11">O22*L22</f>
        <v>1.5738000000000001</v>
      </c>
      <c r="Q22" s="251">
        <f t="shared" ref="Q22" si="12">Q$20*O22</f>
        <v>100876.48805240175</v>
      </c>
      <c r="R22" s="305">
        <f t="shared" ref="R22" si="13">Q22+R$20</f>
        <v>105876.48805240175</v>
      </c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179075.31599999999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1.22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>
        <f>H24*19%</f>
        <v>34024.310039999997</v>
      </c>
      <c r="I25" s="308"/>
      <c r="J25" s="264"/>
      <c r="K25" s="47"/>
      <c r="L25" s="431">
        <f>M25*10</f>
        <v>45.8</v>
      </c>
      <c r="M25" s="39">
        <f>SUM(M21:M24)</f>
        <v>4.58</v>
      </c>
      <c r="N25" s="12"/>
      <c r="O25" s="12"/>
      <c r="P25" s="252">
        <f>SUM(P21:P22)</f>
        <v>2.7938000000000001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213099.62604</v>
      </c>
      <c r="I26" s="308"/>
      <c r="J26" s="264"/>
      <c r="K26" s="47"/>
      <c r="L26" s="47"/>
      <c r="M26" s="39"/>
      <c r="N26" s="12"/>
      <c r="O26" s="12"/>
      <c r="P26" s="252">
        <f>P25</f>
        <v>2.7938000000000001</v>
      </c>
      <c r="Q26" s="14"/>
      <c r="R26" s="12"/>
      <c r="S26" s="239">
        <f>SUM(S21:S25)</f>
        <v>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0.55876000000000003</v>
      </c>
      <c r="Q27" s="39" t="s">
        <v>128</v>
      </c>
      <c r="R27" s="42"/>
      <c r="S27" s="240">
        <f>S26+T24</f>
        <v>5.22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3.35256</v>
      </c>
      <c r="Q28" s="14"/>
      <c r="R28" s="14"/>
      <c r="S28" s="238">
        <f>S27*20%</f>
        <v>1.044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6.2639999999999993</v>
      </c>
      <c r="T29" s="14"/>
      <c r="U29" s="294" t="s">
        <v>21</v>
      </c>
      <c r="V29" s="291" t="s">
        <v>148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3.35256</v>
      </c>
      <c r="N30" s="12">
        <v>3500</v>
      </c>
      <c r="O30" s="12">
        <f t="shared" ref="O30:O35" si="14">M30*N30</f>
        <v>11733.96</v>
      </c>
      <c r="P30" s="14" t="s">
        <v>21</v>
      </c>
      <c r="Q30" s="14"/>
      <c r="R30" s="14"/>
      <c r="S30" s="241"/>
      <c r="T30" s="14"/>
      <c r="U30" s="294" t="s">
        <v>149</v>
      </c>
      <c r="V30" s="291">
        <v>3625</v>
      </c>
      <c r="W30" s="59" t="s">
        <v>150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0.9</v>
      </c>
      <c r="N31" s="12">
        <v>25000</v>
      </c>
      <c r="O31" s="12">
        <f t="shared" si="14"/>
        <v>22500</v>
      </c>
      <c r="P31" s="39" t="s">
        <v>287</v>
      </c>
      <c r="Q31" s="42"/>
      <c r="R31" s="14"/>
      <c r="S31" s="240"/>
      <c r="T31" s="14"/>
      <c r="U31" s="294"/>
      <c r="V31" s="59">
        <v>906.25</v>
      </c>
      <c r="W31" s="59" t="s">
        <v>151</v>
      </c>
      <c r="X31" s="296"/>
    </row>
    <row r="32" spans="1:25" s="230" customFormat="1" ht="17.399999999999999" x14ac:dyDescent="0.35">
      <c r="B32" s="24" t="s">
        <v>147</v>
      </c>
      <c r="J32" s="261"/>
      <c r="K32" s="232"/>
      <c r="L32" s="249"/>
      <c r="M32" s="14"/>
      <c r="N32" s="249">
        <v>33975</v>
      </c>
      <c r="O32" s="12">
        <f t="shared" si="14"/>
        <v>0</v>
      </c>
      <c r="P32" s="39" t="s">
        <v>289</v>
      </c>
      <c r="Q32" s="42"/>
      <c r="S32" s="240"/>
      <c r="T32" s="255"/>
      <c r="U32" s="59"/>
      <c r="V32" s="59">
        <f>V31*20%</f>
        <v>181.25</v>
      </c>
      <c r="W32" s="296" t="s">
        <v>152</v>
      </c>
      <c r="X32" s="59"/>
    </row>
    <row r="33" spans="1:24" s="230" customFormat="1" ht="17.399999999999999" x14ac:dyDescent="0.35">
      <c r="B33" s="24" t="s">
        <v>161</v>
      </c>
      <c r="C33"/>
      <c r="D33"/>
      <c r="E33"/>
      <c r="F33"/>
      <c r="J33" s="261"/>
      <c r="K33" s="232"/>
      <c r="L33" s="249"/>
      <c r="M33" s="14">
        <v>2</v>
      </c>
      <c r="N33" s="249">
        <v>20000</v>
      </c>
      <c r="O33" s="12">
        <f t="shared" si="14"/>
        <v>40000</v>
      </c>
      <c r="P33" s="14" t="s">
        <v>138</v>
      </c>
      <c r="Q33" s="17"/>
      <c r="S33" s="238"/>
      <c r="T33" s="255"/>
      <c r="U33" s="59"/>
      <c r="V33" s="59">
        <f>V31+V32</f>
        <v>1087.5</v>
      </c>
      <c r="W33" s="296" t="s">
        <v>153</v>
      </c>
      <c r="X33" s="59"/>
    </row>
    <row r="34" spans="1:24" s="230" customFormat="1" ht="17.399999999999999" x14ac:dyDescent="0.35">
      <c r="A34" s="230" t="s">
        <v>282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>
        <v>4.5999999999999996</v>
      </c>
      <c r="N34" s="249">
        <v>900</v>
      </c>
      <c r="O34" s="12">
        <f t="shared" si="14"/>
        <v>4140</v>
      </c>
      <c r="P34" s="14" t="s">
        <v>31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4.5999999999999996</v>
      </c>
      <c r="N35" s="12">
        <v>1500</v>
      </c>
      <c r="O35" s="12">
        <f t="shared" si="14"/>
        <v>6899.9999999999991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85273.959999999992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179075.31599999999</v>
      </c>
      <c r="P37" s="14" t="s">
        <v>137</v>
      </c>
      <c r="Q37" s="14"/>
      <c r="R37" s="40">
        <f>P28/R36</f>
        <v>0.90394736842105261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64097.399957047746</v>
      </c>
      <c r="P38" s="45" t="s">
        <v>24</v>
      </c>
      <c r="Q38" s="14"/>
      <c r="R38" s="14"/>
      <c r="S38"/>
      <c r="T38" s="238"/>
      <c r="U38" s="59" t="s">
        <v>154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156</v>
      </c>
      <c r="V39" s="292" t="s">
        <v>155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157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152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46118</v>
      </c>
    </row>
    <row r="6" spans="2:31" ht="16.2" thickBot="1" x14ac:dyDescent="0.35">
      <c r="B6" s="140" t="s">
        <v>2</v>
      </c>
      <c r="C6" s="139" t="str">
        <f>'2229'!C10</f>
        <v>ALFONSO ROMERO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5" t="s">
        <v>97</v>
      </c>
      <c r="I7" s="446"/>
      <c r="J7" s="446"/>
      <c r="K7" s="447"/>
      <c r="N7" s="75"/>
      <c r="O7" s="444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4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-12227.172033454104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179075.31599999999</v>
      </c>
      <c r="E11" s="132">
        <f>D11*0.19</f>
        <v>34024.310039999997</v>
      </c>
      <c r="F11" s="131">
        <f>E11+D11</f>
        <v>213099.62604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93762.827966545898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64068.050787439613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75762.827966545898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115007.26521256038</v>
      </c>
      <c r="E13" s="221">
        <f>(D11/D12)-1</f>
        <v>1.7950798221429154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66762.827966545898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27762.827966545898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105712.28379927536</v>
      </c>
      <c r="F15" s="216">
        <f>E15-D12</f>
        <v>41644.233011835749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27762.827966545898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67762.827966545898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11733.96</v>
      </c>
      <c r="E20" s="121">
        <f>D20*0.19</f>
        <v>2229.4523999999997</v>
      </c>
      <c r="F20" s="120">
        <f>SUM(D20:E20)</f>
        <v>13963.412399999999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34233.96</v>
      </c>
      <c r="E21" s="116">
        <f>SUM(E18:E20)</f>
        <v>6504.4524000000001</v>
      </c>
      <c r="F21" s="115">
        <f>SUM(F18:F20)</f>
        <v>40738.412400000001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27519.857639999995</v>
      </c>
    </row>
    <row r="41" spans="2:16" ht="15" thickBot="1" x14ac:dyDescent="0.35">
      <c r="H41" s="448" t="s">
        <v>59</v>
      </c>
      <c r="I41" s="449"/>
      <c r="J41" s="449"/>
      <c r="K41" s="449"/>
      <c r="L41" s="449"/>
      <c r="M41" s="450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179075.31599999999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34233.96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115007.26521256038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115007.26521256038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12078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ALFONSO ROMERO</v>
      </c>
      <c r="D10" s="350"/>
      <c r="E10" s="350"/>
      <c r="F10" s="351" t="s">
        <v>166</v>
      </c>
      <c r="G10" s="352">
        <f>'2229'!G10</f>
        <v>46118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+569 8552 2531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1" t="s">
        <v>174</v>
      </c>
      <c r="G17" s="451"/>
      <c r="H17" s="45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3" t="s">
        <v>175</v>
      </c>
      <c r="C20" s="454"/>
      <c r="D20" s="454"/>
      <c r="E20" s="454"/>
      <c r="F20" s="454"/>
      <c r="G20" s="454"/>
      <c r="H20" s="45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6" t="s">
        <v>181</v>
      </c>
      <c r="C2" s="456"/>
      <c r="D2" s="456"/>
      <c r="E2" s="361"/>
      <c r="G2" s="456" t="s">
        <v>182</v>
      </c>
      <c r="H2" s="456"/>
      <c r="I2" s="456"/>
      <c r="P2" s="457" t="s">
        <v>183</v>
      </c>
      <c r="Q2" s="457"/>
      <c r="R2" s="457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7" t="s">
        <v>183</v>
      </c>
      <c r="M8" s="457"/>
      <c r="N8" s="457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2" t="s">
        <v>264</v>
      </c>
      <c r="L3" s="462"/>
      <c r="M3" s="462" t="s">
        <v>265</v>
      </c>
      <c r="N3" s="462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ALFONSO ROMERO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46118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3" t="s">
        <v>264</v>
      </c>
      <c r="B10" s="463"/>
      <c r="C10" s="463"/>
      <c r="D10" s="463"/>
      <c r="E10" s="463"/>
      <c r="F10" s="46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3" t="s">
        <v>265</v>
      </c>
      <c r="B17" s="463"/>
      <c r="C17" s="463"/>
      <c r="D17" s="463"/>
      <c r="E17" s="463"/>
      <c r="F17" s="46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3" t="s">
        <v>271</v>
      </c>
      <c r="B45" s="463"/>
      <c r="C45" s="463"/>
      <c r="D45" s="463"/>
      <c r="E45" s="463"/>
      <c r="F45" s="46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8" t="s">
        <v>94</v>
      </c>
      <c r="C47" s="459"/>
      <c r="D47" s="460"/>
      <c r="E47" s="460"/>
      <c r="F47" s="461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12078</v>
      </c>
      <c r="C2" s="1">
        <f>'NOTA DE VENTA'!$G$10</f>
        <v>46118</v>
      </c>
      <c r="D2" s="1">
        <f>'NOTA DE VENTA'!$G$11</f>
        <v>46125</v>
      </c>
      <c r="E2" t="str">
        <f>'NOTA DE VENTA'!$C$10</f>
        <v>ALFONSO ROMERO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2026-04-06T13:39:12Z</cp:lastPrinted>
  <dcterms:created xsi:type="dcterms:W3CDTF">2013-03-18T13:35:42Z</dcterms:created>
  <dcterms:modified xsi:type="dcterms:W3CDTF">2026-04-14T14:03:44Z</dcterms:modified>
</cp:coreProperties>
</file>