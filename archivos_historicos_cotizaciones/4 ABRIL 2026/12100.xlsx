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1F92A009-D6FF-4771-B8F0-A78F98E3B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O41" i="1" l="1"/>
  <c r="E15" i="3"/>
  <c r="Q21" i="1" l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<sst xmlns="http://schemas.openxmlformats.org/spreadsheetml/2006/main" count="486" uniqueCount="293">
  <si>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</si>
  <si>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</si>
  <si>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</si>
  <si>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</si>
  <si>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</si>
  <si>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</si>
  <si>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</si>
  <si>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</si>
  <si>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</si>
  <si>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</si>
  <si>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</si>
  <si>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</si>
  <si>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</si>
  <si>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</si>
  <si>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</si>
  <si>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</si>
  <si>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</si>
  <si>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</si>
  <si>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</si>
  <si>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</si>
  <si>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</si>
  <si>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</si>
  <si>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</si>
  <si>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</si>
  <si>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</si>
  <si>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</si>
  <si>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</si>
  <si>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</si>
  <si>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</si>
  <si>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</si>
  <si>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</si>
  <si>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</si>
  <si>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</si>
  <si>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</si>
  <si>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</si>
  <si>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</si>
  <si>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</si>
  <si>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</si>
  <si>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</si>
  <si>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</si>
  <si>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</si>
  <si>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</si>
  <si>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</si>
  <si>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</si>
  <si>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</si>
  <si>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</si>
  <si>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</si>
  <si>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</si>
  <si>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</si>
  <si>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</si>
  <si>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</si>
  <si>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</si>
  <si>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</si>
  <si>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</si>
  <si>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</si>
  <si>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</si>
  <si>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</si>
  <si>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</si>
  <si>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</si>
  <si>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</si>
  <si>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</si>
  <si>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</si>
  <si>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</si>
  <si>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</si>
  <si>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</si>
  <si>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</si>
  <si>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</si>
  <si>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</si>
  <si>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</si>
  <si>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</si>
  <si>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</si>
  <si>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</si>
  <si>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</si>
  <si>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</si>
  <si>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</si>
  <si>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</si>
  <si>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</si>
  <si>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</si>
  <si>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</si>
  <si>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</si>
  <si>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</si>
  <si>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</si>
  <si>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</si>
  <si>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</si>
  <si>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</si>
  <si>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</si>
  <si>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</si>
  <si>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</si>
  <si>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</si>
  <si>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</si>
  <si>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</si>
  <si>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</si>
  <si>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</si>
  <si>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</si>
  <si>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</si>
  <si>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</si>
  <si>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</si>
  <si>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</si>
  <si>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</si>
  <si>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</si>
  <si>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</si>
  <si>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</si>
  <si>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</si>
  <si>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</si>
  <si>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</si>
  <si>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</si>
  <si>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</si>
  <si>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</si>
  <si>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</si>
  <si>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</si>
  <si>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</si>
  <si>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</si>
  <si>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</si>
  <si>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</si>
  <si>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</si>
  <si>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</si>
  <si>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</si>
  <si>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</si>
  <si>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</si>
  <si>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</si>
  <si>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</si>
  <si>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</si>
  <si>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</si>
  <si>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</si>
  <si>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</si>
  <si>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</si>
  <si>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</si>
  <si>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</si>
  <si>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</si>
  <si>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</si>
  <si>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</si>
  <si>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</si>
  <si>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</si>
  <si>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</si>
  <si>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</si>
  <si>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</si>
  <si>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</si>
  <si>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</si>
  <si>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</si>
  <si>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</si>
  <si>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</si>
  <si>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</si>
  <si>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</si>
  <si>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</si>
  <si>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</si>
  <si>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</si>
  <si>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</si>
  <si>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</si>
  <si>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</si>
  <si>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</si>
  <si>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</si>
  <si>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</si>
  <si>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</si>
  <si>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</si>
  <si>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</si>
  <si>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</si>
  <si>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</si>
  <si>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</si>
  <si>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</si>
  <si>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</si>
  <si>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</si>
  <si>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</si>
  <si>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</si>
  <si>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</si>
  <si>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</si>
  <si>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</si>
  <si>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</si>
  <si>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</si>
  <si>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</si>
  <si>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</si>
  <si>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</si>
  <si>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</si>
  <si>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</si>
  <si>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</si>
  <si>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</si>
  <si>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</si>
  <si>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</si>
  <si>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</si>
  <si>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</si>
  <si>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</si>
  <si>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</si>
  <si>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</si>
  <si>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</si>
  <si>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</si>
  <si>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</si>
  <si>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</si>
  <si>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</si>
  <si>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</si>
  <si>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</si>
  <si>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</si>
  <si>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</si>
  <si>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</si>
  <si>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</si>
  <si>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</si>
  <si>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</si>
  <si>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</si>
  <si>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</si>
  <si>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</si>
  <si>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</si>
  <si>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</si>
  <si>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</si>
  <si>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</si>
  <si>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</si>
  <si>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</si>
  <si>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</si>
  <si>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</si>
  <si>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</si>
  <si>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</si>
  <si>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</si>
  <si>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</si>
  <si>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</si>
  <si>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</si>
  <si>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</si>
  <si>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</si>
  <si>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</si>
  <si>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</si>
  <si>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</si>
  <si>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</si>
  <si>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</si>
  <si>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</si>
  <si>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</si>
  <si>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</si>
  <si>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</si>
  <si>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</si>
  <si>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</si>
  <si>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</si>
  <si>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</si>
  <si>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</si>
  <si>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</si>
  <si>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</si>
  <si>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</si>
  <si>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</si>
  <si>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</si>
  <si>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</si>
  <si>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</si>
  <si>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</si>
  <si>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</si>
  <si>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</si>
  <si>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</si>
  <si>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</si>
  <si>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</si>
  <si>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</si>
  <si>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</si>
  <si>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</si>
  <si>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</si>
  <si>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</si>
  <si>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</si>
  <si>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</si>
  <si>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</si>
  <si>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</si>
  <si>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</si>
  <si>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</si>
  <si>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</si>
  <si>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</si>
  <si>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</si>
  <si>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</si>
  <si>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</si>
  <si>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</si>
  <si>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</si>
  <si>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</si>
  <si>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</si>
  <si>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</si>
  <si>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</si>
  <si>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</si>
  <si>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</si>
  <si>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</si>
  <si>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</si>
  <si>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</si>
  <si>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</si>
  <si>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</si>
  <si>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</si>
  <si>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</si>
  <si>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</si>
  <si>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</si>
  <si>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</si>
  <si>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</si>
  <si>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</si>
  <si>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</si>
  <si>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</si>
  <si>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</si>
  <si>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</si>
  <si>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</si>
  <si>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</si>
  <si>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</si>
  <si>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</si>
  <si>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</si>
  <si>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</si>
  <si>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</si>
  <si>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</si>
  <si>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GOLDEN 2316 MT</t>
  </si>
  <si>
    <t>HAMBURGUESERIA DISTRIRO 11</t>
  </si>
  <si>
    <t>+56 9 3617 6774</t>
  </si>
  <si>
    <t>N° 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</si>
</sst>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CORTADA EN LAS PUNTAS Y ENCHAPADAS CON EL MISMO LAMINADO.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D1" sqref="D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46133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89719.909560723507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4" t="s">
        <v>223</v>
      </c>
      <c r="D21" s="431">
        <v>2.5</v>
      </c>
      <c r="E21" s="431">
        <v>0.6</v>
      </c>
      <c r="F21" s="430" t="s">
        <v>289</v>
      </c>
      <c r="G21" s="432">
        <f>Q21</f>
        <v>138886.41999999998</v>
      </c>
      <c r="H21" s="432">
        <f>G21*B21</f>
        <v>138886.41999999998</v>
      </c>
      <c r="I21" s="306"/>
      <c r="J21" s="264"/>
      <c r="K21" s="47"/>
      <c r="L21" s="47">
        <f>B21</f>
        <v>1</v>
      </c>
      <c r="M21" s="39">
        <f>D21+M$19</f>
        <v>2.58</v>
      </c>
      <c r="N21" s="39">
        <f>E21+$N$19</f>
        <v>0.6</v>
      </c>
      <c r="O21" s="260">
        <f t="shared" ref="O21" si="0">M21*N21</f>
        <v>1.548</v>
      </c>
      <c r="P21" s="258">
        <f t="shared" ref="P21" si="1">O21*L21</f>
        <v>1.548</v>
      </c>
      <c r="Q21" s="251">
        <f t="shared" ref="Q21" si="2">Q$20*O21</f>
        <v>138886.41999999998</v>
      </c>
      <c r="R21" s="305">
        <f t="shared" ref="R21" si="3">Q21+R$20</f>
        <v>141886.41999999998</v>
      </c>
      <c r="S21" s="290">
        <f>M21*L21</f>
        <v>2.58</v>
      </c>
      <c r="T21" s="46">
        <f>N21*2*L21*2</f>
        <v>2.4</v>
      </c>
      <c r="U21" s="9"/>
      <c r="X21" s="4"/>
    </row>
    <row r="22" spans="2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138886.41999999998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26388.419799999996</v>
      </c>
      <c r="I27" s="308"/>
      <c r="J27" s="264"/>
      <c r="K27" s="47"/>
      <c r="L27" s="47"/>
      <c r="M27" s="39">
        <f>SUM(M21:M26)</f>
        <v>2.58</v>
      </c>
      <c r="N27" s="12"/>
      <c r="O27" s="12"/>
      <c r="P27" s="252">
        <f>SUM(P21:P21)</f>
        <v>1.548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165274.83979999999</v>
      </c>
      <c r="I28" s="308"/>
      <c r="J28" s="264"/>
      <c r="K28" s="47"/>
      <c r="L28" s="47"/>
      <c r="M28" s="39"/>
      <c r="N28" s="12"/>
      <c r="O28" s="12"/>
      <c r="P28" s="252">
        <f>P27</f>
        <v>1.548</v>
      </c>
      <c r="Q28" s="14"/>
      <c r="R28" s="12"/>
      <c r="S28" s="239">
        <f>SUM(S21:S27)</f>
        <v>2.58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0.30960000000000004</v>
      </c>
      <c r="Q29" s="39" t="s">
        <v>129</v>
      </c>
      <c r="R29" s="42"/>
      <c r="S29" s="240">
        <f>S28+T26</f>
        <v>4.9800000000000004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1.8576000000000001</v>
      </c>
      <c r="Q30" s="14"/>
      <c r="R30" s="14"/>
      <c r="S30" s="238">
        <f>S29*20%</f>
        <v>0.99600000000000011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5.9760000000000009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1.8576000000000001</v>
      </c>
      <c r="N32" s="12">
        <v>4000</v>
      </c>
      <c r="O32" s="12">
        <f t="shared" ref="O32:O37" si="4">M32*N32</f>
        <v>7430.4000000000005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0.5</v>
      </c>
      <c r="N33" s="12">
        <v>24910</v>
      </c>
      <c r="O33" s="12">
        <f t="shared" si="4"/>
        <v>12455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40500</v>
      </c>
      <c r="O35" s="12">
        <f t="shared" si="4"/>
        <v>40500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4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60385.4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O38*2.3</f>
        <v>138886.41999999998</v>
      </c>
      <c r="P39" s="14" t="s">
        <v>138</v>
      </c>
      <c r="Q39" s="14"/>
      <c r="R39" s="40">
        <f>P30/R38</f>
        <v>0.50086281276962896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89719.909560723507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2.2999999999999998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46133</v>
      </c>
    </row>
    <row r="6" spans="2:31" ht="16.2" thickBot="1" x14ac:dyDescent="0.35">
      <c r="B6" s="140" t="s">
        <v>2</v>
      </c>
      <c r="C6" s="139" t="str">
        <f>'2229'!C10</f>
        <v>HAMBURGUESERIA DISTRIRO 11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-9474.8767001207689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138886.41999999998</v>
      </c>
      <c r="E11" s="132">
        <f>D11*0.19</f>
        <v>26388.419799999996</v>
      </c>
      <c r="F11" s="131">
        <f>E11+D11</f>
        <v>165274.83979999999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96515.123299879226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49719.490787439616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78515.123299879226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89166.929212560368</v>
      </c>
      <c r="E13" s="221">
        <f>(D11/D12)-1</f>
        <v>1.7933998880593154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69515.123299879226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30515.123299879233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82037.159799275367</v>
      </c>
      <c r="F15" s="216">
        <f>E15-D12</f>
        <v>32317.669011835751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30515.123299879233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70515.123299879226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12455</v>
      </c>
      <c r="E19" s="123">
        <f>D19*0.19</f>
        <v>2366.4499999999998</v>
      </c>
      <c r="F19" s="120">
        <f>SUM(D19:E19)</f>
        <v>14821.45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7430.4000000000005</v>
      </c>
      <c r="E20" s="121">
        <f>D20*0.19</f>
        <v>1411.7760000000001</v>
      </c>
      <c r="F20" s="120">
        <f>SUM(D20:E20)</f>
        <v>8842.1760000000013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19885.400000000001</v>
      </c>
      <c r="E21" s="116">
        <f>SUM(E18:E20)</f>
        <v>3778.2259999999997</v>
      </c>
      <c r="F21" s="115">
        <f>SUM(F18:F20)</f>
        <v>23663.626000000004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22610.193799999997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138886.41999999998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19885.400000000001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89166.929212560368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89166.929212560368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12100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HAMBURGUESERIA DISTRIRO 11</v>
      </c>
      <c r="D10" s="350"/>
      <c r="E10" s="350"/>
      <c r="F10" s="351" t="s">
        <v>167</v>
      </c>
      <c r="G10" s="352">
        <f>'2229'!G10</f>
        <v>46133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46140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+56 9 3617 6774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4 LADOS</v>
      </c>
      <c r="D22" s="321">
        <f>'2229'!D21*1000</f>
        <v>2500</v>
      </c>
      <c r="E22" s="321">
        <f>'2229'!E21*1000</f>
        <v>600</v>
      </c>
      <c r="F22" s="322" t="str">
        <f>'2229'!F21</f>
        <v>GOLDEN 2316 MT</v>
      </c>
      <c r="G22" s="314">
        <f>'2229'!G21</f>
        <v>138886.41999999998</v>
      </c>
      <c r="H22" s="323">
        <f>G22*B22</f>
        <v>138886.41999999998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138886.41999999998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26388.419799999996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165274.83979999999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HAMBURGUESERIA DISTRIRO 11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12100</v>
      </c>
      <c r="C2" s="1">
        <f>'NOTA DE VENTA'!$G$10</f>
        <v>46133</v>
      </c>
      <c r="D2" s="1">
        <f>'NOTA DE VENTA'!$G$11</f>
        <v>46140</v>
      </c>
      <c r="E2" t="str">
        <f>'NOTA DE VENTA'!$C$10</f>
        <v>HAMBURGUESERIA DISTRIRO 11</v>
      </c>
      <c r="F2" t="str">
        <f>'NOTA DE VENTA'!$C$22</f>
        <v>CUB MESA 4 LADOS</v>
      </c>
      <c r="G2" t="str">
        <f>'NOTA DE VENTA'!$F$22</f>
        <v>GOLDEN 2316 MT</v>
      </c>
      <c r="H2" s="416">
        <f>'NOTA DE VENTA'!$H$25</f>
        <v>138886.41999999998</v>
      </c>
      <c r="I2" s="416">
        <f>H2*0.19</f>
        <v>26388.419799999996</v>
      </c>
      <c r="J2" s="416">
        <f>I2+H2</f>
        <v>165274.83979999999</v>
      </c>
      <c r="L2" s="61">
        <f>J2-K2</f>
        <v>165274.83979999999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2025-12-15T17:39:33Z</cp:lastPrinted>
  <dcterms:created xsi:type="dcterms:W3CDTF">2013-03-18T13:35:42Z</dcterms:created>
  <dcterms:modified xsi:type="dcterms:W3CDTF">2026-04-21T15:30:25Z</dcterms:modified>
</cp:coreProperties>
</file>