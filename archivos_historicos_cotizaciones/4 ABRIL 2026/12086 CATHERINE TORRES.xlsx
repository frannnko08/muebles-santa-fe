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E053BFB6-CAE4-47C5-8EE1-B0EDC63E2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<sst xmlns="http://schemas.openxmlformats.org/spreadsheetml/2006/main" count="485" uniqueCount="294">
  <si>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</si>
  <si>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</si>
  <si>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</si>
  <si>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</si>
  <si>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</si>
  <si>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</si>
  <si>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</si>
  <si>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</si>
  <si>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</si>
  <si>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</si>
  <si>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</si>
  <si>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</si>
  <si>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</si>
  <si>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</si>
  <si>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</si>
  <si>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</si>
  <si>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</si>
  <si>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</si>
  <si>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</si>
  <si>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</si>
  <si>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</si>
  <si>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</si>
  <si>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</si>
  <si>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</si>
  <si>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</si>
  <si>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</si>
  <si>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</si>
  <si>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</si>
  <si>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</si>
  <si>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</si>
  <si>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</si>
  <si>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</si>
  <si>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</si>
  <si>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</si>
  <si>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</si>
  <si>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</si>
  <si>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</si>
  <si>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</si>
  <si>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</si>
  <si>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</si>
  <si>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</si>
  <si>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</si>
  <si>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</si>
  <si>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</si>
  <si>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</si>
  <si>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</si>
  <si>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</si>
  <si>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</si>
  <si>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</si>
  <si>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</si>
  <si>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</si>
  <si>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</si>
  <si>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</si>
  <si>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</si>
  <si>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</si>
  <si>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</si>
  <si>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</si>
  <si>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</si>
  <si>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</si>
  <si>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</si>
  <si>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</si>
  <si>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</si>
  <si>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</si>
  <si>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</si>
  <si>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</si>
  <si>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</si>
  <si>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</si>
  <si>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</si>
  <si>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</si>
  <si>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</si>
  <si>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</si>
  <si>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</si>
  <si>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</si>
  <si>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</si>
  <si>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</si>
  <si>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</si>
  <si>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</si>
  <si>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</si>
  <si>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</si>
  <si>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</si>
  <si>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</si>
  <si>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</si>
  <si>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</si>
  <si>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</si>
  <si>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</si>
  <si>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</si>
  <si>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</si>
  <si>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</si>
  <si>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</si>
  <si>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</si>
  <si>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</si>
  <si>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</si>
  <si>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</si>
  <si>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</si>
  <si>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</si>
  <si>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</si>
  <si>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</si>
  <si>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</si>
  <si>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</si>
  <si>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</si>
  <si>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</si>
  <si>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</si>
  <si>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</si>
  <si>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</si>
  <si>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</si>
  <si>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</si>
  <si>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</si>
  <si>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</si>
  <si>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</si>
  <si>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</si>
  <si>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</si>
  <si>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</si>
  <si>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</si>
  <si>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</si>
  <si>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</si>
  <si>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</si>
  <si>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</si>
  <si>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</si>
  <si>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</si>
  <si>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</si>
  <si>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</si>
  <si>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</si>
  <si>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</si>
  <si>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</si>
  <si>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</si>
  <si>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</si>
  <si>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</si>
  <si>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</si>
  <si>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</si>
  <si>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</si>
  <si>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</si>
  <si>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</si>
  <si>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</si>
  <si>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</si>
  <si>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</si>
  <si>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</si>
  <si>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</si>
  <si>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</si>
  <si>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</si>
  <si>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</si>
  <si>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</si>
  <si>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</si>
  <si>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</si>
  <si>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</si>
  <si>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</si>
  <si>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</si>
  <si>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</si>
  <si>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</si>
  <si>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</si>
  <si>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</si>
  <si>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</si>
  <si>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</si>
  <si>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</si>
  <si>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</si>
  <si>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</si>
  <si>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</si>
  <si>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</si>
  <si>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</si>
  <si>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</si>
  <si>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</si>
  <si>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</si>
  <si>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</si>
  <si>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</si>
  <si>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</si>
  <si>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</si>
  <si>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</si>
  <si>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</si>
  <si>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</si>
  <si>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</si>
  <si>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</si>
  <si>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</si>
  <si>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</si>
  <si>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</si>
  <si>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</si>
  <si>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</si>
  <si>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</si>
  <si>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</si>
  <si>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</si>
  <si>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</si>
  <si>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</si>
  <si>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</si>
  <si>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</si>
  <si>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</si>
  <si>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</si>
  <si>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</si>
  <si>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</si>
  <si>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</si>
  <si>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</si>
  <si>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</si>
  <si>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</si>
  <si>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</si>
  <si>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</si>
  <si>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</si>
  <si>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</si>
  <si>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</si>
  <si>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</si>
  <si>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</si>
  <si>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</si>
  <si>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</si>
  <si>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</si>
  <si>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</si>
  <si>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</si>
  <si>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</si>
  <si>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</si>
  <si>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</si>
  <si>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</si>
  <si>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</si>
  <si>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</si>
  <si>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</si>
  <si>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</si>
  <si>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</si>
  <si>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</si>
  <si>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</si>
  <si>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</si>
  <si>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</si>
  <si>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</si>
  <si>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</si>
  <si>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</si>
  <si>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</si>
  <si>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</si>
  <si>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</si>
  <si>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</si>
  <si>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</si>
  <si>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</si>
  <si>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</si>
  <si>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</si>
  <si>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</si>
  <si>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</si>
  <si>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</si>
  <si>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</si>
  <si>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</si>
  <si>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</si>
  <si>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</si>
  <si>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</si>
  <si>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</si>
  <si>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</si>
  <si>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</si>
  <si>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</si>
  <si>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</si>
  <si>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</si>
  <si>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</si>
  <si>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</si>
  <si>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</si>
  <si>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</si>
  <si>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</si>
  <si>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</si>
  <si>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</si>
  <si>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</si>
  <si>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</si>
  <si>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</si>
  <si>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</si>
  <si>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</si>
  <si>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</si>
  <si>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</si>
  <si>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</si>
  <si>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</si>
  <si>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</si>
  <si>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</si>
  <si>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</si>
  <si>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</si>
  <si>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</si>
  <si>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</si>
  <si>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</si>
  <si>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</si>
  <si>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</si>
  <si>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</si>
  <si>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</si>
  <si>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</si>
  <si>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</si>
  <si>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</si>
  <si>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</si>
  <si>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</si>
  <si>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</si>
  <si>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</si>
  <si>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</si>
  <si>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</si>
  <si>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</si>
  <si>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</si>
  <si>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</si>
  <si>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</si>
  <si>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</si>
  <si>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</si>
  <si>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</si>
  <si>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</si>
  <si>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</si>
  <si>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</si>
  <si>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</si>
  <si>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</si>
  <si>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</si>
  <si>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CATHERINE TORRES</t>
  </si>
  <si>
    <t>CUB CON RESPALDO FTE 90°</t>
  </si>
  <si>
    <t>N° 12086</t>
  </si>
  <si>
    <t>+569 8356 6750</t>
  </si>
  <si>
    <t>NATURAL ELM 1499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</si>
</sst>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0" fillId="0" borderId="0" xfId="0" quotePrefix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</a:t>
          </a:r>
          <a:r>
            <a:rPr lang="es-CL" sz="1200" b="1"/>
            <a:t>.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C1" sqref="C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289</v>
      </c>
      <c r="D10" s="243"/>
      <c r="E10" s="243"/>
      <c r="F10" s="418" t="s">
        <v>275</v>
      </c>
      <c r="G10" s="275">
        <v>46120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>
        <v>46125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s="461" t="s">
        <v>292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/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86097.88113695092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6</v>
      </c>
      <c r="C21" s="433" t="s">
        <v>290</v>
      </c>
      <c r="D21" s="434">
        <v>2.1</v>
      </c>
      <c r="E21" s="434">
        <v>0.75</v>
      </c>
      <c r="F21" s="435" t="s">
        <v>293</v>
      </c>
      <c r="G21" s="436">
        <f>Q21</f>
        <v>138832.83333333334</v>
      </c>
      <c r="H21" s="437">
        <f>G21*B21</f>
        <v>832997</v>
      </c>
      <c r="I21" s="306"/>
      <c r="J21" s="264"/>
      <c r="K21" s="47"/>
      <c r="L21" s="47">
        <f t="shared" ref="L21" si="0">B21</f>
        <v>6</v>
      </c>
      <c r="M21" s="39">
        <f t="shared" ref="M21" si="1">D21+M$19</f>
        <v>2.15</v>
      </c>
      <c r="N21" s="39">
        <f t="shared" ref="N21" si="2">E21+$N$19</f>
        <v>0.75</v>
      </c>
      <c r="O21" s="260">
        <f t="shared" ref="O21" si="3">M21*N21</f>
        <v>1.6124999999999998</v>
      </c>
      <c r="P21" s="258">
        <f t="shared" ref="P21" si="4">O21*L21</f>
        <v>9.6749999999999989</v>
      </c>
      <c r="Q21" s="251">
        <f t="shared" ref="Q21" si="5">Q$20*O21</f>
        <v>138832.83333333334</v>
      </c>
      <c r="R21" s="305">
        <f t="shared" ref="R21" si="6">Q21+R$20</f>
        <v>141832.83333333334</v>
      </c>
      <c r="S21" s="290">
        <f>M21*L21*2</f>
        <v>25.799999999999997</v>
      </c>
      <c r="T21" s="46">
        <f>N21*L21*2</f>
        <v>9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832997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9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158269.43</v>
      </c>
      <c r="I24" s="308"/>
      <c r="J24" s="264"/>
      <c r="K24" s="47"/>
      <c r="L24" s="431">
        <f>M24*10</f>
        <v>21.5</v>
      </c>
      <c r="M24" s="39">
        <f>SUM(M21:M23)</f>
        <v>2.15</v>
      </c>
      <c r="N24" s="12"/>
      <c r="O24" s="12"/>
      <c r="P24" s="252">
        <f>SUM(P21:P21)</f>
        <v>9.6749999999999989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991266.42999999993</v>
      </c>
      <c r="I25" s="308"/>
      <c r="J25" s="264"/>
      <c r="K25" s="47"/>
      <c r="L25" s="47"/>
      <c r="M25" s="39"/>
      <c r="N25" s="12"/>
      <c r="O25" s="12"/>
      <c r="P25" s="252">
        <f>P24</f>
        <v>9.6749999999999989</v>
      </c>
      <c r="Q25" s="14"/>
      <c r="R25" s="12"/>
      <c r="S25" s="239">
        <f>SUM(S21:S24)</f>
        <v>25.799999999999997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1.9349999999999998</v>
      </c>
      <c r="Q26" s="39" t="s">
        <v>128</v>
      </c>
      <c r="R26" s="42"/>
      <c r="S26" s="240">
        <f>S25+T23</f>
        <v>34.799999999999997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11.61</v>
      </c>
      <c r="Q27" s="14"/>
      <c r="R27" s="14"/>
      <c r="S27" s="238">
        <f>S26*20%</f>
        <v>6.96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41.76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11.61</v>
      </c>
      <c r="N29" s="12">
        <v>3500</v>
      </c>
      <c r="O29" s="12">
        <f t="shared" ref="O29:O34" si="7">M29*N29</f>
        <v>40635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3.2</v>
      </c>
      <c r="N30" s="12">
        <v>25000</v>
      </c>
      <c r="O30" s="12">
        <f t="shared" si="7"/>
        <v>80000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6</v>
      </c>
      <c r="N32" s="249">
        <v>40000</v>
      </c>
      <c r="O32" s="12">
        <f t="shared" si="7"/>
        <v>240000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12</v>
      </c>
      <c r="N34" s="12">
        <v>1500</v>
      </c>
      <c r="O34" s="12">
        <f t="shared" si="7"/>
        <v>18000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378635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832997.00000000012</v>
      </c>
      <c r="P36" s="14" t="s">
        <v>137</v>
      </c>
      <c r="Q36" s="14"/>
      <c r="R36" s="40">
        <f>P27/R35</f>
        <v>3.1303925798101808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86097.88113695092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46120</v>
      </c>
    </row>
    <row r="6" spans="2:31" ht="16.2" thickBot="1" x14ac:dyDescent="0.35">
      <c r="B6" s="140" t="s">
        <v>2</v>
      </c>
      <c r="C6" s="139" t="str">
        <f>'2229'!C10</f>
        <v>CATHERINE TORRES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-97453.833366787454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832997</v>
      </c>
      <c r="E11" s="132">
        <f>D11*0.19</f>
        <v>158269.43</v>
      </c>
      <c r="F11" s="131">
        <f>E11+D11</f>
        <v>991266.42999999993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8536.166633212546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150469.09078743961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-9463.833366787454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682527.90921256039</v>
      </c>
      <c r="E13" s="221">
        <f>(D11/D12)-1</f>
        <v>4.5360007536480333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-18463.833366787454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-57463.833366787454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248273.99979927533</v>
      </c>
      <c r="F15" s="216">
        <f>E15-D12</f>
        <v>97804.909011835727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-57463.833366787454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-17463.833366787454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80000</v>
      </c>
      <c r="E19" s="123">
        <f>D19*0.19</f>
        <v>15200</v>
      </c>
      <c r="F19" s="120">
        <f>SUM(D19:E19)</f>
        <v>95200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40635</v>
      </c>
      <c r="E20" s="121">
        <f>D20*0.19</f>
        <v>7720.65</v>
      </c>
      <c r="F20" s="120">
        <f>SUM(D20:E20)</f>
        <v>48355.65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120635</v>
      </c>
      <c r="E21" s="116">
        <f>SUM(E18:E20)</f>
        <v>22920.65</v>
      </c>
      <c r="F21" s="115">
        <f>SUM(F18:F20)</f>
        <v>143555.65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135348.78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832997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120635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682527.90921256039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682527.90921256039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12086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CATHERINE TORRES</v>
      </c>
      <c r="D10" s="350"/>
      <c r="E10" s="350"/>
      <c r="F10" s="351" t="s">
        <v>165</v>
      </c>
      <c r="G10" s="352">
        <f>'2229'!G10</f>
        <v>46120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46127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>+569 8356 6750</v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CATHERINE TORRES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46120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12086</v>
      </c>
      <c r="C2" s="1">
        <f>'NOTA DE VENTA'!$G$10</f>
        <v>46120</v>
      </c>
      <c r="D2" s="1">
        <f>'NOTA DE VENTA'!$G$11</f>
        <v>46127</v>
      </c>
      <c r="E2" t="str">
        <f>'NOTA DE VENTA'!$C$10</f>
        <v>CATHERINE TORRES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2026-04-08T19:45:06Z</cp:lastPrinted>
  <dcterms:created xsi:type="dcterms:W3CDTF">2013-03-18T13:35:42Z</dcterms:created>
  <dcterms:modified xsi:type="dcterms:W3CDTF">2026-04-08T19:47:16Z</dcterms:modified>
</cp:coreProperties>
</file>