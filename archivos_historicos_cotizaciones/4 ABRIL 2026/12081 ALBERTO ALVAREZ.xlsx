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EAD765DB-BC81-4B2B-821A-503A83E34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T22" i="1"/>
  <c r="L23" i="1"/>
  <c r="M23" i="1"/>
  <c r="S23" i="1" s="1"/>
  <c r="N23" i="1"/>
  <c r="L24" i="1"/>
  <c r="M24" i="1"/>
  <c r="N24" i="1"/>
  <c r="L21" i="1"/>
  <c r="M21" i="1"/>
  <c r="N21" i="1"/>
  <c r="T24" i="1" l="1"/>
  <c r="O23" i="1"/>
  <c r="P23" i="1" s="1"/>
  <c r="O24" i="1"/>
  <c r="P24" i="1" s="1"/>
  <c r="O22" i="1"/>
  <c r="P22" i="1" s="1"/>
  <c r="S22" i="1"/>
  <c r="S24" i="1"/>
  <c r="T23" i="1"/>
  <c r="T21" i="1"/>
  <c r="S21" i="1"/>
  <c r="O21" i="1"/>
  <c r="P21" i="1" s="1"/>
  <c r="N5" i="6"/>
  <c r="A2" i="7"/>
  <c r="P27" i="1" l="1"/>
  <c r="S28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7" i="1"/>
  <c r="L27" i="1" s="1"/>
  <c r="T26" i="1" l="1"/>
  <c r="S29" i="1" s="1"/>
  <c r="K41" i="1"/>
  <c r="S30" i="1" l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4" i="1" l="1"/>
  <c r="Q23" i="1"/>
  <c r="Q22" i="1"/>
  <c r="Q21" i="1"/>
  <c r="O41" i="1"/>
  <c r="E15" i="3"/>
  <c r="R23" i="1" l="1"/>
  <c r="G23" i="1" s="1"/>
  <c r="H23" i="1" s="1"/>
  <c r="R24" i="1"/>
  <c r="G24" i="1" s="1"/>
  <c r="H24" i="1" s="1"/>
  <c r="R22" i="1"/>
  <c r="G22" i="1" s="1"/>
  <c r="H22" i="1" s="1"/>
  <c r="R21" i="1"/>
  <c r="G21" i="1" s="1"/>
  <c r="H21" i="1" s="1"/>
  <c r="F15" i="3"/>
  <c r="H26" i="1" l="1"/>
  <c r="H27" i="1" s="1"/>
  <c r="H28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2" i="3" l="1"/>
  <c r="X11" i="3"/>
  <c r="X16" i="3"/>
  <c r="X13" i="3"/>
  <c r="E13" i="3"/>
  <c r="E11" i="3"/>
  <c r="D40" i="3" s="1"/>
  <c r="M42" i="3"/>
  <c r="M46" i="3" s="1"/>
  <c r="M49" i="3" s="1"/>
  <c r="X14" i="3"/>
  <c r="D13" i="3"/>
  <c r="F11" i="3" l="1"/>
</calcChain>
</file>

<file path=xl/sharedStrings.xml><?xml version="1.0" encoding="utf-8"?>
<sst xmlns="http://schemas.openxmlformats.org/spreadsheetml/2006/main" count="492" uniqueCount="297">
  <si>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</si>
  <si>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</si>
  <si>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</si>
  <si>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</si>
  <si>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</si>
  <si>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</si>
  <si>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</si>
  <si>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</si>
  <si>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</si>
  <si>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</si>
  <si>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</si>
  <si>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</si>
  <si>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</si>
  <si>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</si>
  <si>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</si>
  <si>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</si>
  <si>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</si>
  <si>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</si>
  <si>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</si>
  <si>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</si>
  <si>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</si>
  <si>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</si>
  <si>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</si>
  <si>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</si>
  <si>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</si>
  <si>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</si>
  <si>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</si>
  <si>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</si>
  <si>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</si>
  <si>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</si>
  <si>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</si>
  <si>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</si>
  <si>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</si>
  <si>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</si>
  <si>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</si>
  <si>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</si>
  <si>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</si>
  <si>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</si>
  <si>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</si>
  <si>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</si>
  <si>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</si>
  <si>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</si>
  <si>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</si>
  <si>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</si>
  <si>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</si>
  <si>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</si>
  <si>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</si>
  <si>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</si>
  <si>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</si>
  <si>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</si>
  <si>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</si>
  <si>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</si>
  <si>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</si>
  <si>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</si>
  <si>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</si>
  <si>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</si>
  <si>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</si>
  <si>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</si>
  <si>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</si>
  <si>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</si>
  <si>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</si>
  <si>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</si>
  <si>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</si>
  <si>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</si>
  <si>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</si>
  <si>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</si>
  <si>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</si>
  <si>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</si>
  <si>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</si>
  <si>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</si>
  <si>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</si>
  <si>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</si>
  <si>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</si>
  <si>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</si>
  <si>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</si>
  <si>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</si>
  <si>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</si>
  <si>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</si>
  <si>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</si>
  <si>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</si>
  <si>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</si>
  <si>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</si>
  <si>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</si>
  <si>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</si>
  <si>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</si>
  <si>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</si>
  <si>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</si>
  <si>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</si>
  <si>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</si>
  <si>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</si>
  <si>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</si>
  <si>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</si>
  <si>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</si>
  <si>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</si>
  <si>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</si>
  <si>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</si>
  <si>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</si>
  <si>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</si>
  <si>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</si>
  <si>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</si>
  <si>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</si>
  <si>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</si>
  <si>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</si>
  <si>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</si>
  <si>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</si>
  <si>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</si>
  <si>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</si>
  <si>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</si>
  <si>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</si>
  <si>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</si>
  <si>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</si>
  <si>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</si>
  <si>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</si>
  <si>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</si>
  <si>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</si>
  <si>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</si>
  <si>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</si>
  <si>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</si>
  <si>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</si>
  <si>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</si>
  <si>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</si>
  <si>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</si>
  <si>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</si>
  <si>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</si>
  <si>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</si>
  <si>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</si>
  <si>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</si>
  <si>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</si>
  <si>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</si>
  <si>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</si>
  <si>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</si>
  <si>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</si>
  <si>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</si>
  <si>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</si>
  <si>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</si>
  <si>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</si>
  <si>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</si>
  <si>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</si>
  <si>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</si>
  <si>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</si>
  <si>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</si>
  <si>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</si>
  <si>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</si>
  <si>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</si>
  <si>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</si>
  <si>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</si>
  <si>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</si>
  <si>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</si>
  <si>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</si>
  <si>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</si>
  <si>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</si>
  <si>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</si>
  <si>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</si>
  <si>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</si>
  <si>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</si>
  <si>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</si>
  <si>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</si>
  <si>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</si>
  <si>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</si>
  <si>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</si>
  <si>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</si>
  <si>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</si>
  <si>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</si>
  <si>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</si>
  <si>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</si>
  <si>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</si>
  <si>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</si>
  <si>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</si>
  <si>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</si>
  <si>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</si>
  <si>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</si>
  <si>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</si>
  <si>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</si>
  <si>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</si>
  <si>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</si>
  <si>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</si>
  <si>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</si>
  <si>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</si>
  <si>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</si>
  <si>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</si>
  <si>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</si>
  <si>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</si>
  <si>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</si>
  <si>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</si>
  <si>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</si>
  <si>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</si>
  <si>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</si>
  <si>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</si>
  <si>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</si>
  <si>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</si>
  <si>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</si>
  <si>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</si>
  <si>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</si>
  <si>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</si>
  <si>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</si>
  <si>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</si>
  <si>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</si>
  <si>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</si>
  <si>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</si>
  <si>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</si>
  <si>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</si>
  <si>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</si>
  <si>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</si>
  <si>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</si>
  <si>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</si>
  <si>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</si>
  <si>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</si>
  <si>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</si>
  <si>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</si>
  <si>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</si>
  <si>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</si>
  <si>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</si>
  <si>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</si>
  <si>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</si>
  <si>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</si>
  <si>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</si>
  <si>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</si>
  <si>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</si>
  <si>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</si>
  <si>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</si>
  <si>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</si>
  <si>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</si>
  <si>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</si>
  <si>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</si>
  <si>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</si>
  <si>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</si>
  <si>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</si>
  <si>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</si>
  <si>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</si>
  <si>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</si>
  <si>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</si>
  <si>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</si>
  <si>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</si>
  <si>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</si>
  <si>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</si>
  <si>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</si>
  <si>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</si>
  <si>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</si>
  <si>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</si>
  <si>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</si>
  <si>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</si>
  <si>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</si>
  <si>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</si>
  <si>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</si>
  <si>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</si>
  <si>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</si>
  <si>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</si>
  <si>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</si>
  <si>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</si>
  <si>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</si>
  <si>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</si>
  <si>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</si>
  <si>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</si>
  <si>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</si>
  <si>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</si>
  <si>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</si>
  <si>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</si>
  <si>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</si>
  <si>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</si>
  <si>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</si>
  <si>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</si>
  <si>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</si>
  <si>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</si>
  <si>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</si>
  <si>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</si>
  <si>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</si>
  <si>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</si>
  <si>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</si>
  <si>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</si>
  <si>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</si>
  <si>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</si>
  <si>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</si>
  <si>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</si>
  <si>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</si>
  <si>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</si>
  <si>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</si>
  <si>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</si>
  <si>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</si>
  <si>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</si>
  <si>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</si>
  <si>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</si>
  <si>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</si>
  <si>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</si>
  <si>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</si>
  <si>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</si>
  <si>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</si>
  <si>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</si>
  <si>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</si>
  <si>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</si>
  <si>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8 DIAS HABILES</t>
  </si>
  <si>
    <t>SI</t>
  </si>
  <si>
    <t>N° 12081</t>
  </si>
  <si>
    <t>ALBERTO ALVAREZ</t>
  </si>
  <si>
    <t>+56 9 9260 7069</t>
  </si>
  <si>
    <t>CENEFA 1 VUELTA R12</t>
  </si>
  <si>
    <t>PUERTA POSTFORMADA R12</t>
  </si>
  <si>
    <t>VAINILLA 2109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</si>
</sst>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215079</xdr:rowOff>
    </xdr:from>
    <xdr:to>
      <xdr:col>5</xdr:col>
      <xdr:colOff>1732649</xdr:colOff>
      <xdr:row>27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PUERTAS SE ENTREGAN ENCHAPADAS CON TAPACANTO PVC 0,45MM LO MAS PARECIDO A LA LAMINA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MELAMIL  18MM TRASCARA BLANCA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3" zoomScale="93" zoomScaleNormal="93" workbookViewId="0">
      <selection activeCell="A36" sqref="A3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9" t="s">
        <v>292</v>
      </c>
      <c r="D10" s="243"/>
      <c r="E10" s="243"/>
      <c r="F10" s="418" t="s">
        <v>275</v>
      </c>
      <c r="G10" s="275">
        <v>46119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284</v>
      </c>
      <c r="G11" s="421" t="s">
        <v>289</v>
      </c>
      <c r="H11" s="422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3" t="s">
        <v>290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293</v>
      </c>
      <c r="D15" s="424"/>
      <c r="F15" s="29" t="s">
        <v>282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2:25" ht="15" thickBot="1" x14ac:dyDescent="0.35">
      <c r="B17" s="425" t="s">
        <v>13</v>
      </c>
      <c r="C17" s="299" t="s">
        <v>285</v>
      </c>
      <c r="D17" s="300"/>
      <c r="E17" s="119"/>
      <c r="F17" s="426" t="s">
        <v>177</v>
      </c>
      <c r="G17" s="426" t="s">
        <v>178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8" t="s">
        <v>94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O40</f>
        <v>91654.931276554576</v>
      </c>
      <c r="R20" s="257">
        <v>3000</v>
      </c>
      <c r="S20" s="38"/>
      <c r="T20" s="14" t="s">
        <v>126</v>
      </c>
      <c r="U20" s="9"/>
      <c r="X20" s="4"/>
    </row>
    <row r="21" spans="2:25" ht="18" thickBot="1" x14ac:dyDescent="0.35">
      <c r="B21" s="432">
        <v>1</v>
      </c>
      <c r="C21" s="433" t="s">
        <v>294</v>
      </c>
      <c r="D21" s="434">
        <v>0.88300000000000001</v>
      </c>
      <c r="E21" s="434">
        <v>0.1</v>
      </c>
      <c r="F21" s="435" t="s">
        <v>296</v>
      </c>
      <c r="G21" s="436">
        <f>R21</f>
        <v>11551.405088102543</v>
      </c>
      <c r="H21" s="437">
        <f>G21*B21</f>
        <v>11551.405088102543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0.93300000000000005</v>
      </c>
      <c r="N21" s="39">
        <f t="shared" ref="N21" si="2">E21+$N$19</f>
        <v>0.1</v>
      </c>
      <c r="O21" s="260">
        <f t="shared" ref="O21" si="3">M21*N21</f>
        <v>9.3300000000000008E-2</v>
      </c>
      <c r="P21" s="258">
        <f t="shared" ref="P21" si="4">O21*L21</f>
        <v>9.3300000000000008E-2</v>
      </c>
      <c r="Q21" s="251">
        <f t="shared" ref="Q21" si="5">Q$20*O21</f>
        <v>8551.4050881025432</v>
      </c>
      <c r="R21" s="305">
        <f t="shared" ref="R21" si="6">Q21+R$20</f>
        <v>11551.405088102543</v>
      </c>
      <c r="S21" s="290">
        <f>M21*L21*2</f>
        <v>1.8660000000000001</v>
      </c>
      <c r="T21" s="46">
        <f>N21*L21*2</f>
        <v>0.2</v>
      </c>
      <c r="U21" s="9"/>
      <c r="X21" s="4"/>
    </row>
    <row r="22" spans="2:25" ht="18" thickBot="1" x14ac:dyDescent="0.35">
      <c r="B22" s="432">
        <v>1</v>
      </c>
      <c r="C22" s="433" t="s">
        <v>295</v>
      </c>
      <c r="D22" s="434">
        <v>0.627</v>
      </c>
      <c r="E22" s="434">
        <v>0.33700000000000002</v>
      </c>
      <c r="F22" s="435" t="s">
        <v>296</v>
      </c>
      <c r="G22" s="436">
        <f t="shared" ref="G22:G24" si="7">R22</f>
        <v>23910.980915814653</v>
      </c>
      <c r="H22" s="437">
        <f t="shared" ref="H22:H24" si="8">G22*B22</f>
        <v>23910.980915814653</v>
      </c>
      <c r="I22" s="306"/>
      <c r="J22" s="264"/>
      <c r="K22" s="47"/>
      <c r="L22" s="47">
        <f t="shared" ref="L22:L24" si="9">B22</f>
        <v>1</v>
      </c>
      <c r="M22" s="39">
        <f t="shared" ref="M22:M24" si="10">D22+M$19</f>
        <v>0.67700000000000005</v>
      </c>
      <c r="N22" s="39">
        <f t="shared" ref="N22:N24" si="11">E22+$N$19</f>
        <v>0.33700000000000002</v>
      </c>
      <c r="O22" s="260">
        <f t="shared" ref="O22:O24" si="12">M22*N22</f>
        <v>0.22814900000000002</v>
      </c>
      <c r="P22" s="258">
        <f t="shared" ref="P22:P24" si="13">O22*L22</f>
        <v>0.22814900000000002</v>
      </c>
      <c r="Q22" s="251">
        <f t="shared" ref="Q22:Q24" si="14">Q$20*O22</f>
        <v>20910.980915814653</v>
      </c>
      <c r="R22" s="305">
        <f t="shared" ref="R22:R24" si="15">Q22+R$20</f>
        <v>23910.980915814653</v>
      </c>
      <c r="S22" s="290">
        <f t="shared" ref="S22:S24" si="16">M22*L22*2</f>
        <v>1.3540000000000001</v>
      </c>
      <c r="T22" s="46">
        <f t="shared" ref="T22:T24" si="17">N22*L22*2</f>
        <v>0.67400000000000004</v>
      </c>
      <c r="U22" s="9"/>
      <c r="X22" s="4"/>
    </row>
    <row r="23" spans="2:25" ht="18" thickBot="1" x14ac:dyDescent="0.35">
      <c r="B23" s="432">
        <v>1</v>
      </c>
      <c r="C23" s="433" t="s">
        <v>295</v>
      </c>
      <c r="D23" s="434">
        <v>0.627</v>
      </c>
      <c r="E23" s="434">
        <v>0.25700000000000001</v>
      </c>
      <c r="F23" s="435" t="s">
        <v>296</v>
      </c>
      <c r="G23" s="436">
        <f t="shared" si="7"/>
        <v>18946.949837876455</v>
      </c>
      <c r="H23" s="437">
        <f t="shared" si="8"/>
        <v>18946.949837876455</v>
      </c>
      <c r="I23" s="306"/>
      <c r="J23" s="264"/>
      <c r="K23" s="47"/>
      <c r="L23" s="47">
        <f t="shared" si="9"/>
        <v>1</v>
      </c>
      <c r="M23" s="39">
        <f t="shared" si="10"/>
        <v>0.67700000000000005</v>
      </c>
      <c r="N23" s="39">
        <f t="shared" si="11"/>
        <v>0.25700000000000001</v>
      </c>
      <c r="O23" s="260">
        <f t="shared" si="12"/>
        <v>0.173989</v>
      </c>
      <c r="P23" s="258">
        <f t="shared" si="13"/>
        <v>0.173989</v>
      </c>
      <c r="Q23" s="251">
        <f t="shared" si="14"/>
        <v>15946.949837876455</v>
      </c>
      <c r="R23" s="305">
        <f t="shared" si="15"/>
        <v>18946.949837876455</v>
      </c>
      <c r="S23" s="290">
        <f t="shared" si="16"/>
        <v>1.3540000000000001</v>
      </c>
      <c r="T23" s="46">
        <f t="shared" si="17"/>
        <v>0.51400000000000001</v>
      </c>
      <c r="U23" s="9"/>
      <c r="X23" s="4"/>
    </row>
    <row r="24" spans="2:25" ht="18" thickBot="1" x14ac:dyDescent="0.35">
      <c r="B24" s="432">
        <v>1</v>
      </c>
      <c r="C24" s="433" t="s">
        <v>295</v>
      </c>
      <c r="D24" s="434">
        <v>0.627</v>
      </c>
      <c r="E24" s="434">
        <v>0.28299999999999997</v>
      </c>
      <c r="F24" s="435" t="s">
        <v>296</v>
      </c>
      <c r="G24" s="436">
        <f t="shared" si="7"/>
        <v>20560.259938206367</v>
      </c>
      <c r="H24" s="437">
        <f t="shared" si="8"/>
        <v>20560.259938206367</v>
      </c>
      <c r="I24" s="306"/>
      <c r="J24" s="264"/>
      <c r="K24" s="47"/>
      <c r="L24" s="47">
        <f t="shared" si="9"/>
        <v>1</v>
      </c>
      <c r="M24" s="39">
        <f t="shared" si="10"/>
        <v>0.67700000000000005</v>
      </c>
      <c r="N24" s="39">
        <f t="shared" si="11"/>
        <v>0.28299999999999997</v>
      </c>
      <c r="O24" s="260">
        <f t="shared" si="12"/>
        <v>0.19159099999999998</v>
      </c>
      <c r="P24" s="258">
        <f t="shared" si="13"/>
        <v>0.19159099999999998</v>
      </c>
      <c r="Q24" s="251">
        <f t="shared" si="14"/>
        <v>17560.259938206367</v>
      </c>
      <c r="R24" s="305">
        <f t="shared" si="15"/>
        <v>20560.259938206367</v>
      </c>
      <c r="S24" s="290">
        <f t="shared" si="16"/>
        <v>1.3540000000000001</v>
      </c>
      <c r="T24" s="46">
        <f t="shared" si="17"/>
        <v>0.56599999999999995</v>
      </c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SUM(H21:H24)</f>
        <v>74969.595780000018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SUM(T21:T21)</f>
        <v>0.2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50</v>
      </c>
      <c r="H27" s="287">
        <f>H26*19%</f>
        <v>14244.223198200003</v>
      </c>
      <c r="I27" s="308"/>
      <c r="J27" s="264"/>
      <c r="K27" s="47"/>
      <c r="L27" s="431">
        <f>M27*10</f>
        <v>29.64</v>
      </c>
      <c r="M27" s="39">
        <f>SUM(M21:M26)</f>
        <v>2.964</v>
      </c>
      <c r="N27" s="12"/>
      <c r="O27" s="12"/>
      <c r="P27" s="252">
        <f>SUM(P21:P24)</f>
        <v>0.687029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89213.818978200026</v>
      </c>
      <c r="I28" s="308"/>
      <c r="J28" s="264"/>
      <c r="K28" s="47"/>
      <c r="L28" s="47"/>
      <c r="M28" s="39"/>
      <c r="N28" s="12"/>
      <c r="O28" s="12"/>
      <c r="P28" s="252">
        <f>P27</f>
        <v>0.687029</v>
      </c>
      <c r="Q28" s="14"/>
      <c r="R28" s="12"/>
      <c r="S28" s="239">
        <f>SUM(S21:S27)</f>
        <v>5.9279999999999999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0.13740579999999999</v>
      </c>
      <c r="Q29" s="39" t="s">
        <v>128</v>
      </c>
      <c r="R29" s="42"/>
      <c r="S29" s="240">
        <f>S28+T26</f>
        <v>6.1280000000000001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0.82443480000000002</v>
      </c>
      <c r="Q30" s="14"/>
      <c r="R30" s="14"/>
      <c r="S30" s="238">
        <f>S29*20%</f>
        <v>1.2256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7.3536000000000001</v>
      </c>
      <c r="T31" s="14"/>
      <c r="U31" s="294" t="s">
        <v>21</v>
      </c>
      <c r="V31" s="291" t="s">
        <v>147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0.82443480000000002</v>
      </c>
      <c r="N32" s="12">
        <v>3500</v>
      </c>
      <c r="O32" s="12">
        <f t="shared" ref="O32:O37" si="18">M32*N32</f>
        <v>2885.5218</v>
      </c>
      <c r="P32" s="14" t="s">
        <v>21</v>
      </c>
      <c r="Q32" s="14"/>
      <c r="R32" s="14"/>
      <c r="S32" s="241"/>
      <c r="T32" s="14"/>
      <c r="U32" s="294" t="s">
        <v>148</v>
      </c>
      <c r="V32" s="291">
        <v>3625</v>
      </c>
      <c r="W32" s="59" t="s">
        <v>149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0.3</v>
      </c>
      <c r="N33" s="12">
        <v>42000</v>
      </c>
      <c r="O33" s="12">
        <f t="shared" si="18"/>
        <v>12600</v>
      </c>
      <c r="P33" s="39" t="s">
        <v>286</v>
      </c>
      <c r="Q33" s="42"/>
      <c r="R33" s="14"/>
      <c r="S33" s="240"/>
      <c r="T33" s="14"/>
      <c r="U33" s="294"/>
      <c r="V33" s="59">
        <v>906.25</v>
      </c>
      <c r="W33" s="59" t="s">
        <v>150</v>
      </c>
      <c r="X33" s="296"/>
    </row>
    <row r="34" spans="1:24" s="230" customFormat="1" ht="17.399999999999999" x14ac:dyDescent="0.35">
      <c r="B34" s="24" t="s">
        <v>146</v>
      </c>
      <c r="J34" s="261"/>
      <c r="K34" s="232"/>
      <c r="L34" s="249"/>
      <c r="M34" s="14"/>
      <c r="N34" s="249">
        <v>33975</v>
      </c>
      <c r="O34" s="12">
        <f t="shared" si="18"/>
        <v>0</v>
      </c>
      <c r="P34" s="39" t="s">
        <v>287</v>
      </c>
      <c r="Q34" s="42"/>
      <c r="S34" s="240"/>
      <c r="T34" s="255"/>
      <c r="U34" s="59"/>
      <c r="V34" s="59">
        <f>V33*20%</f>
        <v>181.25</v>
      </c>
      <c r="W34" s="296" t="s">
        <v>151</v>
      </c>
      <c r="X34" s="59"/>
    </row>
    <row r="35" spans="1:24" s="230" customFormat="1" ht="17.399999999999999" x14ac:dyDescent="0.35">
      <c r="B35" s="24" t="s">
        <v>160</v>
      </c>
      <c r="C35"/>
      <c r="D35"/>
      <c r="E35"/>
      <c r="F35"/>
      <c r="J35" s="261"/>
      <c r="K35" s="232"/>
      <c r="L35" s="249"/>
      <c r="M35" s="14">
        <v>0.5</v>
      </c>
      <c r="N35" s="249">
        <v>29000</v>
      </c>
      <c r="O35" s="12">
        <f t="shared" si="18"/>
        <v>14500</v>
      </c>
      <c r="P35" s="14" t="s">
        <v>288</v>
      </c>
      <c r="Q35" s="17"/>
      <c r="S35" s="238"/>
      <c r="T35" s="255"/>
      <c r="U35" s="59"/>
      <c r="V35" s="59">
        <f>V33+V34</f>
        <v>1087.5</v>
      </c>
      <c r="W35" s="296" t="s">
        <v>152</v>
      </c>
      <c r="X35" s="59"/>
    </row>
    <row r="36" spans="1:24" s="230" customFormat="1" ht="17.399999999999999" x14ac:dyDescent="0.35">
      <c r="A36" s="230" t="s">
        <v>281</v>
      </c>
      <c r="B36" s="29" t="s">
        <v>123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8"/>
        <v>0</v>
      </c>
      <c r="P36" s="14" t="s">
        <v>31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/>
      <c r="N37" s="12">
        <v>1500</v>
      </c>
      <c r="O37" s="12">
        <f t="shared" si="18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29985.521800000002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32</v>
      </c>
      <c r="N39" s="12"/>
      <c r="O39" s="254">
        <f>O38*2.1</f>
        <v>62969.595780000011</v>
      </c>
      <c r="P39" s="14" t="s">
        <v>137</v>
      </c>
      <c r="Q39" s="14"/>
      <c r="R39" s="40">
        <f>P30/R38</f>
        <v>0.2222915228645384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51290</v>
      </c>
      <c r="L40" s="249"/>
      <c r="M40" s="14"/>
      <c r="N40" s="12"/>
      <c r="O40" s="12">
        <f>O39/P28</f>
        <v>91654.931276554576</v>
      </c>
      <c r="P40" s="45" t="s">
        <v>24</v>
      </c>
      <c r="Q40" s="14"/>
      <c r="R40" s="14"/>
      <c r="S40"/>
      <c r="T40" s="238"/>
      <c r="U40" s="59" t="s">
        <v>153</v>
      </c>
      <c r="V40" s="291">
        <v>43650</v>
      </c>
    </row>
    <row r="41" spans="1:24" s="230" customFormat="1" ht="17.399999999999999" x14ac:dyDescent="0.35">
      <c r="G41"/>
      <c r="K41" s="230">
        <f>K40/1.19</f>
        <v>43100.840336134454</v>
      </c>
      <c r="L41" s="249"/>
      <c r="M41" s="13"/>
      <c r="N41" s="14"/>
      <c r="O41" s="17">
        <f>O39/O38</f>
        <v>2.1</v>
      </c>
      <c r="P41" s="15"/>
      <c r="Q41"/>
      <c r="R41"/>
      <c r="S41"/>
      <c r="T41" s="238"/>
      <c r="U41" s="59" t="s">
        <v>155</v>
      </c>
      <c r="V41" s="292" t="s">
        <v>154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156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151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143</v>
      </c>
    </row>
    <row r="76" spans="3:15" x14ac:dyDescent="0.3">
      <c r="C76" t="s">
        <v>142</v>
      </c>
    </row>
    <row r="79" spans="3:15" x14ac:dyDescent="0.3">
      <c r="C79" t="s">
        <v>142</v>
      </c>
    </row>
    <row r="156" spans="3:3" x14ac:dyDescent="0.3">
      <c r="C156" t="s">
        <v>142</v>
      </c>
    </row>
    <row r="157" spans="3:3" x14ac:dyDescent="0.3">
      <c r="C157" t="s">
        <v>144</v>
      </c>
    </row>
    <row r="158" spans="3:3" x14ac:dyDescent="0.3">
      <c r="C158" t="s">
        <v>145</v>
      </c>
    </row>
    <row r="583" spans="3:3" x14ac:dyDescent="0.3">
      <c r="C583" t="s">
        <v>142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46119</v>
      </c>
    </row>
    <row r="6" spans="2:31" ht="16.2" thickBot="1" x14ac:dyDescent="0.35">
      <c r="B6" s="140" t="s">
        <v>2</v>
      </c>
      <c r="C6" s="139" t="str">
        <f>'2229'!C10</f>
        <v>ALBERTO ALVAREZ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97</v>
      </c>
      <c r="I7" s="443"/>
      <c r="J7" s="443"/>
      <c r="K7" s="444"/>
      <c r="N7" s="75"/>
      <c r="O7" s="4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12081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-32.03916845411004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'2229'!H26</f>
        <v>74969.595780000018</v>
      </c>
      <c r="E11" s="132">
        <f>D11*0.19</f>
        <v>14244.223198200003</v>
      </c>
      <c r="F11" s="131">
        <f>E11+D11</f>
        <v>89213.818978200026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105957.96083154589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45319.612587439617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87957.96083154589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29649.983192560401</v>
      </c>
      <c r="E13" s="221">
        <f>(D11/D12)-1</f>
        <v>0.65424176200433637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78957.96083154589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39957.96083154589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74777.360769275358</v>
      </c>
      <c r="F15" s="216">
        <f>E15-D12</f>
        <v>29457.748181835741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39957.96083154589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79957.96083154589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'2229'!O33</f>
        <v>12600</v>
      </c>
      <c r="E19" s="123">
        <f>D19*0.19</f>
        <v>2394</v>
      </c>
      <c r="F19" s="120">
        <f>SUM(D19:E19)</f>
        <v>14994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2885.5218</v>
      </c>
      <c r="E20" s="121">
        <f>D20*0.19</f>
        <v>548.24914200000001</v>
      </c>
      <c r="F20" s="120">
        <f>SUM(D20:E20)</f>
        <v>3433.7709420000001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15485.5218</v>
      </c>
      <c r="E21" s="116">
        <f>SUM(E18:E20)</f>
        <v>2942.2491420000001</v>
      </c>
      <c r="F21" s="115">
        <f>SUM(F18:F20)</f>
        <v>18427.770941999999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11301.974056200002</v>
      </c>
    </row>
    <row r="41" spans="2:16" ht="15" thickBot="1" x14ac:dyDescent="0.35">
      <c r="H41" s="445" t="s">
        <v>59</v>
      </c>
      <c r="I41" s="446"/>
      <c r="J41" s="446"/>
      <c r="K41" s="446"/>
      <c r="L41" s="446"/>
      <c r="M41" s="4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74969.595780000018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15485.5218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29649.983192560401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29649.983192560401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12081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ALBERTO ALVAREZ</v>
      </c>
      <c r="D10" s="350"/>
      <c r="E10" s="350"/>
      <c r="F10" s="351" t="s">
        <v>165</v>
      </c>
      <c r="G10" s="352">
        <f>'2229'!G10</f>
        <v>46119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46126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+56 9 9260 7069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8" t="s">
        <v>173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174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180</v>
      </c>
      <c r="C2" s="453"/>
      <c r="D2" s="453"/>
      <c r="E2" s="361"/>
      <c r="G2" s="453" t="s">
        <v>181</v>
      </c>
      <c r="H2" s="453"/>
      <c r="I2" s="453"/>
      <c r="P2" s="454" t="s">
        <v>182</v>
      </c>
      <c r="Q2" s="454"/>
      <c r="R2" s="454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4" t="s">
        <v>182</v>
      </c>
      <c r="M8" s="454"/>
      <c r="N8" s="454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263</v>
      </c>
      <c r="L3" s="459"/>
      <c r="M3" s="459" t="s">
        <v>264</v>
      </c>
      <c r="N3" s="459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ALBERTO ALVAREZ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46119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46126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263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264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270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94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12081</v>
      </c>
      <c r="C2" s="1">
        <f>'NOTA DE VENTA'!$G$10</f>
        <v>46119</v>
      </c>
      <c r="D2" s="1">
        <f>'NOTA DE VENTA'!$G$11</f>
        <v>46126</v>
      </c>
      <c r="E2" t="str">
        <f>'NOTA DE VENTA'!$C$10</f>
        <v>ALBERTO ALVAREZ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2026-04-06T13:39:12Z</cp:lastPrinted>
  <dcterms:created xsi:type="dcterms:W3CDTF">2013-03-18T13:35:42Z</dcterms:created>
  <dcterms:modified xsi:type="dcterms:W3CDTF">2026-04-07T13:58:45Z</dcterms:modified>
</cp:coreProperties>
</file>