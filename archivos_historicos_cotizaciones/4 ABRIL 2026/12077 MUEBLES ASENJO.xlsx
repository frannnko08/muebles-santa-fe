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5224649F-6436-4A59-B17F-EA991760A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M22" i="1"/>
  <c r="O22" i="1" s="1"/>
  <c r="P22" i="1" s="1"/>
  <c r="L22" i="1"/>
  <c r="S22" i="1" s="1"/>
  <c r="H22" i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Q21" i="1" l="1"/>
  <c r="O40" i="1"/>
  <c r="E15" i="3"/>
  <c r="R21" i="1" l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<sst xmlns="http://schemas.openxmlformats.org/spreadsheetml/2006/main" count="232" uniqueCount="175">
  <si>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</si>
  <si>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</si>
  <si>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</si>
  <si>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</si>
  <si>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</si>
  <si>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</si>
  <si>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</si>
  <si>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</si>
  <si>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</si>
  <si>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</si>
  <si>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</si>
  <si>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</si>
  <si>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</si>
  <si>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</si>
  <si>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</si>
  <si>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</si>
  <si>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</si>
  <si>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</si>
  <si>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</si>
  <si>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</si>
  <si>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</si>
  <si>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</si>
  <si>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</si>
  <si>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</si>
  <si>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</si>
  <si>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</si>
  <si>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</si>
  <si>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</si>
  <si>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</si>
  <si>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</si>
  <si>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</si>
  <si>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</si>
  <si>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</si>
  <si>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</si>
  <si>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</si>
  <si>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</si>
  <si>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</si>
  <si>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</si>
  <si>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</si>
  <si>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</si>
  <si>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</si>
  <si>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</si>
  <si>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</si>
  <si>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</si>
  <si>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</si>
  <si>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</si>
  <si>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</si>
  <si>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</si>
  <si>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</si>
  <si>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</si>
  <si>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</si>
  <si>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</si>
  <si>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</si>
  <si>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</si>
  <si>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</si>
  <si>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</si>
  <si>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</si>
  <si>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</si>
  <si>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</si>
  <si>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</si>
  <si>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</si>
  <si>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</si>
  <si>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</si>
  <si>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</si>
  <si>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</si>
  <si>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</si>
  <si>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</si>
  <si>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</si>
  <si>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</si>
  <si>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</si>
  <si>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</si>
  <si>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</si>
  <si>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</si>
  <si>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</si>
  <si>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</si>
  <si>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</si>
  <si>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</si>
  <si>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</si>
  <si>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</si>
  <si>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</si>
  <si>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</si>
  <si>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</si>
  <si>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</si>
  <si>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</si>
  <si>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</si>
  <si>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</si>
  <si>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</si>
  <si>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</si>
  <si>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</si>
  <si>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</si>
  <si>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</si>
  <si>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</si>
  <si>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</si>
  <si>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</si>
  <si>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</si>
  <si>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</si>
  <si>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</si>
  <si>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</si>
  <si>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</si>
  <si>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</si>
  <si>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</si>
  <si>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</si>
  <si>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</si>
  <si>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</si>
  <si>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</si>
  <si>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</si>
  <si>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</si>
  <si>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</si>
  <si>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</si>
  <si>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</si>
  <si>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</si>
  <si>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</si>
  <si>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</si>
  <si>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</si>
  <si>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</si>
  <si>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</si>
  <si>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</si>
  <si>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</si>
  <si>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</si>
  <si>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</si>
  <si>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</si>
  <si>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</si>
  <si>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</si>
  <si>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</si>
  <si>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</si>
  <si>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</si>
  <si>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</si>
  <si>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</si>
  <si>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</si>
  <si>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</si>
  <si>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</si>
  <si>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</si>
  <si>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</si>
  <si>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</si>
  <si>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</si>
  <si>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</si>
  <si>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</si>
  <si>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</si>
  <si>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</si>
  <si>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</si>
  <si>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</si>
  <si>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</si>
  <si>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</si>
  <si>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</si>
  <si>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</si>
  <si>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</si>
  <si>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</si>
  <si>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</si>
  <si>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</si>
  <si>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</si>
  <si>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</si>
  <si>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</si>
  <si>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</si>
  <si>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</si>
  <si>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</si>
  <si>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</si>
  <si>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</si>
  <si>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</si>
  <si>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</si>
  <si>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</si>
  <si>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</si>
  <si>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</si>
  <si>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</si>
  <si>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</si>
  <si>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</si>
  <si>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</si>
  <si>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</si>
  <si>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</si>
  <si>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</si>
  <si>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</si>
  <si>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</si>
  <si>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</si>
  <si>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N° 12077</t>
  </si>
  <si>
    <t>3 DIAS HABILES</t>
  </si>
  <si>
    <t>CASTER TERRAZO 42002 GLT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</si>
</sst>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84" zoomScaleNormal="84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46088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89000.454545454544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1.07</v>
      </c>
      <c r="E21" s="332">
        <v>0.5</v>
      </c>
      <c r="F21" s="330" t="s">
        <v>174</v>
      </c>
      <c r="G21" s="331">
        <v>51175</v>
      </c>
      <c r="H21" s="331">
        <f t="shared" ref="H21" si="1">G21*B21</f>
        <v>51175</v>
      </c>
      <c r="I21" s="320"/>
      <c r="J21" s="265"/>
      <c r="K21" s="47"/>
      <c r="L21" s="333">
        <f>B21</f>
        <v>1</v>
      </c>
      <c r="M21" s="39">
        <f>D21+M$19</f>
        <v>1.1500000000000001</v>
      </c>
      <c r="N21" s="39">
        <f t="shared" ref="N21" si="2">E21+$N$19</f>
        <v>0.5</v>
      </c>
      <c r="O21" s="261">
        <f t="shared" ref="O21" si="3">M21*N21</f>
        <v>0.57500000000000007</v>
      </c>
      <c r="P21" s="259">
        <f t="shared" ref="P21" si="4">O21*L21</f>
        <v>0.57500000000000007</v>
      </c>
      <c r="Q21" s="252">
        <f t="shared" ref="Q21" si="5">Q$20*O21</f>
        <v>51175.261363636368</v>
      </c>
      <c r="R21" s="319">
        <f t="shared" ref="R21" si="6">Q21+R$20</f>
        <v>54175.261363636368</v>
      </c>
      <c r="S21" s="297">
        <f t="shared" ref="S21" si="7">L21*M21</f>
        <v>1.1500000000000001</v>
      </c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1.85</v>
      </c>
      <c r="E22" s="332">
        <v>0.5</v>
      </c>
      <c r="F22" s="330" t="s">
        <v>174</v>
      </c>
      <c r="G22" s="331">
        <v>85885</v>
      </c>
      <c r="H22" s="331">
        <f t="shared" ref="H22" si="8">G22*B22</f>
        <v>85885</v>
      </c>
      <c r="I22" s="320"/>
      <c r="J22" s="265"/>
      <c r="K22" s="47"/>
      <c r="L22" s="333">
        <f>B22</f>
        <v>1</v>
      </c>
      <c r="M22" s="39">
        <f>D22+M$19</f>
        <v>1.9300000000000002</v>
      </c>
      <c r="N22" s="39">
        <f t="shared" ref="N22" si="9">E22+$N$19</f>
        <v>0.5</v>
      </c>
      <c r="O22" s="261">
        <f t="shared" ref="O22" si="10">M22*N22</f>
        <v>0.96500000000000008</v>
      </c>
      <c r="P22" s="259">
        <f t="shared" ref="P22" si="11">O22*L22</f>
        <v>0.96500000000000008</v>
      </c>
      <c r="Q22" s="252">
        <f t="shared" ref="Q22" si="12">Q$20*O22</f>
        <v>85885.438636363644</v>
      </c>
      <c r="R22" s="319">
        <f t="shared" ref="R22" si="13">Q22+R$20</f>
        <v>88885.438636363644</v>
      </c>
      <c r="S22" s="297">
        <f t="shared" ref="S22" si="14">L22*M22</f>
        <v>1.9300000000000002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3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137060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26041.4</v>
      </c>
      <c r="I26" s="322"/>
      <c r="J26" s="265"/>
      <c r="K26" s="47"/>
      <c r="L26" s="47"/>
      <c r="M26" s="39">
        <f>SUM(M21:M25)</f>
        <v>3.08</v>
      </c>
      <c r="N26" s="12"/>
      <c r="O26" s="12"/>
      <c r="P26" s="253">
        <f>SUM(P21:P24)</f>
        <v>1.54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163101.4</v>
      </c>
      <c r="I27" s="322"/>
      <c r="J27" s="265"/>
      <c r="K27" s="47"/>
      <c r="L27" s="47"/>
      <c r="M27" s="39"/>
      <c r="N27" s="12"/>
      <c r="O27" s="12"/>
      <c r="P27" s="253">
        <f>P26</f>
        <v>1.54</v>
      </c>
      <c r="Q27" s="14"/>
      <c r="R27" s="12"/>
      <c r="S27" s="239">
        <f>SUM(S21:S26)</f>
        <v>3.08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0.30800000000000005</v>
      </c>
      <c r="Q28" s="39" t="s">
        <v>130</v>
      </c>
      <c r="R28" s="42"/>
      <c r="S28" s="240">
        <f>S27+T25</f>
        <v>3.08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1.8480000000000001</v>
      </c>
      <c r="Q29" s="14"/>
      <c r="R29" s="14"/>
      <c r="S29" s="238">
        <f>S28*20%</f>
        <v>0.6160000000000001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3.6960000000000002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1.8480000000000001</v>
      </c>
      <c r="N31" s="12">
        <v>1500</v>
      </c>
      <c r="O31" s="12">
        <f t="shared" ref="O31:O36" si="15">M31*N31</f>
        <v>2772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24910</v>
      </c>
      <c r="O32" s="12">
        <f t="shared" si="15"/>
        <v>12455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23500</v>
      </c>
      <c r="O33" s="12">
        <f t="shared" si="1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1</v>
      </c>
      <c r="N34" s="250">
        <v>48500</v>
      </c>
      <c r="O34" s="12">
        <f t="shared" si="15"/>
        <v>48500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1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3.08</v>
      </c>
      <c r="N36" s="12">
        <v>500</v>
      </c>
      <c r="O36" s="12">
        <f t="shared" si="15"/>
        <v>1540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65267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137060.70000000001</v>
      </c>
      <c r="P38" s="14" t="s">
        <v>140</v>
      </c>
      <c r="Q38" s="14"/>
      <c r="R38" s="40">
        <f>P29/R37</f>
        <v>0.4039344262295082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89000.454545454544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12077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-10451.533366787438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137060</v>
      </c>
      <c r="E11" s="132">
        <f>D11*0.19</f>
        <v>26041.4</v>
      </c>
      <c r="F11" s="131">
        <f>E11+D11</f>
        <v>163101.4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95538.466633212563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45061.090787439614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77538.466633212563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91998.909212560393</v>
      </c>
      <c r="E13" s="221">
        <f>(D11/D12)-1</f>
        <v>2.0416485177097461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68538.466633212563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29538.466633212563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74350.799799275366</v>
      </c>
      <c r="F15" s="216">
        <f>E15-D12</f>
        <v>29289.709011835752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29538.466633212563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69538.466633212563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12455</v>
      </c>
      <c r="E19" s="123">
        <f>D19*0.19</f>
        <v>2366.4499999999998</v>
      </c>
      <c r="F19" s="120">
        <f>SUM(D19:E19)</f>
        <v>14821.45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2772</v>
      </c>
      <c r="E20" s="121">
        <f>D20*0.19</f>
        <v>526.67999999999995</v>
      </c>
      <c r="F20" s="120">
        <f>SUM(D20:E20)</f>
        <v>3298.68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15227</v>
      </c>
      <c r="E21" s="116">
        <f>SUM(E18:E20)</f>
        <v>2893.1299999999997</v>
      </c>
      <c r="F21" s="115">
        <f>SUM(F18:F20)</f>
        <v>18120.13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23148.27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137060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15227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91998.909212560393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91998.909212560393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2026-04-07T14:24:36Z</dcterms:modified>
</cp:coreProperties>
</file>